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0091D5"/>
        <bgColor rgb="000091D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iFAST Global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iFAST Global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ser>
          <idx val="3"/>
          <order val="3"/>
          <tx>
            <strRef>
              <f>'Overview'!Q16</f>
            </strRef>
          </tx>
          <spPr>
            <a:ln xmlns:a="http://schemas.openxmlformats.org/drawingml/2006/main">
              <a:prstDash val="solid"/>
            </a:ln>
          </spPr>
          <cat>
            <numRef>
              <f>'Overview'!$R$12:$V$12</f>
            </numRef>
          </cat>
          <val>
            <numRef>
              <f>'Overview'!$R$16:$V$16</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iFAST Global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'Overview'!Y20</f>
            </strRef>
          </tx>
          <spPr>
            <a:ln xmlns:a="http://schemas.openxmlformats.org/drawingml/2006/main">
              <a:prstDash val="solid"/>
            </a:ln>
          </spPr>
          <cat>
            <numRef>
              <f>'Overview'!$Z$19:$AD$19</f>
            </numRef>
          </cat>
          <val>
            <numRef>
              <f>'Overview'!$Z$20:$AD$20</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iFAST Global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'Overview'!AG24</f>
            </strRef>
          </tx>
          <spPr>
            <a:ln xmlns:a="http://schemas.openxmlformats.org/drawingml/2006/main">
              <a:prstDash val="solid"/>
            </a:ln>
          </spPr>
          <cat>
            <numRef>
              <f>'Overview'!$AH$23:$AL$23</f>
            </numRef>
          </cat>
          <val>
            <numRef>
              <f>'Overview'!$AH$24:$AL$24</f>
            </numRef>
          </val>
        </ser>
        <ser>
          <idx val="1"/>
          <order val="1"/>
          <tx>
            <strRef>
              <f>'Overview'!AG25</f>
            </strRef>
          </tx>
          <spPr>
            <a:ln xmlns:a="http://schemas.openxmlformats.org/drawingml/2006/main">
              <a:prstDash val="solid"/>
            </a:ln>
          </spPr>
          <cat>
            <numRef>
              <f>'Overview'!$AH$23:$AL$23</f>
            </numRef>
          </cat>
          <val>
            <numRef>
              <f>'Overview'!$AH$25:$AL$25</f>
            </numRef>
          </val>
        </ser>
        <ser>
          <idx val="2"/>
          <order val="2"/>
          <tx>
            <strRef>
              <f>'Overview'!AG26</f>
            </strRef>
          </tx>
          <spPr>
            <a:ln xmlns:a="http://schemas.openxmlformats.org/drawingml/2006/main">
              <a:prstDash val="solid"/>
            </a:ln>
          </spPr>
          <cat>
            <numRef>
              <f>'Overview'!$AH$23:$AL$23</f>
            </numRef>
          </cat>
          <val>
            <numRef>
              <f>'Overview'!$AH$26:$AL$26</f>
            </numRef>
          </val>
        </ser>
        <ser>
          <idx val="3"/>
          <order val="3"/>
          <tx>
            <strRef>
              <f>'Overview'!AG27</f>
            </strRef>
          </tx>
          <spPr>
            <a:ln xmlns:a="http://schemas.openxmlformats.org/drawingml/2006/main">
              <a:prstDash val="solid"/>
            </a:ln>
          </spPr>
          <cat>
            <numRef>
              <f>'Overview'!$AH$23:$AL$23</f>
            </numRef>
          </cat>
          <val>
            <numRef>
              <f>'Overview'!$AH$27:$AL$27</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iFAST Global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ser>
          <idx val="2"/>
          <order val="2"/>
          <tx>
            <strRef>
              <f>'Overview'!AO8</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'Overview'!$AP$8:$AT$8</f>
            </numRef>
          </val>
          <smooth val="0"/>
        </ser>
        <ser>
          <idx val="3"/>
          <order val="3"/>
          <tx>
            <strRef>
              <f>'Overview'!AO9</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'Overview'!$AP$9:$AT$9</f>
            </numRef>
          </val>
          <smooth val="0"/>
        </ser>
        <ser>
          <idx val="4"/>
          <order val="4"/>
          <tx>
            <strRef>
              <f>'Overview'!AO10</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'Overview'!$AP$10:$AT$10</f>
            </numRef>
          </val>
          <smooth val="0"/>
        </ser>
        <ser>
          <idx val="5"/>
          <order val="5"/>
          <tx>
            <strRef>
              <f>'Overview'!AO11</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'Overview'!$AP$11:$AT$11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40</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62</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84</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106</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128</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38"/>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iFAST Global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1052008</v>
      </c>
      <c r="C6" s="5" t="n">
        <v>700615</v>
      </c>
      <c r="D6" s="5" t="n">
        <v>288288</v>
      </c>
      <c r="E6" s="5" t="n">
        <v>119485</v>
      </c>
      <c r="F6" s="5" t="n">
        <v>71736</v>
      </c>
      <c r="I6" t="inlineStr">
        <is>
          <t>Total assets</t>
        </is>
      </c>
      <c r="J6" t="n">
        <v>71736</v>
      </c>
      <c r="K6" t="n">
        <v>119485</v>
      </c>
      <c r="L6" t="n">
        <v>288288</v>
      </c>
      <c r="M6" t="n">
        <v>700615</v>
      </c>
      <c r="N6" t="n">
        <v>1052008</v>
      </c>
      <c r="AO6" t="inlineStr">
        <is>
          <t>CET1 Ratio</t>
        </is>
      </c>
      <c r="AP6" t="n">
        <v>14</v>
      </c>
      <c r="AQ6" t="n">
        <v>40.7</v>
      </c>
      <c r="AR6" t="n">
        <v>36.3</v>
      </c>
      <c r="AS6" t="n">
        <v>28.1</v>
      </c>
      <c r="AT6" t="n">
        <v>20.2</v>
      </c>
    </row>
    <row r="7">
      <c r="A7" s="5" t="inlineStr">
        <is>
          <t>Loans and advances to customers</t>
        </is>
      </c>
      <c r="B7" s="5" t="n">
        <v>80119</v>
      </c>
      <c r="C7" s="5" t="n">
        <v>25046</v>
      </c>
      <c r="D7" s="5" t="n"/>
      <c r="E7" s="5" t="n"/>
      <c r="F7" s="5" t="n"/>
      <c r="I7" t="inlineStr">
        <is>
          <t>Loans and advances to customers</t>
        </is>
      </c>
      <c r="M7" t="n">
        <v>25046</v>
      </c>
      <c r="N7" t="n">
        <v>80119</v>
      </c>
      <c r="AO7" t="inlineStr">
        <is>
          <t>Tier 1 Ratio</t>
        </is>
      </c>
      <c r="AP7" t="n">
        <v>22</v>
      </c>
      <c r="AQ7" t="n">
        <v>40.7</v>
      </c>
      <c r="AR7" t="n">
        <v>36.3</v>
      </c>
      <c r="AS7" t="n">
        <v>28.1</v>
      </c>
      <c r="AT7" t="n">
        <v>23.9</v>
      </c>
    </row>
    <row r="8">
      <c r="A8" s="5" t="inlineStr">
        <is>
          <t>Due to customers</t>
        </is>
      </c>
      <c r="B8" s="5" t="n">
        <v>941013</v>
      </c>
      <c r="C8" s="5" t="n">
        <v>609964</v>
      </c>
      <c r="D8" s="5" t="n">
        <v>234882</v>
      </c>
      <c r="E8" s="5" t="n">
        <v>73627</v>
      </c>
      <c r="F8" s="5" t="n">
        <v>42307</v>
      </c>
      <c r="I8" t="inlineStr">
        <is>
          <t>Due to customers</t>
        </is>
      </c>
      <c r="J8" t="n">
        <v>42307</v>
      </c>
      <c r="K8" t="n">
        <v>73627</v>
      </c>
      <c r="L8" t="n">
        <v>234882</v>
      </c>
      <c r="M8" t="n">
        <v>609964</v>
      </c>
      <c r="N8" t="n">
        <v>941013</v>
      </c>
      <c r="AO8" t="inlineStr">
        <is>
          <t>Total Capital Ratio</t>
        </is>
      </c>
      <c r="AP8" t="n">
        <v>22</v>
      </c>
      <c r="AQ8" t="n">
        <v>40.7</v>
      </c>
      <c r="AR8" t="n">
        <v>36.3</v>
      </c>
      <c r="AS8" t="n">
        <v>28.1</v>
      </c>
      <c r="AT8" t="n">
        <v>23.9</v>
      </c>
    </row>
    <row r="9">
      <c r="A9" s="5" t="inlineStr">
        <is>
          <t>Total equity</t>
        </is>
      </c>
      <c r="B9" s="5" t="n">
        <v>95877</v>
      </c>
      <c r="C9" s="5" t="n">
        <v>77347</v>
      </c>
      <c r="D9" s="5" t="n">
        <v>39481</v>
      </c>
      <c r="E9" s="5" t="n">
        <v>35081</v>
      </c>
      <c r="F9" s="5" t="n">
        <v>16949</v>
      </c>
      <c r="I9" t="inlineStr">
        <is>
          <t>Total equity</t>
        </is>
      </c>
      <c r="J9" t="n">
        <v>16949</v>
      </c>
      <c r="K9" t="n">
        <v>35081</v>
      </c>
      <c r="L9" t="n">
        <v>39481</v>
      </c>
      <c r="M9" t="n">
        <v>77347</v>
      </c>
      <c r="N9" t="n">
        <v>95877</v>
      </c>
      <c r="AO9" t="inlineStr">
        <is>
          <t>Leverage Ratio</t>
        </is>
      </c>
      <c r="AP9" t="n">
        <v>19</v>
      </c>
      <c r="AQ9" t="n">
        <v>47.3</v>
      </c>
      <c r="AR9" t="n">
        <v>29</v>
      </c>
      <c r="AS9" t="n">
        <v>15.4</v>
      </c>
      <c r="AT9" t="n">
        <v>11</v>
      </c>
    </row>
    <row r="10">
      <c r="AO10" t="inlineStr">
        <is>
          <t>LCR</t>
        </is>
      </c>
      <c r="AP10" t="n">
        <v>1109</v>
      </c>
      <c r="AQ10" t="n">
        <v>1240</v>
      </c>
      <c r="AR10" t="n">
        <v>728</v>
      </c>
      <c r="AS10" t="n">
        <v>912</v>
      </c>
      <c r="AT10" t="n">
        <v>531</v>
      </c>
    </row>
    <row r="11">
      <c r="A11" s="3" t="inlineStr">
        <is>
          <t>Profit &amp; Loss Summary (£'000)</t>
        </is>
      </c>
      <c r="AO11" t="inlineStr">
        <is>
          <t>NSFR</t>
        </is>
      </c>
      <c r="AQ11" t="n">
        <v>416.4</v>
      </c>
      <c r="AR11" t="n">
        <v>345.4</v>
      </c>
      <c r="AS11" t="n">
        <v>257.5</v>
      </c>
      <c r="AT11" t="n">
        <v>190.9</v>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Net interest income/(expense)</t>
        </is>
      </c>
      <c r="B13" s="5" t="n">
        <v>10911</v>
      </c>
      <c r="C13" s="5" t="n">
        <v>5340</v>
      </c>
      <c r="D13" s="5" t="n">
        <v>1701</v>
      </c>
      <c r="E13" s="5" t="n">
        <v>121</v>
      </c>
      <c r="F13" s="5" t="n">
        <v>-450</v>
      </c>
      <c r="Q13" t="inlineStr">
        <is>
          <t>Net interest income/(expense)</t>
        </is>
      </c>
      <c r="R13" t="n">
        <v>-450</v>
      </c>
      <c r="S13" t="n">
        <v>121</v>
      </c>
      <c r="T13" t="n">
        <v>1701</v>
      </c>
      <c r="U13" t="n">
        <v>5340</v>
      </c>
      <c r="V13" t="n">
        <v>10911</v>
      </c>
    </row>
    <row r="14">
      <c r="A14" s="5" t="inlineStr">
        <is>
          <t>Net operating income</t>
        </is>
      </c>
      <c r="B14" s="5" t="n">
        <v>21232</v>
      </c>
      <c r="C14" s="5" t="n">
        <v>11671</v>
      </c>
      <c r="D14" s="5" t="n">
        <v>8119</v>
      </c>
      <c r="E14" s="5" t="n">
        <v>6644</v>
      </c>
      <c r="F14" s="5" t="n">
        <v>7049</v>
      </c>
      <c r="Q14" t="inlineStr">
        <is>
          <t>Net operating income</t>
        </is>
      </c>
      <c r="R14" t="n">
        <v>7049</v>
      </c>
      <c r="S14" t="n">
        <v>6644</v>
      </c>
      <c r="T14" t="n">
        <v>8119</v>
      </c>
      <c r="U14" t="n">
        <v>11671</v>
      </c>
      <c r="V14" t="n">
        <v>21232</v>
      </c>
    </row>
    <row r="15">
      <c r="A15" s="5" t="inlineStr">
        <is>
          <t>Total operating expenses</t>
        </is>
      </c>
      <c r="B15" s="5" t="n">
        <v>-19378</v>
      </c>
      <c r="C15" s="5" t="n">
        <v>-14131</v>
      </c>
      <c r="D15" s="5" t="n">
        <v>-13829</v>
      </c>
      <c r="E15" s="5" t="n">
        <v>-15632</v>
      </c>
      <c r="F15" s="5" t="n">
        <v>-10134</v>
      </c>
      <c r="Q15" t="inlineStr">
        <is>
          <t>Total operating expenses</t>
        </is>
      </c>
      <c r="R15" t="n">
        <v>-10134</v>
      </c>
      <c r="S15" t="n">
        <v>-15632</v>
      </c>
      <c r="T15" t="n">
        <v>-13829</v>
      </c>
      <c r="U15" t="n">
        <v>-14131</v>
      </c>
      <c r="V15" t="n">
        <v>-19378</v>
      </c>
    </row>
    <row r="16">
      <c r="A16" s="5" t="inlineStr">
        <is>
          <t>Profit/(loss) for the year</t>
        </is>
      </c>
      <c r="B16" s="5" t="n">
        <v>3434</v>
      </c>
      <c r="C16" s="5" t="n">
        <v>-2460</v>
      </c>
      <c r="D16" s="5" t="n">
        <v>-5710</v>
      </c>
      <c r="E16" s="5" t="n">
        <v>-11868</v>
      </c>
      <c r="F16" s="5" t="n">
        <v>-3085</v>
      </c>
      <c r="Q16" t="inlineStr">
        <is>
          <t>Profit/(loss) for the year</t>
        </is>
      </c>
      <c r="R16" t="n">
        <v>-3085</v>
      </c>
      <c r="S16" t="n">
        <v>-11868</v>
      </c>
      <c r="T16" t="n">
        <v>-5710</v>
      </c>
      <c r="U16" t="n">
        <v>-2460</v>
      </c>
      <c r="V16" t="n">
        <v>3434</v>
      </c>
    </row>
    <row r="18">
      <c r="A18" s="3" t="inlineStr">
        <is>
          <t>Statement of Changes in Equity Summary (£'000)</t>
        </is>
      </c>
    </row>
    <row r="19">
      <c r="A19" s="4" t="inlineStr">
        <is>
          <t>Line item</t>
        </is>
      </c>
      <c r="B19" s="4" t="inlineStr">
        <is>
          <t>FY2025</t>
        </is>
      </c>
      <c r="C19" s="4" t="inlineStr">
        <is>
          <t>FY2024</t>
        </is>
      </c>
      <c r="D19" s="4" t="inlineStr">
        <is>
          <t>FY2023</t>
        </is>
      </c>
      <c r="E19" s="4" t="inlineStr">
        <is>
          <t>FY2022</t>
        </is>
      </c>
      <c r="F19" s="4" t="inlineStr">
        <is>
          <t>FY2021</t>
        </is>
      </c>
      <c r="Z19" t="inlineStr">
        <is>
          <t>FY2021</t>
        </is>
      </c>
      <c r="AA19" t="inlineStr">
        <is>
          <t>FY2022</t>
        </is>
      </c>
      <c r="AB19" t="inlineStr">
        <is>
          <t>FY2023</t>
        </is>
      </c>
      <c r="AC19" t="inlineStr">
        <is>
          <t>FY2024</t>
        </is>
      </c>
      <c r="AD19" t="inlineStr">
        <is>
          <t>FY2025</t>
        </is>
      </c>
    </row>
    <row r="20">
      <c r="A20" s="5" t="inlineStr">
        <is>
          <t>Total equity</t>
        </is>
      </c>
      <c r="B20" s="5" t="n">
        <v>95877</v>
      </c>
      <c r="C20" s="5" t="n">
        <v>77347</v>
      </c>
      <c r="D20" s="5" t="n">
        <v>39481</v>
      </c>
      <c r="E20" s="5" t="n">
        <v>35081</v>
      </c>
      <c r="F20" s="5" t="n">
        <v>16949</v>
      </c>
      <c r="Y20" t="inlineStr">
        <is>
          <t>Total equity</t>
        </is>
      </c>
      <c r="Z20" t="n">
        <v>16949</v>
      </c>
      <c r="AA20" t="n">
        <v>35081</v>
      </c>
      <c r="AB20" t="n">
        <v>39481</v>
      </c>
      <c r="AC20" t="n">
        <v>77347</v>
      </c>
      <c r="AD20" t="n">
        <v>95877</v>
      </c>
    </row>
    <row r="22">
      <c r="A22" s="3" t="inlineStr">
        <is>
          <t>Cash Flow Summary (£'000)</t>
        </is>
      </c>
    </row>
    <row r="23">
      <c r="A23" s="4" t="inlineStr">
        <is>
          <t>Line item</t>
        </is>
      </c>
      <c r="B23" s="4" t="inlineStr">
        <is>
          <t>FY2025</t>
        </is>
      </c>
      <c r="C23" s="4" t="inlineStr">
        <is>
          <t>FY2024</t>
        </is>
      </c>
      <c r="D23" s="4" t="inlineStr">
        <is>
          <t>FY2023</t>
        </is>
      </c>
      <c r="E23" s="4" t="inlineStr">
        <is>
          <t>FY2022</t>
        </is>
      </c>
      <c r="F23" s="4" t="inlineStr">
        <is>
          <t>FY2021</t>
        </is>
      </c>
      <c r="AH23" t="inlineStr">
        <is>
          <t>FY2021</t>
        </is>
      </c>
      <c r="AI23" t="inlineStr">
        <is>
          <t>FY2022</t>
        </is>
      </c>
      <c r="AJ23" t="inlineStr">
        <is>
          <t>FY2023</t>
        </is>
      </c>
      <c r="AK23" t="inlineStr">
        <is>
          <t>FY2024</t>
        </is>
      </c>
      <c r="AL23" t="inlineStr">
        <is>
          <t>FY2025</t>
        </is>
      </c>
    </row>
    <row r="24">
      <c r="A24" s="5" t="inlineStr">
        <is>
          <t>Net inflows/(outflows) from operating activities</t>
        </is>
      </c>
      <c r="B24" s="5" t="n">
        <v>271945</v>
      </c>
      <c r="C24" s="5" t="n">
        <v>344025</v>
      </c>
      <c r="D24" s="5" t="n">
        <v>98319</v>
      </c>
      <c r="E24" s="5" t="n">
        <v>-9308</v>
      </c>
      <c r="F24" s="5" t="n">
        <v>-8628</v>
      </c>
      <c r="AG24" t="inlineStr">
        <is>
          <t>Net inflows/(outflows) from operating activities</t>
        </is>
      </c>
      <c r="AH24" t="n">
        <v>-8628</v>
      </c>
      <c r="AI24" t="n">
        <v>-9308</v>
      </c>
      <c r="AJ24" t="n">
        <v>98319</v>
      </c>
      <c r="AK24" t="n">
        <v>344025</v>
      </c>
      <c r="AL24" t="n">
        <v>271945</v>
      </c>
    </row>
    <row r="25">
      <c r="A25" s="5" t="inlineStr">
        <is>
          <t>Net outflows from investing activities</t>
        </is>
      </c>
      <c r="B25" s="5" t="n">
        <v>-223714</v>
      </c>
      <c r="C25" s="5" t="n">
        <v>-258670</v>
      </c>
      <c r="D25" s="5" t="n">
        <v>-490</v>
      </c>
      <c r="E25" s="5" t="n">
        <v>-268</v>
      </c>
      <c r="F25" s="5" t="n">
        <v>-125</v>
      </c>
      <c r="AG25" t="inlineStr">
        <is>
          <t>Net outflows from investing activities</t>
        </is>
      </c>
      <c r="AH25" t="n">
        <v>-125</v>
      </c>
      <c r="AI25" t="n">
        <v>-268</v>
      </c>
      <c r="AJ25" t="n">
        <v>-490</v>
      </c>
      <c r="AK25" t="n">
        <v>-258670</v>
      </c>
      <c r="AL25" t="n">
        <v>-223714</v>
      </c>
    </row>
    <row r="26">
      <c r="A26" s="5" t="inlineStr">
        <is>
          <t>Net inflows/(outflows) from financing activities</t>
        </is>
      </c>
      <c r="B26" s="5" t="n">
        <v>14845</v>
      </c>
      <c r="C26" s="5" t="n">
        <v>39669</v>
      </c>
      <c r="D26" s="5" t="n">
        <v>9698</v>
      </c>
      <c r="E26" s="5" t="n">
        <v>31107</v>
      </c>
      <c r="F26" s="5" t="n">
        <v>-730</v>
      </c>
      <c r="AG26" t="inlineStr">
        <is>
          <t>Net inflows/(outflows) from financing activities</t>
        </is>
      </c>
      <c r="AH26" t="n">
        <v>-730</v>
      </c>
      <c r="AI26" t="n">
        <v>31107</v>
      </c>
      <c r="AJ26" t="n">
        <v>9698</v>
      </c>
      <c r="AK26" t="n">
        <v>39669</v>
      </c>
      <c r="AL26" t="n">
        <v>14845</v>
      </c>
    </row>
    <row r="27">
      <c r="A27" s="5" t="inlineStr">
        <is>
          <t>Cash and cash equivalents at end of financial year</t>
        </is>
      </c>
      <c r="B27" s="5" t="n">
        <v>394036</v>
      </c>
      <c r="C27" s="5" t="n">
        <v>330938</v>
      </c>
      <c r="D27" s="5" t="n">
        <v>181658</v>
      </c>
      <c r="E27" s="5" t="n">
        <v>74856</v>
      </c>
      <c r="F27" s="5" t="n">
        <v>53534</v>
      </c>
      <c r="AG27" t="inlineStr">
        <is>
          <t>Cash and cash equivalents at end of financial year</t>
        </is>
      </c>
      <c r="AH27" t="n">
        <v>53534</v>
      </c>
      <c r="AI27" t="n">
        <v>74856</v>
      </c>
      <c r="AJ27" t="n">
        <v>181658</v>
      </c>
      <c r="AK27" t="n">
        <v>330938</v>
      </c>
      <c r="AL27" t="n">
        <v>394036</v>
      </c>
    </row>
    <row r="29">
      <c r="A29" s="3" t="inlineStr">
        <is>
          <t>Pillar 3 Key Metrics</t>
        </is>
      </c>
    </row>
    <row r="30">
      <c r="A30" s="4" t="inlineStr">
        <is>
          <t>Line item</t>
        </is>
      </c>
      <c r="B30" s="4" t="inlineStr">
        <is>
          <t>FY2025</t>
        </is>
      </c>
      <c r="C30" s="4" t="inlineStr">
        <is>
          <t>FY2024</t>
        </is>
      </c>
      <c r="D30" s="4" t="inlineStr">
        <is>
          <t>FY2023</t>
        </is>
      </c>
      <c r="E30" s="4" t="inlineStr">
        <is>
          <t>FY2022</t>
        </is>
      </c>
      <c r="F30" s="4" t="inlineStr">
        <is>
          <t>FY2021</t>
        </is>
      </c>
    </row>
    <row r="31">
      <c r="A31" s="6" t="inlineStr">
        <is>
          <t>CET1 Ratio</t>
        </is>
      </c>
      <c r="B31" s="6" t="inlineStr">
        <is>
          <t>20.2%</t>
        </is>
      </c>
      <c r="C31" s="6" t="inlineStr">
        <is>
          <t>28.1%</t>
        </is>
      </c>
      <c r="D31" s="6" t="inlineStr">
        <is>
          <t>36.3%</t>
        </is>
      </c>
      <c r="E31" s="6" t="inlineStr">
        <is>
          <t>40.7%</t>
        </is>
      </c>
      <c r="F31" s="6" t="inlineStr">
        <is>
          <t>14%</t>
        </is>
      </c>
    </row>
    <row r="32">
      <c r="A32" s="6" t="inlineStr">
        <is>
          <t>Tier 1 Ratio</t>
        </is>
      </c>
      <c r="B32" s="6" t="inlineStr">
        <is>
          <t>23.9%</t>
        </is>
      </c>
      <c r="C32" s="6" t="inlineStr">
        <is>
          <t>28.1%</t>
        </is>
      </c>
      <c r="D32" s="6" t="inlineStr">
        <is>
          <t>36.3%</t>
        </is>
      </c>
      <c r="E32" s="6" t="inlineStr">
        <is>
          <t>40.7%</t>
        </is>
      </c>
      <c r="F32" s="6" t="inlineStr">
        <is>
          <t>22%</t>
        </is>
      </c>
    </row>
    <row r="33">
      <c r="A33" s="6" t="inlineStr">
        <is>
          <t>Total Capital Ratio</t>
        </is>
      </c>
      <c r="B33" s="6" t="inlineStr">
        <is>
          <t>23.9%</t>
        </is>
      </c>
      <c r="C33" s="6" t="inlineStr">
        <is>
          <t>28.1%</t>
        </is>
      </c>
      <c r="D33" s="6" t="inlineStr">
        <is>
          <t>36.3%</t>
        </is>
      </c>
      <c r="E33" s="6" t="inlineStr">
        <is>
          <t>40.7%</t>
        </is>
      </c>
      <c r="F33" s="6" t="inlineStr">
        <is>
          <t>22%</t>
        </is>
      </c>
    </row>
    <row r="34">
      <c r="A34" s="6" t="inlineStr">
        <is>
          <t>Leverage Ratio</t>
        </is>
      </c>
      <c r="B34" s="6" t="inlineStr">
        <is>
          <t>11.0%</t>
        </is>
      </c>
      <c r="C34" s="6" t="inlineStr">
        <is>
          <t>15.4%</t>
        </is>
      </c>
      <c r="D34" s="6" t="inlineStr">
        <is>
          <t>29.0%</t>
        </is>
      </c>
      <c r="E34" s="6" t="inlineStr">
        <is>
          <t>47.3%</t>
        </is>
      </c>
      <c r="F34" s="6" t="inlineStr">
        <is>
          <t>19%</t>
        </is>
      </c>
    </row>
    <row r="35">
      <c r="A35" s="6" t="inlineStr">
        <is>
          <t>LCR</t>
        </is>
      </c>
      <c r="B35" s="6" t="inlineStr">
        <is>
          <t>531%</t>
        </is>
      </c>
      <c r="C35" s="6" t="inlineStr">
        <is>
          <t>912%</t>
        </is>
      </c>
      <c r="D35" s="6" t="inlineStr">
        <is>
          <t>728%</t>
        </is>
      </c>
      <c r="E35" s="6" t="inlineStr">
        <is>
          <t>1240%</t>
        </is>
      </c>
      <c r="F35" s="6" t="inlineStr">
        <is>
          <t>1109%</t>
        </is>
      </c>
    </row>
    <row r="36">
      <c r="A36" s="6" t="inlineStr">
        <is>
          <t>NSFR</t>
        </is>
      </c>
      <c r="B36" s="6" t="inlineStr">
        <is>
          <t>190.9%</t>
        </is>
      </c>
      <c r="C36" s="6" t="inlineStr">
        <is>
          <t>257.5%</t>
        </is>
      </c>
      <c r="D36" s="6" t="inlineStr">
        <is>
          <t>345.4%</t>
        </is>
      </c>
      <c r="E36" s="6" t="inlineStr">
        <is>
          <t>416.4%</t>
        </is>
      </c>
      <c r="F36" s="6" t="inlineStr">
        <is>
          <t>Not applicable – UK NSFR in force only from 1 Jan 2022 (PRA PS17/21); FY2021 Pillar 3 prints no NSFR and the FY2022 KM1's 31-Dec-21 column leaves rows 18-20 empty</t>
        </is>
      </c>
    </row>
    <row r="38" ht="39" customHeight="1">
      <c r="A38" s="7" t="inlineStr">
        <is>
          <t>Note: Figures are duplicated from the detail sheets for at-a-glance trend viewing; see each sheet's own source citation for the underlying document/page. FY2023 cash figures use the originally-reported (pre-restatement) balances — see the Cash Flow Statement sheet's note. All capital/liquidity ratios fell sharply from FY2021-2022 to FY2025 as the bank scaled its balance sheet roughly 7x following the 2022 iFAST Corporation acquisition and rebrand from BFC Bank.</t>
        </is>
      </c>
    </row>
  </sheetData>
  <mergeCells count="1">
    <mergeCell ref="A38:F3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iFAST Global Bank Limited — Statement of Financial Position</t>
        </is>
      </c>
    </row>
    <row r="2">
      <c r="A2" s="2" t="inlineStr">
        <is>
          <t>Solo basis, £'000</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Assets</t>
        </is>
      </c>
      <c r="B4" s="6" t="n"/>
      <c r="C4" s="6" t="n"/>
      <c r="D4" s="6" t="n"/>
      <c r="E4" s="6" t="n"/>
      <c r="F4" s="6" t="n"/>
    </row>
    <row r="5">
      <c r="A5" s="6" t="inlineStr">
        <is>
          <t>Cash and cash equivalents</t>
        </is>
      </c>
      <c r="B5" s="6" t="n">
        <v>394036</v>
      </c>
      <c r="C5" s="6" t="n">
        <v>330938</v>
      </c>
      <c r="D5" s="6" t="n">
        <v>181658</v>
      </c>
      <c r="E5" s="6" t="n">
        <v>74856</v>
      </c>
      <c r="F5" s="6" t="n">
        <v>53534</v>
      </c>
    </row>
    <row r="6">
      <c r="A6" s="6" t="inlineStr">
        <is>
          <t>Trade and other receivables</t>
        </is>
      </c>
      <c r="B6" s="6" t="n">
        <v>23808</v>
      </c>
      <c r="C6" s="6" t="n">
        <v>18868</v>
      </c>
      <c r="D6" s="6" t="n">
        <v>20732</v>
      </c>
      <c r="E6" s="6" t="n">
        <v>13382</v>
      </c>
      <c r="F6" s="6" t="n">
        <v>11037</v>
      </c>
    </row>
    <row r="7">
      <c r="A7" s="6" t="inlineStr">
        <is>
          <t>Debt instruments held at amortised cost</t>
        </is>
      </c>
      <c r="B7" s="6" t="n">
        <v>539329</v>
      </c>
      <c r="C7" s="6" t="n">
        <v>316623</v>
      </c>
      <c r="D7" s="6" t="n">
        <v>58172</v>
      </c>
      <c r="E7" s="6" t="n">
        <v>29436</v>
      </c>
      <c r="F7" s="6" t="n"/>
    </row>
    <row r="8">
      <c r="A8" s="6" t="inlineStr">
        <is>
          <t>Debt instruments at fair value through profit or loss</t>
        </is>
      </c>
      <c r="B8" s="6" t="n"/>
      <c r="C8" s="6" t="n"/>
      <c r="D8" s="6" t="n">
        <v>23924</v>
      </c>
      <c r="E8" s="6" t="n"/>
      <c r="F8" s="6" t="n"/>
    </row>
    <row r="9">
      <c r="A9" s="6" t="inlineStr">
        <is>
          <t>Loans and advances to customers</t>
        </is>
      </c>
      <c r="B9" s="6" t="n">
        <v>80119</v>
      </c>
      <c r="C9" s="6" t="n">
        <v>25046</v>
      </c>
      <c r="D9" s="6" t="n"/>
      <c r="E9" s="6" t="n"/>
      <c r="F9" s="6" t="n"/>
    </row>
    <row r="10">
      <c r="A10" s="6" t="inlineStr">
        <is>
          <t>Other assets</t>
        </is>
      </c>
      <c r="B10" s="6" t="n">
        <v>9680</v>
      </c>
      <c r="C10" s="6" t="n">
        <v>8483</v>
      </c>
      <c r="D10" s="6" t="n">
        <v>2501</v>
      </c>
      <c r="E10" s="6" t="n">
        <v>777</v>
      </c>
      <c r="F10" s="6" t="n">
        <v>993</v>
      </c>
    </row>
    <row r="11">
      <c r="A11" s="6" t="inlineStr">
        <is>
          <t>Derivative financial assets</t>
        </is>
      </c>
      <c r="B11" s="6" t="n">
        <v>240</v>
      </c>
      <c r="C11" s="6" t="n">
        <v>7</v>
      </c>
      <c r="D11" s="6" t="n">
        <v>216</v>
      </c>
      <c r="E11" s="6" t="n">
        <v>83</v>
      </c>
      <c r="F11" s="6" t="n">
        <v>187</v>
      </c>
    </row>
    <row r="12">
      <c r="A12" s="6" t="inlineStr">
        <is>
          <t>Property, plant and equipment</t>
        </is>
      </c>
      <c r="B12" s="6" t="n">
        <v>3056</v>
      </c>
      <c r="C12" s="6" t="n">
        <v>365</v>
      </c>
      <c r="D12" s="6" t="n">
        <v>659</v>
      </c>
      <c r="E12" s="6" t="n">
        <v>951</v>
      </c>
      <c r="F12" s="6" t="n">
        <v>2066</v>
      </c>
    </row>
    <row r="13">
      <c r="A13" s="6" t="inlineStr">
        <is>
          <t>Intangible assets</t>
        </is>
      </c>
      <c r="B13" s="6" t="n">
        <v>160</v>
      </c>
      <c r="C13" s="6" t="n">
        <v>285</v>
      </c>
      <c r="D13" s="6" t="n">
        <v>426</v>
      </c>
      <c r="E13" s="6" t="n">
        <v>0</v>
      </c>
      <c r="F13" s="6" t="n">
        <v>3919</v>
      </c>
    </row>
    <row r="14">
      <c r="A14" s="6" t="inlineStr">
        <is>
          <t>Deferred tax</t>
        </is>
      </c>
      <c r="B14" s="6" t="n">
        <v>1580</v>
      </c>
      <c r="C14" s="6" t="n"/>
      <c r="D14" s="6" t="n"/>
      <c r="E14" s="6" t="n"/>
      <c r="F14" s="6" t="n"/>
    </row>
    <row r="15">
      <c r="A15" s="5" t="inlineStr">
        <is>
          <t>Total assets</t>
        </is>
      </c>
      <c r="B15" s="5" t="n">
        <v>1052008</v>
      </c>
      <c r="C15" s="5" t="n">
        <v>700615</v>
      </c>
      <c r="D15" s="5" t="n">
        <v>288288</v>
      </c>
      <c r="E15" s="5" t="n">
        <v>119485</v>
      </c>
      <c r="F15" s="5" t="n">
        <v>71736</v>
      </c>
    </row>
    <row r="16">
      <c r="A16" s="5" t="inlineStr">
        <is>
          <t>Liabilities</t>
        </is>
      </c>
      <c r="B16" s="6" t="n"/>
      <c r="C16" s="6" t="n"/>
      <c r="D16" s="6" t="n"/>
      <c r="E16" s="6" t="n"/>
      <c r="F16" s="6" t="n"/>
    </row>
    <row r="17">
      <c r="A17" s="6" t="inlineStr">
        <is>
          <t>Trade and other payables</t>
        </is>
      </c>
      <c r="B17" s="6" t="n">
        <v>9524</v>
      </c>
      <c r="C17" s="6" t="n">
        <v>9713</v>
      </c>
      <c r="D17" s="6" t="n">
        <v>9465</v>
      </c>
      <c r="E17" s="6" t="n">
        <v>5742</v>
      </c>
      <c r="F17" s="6" t="n">
        <v>8811</v>
      </c>
    </row>
    <row r="18">
      <c r="A18" s="6" t="inlineStr">
        <is>
          <t>Due to customers</t>
        </is>
      </c>
      <c r="B18" s="6" t="n">
        <v>941013</v>
      </c>
      <c r="C18" s="6" t="n">
        <v>609964</v>
      </c>
      <c r="D18" s="6" t="n">
        <v>234882</v>
      </c>
      <c r="E18" s="6" t="n">
        <v>73627</v>
      </c>
      <c r="F18" s="6" t="n">
        <v>42307</v>
      </c>
    </row>
    <row r="19">
      <c r="A19" s="6" t="inlineStr">
        <is>
          <t>Derivative financial liabilities</t>
        </is>
      </c>
      <c r="B19" s="6" t="n">
        <v>0</v>
      </c>
      <c r="C19" s="6" t="n">
        <v>1</v>
      </c>
      <c r="D19" s="6" t="n">
        <v>16</v>
      </c>
      <c r="E19" s="6" t="n">
        <v>156</v>
      </c>
      <c r="F19" s="6" t="n">
        <v>82</v>
      </c>
    </row>
    <row r="20">
      <c r="A20" s="6" t="inlineStr">
        <is>
          <t>Other liabilities</t>
        </is>
      </c>
      <c r="B20" s="6" t="n">
        <v>5594</v>
      </c>
      <c r="C20" s="6" t="n">
        <v>3590</v>
      </c>
      <c r="D20" s="6" t="n">
        <v>4066</v>
      </c>
      <c r="E20" s="6" t="n">
        <v>3233</v>
      </c>
      <c r="F20" s="6" t="n">
        <v>3587</v>
      </c>
    </row>
    <row r="21">
      <c r="A21" s="6" t="inlineStr">
        <is>
          <t>Provisions</t>
        </is>
      </c>
      <c r="B21" s="6" t="n"/>
      <c r="C21" s="6" t="n">
        <v>0</v>
      </c>
      <c r="D21" s="6" t="n">
        <v>378</v>
      </c>
      <c r="E21" s="6" t="n">
        <v>1646</v>
      </c>
      <c r="F21" s="6" t="n"/>
    </row>
    <row r="22">
      <c r="A22" s="5" t="inlineStr">
        <is>
          <t>Total liabilities</t>
        </is>
      </c>
      <c r="B22" s="5" t="n">
        <v>956131</v>
      </c>
      <c r="C22" s="5" t="n">
        <v>623268</v>
      </c>
      <c r="D22" s="5" t="n">
        <v>248807</v>
      </c>
      <c r="E22" s="5" t="n">
        <v>84404</v>
      </c>
      <c r="F22" s="5" t="n">
        <v>54787</v>
      </c>
    </row>
    <row r="23">
      <c r="A23" s="5" t="inlineStr">
        <is>
          <t>Equity</t>
        </is>
      </c>
      <c r="B23" s="6" t="n"/>
      <c r="C23" s="6" t="n"/>
      <c r="D23" s="6" t="n"/>
      <c r="E23" s="6" t="n"/>
      <c r="F23" s="6" t="n"/>
    </row>
    <row r="24">
      <c r="A24" s="6" t="inlineStr">
        <is>
          <t>Share capital</t>
        </is>
      </c>
      <c r="B24" s="6" t="n">
        <v>124700</v>
      </c>
      <c r="C24" s="6" t="n">
        <v>124700</v>
      </c>
      <c r="D24" s="6" t="n">
        <v>84700</v>
      </c>
      <c r="E24" s="6" t="n">
        <v>74700</v>
      </c>
      <c r="F24" s="6" t="n">
        <v>40200</v>
      </c>
    </row>
    <row r="25">
      <c r="A25" s="6" t="inlineStr">
        <is>
          <t>Contingent Capital Note</t>
        </is>
      </c>
      <c r="B25" s="6" t="n"/>
      <c r="C25" s="6" t="n"/>
      <c r="D25" s="6" t="n"/>
      <c r="E25" s="6" t="n"/>
      <c r="F25" s="6" t="n">
        <v>4500</v>
      </c>
    </row>
    <row r="26">
      <c r="A26" s="6" t="inlineStr">
        <is>
          <t>Share option reserve</t>
        </is>
      </c>
      <c r="B26" s="6" t="n">
        <v>856</v>
      </c>
      <c r="C26" s="6" t="n">
        <v>436</v>
      </c>
      <c r="D26" s="6" t="n">
        <v>110</v>
      </c>
      <c r="E26" s="6" t="n"/>
      <c r="F26" s="6" t="n"/>
    </row>
    <row r="27">
      <c r="A27" s="6" t="inlineStr">
        <is>
          <t>Other equity instruments (AT1 Perpetual Note)</t>
        </is>
      </c>
      <c r="B27" s="6" t="n">
        <v>14676</v>
      </c>
      <c r="C27" s="6" t="n"/>
      <c r="D27" s="6" t="n"/>
      <c r="E27" s="6" t="n"/>
      <c r="F27" s="6" t="n"/>
    </row>
    <row r="28">
      <c r="A28" s="6" t="inlineStr">
        <is>
          <t>Retained earnings</t>
        </is>
      </c>
      <c r="B28" s="6" t="n">
        <v>-44355</v>
      </c>
      <c r="C28" s="6" t="n">
        <v>-47789</v>
      </c>
      <c r="D28" s="6" t="n">
        <v>-45329</v>
      </c>
      <c r="E28" s="6" t="n">
        <v>-39619</v>
      </c>
      <c r="F28" s="6" t="n">
        <v>-27751</v>
      </c>
    </row>
    <row r="29">
      <c r="A29" s="5" t="inlineStr">
        <is>
          <t>Total equity</t>
        </is>
      </c>
      <c r="B29" s="5" t="n">
        <v>95877</v>
      </c>
      <c r="C29" s="5" t="n">
        <v>77347</v>
      </c>
      <c r="D29" s="5" t="n">
        <v>39481</v>
      </c>
      <c r="E29" s="5" t="n">
        <v>35081</v>
      </c>
      <c r="F29" s="5" t="n">
        <v>16949</v>
      </c>
    </row>
    <row r="30">
      <c r="A30" s="5" t="inlineStr">
        <is>
          <t>Total liabilities and equity</t>
        </is>
      </c>
      <c r="B30" s="5" t="n">
        <v>1052008</v>
      </c>
      <c r="C30" s="5" t="n">
        <v>700615</v>
      </c>
      <c r="D30" s="5" t="n">
        <v>288288</v>
      </c>
      <c r="E30" s="5" t="n">
        <v>119485</v>
      </c>
      <c r="F30" s="5" t="n">
        <v>71736</v>
      </c>
    </row>
    <row r="32" ht="180" customHeight="1">
      <c r="A32" s="8" t="inlineStr">
        <is>
          <t>Sources - all figures are iFAST Global Bank Limited's own Statement of Financial Position / Statement of Comprehensive Income / Statement of Changes in Equity:
FY2025: iFAST Global Bank Ltd. Annual Report 2025, p.34-35 - https://static.ifastgb.com/investor-relations/iFAST%20Global%20Bank%20Ltd.%20Annual%20Report%202025.pdf
FY2024: iFAST Global Bank Ltd. Annual Report 2024, p.32-33 - https://static.ifastgb.com/investor-relations/iFAST%20Global%20Bank%20Ltd.%20Annual%20Report%202024.pdf
FY2023: iFAST Global Bank Ltd. Annual Report 2023, p.34-35 - https://www.ifastgb.com/assets/static-file/investor-relations/iFAST%20Global%20Bank%20Ltd.%20Annual%20Report%202023.pdf
FY2022: iFAST Global Bank Ltd. Annual Report 2023, p.34-35 (FY2022 comparative column, plus the Statement of changes in equity's own FY2022 roll-forward detail) - https://www.ifastgb.com/assets/static-file/investor-relations/iFAST%20Global%20Bank%20Ltd.%20Annual%20Report%202023.pdf
FY2021: iFAST Global Bank Ltd. Annual Report 2021, p.30-31 - https://www.ifastgb.com/assets/static-file/investor-relations/iFAST%20Global%20Bank%20Ltd.%20Annual%20Report%202021.pdf
iFAST Global Bank Limited (company no. 04797759, formerly BFC Bank Limited until 31 March 2022) - solo/entity basis throughout (the Bank has no subsidiaries). No standalone Annual Report exists for FY2022 (BFC Bank Limited rebranded mid-year); FY2022 figures are iFAST Global Bank Ltd. Annual Report 2023's own FY2022 comparative column, which that report itself labels 'Restated' for the income statement (income-statement presentation was reorganised, not a numeric restatement - the loss figure of £(11,868)k for FY2022 is unchanged across every report that shows it). Balance sheet line items genuinely change across vintages: 'Debt instruments at fair value through profit or loss' only appears as its own line in FY2023 (absorbed elsewhere once reclassified in FY2024); 'Loans and advances to customers' and 'Debt instruments held at amortised cost' first appear from FY2022/FY2024 respectively as the Bank's balance sheet grew roughly 7x following the 2022 iFAST Corporation acquisition; 'Deferred tax' and 'Other equity instruments' (an AT1 Perpetual Note) first appear in FY2025 only.</t>
        </is>
      </c>
    </row>
  </sheetData>
  <mergeCells count="1">
    <mergeCell ref="A32:F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iFAST Global Bank Limited — Statement of Comprehensive Income</t>
        </is>
      </c>
    </row>
    <row r="2">
      <c r="A2" s="2" t="inlineStr">
        <is>
          <t>Solo basis, £'000. There was no other comprehensive income in any of the 5 years.</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Income</t>
        </is>
      </c>
      <c r="B4" s="6" t="n"/>
      <c r="C4" s="6" t="n"/>
      <c r="D4" s="6" t="n"/>
      <c r="E4" s="6" t="n"/>
      <c r="F4" s="6" t="n"/>
    </row>
    <row r="5">
      <c r="A5" s="6" t="inlineStr">
        <is>
          <t>Interest income</t>
        </is>
      </c>
      <c r="B5" s="6" t="n">
        <v>37524</v>
      </c>
      <c r="C5" s="6" t="n">
        <v>22104</v>
      </c>
      <c r="D5" s="6" t="n">
        <v>6213</v>
      </c>
      <c r="E5" s="6" t="n">
        <v>580</v>
      </c>
      <c r="F5" s="6" t="n">
        <v>13</v>
      </c>
    </row>
    <row r="6">
      <c r="A6" s="6" t="inlineStr">
        <is>
          <t>Interest expense</t>
        </is>
      </c>
      <c r="B6" s="6" t="n">
        <v>-26613</v>
      </c>
      <c r="C6" s="6" t="n">
        <v>-16764</v>
      </c>
      <c r="D6" s="6" t="n">
        <v>-4512</v>
      </c>
      <c r="E6" s="6" t="n">
        <v>-459</v>
      </c>
      <c r="F6" s="6" t="n">
        <v>-463</v>
      </c>
    </row>
    <row r="7">
      <c r="A7" s="5" t="inlineStr">
        <is>
          <t>Net interest income/(expense)</t>
        </is>
      </c>
      <c r="B7" s="5" t="n">
        <v>10911</v>
      </c>
      <c r="C7" s="5" t="n">
        <v>5340</v>
      </c>
      <c r="D7" s="5" t="n">
        <v>1701</v>
      </c>
      <c r="E7" s="5" t="n">
        <v>121</v>
      </c>
      <c r="F7" s="5" t="n">
        <v>-450</v>
      </c>
    </row>
    <row r="8">
      <c r="A8" s="6" t="inlineStr">
        <is>
          <t>Fee and commission income</t>
        </is>
      </c>
      <c r="B8" s="6" t="n">
        <v>9086</v>
      </c>
      <c r="C8" s="6" t="n">
        <v>6787</v>
      </c>
      <c r="D8" s="6" t="n">
        <v>4862</v>
      </c>
      <c r="E8" s="6" t="n">
        <v>4916</v>
      </c>
      <c r="F8" s="6" t="n">
        <v>4832</v>
      </c>
    </row>
    <row r="9">
      <c r="A9" s="6" t="inlineStr">
        <is>
          <t>Fee and commission expense</t>
        </is>
      </c>
      <c r="B9" s="6" t="n">
        <v>-1215</v>
      </c>
      <c r="C9" s="6" t="n">
        <v>-1888</v>
      </c>
      <c r="D9" s="6" t="n">
        <v>-1305</v>
      </c>
      <c r="E9" s="6" t="n">
        <v>-1260</v>
      </c>
      <c r="F9" s="6" t="n">
        <v>-1369</v>
      </c>
    </row>
    <row r="10">
      <c r="A10" s="5" t="inlineStr">
        <is>
          <t>Net fee and commission income</t>
        </is>
      </c>
      <c r="B10" s="5" t="n">
        <v>7871</v>
      </c>
      <c r="C10" s="5" t="n">
        <v>4899</v>
      </c>
      <c r="D10" s="5" t="n">
        <v>3557</v>
      </c>
      <c r="E10" s="5" t="n">
        <v>3656</v>
      </c>
      <c r="F10" s="5" t="n"/>
    </row>
    <row r="11">
      <c r="A11" s="6" t="inlineStr">
        <is>
          <t>Net trading profit on foreign exchange</t>
        </is>
      </c>
      <c r="B11" s="6" t="n">
        <v>2693</v>
      </c>
      <c r="C11" s="6" t="n">
        <v>1803</v>
      </c>
      <c r="D11" s="6" t="n">
        <v>2706</v>
      </c>
      <c r="E11" s="6" t="n">
        <v>2996</v>
      </c>
      <c r="F11" s="6" t="n">
        <v>4479</v>
      </c>
    </row>
    <row r="12">
      <c r="A12" s="6" t="inlineStr">
        <is>
          <t>Fair value gain/(loss) on derivatives</t>
        </is>
      </c>
      <c r="B12" s="6" t="n">
        <v>52</v>
      </c>
      <c r="C12" s="6" t="n">
        <v>-194</v>
      </c>
      <c r="D12" s="6" t="n">
        <v>274</v>
      </c>
      <c r="E12" s="6" t="n">
        <v>-37</v>
      </c>
      <c r="F12" s="6" t="n">
        <v>-531</v>
      </c>
    </row>
    <row r="13">
      <c r="A13" s="6" t="inlineStr">
        <is>
          <t>Other operating income</t>
        </is>
      </c>
      <c r="B13" s="6" t="n">
        <v>8</v>
      </c>
      <c r="C13" s="6" t="n">
        <v>2</v>
      </c>
      <c r="D13" s="6" t="n">
        <v>0</v>
      </c>
      <c r="E13" s="6" t="n">
        <v>17</v>
      </c>
      <c r="F13" s="6" t="n">
        <v>88</v>
      </c>
    </row>
    <row r="14">
      <c r="A14" s="6" t="inlineStr">
        <is>
          <t>Allowance for impairment loss</t>
        </is>
      </c>
      <c r="B14" s="6" t="n">
        <v>-303</v>
      </c>
      <c r="C14" s="6" t="n">
        <v>-179</v>
      </c>
      <c r="D14" s="6" t="n">
        <v>-119</v>
      </c>
      <c r="E14" s="6" t="n">
        <v>-109</v>
      </c>
      <c r="F14" s="6" t="n"/>
    </row>
    <row r="15">
      <c r="A15" s="5" t="inlineStr">
        <is>
          <t>Net operating income</t>
        </is>
      </c>
      <c r="B15" s="5" t="n">
        <v>21232</v>
      </c>
      <c r="C15" s="5" t="n">
        <v>11671</v>
      </c>
      <c r="D15" s="5" t="n">
        <v>8119</v>
      </c>
      <c r="E15" s="5" t="n">
        <v>6644</v>
      </c>
      <c r="F15" s="5" t="n">
        <v>7049</v>
      </c>
    </row>
    <row r="16">
      <c r="A16" s="5" t="inlineStr">
        <is>
          <t>Operating expenses</t>
        </is>
      </c>
      <c r="B16" s="6" t="n"/>
      <c r="C16" s="6" t="n"/>
      <c r="D16" s="6" t="n"/>
      <c r="E16" s="6" t="n"/>
      <c r="F16" s="6" t="n"/>
    </row>
    <row r="17">
      <c r="A17" s="6" t="inlineStr">
        <is>
          <t>Depreciation</t>
        </is>
      </c>
      <c r="B17" s="6" t="n">
        <v>-397</v>
      </c>
      <c r="C17" s="6" t="n">
        <v>-313</v>
      </c>
      <c r="D17" s="6" t="n">
        <v>-312</v>
      </c>
      <c r="E17" s="6" t="n">
        <v>-349</v>
      </c>
      <c r="F17" s="6" t="n">
        <v>-363</v>
      </c>
    </row>
    <row r="18">
      <c r="A18" s="6" t="inlineStr">
        <is>
          <t>Amortisation</t>
        </is>
      </c>
      <c r="B18" s="6" t="n">
        <v>-149</v>
      </c>
      <c r="C18" s="6" t="n">
        <v>-141</v>
      </c>
      <c r="D18" s="6" t="n">
        <v>-12</v>
      </c>
      <c r="E18" s="6" t="n">
        <v>-159</v>
      </c>
      <c r="F18" s="6" t="n">
        <v>-635</v>
      </c>
    </row>
    <row r="19">
      <c r="A19" s="6" t="inlineStr">
        <is>
          <t>Other operating expenses</t>
        </is>
      </c>
      <c r="B19" s="6" t="n">
        <v>-18854</v>
      </c>
      <c r="C19" s="6" t="n">
        <v>-14009</v>
      </c>
      <c r="D19" s="6" t="n">
        <v>-12780</v>
      </c>
      <c r="E19" s="6" t="n">
        <v>-14688</v>
      </c>
      <c r="F19" s="6" t="n">
        <v>-9637</v>
      </c>
    </row>
    <row r="20">
      <c r="A20" s="6" t="inlineStr">
        <is>
          <t>Net foreign exchange gain/(loss)</t>
        </is>
      </c>
      <c r="B20" s="6" t="n">
        <v>22</v>
      </c>
      <c r="C20" s="6" t="n">
        <v>332</v>
      </c>
      <c r="D20" s="6" t="n">
        <v>-725</v>
      </c>
      <c r="E20" s="6" t="n">
        <v>-166</v>
      </c>
      <c r="F20" s="6" t="n">
        <v>501</v>
      </c>
    </row>
    <row r="21">
      <c r="A21" s="5" t="inlineStr">
        <is>
          <t>Total operating expenses</t>
        </is>
      </c>
      <c r="B21" s="5" t="n">
        <v>-19378</v>
      </c>
      <c r="C21" s="5" t="n">
        <v>-14131</v>
      </c>
      <c r="D21" s="5" t="n">
        <v>-13829</v>
      </c>
      <c r="E21" s="5" t="n">
        <v>-15632</v>
      </c>
      <c r="F21" s="5" t="n">
        <v>-10134</v>
      </c>
    </row>
    <row r="22">
      <c r="A22" s="5" t="inlineStr">
        <is>
          <t>Profit/(loss) from continuing operations</t>
        </is>
      </c>
      <c r="B22" s="5" t="n">
        <v>1854</v>
      </c>
      <c r="C22" s="5" t="n">
        <v>-2460</v>
      </c>
      <c r="D22" s="5" t="n">
        <v>-5710</v>
      </c>
      <c r="E22" s="5" t="n">
        <v>-8718</v>
      </c>
      <c r="F22" s="5" t="n">
        <v>-3085</v>
      </c>
    </row>
    <row r="23">
      <c r="A23" s="6" t="inlineStr">
        <is>
          <t>Loss from discontinued operations, net of tax</t>
        </is>
      </c>
      <c r="B23" s="6" t="n"/>
      <c r="C23" s="6" t="n"/>
      <c r="D23" s="6" t="n"/>
      <c r="E23" s="6" t="n">
        <v>-3150</v>
      </c>
      <c r="F23" s="6" t="n"/>
    </row>
    <row r="24">
      <c r="A24" s="5" t="inlineStr">
        <is>
          <t>Profit/(loss) before tax for the year</t>
        </is>
      </c>
      <c r="B24" s="5" t="n">
        <v>1854</v>
      </c>
      <c r="C24" s="5" t="n">
        <v>-2460</v>
      </c>
      <c r="D24" s="5" t="n">
        <v>-5710</v>
      </c>
      <c r="E24" s="5" t="n">
        <v>-11868</v>
      </c>
      <c r="F24" s="5" t="n">
        <v>-3085</v>
      </c>
    </row>
    <row r="25">
      <c r="A25" s="6" t="inlineStr">
        <is>
          <t>Tax credit/(expense)</t>
        </is>
      </c>
      <c r="B25" s="6" t="n">
        <v>1580</v>
      </c>
      <c r="C25" s="6" t="n">
        <v>0</v>
      </c>
      <c r="D25" s="6" t="n"/>
      <c r="E25" s="6" t="n"/>
      <c r="F25" s="6" t="n"/>
    </row>
    <row r="26">
      <c r="A26" s="5" t="inlineStr">
        <is>
          <t>Profit/(loss) for the year</t>
        </is>
      </c>
      <c r="B26" s="5" t="n">
        <v>3434</v>
      </c>
      <c r="C26" s="5" t="n">
        <v>-2460</v>
      </c>
      <c r="D26" s="5" t="n">
        <v>-5710</v>
      </c>
      <c r="E26" s="5" t="n">
        <v>-11868</v>
      </c>
      <c r="F26" s="5" t="n">
        <v>-3085</v>
      </c>
    </row>
    <row r="28" ht="208" customHeight="1">
      <c r="A28" s="8" t="inlineStr">
        <is>
          <t>Sources - all figures are iFAST Global Bank Limited's own Statement of Financial Position / Statement of Comprehensive Income / Statement of Changes in Equity:
FY2025: iFAST Global Bank Ltd. Annual Report 2025, p.34-35 - https://static.ifastgb.com/investor-relations/iFAST%20Global%20Bank%20Ltd.%20Annual%20Report%202025.pdf
FY2024: iFAST Global Bank Ltd. Annual Report 2024, p.32-33 - https://static.ifastgb.com/investor-relations/iFAST%20Global%20Bank%20Ltd.%20Annual%20Report%202024.pdf
FY2023: iFAST Global Bank Ltd. Annual Report 2023, p.34-35 - https://www.ifastgb.com/assets/static-file/investor-relations/iFAST%20Global%20Bank%20Ltd.%20Annual%20Report%202023.pdf
FY2022: iFAST Global Bank Ltd. Annual Report 2023, p.34-35 (FY2022 comparative column, plus the Statement of changes in equity's own FY2022 roll-forward detail) - https://www.ifastgb.com/assets/static-file/investor-relations/iFAST%20Global%20Bank%20Ltd.%20Annual%20Report%202023.pdf
FY2021: iFAST Global Bank Ltd. Annual Report 2021, p.30-31 - https://www.ifastgb.com/assets/static-file/investor-relations/iFAST%20Global%20Bank%20Ltd.%20Annual%20Report%202021.pdf
iFAST Global Bank Limited (company no. 04797759, formerly BFC Bank Limited until 31 March 2022) - solo/entity basis throughout (the Bank has no subsidiaries). No standalone Annual Report exists for FY2022 (BFC Bank Limited rebranded mid-year); FY2022 figures are iFAST Global Bank Ltd. Annual Report 2023's own FY2022 comparative column, which that report itself labels 'Restated' for the income statement (income-statement presentation was reorganised, not a numeric restatement - the loss figure of £(11,868)k for FY2022 is unchanged across every report that shows it). Balance sheet line items genuinely change across vintages: 'Debt instruments at fair value through profit or loss' only appears as its own line in FY2023 (absorbed elsewhere once reclassified in FY2024); 'Loans and advances to customers' and 'Debt instruments held at amortised cost' first appear from FY2022/FY2024 respectively as the Bank's balance sheet grew roughly 7x following the 2022 iFAST Corporation acquisition; 'Deferred tax' and 'Other equity instruments' (an AT1 Perpetual Note) first appear in FY2025 only. FY2025/FY2024 are the only years with a disclosed Tax line (FY2024's is a genuine nil, not a gap) - FY2023/FY2022/FY2021 show 'Loss before tax and loss for the year' as a single figure with no separate tax charge disclosed. FY2022 is the only year to separately disclose discontinued operations (a £3,150k loss); every other year's activities are entirely continuing operations. 'Net fee and commission income' and 'Allowance for impairment loss' are not disclosed as their own subtotal/line in FY2021 - left blank rather than computed, since that year's own report doesn't present them that way.</t>
        </is>
      </c>
    </row>
  </sheetData>
  <mergeCells count="1">
    <mergeCell ref="A28:F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iFAST Global Bank Limited — Statement of Changes in Equity</t>
        </is>
      </c>
    </row>
    <row r="2">
      <c r="A2" s="2" t="inlineStr">
        <is>
          <t>Solo basis, £'000 — read chronologically, oldest to newest</t>
        </is>
      </c>
    </row>
    <row r="3">
      <c r="A3" s="4" t="inlineStr">
        <is>
          <t>Movement</t>
        </is>
      </c>
      <c r="B3" s="4" t="inlineStr">
        <is>
          <t>Share capital</t>
        </is>
      </c>
      <c r="C3" s="4" t="inlineStr">
        <is>
          <t>Contingent Capital Note</t>
        </is>
      </c>
      <c r="D3" s="4" t="inlineStr">
        <is>
          <t>Share option reserve</t>
        </is>
      </c>
      <c r="E3" s="4" t="inlineStr">
        <is>
          <t>Other equity instruments</t>
        </is>
      </c>
      <c r="F3" s="4" t="inlineStr">
        <is>
          <t>Retained earnings</t>
        </is>
      </c>
      <c r="G3" s="4" t="inlineStr">
        <is>
          <t>Total equity</t>
        </is>
      </c>
    </row>
    <row r="4">
      <c r="A4" s="5" t="inlineStr">
        <is>
          <t>At 31 December 2021</t>
        </is>
      </c>
      <c r="B4" s="5" t="n">
        <v>40200</v>
      </c>
      <c r="C4" s="5" t="n">
        <v>4500</v>
      </c>
      <c r="D4" s="5" t="n"/>
      <c r="E4" s="5" t="n"/>
      <c r="F4" s="5" t="n">
        <v>-27751</v>
      </c>
      <c r="G4" s="5" t="n">
        <v>16949</v>
      </c>
    </row>
    <row r="5">
      <c r="A5" s="6" t="inlineStr">
        <is>
          <t>Loss for the year</t>
        </is>
      </c>
      <c r="B5" s="6" t="n"/>
      <c r="C5" s="6" t="n"/>
      <c r="D5" s="6" t="n"/>
      <c r="E5" s="6" t="n"/>
      <c r="F5" s="6" t="n">
        <v>-11868</v>
      </c>
      <c r="G5" s="6" t="n">
        <v>-11868</v>
      </c>
    </row>
    <row r="6">
      <c r="A6" s="6" t="inlineStr">
        <is>
          <t>Release of contingent capital note</t>
        </is>
      </c>
      <c r="B6" s="6" t="n"/>
      <c r="C6" s="6" t="n">
        <v>-4500</v>
      </c>
      <c r="D6" s="6" t="n"/>
      <c r="E6" s="6" t="n"/>
      <c r="F6" s="6" t="n"/>
      <c r="G6" s="6" t="n">
        <v>-4500</v>
      </c>
    </row>
    <row r="7">
      <c r="A7" s="6" t="inlineStr">
        <is>
          <t>Share capital issuance</t>
        </is>
      </c>
      <c r="B7" s="6" t="n">
        <v>34500</v>
      </c>
      <c r="C7" s="6" t="n"/>
      <c r="D7" s="6" t="n"/>
      <c r="E7" s="6" t="n"/>
      <c r="F7" s="6" t="n"/>
      <c r="G7" s="6" t="n">
        <v>34500</v>
      </c>
    </row>
    <row r="8">
      <c r="A8" s="5" t="inlineStr">
        <is>
          <t>At 31 December 2022</t>
        </is>
      </c>
      <c r="B8" s="5" t="n">
        <v>74700</v>
      </c>
      <c r="C8" s="5" t="n">
        <v>0</v>
      </c>
      <c r="D8" s="5" t="n"/>
      <c r="E8" s="5" t="n"/>
      <c r="F8" s="5" t="n">
        <v>-39619</v>
      </c>
      <c r="G8" s="5" t="n">
        <v>35081</v>
      </c>
    </row>
    <row r="9">
      <c r="A9" s="6" t="inlineStr">
        <is>
          <t>Loss for the year</t>
        </is>
      </c>
      <c r="B9" s="6" t="n"/>
      <c r="C9" s="6" t="n"/>
      <c r="D9" s="6" t="n"/>
      <c r="E9" s="6" t="n"/>
      <c r="F9" s="6" t="n">
        <v>-5710</v>
      </c>
      <c r="G9" s="6" t="n">
        <v>-5710</v>
      </c>
    </row>
    <row r="10">
      <c r="A10" s="6" t="inlineStr">
        <is>
          <t>Share capital issuance</t>
        </is>
      </c>
      <c r="B10" s="6" t="n">
        <v>10000</v>
      </c>
      <c r="C10" s="6" t="n"/>
      <c r="D10" s="6" t="n"/>
      <c r="E10" s="6" t="n"/>
      <c r="F10" s="6" t="n"/>
      <c r="G10" s="6" t="n">
        <v>10000</v>
      </c>
    </row>
    <row r="11">
      <c r="A11" s="6" t="inlineStr">
        <is>
          <t>Share-based payment</t>
        </is>
      </c>
      <c r="B11" s="6" t="n"/>
      <c r="C11" s="6" t="n"/>
      <c r="D11" s="6" t="n">
        <v>110</v>
      </c>
      <c r="E11" s="6" t="n"/>
      <c r="F11" s="6" t="n"/>
      <c r="G11" s="6" t="n">
        <v>110</v>
      </c>
    </row>
    <row r="12">
      <c r="A12" s="5" t="inlineStr">
        <is>
          <t>At 31 December 2023</t>
        </is>
      </c>
      <c r="B12" s="5" t="n">
        <v>84700</v>
      </c>
      <c r="C12" s="5" t="n">
        <v>0</v>
      </c>
      <c r="D12" s="5" t="n">
        <v>110</v>
      </c>
      <c r="E12" s="5" t="n"/>
      <c r="F12" s="5" t="n">
        <v>-45329</v>
      </c>
      <c r="G12" s="5" t="n">
        <v>39481</v>
      </c>
    </row>
    <row r="13">
      <c r="A13" s="6" t="inlineStr">
        <is>
          <t>Loss for the year</t>
        </is>
      </c>
      <c r="B13" s="6" t="n"/>
      <c r="C13" s="6" t="n"/>
      <c r="D13" s="6" t="n"/>
      <c r="E13" s="6" t="n"/>
      <c r="F13" s="6" t="n">
        <v>-2460</v>
      </c>
      <c r="G13" s="6" t="n">
        <v>-2460</v>
      </c>
    </row>
    <row r="14">
      <c r="A14" s="6" t="inlineStr">
        <is>
          <t>Share capital issuance</t>
        </is>
      </c>
      <c r="B14" s="6" t="n">
        <v>40000</v>
      </c>
      <c r="C14" s="6" t="n"/>
      <c r="D14" s="6" t="n"/>
      <c r="E14" s="6" t="n"/>
      <c r="F14" s="6" t="n"/>
      <c r="G14" s="6" t="n">
        <v>40000</v>
      </c>
    </row>
    <row r="15">
      <c r="A15" s="6" t="inlineStr">
        <is>
          <t>Share-based payment</t>
        </is>
      </c>
      <c r="B15" s="6" t="n"/>
      <c r="C15" s="6" t="n"/>
      <c r="D15" s="6" t="n">
        <v>326</v>
      </c>
      <c r="E15" s="6" t="n"/>
      <c r="F15" s="6" t="n"/>
      <c r="G15" s="6" t="n">
        <v>326</v>
      </c>
    </row>
    <row r="16">
      <c r="A16" s="5" t="inlineStr">
        <is>
          <t>At 31 December 2024</t>
        </is>
      </c>
      <c r="B16" s="5" t="n">
        <v>124700</v>
      </c>
      <c r="C16" s="5" t="n">
        <v>0</v>
      </c>
      <c r="D16" s="5" t="n">
        <v>436</v>
      </c>
      <c r="E16" s="5" t="n">
        <v>0</v>
      </c>
      <c r="F16" s="5" t="n">
        <v>-47789</v>
      </c>
      <c r="G16" s="5" t="n">
        <v>77347</v>
      </c>
    </row>
    <row r="17">
      <c r="A17" s="6" t="inlineStr">
        <is>
          <t>Profit for the year</t>
        </is>
      </c>
      <c r="B17" s="6" t="n"/>
      <c r="C17" s="6" t="n"/>
      <c r="D17" s="6" t="n"/>
      <c r="E17" s="6" t="n"/>
      <c r="F17" s="6" t="n">
        <v>3434</v>
      </c>
      <c r="G17" s="6" t="n">
        <v>3434</v>
      </c>
    </row>
    <row r="18">
      <c r="A18" s="6" t="inlineStr">
        <is>
          <t>Share-based payment</t>
        </is>
      </c>
      <c r="B18" s="6" t="n"/>
      <c r="C18" s="6" t="n"/>
      <c r="D18" s="6" t="n">
        <v>420</v>
      </c>
      <c r="E18" s="6" t="n"/>
      <c r="F18" s="6" t="n"/>
      <c r="G18" s="6" t="n">
        <v>420</v>
      </c>
    </row>
    <row r="19">
      <c r="A19" s="6" t="inlineStr">
        <is>
          <t>AT1 issuance</t>
        </is>
      </c>
      <c r="B19" s="6" t="n"/>
      <c r="C19" s="6" t="n"/>
      <c r="D19" s="6" t="n"/>
      <c r="E19" s="6" t="n">
        <v>15023</v>
      </c>
      <c r="F19" s="6" t="n"/>
      <c r="G19" s="6" t="n">
        <v>15023</v>
      </c>
    </row>
    <row r="20">
      <c r="A20" s="6" t="inlineStr">
        <is>
          <t>AT1 note interest</t>
        </is>
      </c>
      <c r="B20" s="6" t="n"/>
      <c r="C20" s="6" t="n"/>
      <c r="D20" s="6" t="n"/>
      <c r="E20" s="6" t="n"/>
      <c r="F20" s="6" t="n">
        <v>-347</v>
      </c>
      <c r="G20" s="6" t="n">
        <v>-347</v>
      </c>
    </row>
    <row r="21">
      <c r="A21" s="5" t="inlineStr">
        <is>
          <t>At 31 December 2025</t>
        </is>
      </c>
      <c r="B21" s="5" t="n">
        <v>124700</v>
      </c>
      <c r="C21" s="5" t="n">
        <v>0</v>
      </c>
      <c r="D21" s="5" t="n">
        <v>856</v>
      </c>
      <c r="E21" s="5" t="n">
        <v>14676</v>
      </c>
      <c r="F21" s="5" t="n">
        <v>-44355</v>
      </c>
      <c r="G21" s="5" t="n">
        <v>95877</v>
      </c>
    </row>
    <row r="23" ht="234" customHeight="1">
      <c r="A23" s="8" t="inlineStr">
        <is>
          <t>Sources - all figures are iFAST Global Bank Limited's own Statement of Financial Position / Statement of Comprehensive Income / Statement of Changes in Equity:
FY2025: iFAST Global Bank Ltd. Annual Report 2025, p.34-35 - https://static.ifastgb.com/investor-relations/iFAST%20Global%20Bank%20Ltd.%20Annual%20Report%202025.pdf
FY2024: iFAST Global Bank Ltd. Annual Report 2024, p.32-33 - https://static.ifastgb.com/investor-relations/iFAST%20Global%20Bank%20Ltd.%20Annual%20Report%202024.pdf
FY2023: iFAST Global Bank Ltd. Annual Report 2023, p.34-35 - https://www.ifastgb.com/assets/static-file/investor-relations/iFAST%20Global%20Bank%20Ltd.%20Annual%20Report%202023.pdf
FY2022: iFAST Global Bank Ltd. Annual Report 2023, p.34-35 (FY2022 comparative column, plus the Statement of changes in equity's own FY2022 roll-forward detail) - https://www.ifastgb.com/assets/static-file/investor-relations/iFAST%20Global%20Bank%20Ltd.%20Annual%20Report%202023.pdf
FY2021: iFAST Global Bank Ltd. Annual Report 2021, p.30-31 - https://www.ifastgb.com/assets/static-file/investor-relations/iFAST%20Global%20Bank%20Ltd.%20Annual%20Report%202021.pdf
iFAST Global Bank Limited (company no. 04797759, formerly BFC Bank Limited until 31 March 2022) - solo/entity basis throughout (the Bank has no subsidiaries). No standalone Annual Report exists for FY2022 (BFC Bank Limited rebranded mid-year); FY2022 figures are iFAST Global Bank Ltd. Annual Report 2023's own FY2022 comparative column, which that report itself labels 'Restated' for the income statement (income-statement presentation was reorganised, not a numeric restatement - the loss figure of £(11,868)k for FY2022 is unchanged across every report that shows it). Balance sheet line items genuinely change across vintages: 'Debt instruments at fair value through profit or loss' only appears as its own line in FY2023 (absorbed elsewhere once reclassified in FY2024); 'Loans and advances to customers' and 'Debt instruments held at amortised cost' first appear from FY2022/FY2024 respectively as the Bank's balance sheet grew roughly 7x following the 2022 iFAST Corporation acquisition; 'Deferred tax' and 'Other equity instruments' (an AT1 Perpetual Note) first appear in FY2025 only. Equity reconciliation ladder: every year's closing balance ties exactly to both the next year's own reported opening balance and that year's own Balance Sheet Total equity - zero plug rows needed anywhere in this 5-year window, including through FY2022's 'Release of contingent capital note' (£4,500k, zeroing that reserve) - an easy-to-miss movement caught by reading the FY2023 Annual Report's own equity statement in full, which is also the only source disclosing FY2022's own detailed equity roll-forward (no standalone FY2022 Annual Report exists). One genuine, not-force-reconciled discrepancy: FY2022's 'Share capital issuance' is £34,500k per the Statement of Changes in Equity, but the pre-existing Cash Flow Statement's 'Proceeds from the issue of ordinary shares' for FY2022 is £30,000k - both are the Bank's own disclosed figures from the same Annual Report, reproduced as reported.</t>
        </is>
      </c>
    </row>
  </sheetData>
  <mergeCells count="1">
    <mergeCell ref="A23:G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s>
  <sheetData>
    <row r="1">
      <c r="A1" s="1" t="inlineStr">
        <is>
          <t>iFAST Global Bank Limited — Statement of Cash Flows</t>
        </is>
      </c>
    </row>
    <row r="2">
      <c r="A2" s="2" t="inlineStr">
        <is>
          <t>iFAST Global Bank Limited (solo basis), £'000 unless stated</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Cash outflows generated from operating activities</t>
        </is>
      </c>
      <c r="B4" s="6" t="n"/>
      <c r="C4" s="6" t="n"/>
      <c r="D4" s="6" t="n"/>
      <c r="E4" s="6" t="n"/>
      <c r="F4" s="6" t="n"/>
    </row>
    <row r="5">
      <c r="A5" s="6" t="inlineStr">
        <is>
          <t>Profit/(Loss) before tax</t>
        </is>
      </c>
      <c r="B5" s="6" t="n">
        <v>3434</v>
      </c>
      <c r="C5" s="6" t="n">
        <v>-2460</v>
      </c>
      <c r="D5" s="6" t="n">
        <v>-5710</v>
      </c>
      <c r="E5" s="6" t="n">
        <v>-11868</v>
      </c>
      <c r="F5" s="6" t="n">
        <v>-3085</v>
      </c>
    </row>
    <row r="6">
      <c r="A6" s="5" t="inlineStr">
        <is>
          <t>Adjustment for non-cash items</t>
        </is>
      </c>
      <c r="B6" s="6" t="n"/>
      <c r="C6" s="6" t="n"/>
      <c r="D6" s="6" t="n"/>
      <c r="E6" s="6" t="n"/>
      <c r="F6" s="6" t="n"/>
    </row>
    <row r="7">
      <c r="A7" s="6" t="inlineStr">
        <is>
          <t>Depreciation</t>
        </is>
      </c>
      <c r="B7" s="6" t="n">
        <v>397</v>
      </c>
      <c r="C7" s="6" t="n">
        <v>313</v>
      </c>
      <c r="D7" s="6" t="n">
        <v>323</v>
      </c>
      <c r="E7" s="6" t="n">
        <v>376</v>
      </c>
      <c r="F7" s="6" t="n">
        <v>363</v>
      </c>
    </row>
    <row r="8">
      <c r="A8" s="6" t="inlineStr">
        <is>
          <t>Amortisation</t>
        </is>
      </c>
      <c r="B8" s="6" t="n">
        <v>149</v>
      </c>
      <c r="C8" s="6" t="n">
        <v>141</v>
      </c>
      <c r="D8" s="6" t="n">
        <v>12</v>
      </c>
      <c r="E8" s="6" t="n">
        <v>159</v>
      </c>
      <c r="F8" s="6" t="n">
        <v>635</v>
      </c>
    </row>
    <row r="9">
      <c r="A9" s="6" t="inlineStr">
        <is>
          <t>Fair value (loss)/gain on derivatives</t>
        </is>
      </c>
      <c r="B9" s="6" t="n">
        <v>-52</v>
      </c>
      <c r="C9" s="6" t="n">
        <v>194</v>
      </c>
      <c r="D9" s="6" t="n">
        <v>-274</v>
      </c>
      <c r="E9" s="6" t="n">
        <v>178</v>
      </c>
      <c r="F9" s="6" t="n">
        <v>531</v>
      </c>
    </row>
    <row r="10">
      <c r="A10" s="6" t="inlineStr">
        <is>
          <t>Net foreign exchange (gain)/loss</t>
        </is>
      </c>
      <c r="B10" s="6" t="n">
        <v>-22</v>
      </c>
      <c r="C10" s="6" t="n">
        <v>-332</v>
      </c>
      <c r="D10" s="6" t="n">
        <v>725</v>
      </c>
      <c r="E10" s="6" t="n">
        <v>209</v>
      </c>
      <c r="F10" s="6" t="n">
        <v>-501</v>
      </c>
    </row>
    <row r="11">
      <c r="A11" s="6" t="inlineStr">
        <is>
          <t>Finance costs on lease</t>
        </is>
      </c>
      <c r="B11" s="6" t="n">
        <v>14</v>
      </c>
      <c r="C11" s="6" t="n">
        <v>4</v>
      </c>
      <c r="D11" s="6" t="n">
        <v>8</v>
      </c>
      <c r="E11" s="6" t="n">
        <v>6</v>
      </c>
      <c r="F11" s="6" t="n">
        <v>174</v>
      </c>
    </row>
    <row r="12">
      <c r="A12" s="6" t="inlineStr">
        <is>
          <t>Share option reserve</t>
        </is>
      </c>
      <c r="B12" s="6" t="n">
        <v>420</v>
      </c>
      <c r="C12" s="6" t="n">
        <v>326</v>
      </c>
      <c r="D12" s="6" t="n"/>
      <c r="E12" s="6" t="n"/>
      <c r="F12" s="6" t="n"/>
    </row>
    <row r="13">
      <c r="A13" s="6" t="inlineStr">
        <is>
          <t>Other non-cash items included in profit before tax</t>
        </is>
      </c>
      <c r="B13" s="6" t="n">
        <v>303</v>
      </c>
      <c r="C13" s="6" t="n">
        <v>179</v>
      </c>
      <c r="D13" s="6" t="n">
        <v>116</v>
      </c>
      <c r="E13" s="6" t="n">
        <v>3869</v>
      </c>
      <c r="F13" s="6" t="n">
        <v>7</v>
      </c>
    </row>
    <row r="14">
      <c r="A14" s="6" t="inlineStr">
        <is>
          <t>Profit on sale of bonds</t>
        </is>
      </c>
      <c r="B14" s="6" t="n">
        <v>-8</v>
      </c>
      <c r="C14" s="6" t="n">
        <v>-2</v>
      </c>
      <c r="D14" s="6" t="n"/>
      <c r="E14" s="6" t="n"/>
      <c r="F14" s="6" t="n"/>
    </row>
    <row r="15">
      <c r="A15" s="6" t="inlineStr">
        <is>
          <t>Interest received</t>
        </is>
      </c>
      <c r="B15" s="6" t="n"/>
      <c r="C15" s="6" t="n"/>
      <c r="D15" s="6" t="n"/>
      <c r="E15" s="6" t="n"/>
      <c r="F15" s="6" t="n">
        <v>-13</v>
      </c>
    </row>
    <row r="16">
      <c r="A16" s="6" t="inlineStr">
        <is>
          <t>Interest paid</t>
        </is>
      </c>
      <c r="B16" s="6" t="n"/>
      <c r="C16" s="6" t="n"/>
      <c r="D16" s="6" t="n"/>
      <c r="E16" s="6" t="n"/>
      <c r="F16" s="6" t="n">
        <v>170</v>
      </c>
    </row>
    <row r="17">
      <c r="A17" s="5" t="inlineStr">
        <is>
          <t>Changes in operating assets and liabilities</t>
        </is>
      </c>
      <c r="B17" s="6" t="n"/>
      <c r="C17" s="6" t="n"/>
      <c r="D17" s="6" t="n"/>
      <c r="E17" s="6" t="n"/>
      <c r="F17" s="6" t="n"/>
    </row>
    <row r="18">
      <c r="A18" s="6" t="inlineStr">
        <is>
          <t>Increase in loans to customers</t>
        </is>
      </c>
      <c r="B18" s="6" t="n">
        <v>-55103</v>
      </c>
      <c r="C18" s="6" t="n">
        <v>-25046</v>
      </c>
      <c r="D18" s="6" t="n"/>
      <c r="E18" s="6" t="n"/>
      <c r="F18" s="6" t="n"/>
    </row>
    <row r="19">
      <c r="A19" s="6" t="inlineStr">
        <is>
          <t>Increase in amounts due to customers</t>
        </is>
      </c>
      <c r="B19" s="6" t="n">
        <v>331049</v>
      </c>
      <c r="C19" s="6" t="n">
        <v>375082</v>
      </c>
      <c r="D19" s="6" t="n">
        <v>161254</v>
      </c>
      <c r="E19" s="6" t="n">
        <v>31320</v>
      </c>
      <c r="F19" s="6" t="n"/>
    </row>
    <row r="20">
      <c r="A20" s="6" t="inlineStr">
        <is>
          <t>Net (increase)/decrease in receivables</t>
        </is>
      </c>
      <c r="B20" s="6" t="n">
        <v>-7962</v>
      </c>
      <c r="C20" s="6" t="n">
        <v>-3886</v>
      </c>
      <c r="D20" s="6" t="n">
        <v>-9207</v>
      </c>
      <c r="E20" s="6" t="n">
        <v>-2025</v>
      </c>
      <c r="F20" s="6" t="n">
        <v>-2477</v>
      </c>
    </row>
    <row r="21">
      <c r="A21" s="6" t="inlineStr">
        <is>
          <t>Net (decrease)/increase in payables</t>
        </is>
      </c>
      <c r="B21" s="6" t="n">
        <v>-674</v>
      </c>
      <c r="C21" s="6" t="n">
        <v>-488</v>
      </c>
      <c r="D21" s="6" t="n">
        <v>3716</v>
      </c>
      <c r="E21" s="6" t="n">
        <v>-1686</v>
      </c>
      <c r="F21" s="6" t="n">
        <v>-4432</v>
      </c>
    </row>
    <row r="22">
      <c r="A22" s="6" t="inlineStr">
        <is>
          <t>Purchase of assets at fair value through profit and loss</t>
        </is>
      </c>
      <c r="B22" s="6" t="n"/>
      <c r="C22" s="6" t="n"/>
      <c r="D22" s="6" t="n">
        <v>-23924</v>
      </c>
      <c r="E22" s="6" t="n"/>
      <c r="F22" s="6" t="n"/>
    </row>
    <row r="23">
      <c r="A23" s="6" t="inlineStr">
        <is>
          <t>Purchase of debt instruments at amortised cost</t>
        </is>
      </c>
      <c r="B23" s="6" t="n"/>
      <c r="C23" s="6" t="n"/>
      <c r="D23" s="6" t="n">
        <v>-55440</v>
      </c>
      <c r="E23" s="6" t="n">
        <v>-31954</v>
      </c>
      <c r="F23" s="6" t="n"/>
    </row>
    <row r="24">
      <c r="A24" s="6" t="inlineStr">
        <is>
          <t>Proceeds from sale of debt instruments at amortised cost</t>
        </is>
      </c>
      <c r="B24" s="6" t="n"/>
      <c r="C24" s="6" t="n"/>
      <c r="D24" s="6" t="n">
        <v>26720</v>
      </c>
      <c r="E24" s="6" t="n">
        <v>2108</v>
      </c>
      <c r="F24" s="6" t="n"/>
    </row>
    <row r="25">
      <c r="A25" s="5" t="inlineStr">
        <is>
          <t>Net inflows/(outflows) from operating activities</t>
        </is>
      </c>
      <c r="B25" s="5" t="n">
        <v>271945</v>
      </c>
      <c r="C25" s="5" t="n">
        <v>344025</v>
      </c>
      <c r="D25" s="5" t="n">
        <v>98319</v>
      </c>
      <c r="E25" s="5" t="n">
        <v>-9308</v>
      </c>
      <c r="F25" s="5" t="n">
        <v>-8628</v>
      </c>
    </row>
    <row r="26">
      <c r="A26" s="5" t="inlineStr">
        <is>
          <t>Cash flows from investing activities</t>
        </is>
      </c>
      <c r="B26" s="6" t="n"/>
      <c r="C26" s="6" t="n"/>
      <c r="D26" s="6" t="n"/>
      <c r="E26" s="6" t="n"/>
      <c r="F26" s="6" t="n"/>
    </row>
    <row r="27">
      <c r="A27" s="6" t="inlineStr">
        <is>
          <t>Purchase of debt instruments at amortised cost</t>
        </is>
      </c>
      <c r="B27" s="6" t="n">
        <v>-679033</v>
      </c>
      <c r="C27" s="6" t="n">
        <v>-381174</v>
      </c>
      <c r="D27" s="6" t="n"/>
      <c r="E27" s="6" t="n"/>
      <c r="F27" s="6" t="n"/>
    </row>
    <row r="28">
      <c r="A28" s="6" t="inlineStr">
        <is>
          <t>Proceeds from sale of debt instruments at amortised cost</t>
        </is>
      </c>
      <c r="B28" s="6" t="n">
        <v>456071</v>
      </c>
      <c r="C28" s="6" t="n">
        <v>122523</v>
      </c>
      <c r="D28" s="6" t="n"/>
      <c r="E28" s="6" t="n"/>
      <c r="F28" s="6" t="n"/>
    </row>
    <row r="29">
      <c r="A29" s="6" t="inlineStr">
        <is>
          <t>Purchase of property, plant and equipment</t>
        </is>
      </c>
      <c r="B29" s="6" t="n">
        <v>-728</v>
      </c>
      <c r="C29" s="6" t="n">
        <v>-19</v>
      </c>
      <c r="D29" s="6" t="n">
        <v>-52</v>
      </c>
      <c r="E29" s="6" t="n">
        <v>-268</v>
      </c>
      <c r="F29" s="6" t="n">
        <v>-125</v>
      </c>
    </row>
    <row r="30">
      <c r="A30" s="6" t="inlineStr">
        <is>
          <t>Purchase of intangible assets</t>
        </is>
      </c>
      <c r="B30" s="6" t="n">
        <v>-24</v>
      </c>
      <c r="C30" s="6" t="n"/>
      <c r="D30" s="6" t="n">
        <v>-438</v>
      </c>
      <c r="E30" s="6" t="n"/>
      <c r="F30" s="6" t="n"/>
    </row>
    <row r="31">
      <c r="A31" s="5" t="inlineStr">
        <is>
          <t>Net outflows from investing activities</t>
        </is>
      </c>
      <c r="B31" s="5" t="n">
        <v>-223714</v>
      </c>
      <c r="C31" s="5" t="n">
        <v>-258670</v>
      </c>
      <c r="D31" s="5" t="n">
        <v>-490</v>
      </c>
      <c r="E31" s="5" t="n">
        <v>-268</v>
      </c>
      <c r="F31" s="5" t="n">
        <v>-125</v>
      </c>
    </row>
    <row r="32">
      <c r="A32" s="5" t="inlineStr">
        <is>
          <t>Cash flows from financing activities</t>
        </is>
      </c>
      <c r="B32" s="6" t="n"/>
      <c r="C32" s="6" t="n"/>
      <c r="D32" s="6" t="n"/>
      <c r="E32" s="6" t="n"/>
      <c r="F32" s="6" t="n"/>
    </row>
    <row r="33">
      <c r="A33" s="6" t="inlineStr">
        <is>
          <t>Proceeds from the issue of ordinary shares</t>
        </is>
      </c>
      <c r="B33" s="6" t="n"/>
      <c r="C33" s="6" t="n">
        <v>40000</v>
      </c>
      <c r="D33" s="6" t="n">
        <v>10000</v>
      </c>
      <c r="E33" s="6" t="n">
        <v>30000</v>
      </c>
      <c r="F33" s="6" t="n"/>
    </row>
    <row r="34">
      <c r="A34" s="6" t="inlineStr">
        <is>
          <t>Issue of AT1 Perpetual Note net of fees</t>
        </is>
      </c>
      <c r="B34" s="6" t="n">
        <v>15023</v>
      </c>
      <c r="C34" s="6" t="n"/>
      <c r="D34" s="6" t="n"/>
      <c r="E34" s="6" t="n"/>
      <c r="F34" s="6" t="n"/>
    </row>
    <row r="35">
      <c r="A35" s="6" t="inlineStr">
        <is>
          <t>Payment of principal portion of lease liabilities</t>
        </is>
      </c>
      <c r="B35" s="6" t="n">
        <v>-178</v>
      </c>
      <c r="C35" s="6" t="n">
        <v>-331</v>
      </c>
      <c r="D35" s="6" t="n">
        <v>-302</v>
      </c>
      <c r="E35" s="6" t="n"/>
      <c r="F35" s="6" t="n">
        <v>-730</v>
      </c>
    </row>
    <row r="36">
      <c r="A36" s="6" t="inlineStr">
        <is>
          <t>Payment of principal and interest portion of lease liabilities</t>
        </is>
      </c>
      <c r="B36" s="6" t="n"/>
      <c r="C36" s="6" t="n"/>
      <c r="D36" s="6" t="n"/>
      <c r="E36" s="6" t="n">
        <v>1107</v>
      </c>
      <c r="F36" s="6" t="n"/>
    </row>
    <row r="37">
      <c r="A37" s="5" t="inlineStr">
        <is>
          <t>Net inflows/(outflows) from financing activities</t>
        </is>
      </c>
      <c r="B37" s="5" t="n">
        <v>14845</v>
      </c>
      <c r="C37" s="5" t="n">
        <v>39669</v>
      </c>
      <c r="D37" s="5" t="n">
        <v>9698</v>
      </c>
      <c r="E37" s="5" t="n">
        <v>31107</v>
      </c>
      <c r="F37" s="5" t="n">
        <v>-730</v>
      </c>
    </row>
    <row r="38">
      <c r="A38" s="5" t="inlineStr">
        <is>
          <t>Net increase/(decrease) in cash and cash equivalents</t>
        </is>
      </c>
      <c r="B38" s="5" t="n">
        <v>63076</v>
      </c>
      <c r="C38" s="5" t="n">
        <v>125024</v>
      </c>
      <c r="D38" s="5" t="n">
        <v>107527</v>
      </c>
      <c r="E38" s="5" t="n">
        <v>21530</v>
      </c>
      <c r="F38" s="5" t="n">
        <v>-9483</v>
      </c>
    </row>
    <row r="39">
      <c r="A39" s="6" t="inlineStr">
        <is>
          <t>Cash and cash equivalents at beginning of year</t>
        </is>
      </c>
      <c r="B39" s="6" t="n">
        <v>330938</v>
      </c>
      <c r="C39" s="6" t="n">
        <v>205582</v>
      </c>
      <c r="D39" s="6" t="n">
        <v>74856</v>
      </c>
      <c r="E39" s="6" t="n">
        <v>53534</v>
      </c>
      <c r="F39" s="6" t="n">
        <v>62516</v>
      </c>
    </row>
    <row r="40">
      <c r="A40" s="6" t="inlineStr">
        <is>
          <t>Effect of exchange rate fluctuations on cash and cash equivalents</t>
        </is>
      </c>
      <c r="B40" s="6" t="n">
        <v>22</v>
      </c>
      <c r="C40" s="6" t="n">
        <v>332</v>
      </c>
      <c r="D40" s="6" t="n">
        <v>-725</v>
      </c>
      <c r="E40" s="6" t="n">
        <v>-209</v>
      </c>
      <c r="F40" s="6" t="n">
        <v>501</v>
      </c>
    </row>
    <row r="41">
      <c r="A41" s="5" t="inlineStr">
        <is>
          <t>Cash and cash equivalents at end of financial year</t>
        </is>
      </c>
      <c r="B41" s="5" t="n">
        <v>394036</v>
      </c>
      <c r="C41" s="5" t="n">
        <v>330938</v>
      </c>
      <c r="D41" s="5" t="n">
        <v>181658</v>
      </c>
      <c r="E41" s="5" t="n">
        <v>74856</v>
      </c>
      <c r="F41" s="5" t="n">
        <v>53534</v>
      </c>
    </row>
    <row r="43" ht="195" customHeight="1">
      <c r="A43" s="8" t="inlineStr">
        <is>
          <t>Sources — iFAST Global Bank Limited (company no. 04797759, formerly BFC Bank Limited until 31 March 2022) standalone Statement of cash flows, £'000:
FY2025 &amp; FY2024: iFAST Global Bank Ltd. Annual Report 2025, p.36 (Statement of cash flows) — https://static.ifastgb.com/investor-relations/iFAST%20Global%20Bank%20Ltd.%20Annual%20Report%202025.pdf
FY2022: iFAST Global Bank Ltd. Annual Report 2023, p.36 (Statement of cash flows, FY2022 comparative column, as originally reported) — https://www.ifastgb.com/assets/static-file/investor-relations/iFAST%20Global%20Bank%20Ltd.%20Annual%20Report%202023.pdf
FY2023: iFAST Global Bank Ltd. Annual Report 2023, p.36 (Statement of cash flows, as originally reported) — https://www.ifastgb.com/assets/static-file/investor-relations/iFAST%20Global%20Bank%20Ltd.%20Annual%20Report%202023.pdf
FY2021: iFAST Global Bank Ltd. Annual Report 2021, p.32 (Statement of cash flows) — https://www.ifastgb.com/assets/static-file/investor-relations/iFAST%20Global%20Bank%20Ltd.%20Annual%20Report%202021.pdf
Note: FY2023 cash and cash equivalents were subsequently restated in the FY2024 Annual Report (https://static.ifastgb.com/investor-relations/iFAST%20Global%20Bank%20Ltd.%20Annual%20Report%202024.pdf) — originally reported closing balance £181,658k, restated to £205,582k — due to Money Market Funds being reclassified from 'Debt instruments at FVPL' to cash and cash equivalents. This workbook uses the FY2023 figures as originally reported in the FY2023 Annual Report, so the FY2023 closing balance shown here will not tie to the FY2024 column's opening balance; this is a genuine disclosed restatement, not a transcription error. Line-item granularity also changes across vintages (e.g. FY2025/FY2024 itemise 'Increase in loans to customers' and 'Profit on sale of bonds' separately; FY2023/FY2022 itemise 'Purchase of assets at fair value through profit and loss'; FY2021 itemises 'Interest received'/'Interest paid' separately) — section totals are consistent and comparable across all 5 years.</t>
        </is>
      </c>
    </row>
  </sheetData>
  <mergeCells count="1">
    <mergeCell ref="A43:F4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iFAST Global Bank Limited — Asset Quality</t>
        </is>
      </c>
    </row>
    <row r="2">
      <c r="A2" s="2" t="inlineStr">
        <is>
          <t>Solo basis, £'000. Entire book has sat in Stage 1 throughout FY2021-FY2025 - a genuine feature, not a gap.</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Aggregate credit-risk exposure by IFRS 9 stage (cash balances, receivables, debt instruments, loans and advances to customers, derivatives)</t>
        </is>
      </c>
      <c r="B4" s="6" t="n"/>
      <c r="C4" s="6" t="n"/>
      <c r="D4" s="6" t="n"/>
      <c r="E4" s="6" t="n"/>
      <c r="F4" s="6" t="n"/>
    </row>
    <row r="5">
      <c r="A5" s="6" t="inlineStr">
        <is>
          <t>Stage 1 gross exposure</t>
        </is>
      </c>
      <c r="B5" s="6" t="n">
        <v>896500</v>
      </c>
      <c r="C5" s="6" t="n">
        <v>609339</v>
      </c>
      <c r="D5" s="6" t="n">
        <v>261048</v>
      </c>
      <c r="E5" s="6" t="n">
        <v>111457</v>
      </c>
      <c r="F5" s="6" t="n">
        <v>53027</v>
      </c>
    </row>
    <row r="6">
      <c r="A6" s="6" t="inlineStr">
        <is>
          <t>Stage 2 gross exposure</t>
        </is>
      </c>
      <c r="B6" s="6" t="n">
        <v>0</v>
      </c>
      <c r="C6" s="6" t="n">
        <v>0</v>
      </c>
      <c r="D6" s="6" t="n">
        <v>0</v>
      </c>
      <c r="E6" s="6" t="n">
        <v>0</v>
      </c>
      <c r="F6" s="6" t="n">
        <v>0</v>
      </c>
    </row>
    <row r="7">
      <c r="A7" s="6" t="inlineStr">
        <is>
          <t>Stage 3 gross exposure</t>
        </is>
      </c>
      <c r="B7" s="6" t="n">
        <v>0</v>
      </c>
      <c r="C7" s="6" t="n">
        <v>0</v>
      </c>
      <c r="D7" s="6" t="n">
        <v>0</v>
      </c>
      <c r="E7" s="6" t="n">
        <v>0</v>
      </c>
      <c r="F7" s="6" t="n">
        <v>0</v>
      </c>
    </row>
    <row r="8">
      <c r="A8" s="5" t="inlineStr">
        <is>
          <t>Total gross exposure</t>
        </is>
      </c>
      <c r="B8" s="5" t="n">
        <v>896500</v>
      </c>
      <c r="C8" s="5" t="n">
        <v>609339</v>
      </c>
      <c r="D8" s="5" t="n">
        <v>261048</v>
      </c>
      <c r="E8" s="5" t="n">
        <v>111457</v>
      </c>
      <c r="F8" s="5" t="n">
        <v>53027</v>
      </c>
    </row>
    <row r="9">
      <c r="A9" s="6" t="inlineStr">
        <is>
          <t>Less: allowance for impairment</t>
        </is>
      </c>
      <c r="B9" s="6" t="n">
        <v>-752</v>
      </c>
      <c r="C9" s="6" t="n">
        <v>-449</v>
      </c>
      <c r="D9" s="6" t="n">
        <v>-270</v>
      </c>
      <c r="E9" s="6" t="n">
        <v>-151</v>
      </c>
      <c r="F9" s="6" t="n">
        <v>-42</v>
      </c>
    </row>
    <row r="10">
      <c r="A10" s="5" t="inlineStr">
        <is>
          <t>Net exposure</t>
        </is>
      </c>
      <c r="B10" s="5" t="n">
        <v>895748</v>
      </c>
      <c r="C10" s="5" t="n">
        <v>608890</v>
      </c>
      <c r="D10" s="5" t="n">
        <v>260778</v>
      </c>
      <c r="E10" s="5" t="n">
        <v>111306</v>
      </c>
      <c r="F10" s="5" t="n">
        <v>52985</v>
      </c>
    </row>
    <row r="11">
      <c r="A11" s="6" t="inlineStr">
        <is>
          <t>ECL coverage ratio (allowance / gross exposure)</t>
        </is>
      </c>
      <c r="B11" s="6" t="inlineStr">
        <is>
          <t>0.08%</t>
        </is>
      </c>
      <c r="C11" s="6" t="inlineStr">
        <is>
          <t>0.07%</t>
        </is>
      </c>
      <c r="D11" s="6" t="inlineStr">
        <is>
          <t>0.10%</t>
        </is>
      </c>
      <c r="E11" s="6" t="inlineStr">
        <is>
          <t>0.14%</t>
        </is>
      </c>
      <c r="F11" s="6" t="inlineStr">
        <is>
          <t>0.08%</t>
        </is>
      </c>
    </row>
    <row r="13" ht="190" customHeight="1">
      <c r="A13" s="8" t="inlineStr">
        <is>
          <t>Sources - iFAST Global Bank Limited's own 'maximum exposure to credit risk by class of financial asset' table (aggregates cash balances with central banks/due from banks, trade receivables, debt instruments, loans and advances to customers, and derivative financial instruments; excludes Money Market Funds, which sit within cash and cash equivalents but outside this note):
FY2025/FY2024: iFAST Global Bank Ltd. Annual Report 2025, p.58-59 (Note 27, Credit risk) — https://static.ifastgb.com/investor-relations/iFAST%20Global%20Bank%20Ltd.%20Annual%20Report%202025.pdf
FY2023: iFAST Global Bank Ltd. Annual Report 2023, p.58-59 (Note 29, Credit risk) — https://www.ifastgb.com/assets/static-file/investor-relations/iFAST%20Global%20Bank%20Ltd.%20Annual%20Report%202023.pdf
FY2022: iFAST Global Bank Ltd. Annual Report 2023, p.59 (Note 29, Credit risk, FY2022 comparative column) — https://www.ifastgb.com/assets/static-file/investor-relations/iFAST%20Global%20Bank%20Ltd.%20Annual%20Report%202023.pdf
FY2021: iFAST Global Bank Ltd. Annual Report 2021, p.51 (Note 25, Credit risk) — https://www.ifastgb.com/assets/static-file/investor-relations/iFAST%20Global%20Bank%20Ltd.%20Annual%20Report%202021.pdf
The Bank's loan book is entirely business-to-business/short-tenor in nature; no Stage 2 or Stage 3 balance has existed in any of the 5 years covered by this workbook (confirmed by reading each note in full). Note that 'Loans and advances to customers' only exists as a distinct exposure class from FY2024 onward (see the Balance Sheet sheet's entity note) - it is already included within the aggregate figures above for the years in which it exists.</t>
        </is>
      </c>
    </row>
  </sheetData>
  <mergeCells count="1">
    <mergeCell ref="A13:F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6" customWidth="1" min="1" max="1"/>
    <col width="15" customWidth="1" min="2" max="2"/>
    <col width="15" customWidth="1" min="3" max="3"/>
    <col width="15" customWidth="1" min="4" max="4"/>
    <col width="15" customWidth="1" min="5" max="5"/>
    <col width="15" customWidth="1" min="6" max="6"/>
  </cols>
  <sheetData>
    <row r="1">
      <c r="A1" s="1" t="inlineStr">
        <is>
          <t>iFAST Global Bank Limited — UK KM1 Key Metrics Template</t>
        </is>
      </c>
    </row>
    <row r="2">
      <c r="A2" s="2" t="inlineStr">
        <is>
          <t>Solo basis, as published. Amounts in £'000; ratios as printed.</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t>
        </is>
      </c>
      <c r="B4" s="6" t="n"/>
      <c r="C4" s="6" t="n"/>
      <c r="D4" s="6" t="n"/>
      <c r="E4" s="6" t="n"/>
      <c r="F4" s="6" t="n"/>
    </row>
    <row r="5">
      <c r="A5" s="6" t="inlineStr">
        <is>
          <t>1 Common Equity Tier 1 (CET1) capital (£'000)</t>
        </is>
      </c>
      <c r="B5" s="6" t="n">
        <v>79319</v>
      </c>
      <c r="C5" s="6" t="n">
        <v>76953</v>
      </c>
      <c r="D5" s="6" t="n">
        <v>39032</v>
      </c>
      <c r="E5" s="6" t="n">
        <v>35017</v>
      </c>
      <c r="F5" s="6" t="n">
        <v>8530</v>
      </c>
    </row>
    <row r="6">
      <c r="A6" s="6" t="inlineStr">
        <is>
          <t>2 Tier 1 capital (£'000)</t>
        </is>
      </c>
      <c r="B6" s="6" t="n">
        <v>93994</v>
      </c>
      <c r="C6" s="6" t="n">
        <v>76953</v>
      </c>
      <c r="D6" s="6" t="n">
        <v>39032</v>
      </c>
      <c r="E6" s="6" t="n">
        <v>35017</v>
      </c>
      <c r="F6" s="6" t="n">
        <v>13030</v>
      </c>
    </row>
    <row r="7">
      <c r="A7" s="6" t="inlineStr">
        <is>
          <t>3 Total capital (£'000)</t>
        </is>
      </c>
      <c r="B7" s="6" t="n">
        <v>93994</v>
      </c>
      <c r="C7" s="6" t="n">
        <v>76953</v>
      </c>
      <c r="D7" s="6" t="n">
        <v>39032</v>
      </c>
      <c r="E7" s="6" t="n">
        <v>35017</v>
      </c>
      <c r="F7" s="6" t="n">
        <v>13030</v>
      </c>
    </row>
    <row r="8">
      <c r="A8" s="5" t="inlineStr">
        <is>
          <t>Risk-weighted exposure amounts</t>
        </is>
      </c>
      <c r="B8" s="6" t="n"/>
      <c r="C8" s="6" t="n"/>
      <c r="D8" s="6" t="n"/>
      <c r="E8" s="6" t="n"/>
      <c r="F8" s="6" t="n"/>
    </row>
    <row r="9">
      <c r="A9" s="6" t="inlineStr">
        <is>
          <t>4 Total risk-weighted exposure amount (£'000)</t>
        </is>
      </c>
      <c r="B9" s="6" t="n">
        <v>392607</v>
      </c>
      <c r="C9" s="6" t="n">
        <v>273772</v>
      </c>
      <c r="D9" s="6" t="n">
        <v>107539</v>
      </c>
      <c r="E9" s="6" t="n">
        <v>86029</v>
      </c>
      <c r="F9" s="6" t="n">
        <v>58982</v>
      </c>
    </row>
    <row r="10">
      <c r="A10" s="5" t="inlineStr">
        <is>
          <t>Capital ratios (as a percentage of risk-weighted exposure amount)</t>
        </is>
      </c>
      <c r="B10" s="6" t="n"/>
      <c r="C10" s="6" t="n"/>
      <c r="D10" s="6" t="n"/>
      <c r="E10" s="6" t="n"/>
      <c r="F10" s="6" t="n"/>
    </row>
    <row r="11">
      <c r="A11" s="6" t="inlineStr">
        <is>
          <t>5 Common Equity Tier 1 ratio (%)</t>
        </is>
      </c>
      <c r="B11" s="6" t="inlineStr">
        <is>
          <t>20.2%</t>
        </is>
      </c>
      <c r="C11" s="6" t="inlineStr">
        <is>
          <t>28.1%</t>
        </is>
      </c>
      <c r="D11" s="6" t="inlineStr">
        <is>
          <t>36.3%</t>
        </is>
      </c>
      <c r="E11" s="6" t="inlineStr">
        <is>
          <t>40.7%</t>
        </is>
      </c>
      <c r="F11" s="6" t="inlineStr">
        <is>
          <t>14.46%</t>
        </is>
      </c>
    </row>
    <row r="12">
      <c r="A12" s="6" t="inlineStr">
        <is>
          <t>6 Tier 1 ratio (%)</t>
        </is>
      </c>
      <c r="B12" s="6" t="inlineStr">
        <is>
          <t>23.9%</t>
        </is>
      </c>
      <c r="C12" s="6" t="inlineStr">
        <is>
          <t>28.1%</t>
        </is>
      </c>
      <c r="D12" s="6" t="inlineStr">
        <is>
          <t>36.3%</t>
        </is>
      </c>
      <c r="E12" s="6" t="inlineStr">
        <is>
          <t>40.7%</t>
        </is>
      </c>
      <c r="F12" s="6" t="inlineStr">
        <is>
          <t>22.09%</t>
        </is>
      </c>
    </row>
    <row r="13">
      <c r="A13" s="6" t="inlineStr">
        <is>
          <t>7 Total capital ratio (%)</t>
        </is>
      </c>
      <c r="B13" s="6" t="inlineStr">
        <is>
          <t>23.9%</t>
        </is>
      </c>
      <c r="C13" s="6" t="inlineStr">
        <is>
          <t>28.1%</t>
        </is>
      </c>
      <c r="D13" s="6" t="inlineStr">
        <is>
          <t>36.3%</t>
        </is>
      </c>
      <c r="E13" s="6" t="inlineStr">
        <is>
          <t>40.7%</t>
        </is>
      </c>
      <c r="F13" s="6" t="inlineStr">
        <is>
          <t>22.09%</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1.9%</t>
        </is>
      </c>
      <c r="C15" s="6" t="inlineStr">
        <is>
          <t>1.9%</t>
        </is>
      </c>
      <c r="D15" s="6" t="inlineStr">
        <is>
          <t>2.8%</t>
        </is>
      </c>
      <c r="E15" s="6" t="inlineStr">
        <is>
          <t>2.8%</t>
        </is>
      </c>
      <c r="F15" s="6" t="inlineStr">
        <is>
          <t>2.8%</t>
        </is>
      </c>
    </row>
    <row r="16">
      <c r="A16" s="6" t="inlineStr">
        <is>
          <t>UK 7b Additional AT1 SREP requirements (%)</t>
        </is>
      </c>
      <c r="B16" s="6" t="inlineStr">
        <is>
          <t>0.6%</t>
        </is>
      </c>
      <c r="C16" s="6" t="inlineStr">
        <is>
          <t>0.6%</t>
        </is>
      </c>
      <c r="D16" s="6" t="inlineStr">
        <is>
          <t>0.9%</t>
        </is>
      </c>
      <c r="E16" s="6" t="inlineStr">
        <is>
          <t>0.9%</t>
        </is>
      </c>
      <c r="F16" s="6" t="inlineStr">
        <is>
          <t>0.9%</t>
        </is>
      </c>
    </row>
    <row r="17">
      <c r="A17" s="6" t="inlineStr">
        <is>
          <t>UK 7c Additional T2 SREP requirements (%)</t>
        </is>
      </c>
      <c r="B17" s="6" t="inlineStr">
        <is>
          <t>0.9%</t>
        </is>
      </c>
      <c r="C17" s="6" t="inlineStr">
        <is>
          <t>0.9%</t>
        </is>
      </c>
      <c r="D17" s="6" t="inlineStr">
        <is>
          <t>1.2%</t>
        </is>
      </c>
      <c r="E17" s="6" t="inlineStr">
        <is>
          <t>1.2%</t>
        </is>
      </c>
      <c r="F17" s="6" t="inlineStr">
        <is>
          <t>1.2%</t>
        </is>
      </c>
    </row>
    <row r="18">
      <c r="A18" s="6" t="inlineStr">
        <is>
          <t>UK 7d Total SREP own funds requirements (%)</t>
        </is>
      </c>
      <c r="B18" s="6" t="inlineStr">
        <is>
          <t>11.45%</t>
        </is>
      </c>
      <c r="C18" s="6" t="inlineStr">
        <is>
          <t>11.45%</t>
        </is>
      </c>
      <c r="D18" s="6" t="inlineStr">
        <is>
          <t>12.9%</t>
        </is>
      </c>
      <c r="E18" s="6" t="inlineStr">
        <is>
          <t>12.9%</t>
        </is>
      </c>
      <c r="F18" s="6" t="inlineStr">
        <is>
          <t>13.0%</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t>
        </is>
      </c>
      <c r="C20" s="6" t="inlineStr">
        <is>
          <t>2.5%</t>
        </is>
      </c>
      <c r="D20" s="6" t="inlineStr">
        <is>
          <t>2.5%</t>
        </is>
      </c>
      <c r="E20" s="6" t="inlineStr">
        <is>
          <t>2.5%</t>
        </is>
      </c>
      <c r="F20" s="6" t="inlineStr">
        <is>
          <t>2.5%</t>
        </is>
      </c>
    </row>
    <row r="21">
      <c r="A21" s="6" t="inlineStr">
        <is>
          <t>9 Institution specific countercyclical capital buffer (%)</t>
        </is>
      </c>
      <c r="B21" s="6" t="inlineStr">
        <is>
          <t>0.9%</t>
        </is>
      </c>
      <c r="C21" s="6" t="inlineStr">
        <is>
          <t>0.8%</t>
        </is>
      </c>
      <c r="D21" s="6" t="inlineStr">
        <is>
          <t>0.5%</t>
        </is>
      </c>
      <c r="E21" s="6" t="inlineStr">
        <is>
          <t>0.2%</t>
        </is>
      </c>
      <c r="F21" s="6" t="inlineStr">
        <is>
          <t>0.0%</t>
        </is>
      </c>
    </row>
    <row r="22">
      <c r="A22" s="6" t="inlineStr">
        <is>
          <t>11 Combined buffer requirement (%)</t>
        </is>
      </c>
      <c r="B22" s="6" t="inlineStr">
        <is>
          <t>3.4%</t>
        </is>
      </c>
      <c r="C22" s="6" t="inlineStr">
        <is>
          <t>3.3%</t>
        </is>
      </c>
      <c r="D22" s="6" t="inlineStr">
        <is>
          <t>3.0%</t>
        </is>
      </c>
      <c r="E22" s="6" t="inlineStr">
        <is>
          <t>2.7%</t>
        </is>
      </c>
      <c r="F22" s="6" t="inlineStr">
        <is>
          <t>2.5%</t>
        </is>
      </c>
    </row>
    <row r="23">
      <c r="A23" s="6" t="inlineStr">
        <is>
          <t>UK 11a Overall capital requirements (%)</t>
        </is>
      </c>
      <c r="B23" s="6" t="inlineStr">
        <is>
          <t>14.8%</t>
        </is>
      </c>
      <c r="C23" s="6" t="inlineStr">
        <is>
          <t>14.7%</t>
        </is>
      </c>
      <c r="D23" s="6" t="inlineStr">
        <is>
          <t>15.9%</t>
        </is>
      </c>
      <c r="E23" s="6" t="inlineStr">
        <is>
          <t>15.6%</t>
        </is>
      </c>
      <c r="F23" s="6" t="inlineStr">
        <is>
          <t>15.5%</t>
        </is>
      </c>
    </row>
    <row r="24">
      <c r="A24" s="6" t="inlineStr">
        <is>
          <t>12 CET1 available after meeting the total SREP own funds requirements (%)</t>
        </is>
      </c>
      <c r="B24" s="6" t="inlineStr">
        <is>
          <t>6.4%</t>
        </is>
      </c>
      <c r="C24" s="6" t="inlineStr">
        <is>
          <t>6.4%</t>
        </is>
      </c>
      <c r="D24" s="6" t="inlineStr">
        <is>
          <t>7.3%</t>
        </is>
      </c>
      <c r="E24" s="6" t="inlineStr">
        <is>
          <t>7.3%</t>
        </is>
      </c>
      <c r="F24" s="6" t="inlineStr">
        <is>
          <t>7.3%</t>
        </is>
      </c>
    </row>
    <row r="25">
      <c r="A25" s="5" t="inlineStr">
        <is>
          <t>Leverage ratio</t>
        </is>
      </c>
      <c r="B25" s="6" t="n"/>
      <c r="C25" s="6" t="n"/>
      <c r="D25" s="6" t="n"/>
      <c r="E25" s="6" t="n"/>
      <c r="F25" s="6" t="n"/>
    </row>
    <row r="26">
      <c r="A26" s="6" t="inlineStr">
        <is>
          <t>13 Total exposure measure excluding claims on central banks (£'000)</t>
        </is>
      </c>
      <c r="B26" s="6" t="n">
        <v>868024</v>
      </c>
      <c r="C26" s="6" t="n">
        <v>501384</v>
      </c>
      <c r="D26" s="6" t="n">
        <v>136351</v>
      </c>
      <c r="E26" s="6" t="n">
        <v>74160</v>
      </c>
      <c r="F26" s="6" t="n"/>
    </row>
    <row r="27">
      <c r="A27" s="6" t="inlineStr">
        <is>
          <t>14 Leverage ratio excluding claims on central banks (%)</t>
        </is>
      </c>
      <c r="B27" s="6" t="inlineStr">
        <is>
          <t>11.0%</t>
        </is>
      </c>
      <c r="C27" s="6" t="inlineStr">
        <is>
          <t>15.4%</t>
        </is>
      </c>
      <c r="D27" s="6" t="inlineStr">
        <is>
          <t>29.0%</t>
        </is>
      </c>
      <c r="E27" s="6" t="inlineStr">
        <is>
          <t>47.3%</t>
        </is>
      </c>
      <c r="F27" s="6" t="n"/>
    </row>
    <row r="28">
      <c r="A28" s="5" t="inlineStr">
        <is>
          <t>Liquidity Coverage Ratio</t>
        </is>
      </c>
      <c r="B28" s="6" t="n"/>
      <c r="C28" s="6" t="n"/>
      <c r="D28" s="6" t="n"/>
      <c r="E28" s="6" t="n"/>
      <c r="F28" s="6" t="n"/>
    </row>
    <row r="29">
      <c r="A29" s="6" t="inlineStr">
        <is>
          <t>15 Total high-quality liquid assets (HQLA) (£'000)</t>
        </is>
      </c>
      <c r="B29" s="6" t="n">
        <v>279890</v>
      </c>
      <c r="C29" s="6" t="n">
        <v>301040</v>
      </c>
      <c r="D29" s="6" t="n">
        <v>180356</v>
      </c>
      <c r="E29" s="6" t="n">
        <v>65205</v>
      </c>
      <c r="F29" s="6" t="n">
        <v>19333</v>
      </c>
    </row>
    <row r="30">
      <c r="A30" s="6" t="inlineStr">
        <is>
          <t>UK 16a Cash outflows - Total weighted value (£'000)</t>
        </is>
      </c>
      <c r="B30" s="6" t="n">
        <v>210999</v>
      </c>
      <c r="C30" s="6" t="n">
        <v>132007</v>
      </c>
      <c r="D30" s="6" t="n">
        <v>92748</v>
      </c>
      <c r="E30" s="6" t="n">
        <v>21034</v>
      </c>
      <c r="F30" s="6" t="n">
        <v>9729</v>
      </c>
    </row>
    <row r="31">
      <c r="A31" s="6" t="inlineStr">
        <is>
          <t>UK 16b Cash inflows - Total weighted value (£'000)</t>
        </is>
      </c>
      <c r="B31" s="6" t="n">
        <v>158249</v>
      </c>
      <c r="C31" s="6" t="n">
        <v>99006</v>
      </c>
      <c r="D31" s="6" t="n">
        <v>67984</v>
      </c>
      <c r="E31" s="6" t="n">
        <v>15775</v>
      </c>
      <c r="F31" s="6" t="n">
        <v>7297</v>
      </c>
    </row>
    <row r="32">
      <c r="A32" s="6" t="inlineStr">
        <is>
          <t>16 Total net cash outflows (adjusted value) (£'000)</t>
        </is>
      </c>
      <c r="B32" s="6" t="n">
        <v>52750</v>
      </c>
      <c r="C32" s="6" t="n">
        <v>33002</v>
      </c>
      <c r="D32" s="6" t="n">
        <v>24764</v>
      </c>
      <c r="E32" s="6" t="n">
        <v>5258</v>
      </c>
      <c r="F32" s="6" t="n">
        <v>2432</v>
      </c>
    </row>
    <row r="33">
      <c r="A33" s="6" t="inlineStr">
        <is>
          <t>17 Liquidity coverage ratio (%)</t>
        </is>
      </c>
      <c r="B33" s="6" t="inlineStr">
        <is>
          <t>531%</t>
        </is>
      </c>
      <c r="C33" s="6" t="inlineStr">
        <is>
          <t>912%</t>
        </is>
      </c>
      <c r="D33" s="6" t="inlineStr">
        <is>
          <t>728%</t>
        </is>
      </c>
      <c r="E33" s="6" t="inlineStr">
        <is>
          <t>1240%</t>
        </is>
      </c>
      <c r="F33" s="6" t="inlineStr">
        <is>
          <t>795%</t>
        </is>
      </c>
    </row>
    <row r="34">
      <c r="A34" s="5" t="inlineStr">
        <is>
          <t>Net Stable Funding Ratio</t>
        </is>
      </c>
      <c r="B34" s="6" t="n"/>
      <c r="C34" s="6" t="n"/>
      <c r="D34" s="6" t="n"/>
      <c r="E34" s="6" t="n"/>
      <c r="F34" s="6" t="n"/>
    </row>
    <row r="35">
      <c r="A35" s="6" t="inlineStr">
        <is>
          <t>18 Total available stable funding (£'000)</t>
        </is>
      </c>
      <c r="B35" s="6" t="n">
        <v>835880</v>
      </c>
      <c r="C35" s="6" t="n">
        <v>555781</v>
      </c>
      <c r="D35" s="6" t="n">
        <v>173025</v>
      </c>
      <c r="E35" s="6" t="n">
        <v>92023</v>
      </c>
      <c r="F35" s="6" t="n"/>
    </row>
    <row r="36">
      <c r="A36" s="6" t="inlineStr">
        <is>
          <t>19 Total required stable funding (£'000)</t>
        </is>
      </c>
      <c r="B36" s="6" t="n">
        <v>437854</v>
      </c>
      <c r="C36" s="6" t="n">
        <v>215858</v>
      </c>
      <c r="D36" s="6" t="n">
        <v>50090</v>
      </c>
      <c r="E36" s="6" t="n">
        <v>22101</v>
      </c>
      <c r="F36" s="6" t="n"/>
    </row>
    <row r="37">
      <c r="A37" s="6" t="inlineStr">
        <is>
          <t>20 NSFR ratio (%)</t>
        </is>
      </c>
      <c r="B37" s="6" t="inlineStr">
        <is>
          <t>190.9%</t>
        </is>
      </c>
      <c r="C37" s="6" t="inlineStr">
        <is>
          <t>257.5%</t>
        </is>
      </c>
      <c r="D37" s="6" t="inlineStr">
        <is>
          <t>345.4%</t>
        </is>
      </c>
      <c r="E37" s="6" t="inlineStr">
        <is>
          <t>416.4%</t>
        </is>
      </c>
      <c r="F37" s="6" t="n"/>
    </row>
    <row r="39" ht="377" customHeight="1">
      <c r="A39" s="8" t="inlineStr">
        <is>
          <t>Sources — iFAST Global Bank Limited's own 'Table 1: UK KM1- Key Metrics template', reproduced as published. Solo basis (the Bank trades as a single entity, has no subsidiaries or associates and is not part of a UK consolidation sub-group, so its Pillar 3 disclosures are prepared on an individual basis). Amounts in £'000, the presentation currency of the template itself.
FY2025: Pillar 3 Disclosures 2025, p.16 (Table 1: UK KM1, section 4 'Key Metrics'), its OWN reporting year — https://static.ifastgb.com/investor-relations/iFAST%20Global%20Bank%20Limited%20Pillar%203%20Disclosures%202025.pdf
FY2024: Pillar 3 Disclosures 2024, p.11 (Table 1: UK KM1), its OWN reporting year — https://static.ifastgb.com/investor-relations/iFAST%20Global%20Bank%20Limited%20Pillar%203%20Disclosures%202024.pdf
FY2023: Pillar 3 Disclosures 2023, p.12 (Table 1: UK KM1), its OWN reporting year — https://www.ifastgb.com/assets/static-file/investor-relations/iFAST%20Global%20Bank%20Limited%20Pillar%203%20Disclosures%202023.pdf
FY2022: Pillar 3 Disclosures 2022, p.13 (Table 1: UK KM1), its OWN reporting year — https://www.ifastgb.com/assets/static-file/investor-relations/iFAST%20Global%20Bank%20Limited%20Pillar%203%20Disclosures%202022.pdf
FY2021: NOT from a FY2021 KM1 — the Pillar 3 Disclosures 2021 document prints no KM1 template at all (see the sheet note). The FY2021 column here is the 2022 edition's own '31-Dec-21' COMPARATIVE column, p.13 — https://www.ifastgb.com/assets/static-file/investor-relations/iFAST%20Global%20Bank%20Limited%20Pillar%203%20Disclosures%202022.pdf
Each of FY2025/FY2024/FY2023/FY2022 is taken from the edition in which that year is the REPORTING year, not from a later edition's comparative.
ROWS 1, 2 AND 3 ARE EQUAL IN THE SOURCE FOR FY2024, FY2023 AND FY2022 - READ FROM THE DOCUMENTS ON 2026-09-18 AND RECORDED HERE SO THE QUESTION IS NOT RE-OPENED. The Pillar 3 Disclosures 2024 prints 76,953 on rows 1, 2 and 3 for FY2024 and 39,032 for FY2023; the Pillar 3 Disclosures 2023 prints 39,032 and 35,017 the same way. No Additional Tier 1 or Tier 2 line is populated in either edition's own-funds composition, which is why the three measures coincide. FY2025 is DISTINCT in the source - CET1 79,319 against Tier 1 and Total capital of 93,994 - and is held that way here, so the rows are told apart in this series wherever the Bank prints them apart.
THE 2025 EDITION PRINTS THE TEMPLATE TWICE, WITH DIFFERENT FIGURES AND NO CAPTION ON THE SECOND COPY. This sheet reproduces the FIRST copy — the one the document captions 'Table 1: UK KM1- Key Metrics template' on p.16, under the section heading '4. Key Metrics'. A second, visually identical table follows immediately on p.17 carrying the same two column headers (31-Dec-25 and 31-Dec-24) and the same £'000 unit, but no table number, no caption, no heading and no footnote explaining it. Seven of its figures differ from the first copy's: CET1 capital 77,465 (vs 79,319), Tier 1 and Total capital 92,141 (vs 93,994), total RWAs 391,949 (vs 392,607), CET1 ratio 19.8% (vs 20.2%), Tier 1 and Total capital ratio 23.5% (vs 23.9%), leverage exposure measure 867,366 (vs 868,024) and leverage ratio 10.7% (vs 11.0%), available stable funding 832,447 (vs 835,880), required stable funding 436,274 (vs 437,854) and NSFR 190.8% (vs 190.9%). Its 31-Dec-24 comparative column is identical to the first copy's throughout. This is recorded as a source defect and is NOT reconciled. The first copy is the one corroborated twice over inside the same document: its Table 2 (UK CC1, Composition of regulatory own funds, p.20) builds CET1 up component by component to exactly 79,319, then AT1 14,676, Tier 1 and Total capital 93,994, total risk exposure amount 392,607 and ratios 20.20% / 23.94% / 23.94%; and its Table 4 (UK OV1, p.21) sums its risk categories to the same 392,607. Nothing in the document corroborates the second copy's figures, and it is not referenced anywhere in the text or contents page.
FY2021 IS FILLED FROM A COMPARATIVE. The FY2021 edition (published under the Bank's former name, BFC Bank Limited) prints no KM1 template: its section 1.1 'Key Metrics' is four highlight boxes giving CET1 £8.8m, a CET1 ratio of 14%, an LCR of 1109% and a leverage ratio of 19% — four figures, no row numbers, no SREP rows, no buffer rows, no NSFR rows. On the row-set test that is not the template, so there is no own-edition table for FY2021 to displace, and the column here is the 2022 edition's own 31-Dec-21 comparative. That comparative leaves rows 13, 14 and 18-20 empty, so those cells are blank here; row 9 is printed as an explicit '0.0%' and is recorded as a zero.
PRECISION IS THE BANK'S OWN AND CHANGES BETWEEN EDITIONS. The 2022 edition prints its 31-Dec-21 comparative ratios to two decimals (14.46%, 22.09%) and its own 31-Dec-22 ratios to one (40.7%). Both are reproduced as printed rather than standardised. Row UK 7d likewise mixes precisions across editions (12.9% in 2022/2023, 11.45% in 2024/2025) and is left as published.</t>
        </is>
      </c>
    </row>
    <row r="41" ht="330" customHeight="1">
      <c r="A41" s="8" t="inlineStr">
        <is>
          <t>(continued)
THE TWO SOURCES FOR FY2021 LIQUIDITY DISAGREE, AND BOTH ARE THE BANK'S OWN. This sheet's FY2021 LCR is 795%, taken from the 2022 edition's 31-Dec-21 comparative along with the rest of that column. The LCR sheet in this workbook shows 1109% for the same date, taken from the FY2021 edition's own liquidity table (p.18), which also prints HQLA of £26,728k and net cash outflows of £2,411k against the 2022 edition's £19,333k and £2,432k for the same date. The difference is in the HQLA numerator, not the outflows, and the bank offers no reconciliation or restatement note anywhere in the 2022 edition. This is a genuine cross-edition divergence and is recorded on both sheets rather than reconciled: the KM1 sheet shows what the 2022 edition's KM1 template printed for 31-Dec-21, and the LCR sheet shows what the FY2021 edition's own liquidity table printed for the same date. Reading row 17 of this sheet beside the LCR sheet will therefore show two different FY2021 figures, and that is the two editions disagreeing, not a transcription error in either. Which of the two the bank would now stand behind is not something these documents settle, so neither figure is presented as superseding the other.
Rows UK 8a, UK 9a, 10, UK 10a and UK 14a-14f are absent from every edition of this bank's template — it prints rows 1-7, UK 7a-7d, 8, 9, 11, UK 11a, 12, 13, 14, 15, UK 16a, UK 16b, 16, 17 and 18-20 only. A row the bank did not print is left out rather than shown as zero.</t>
        </is>
      </c>
    </row>
  </sheetData>
  <mergeCells count="2">
    <mergeCell ref="A41:F41"/>
    <mergeCell ref="A39:F3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iFAST Global Bank Limited — CET1 Capital</t>
        </is>
      </c>
    </row>
    <row r="2">
      <c r="A2" s="2" t="inlineStr">
        <is>
          <t>Solo basis, £'000</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79319</v>
      </c>
      <c r="C4" s="6" t="n">
        <v>76953</v>
      </c>
      <c r="D4" s="6" t="n">
        <v>39032</v>
      </c>
      <c r="E4" s="6" t="n">
        <v>35017</v>
      </c>
      <c r="F4" s="6" t="n">
        <v>8530</v>
      </c>
    </row>
    <row r="6" ht="100" customHeight="1">
      <c r="A6" s="8" t="inlineStr">
        <is>
          <t>Sources — iFAST Global Bank Limited (formerly BFC Bank Limited) solo basis:
FY2025 &amp; FY2024: iFAST Global Bank Limited Pillar 3 Disclosures 2025, p.16 (Table 1: UK KM1 - Key Metrics template) — https://static.ifastgb.com/investor-relations/iFAST%20Global%20Bank%20Limited%20Pillar%203%20Disclosures%202025.pdf
FY2023 &amp; FY2022: iFAST Global Bank Limited Pillar 3 Disclosures 2023, p.12 (Table 1: UK KM1- Key Metrics template) — https://www.ifastgb.com/assets/static-file/investor-relations/iFAST%20Global%20Bank%20Limited%20Pillar%203%20Disclosures%202023.pdf
FY2021: BFC Bank Limited Pillar 3 Disclosures 2021, p.25 / 23 (Own funds table / Leverage Ratio Common Disclosure table) — https://www.ifastgb.com/assets/static-file/investor-relations/iFAST%20Global%20Bank%20Limited%20Pillar%203%20Disclosures%202021.pdf</t>
        </is>
      </c>
    </row>
  </sheetData>
  <mergeCells count="1">
    <mergeCell ref="A6:F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iFAST Global Bank Limited — CET1 Ratio</t>
        </is>
      </c>
    </row>
    <row r="2">
      <c r="A2" s="2" t="inlineStr">
        <is>
          <t>Solo basis, %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ratio</t>
        </is>
      </c>
      <c r="B4" s="6" t="inlineStr">
        <is>
          <t>20.2%</t>
        </is>
      </c>
      <c r="C4" s="6" t="inlineStr">
        <is>
          <t>28.1%</t>
        </is>
      </c>
      <c r="D4" s="6" t="inlineStr">
        <is>
          <t>36.3%</t>
        </is>
      </c>
      <c r="E4" s="6" t="inlineStr">
        <is>
          <t>40.7%</t>
        </is>
      </c>
      <c r="F4" s="6" t="inlineStr">
        <is>
          <t>14%</t>
        </is>
      </c>
    </row>
    <row r="6" ht="100" customHeight="1">
      <c r="A6" s="8" t="inlineStr">
        <is>
          <t>Sources — iFAST Global Bank Limited (formerly BFC Bank Limited) solo basis:
FY2025 &amp; FY2024: iFAST Global Bank Limited Pillar 3 Disclosures 2025, p.16 (Table 1: UK KM1 - Key Metrics template) — https://static.ifastgb.com/investor-relations/iFAST%20Global%20Bank%20Limited%20Pillar%203%20Disclosures%202025.pdf
FY2023 &amp; FY2022: iFAST Global Bank Limited Pillar 3 Disclosures 2023, p.12 (Table 1: UK KM1- Key Metrics template) — https://www.ifastgb.com/assets/static-file/investor-relations/iFAST%20Global%20Bank%20Limited%20Pillar%203%20Disclosures%202023.pdf
FY2021: BFC Bank Limited Pillar 3 Disclosures 2021, p.25 / 23 (Own funds table / Leverage Ratio Common Disclosure table) — https://www.ifastgb.com/assets/static-file/investor-relations/iFAST%20Global%20Bank%20Limited%20Pillar%203%20Disclosures%202021.pdf</t>
        </is>
      </c>
    </row>
  </sheetData>
  <mergeCells count="1">
    <mergeCell ref="A6:F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iFAST Global Bank Limited — Tier 1 Capital</t>
        </is>
      </c>
    </row>
    <row r="2">
      <c r="A2" s="2" t="inlineStr">
        <is>
          <t>Solo basis, £'000</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93994</v>
      </c>
      <c r="C4" s="6" t="n">
        <v>76953</v>
      </c>
      <c r="D4" s="6" t="n">
        <v>39032</v>
      </c>
      <c r="E4" s="6" t="n">
        <v>35017</v>
      </c>
      <c r="F4" s="6" t="n">
        <v>13030</v>
      </c>
    </row>
    <row r="5" ht="30" customHeight="1">
      <c r="A5" s="7" t="inlineStr">
        <is>
          <t>Note: FY2021's Pillar 3 disclosure did not use the UK KM1 template; the Tier 1 capital figure is taken from the Leverage Ratio Common Disclosure table, and equals Total Own Funds as no Tier 2 capital was held.</t>
        </is>
      </c>
    </row>
    <row r="7" ht="100" customHeight="1">
      <c r="A7" s="8" t="inlineStr">
        <is>
          <t>Sources — iFAST Global Bank Limited (formerly BFC Bank Limited) solo basis:
FY2025 &amp; FY2024: iFAST Global Bank Limited Pillar 3 Disclosures 2025, p.16 (Table 1: UK KM1 - Key Metrics template) — https://static.ifastgb.com/investor-relations/iFAST%20Global%20Bank%20Limited%20Pillar%203%20Disclosures%202025.pdf
FY2023 &amp; FY2022: iFAST Global Bank Limited Pillar 3 Disclosures 2023, p.12 (Table 1: UK KM1- Key Metrics template) — https://www.ifastgb.com/assets/static-file/investor-relations/iFAST%20Global%20Bank%20Limited%20Pillar%203%20Disclosures%202023.pdf
FY2021: BFC Bank Limited Pillar 3 Disclosures 2021, p.25 / 23 (Own funds table / Leverage Ratio Common Disclosure table) — https://www.ifastgb.com/assets/static-file/investor-relations/iFAST%20Global%20Bank%20Limited%20Pillar%203%20Disclosures%202021.pdf</t>
        </is>
      </c>
    </row>
  </sheetData>
  <mergeCells count="2">
    <mergeCell ref="A5:F5"/>
    <mergeCell ref="A7:F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iFAST Global Bank Limited — Tier 1 Ratio</t>
        </is>
      </c>
    </row>
    <row r="2">
      <c r="A2" s="2" t="inlineStr">
        <is>
          <t>Solo basis, %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23.9%</t>
        </is>
      </c>
      <c r="C4" s="6" t="inlineStr">
        <is>
          <t>28.1%</t>
        </is>
      </c>
      <c r="D4" s="6" t="inlineStr">
        <is>
          <t>36.3%</t>
        </is>
      </c>
      <c r="E4" s="6" t="inlineStr">
        <is>
          <t>40.7%</t>
        </is>
      </c>
      <c r="F4" s="6" t="inlineStr">
        <is>
          <t>22%</t>
        </is>
      </c>
    </row>
    <row r="5" ht="30" customHeight="1">
      <c r="A5" s="7" t="inlineStr">
        <is>
          <t>Note: FY2021 figure is the 'Capital Adequacy Ratio' from the Own funds table, which equals the Tier 1 ratio as no Tier 2 capital was held that year.</t>
        </is>
      </c>
    </row>
    <row r="7" ht="100" customHeight="1">
      <c r="A7" s="8" t="inlineStr">
        <is>
          <t>Sources — iFAST Global Bank Limited (formerly BFC Bank Limited) solo basis:
FY2025 &amp; FY2024: iFAST Global Bank Limited Pillar 3 Disclosures 2025, p.16 (Table 1: UK KM1 - Key Metrics template) — https://static.ifastgb.com/investor-relations/iFAST%20Global%20Bank%20Limited%20Pillar%203%20Disclosures%202025.pdf
FY2023 &amp; FY2022: iFAST Global Bank Limited Pillar 3 Disclosures 2023, p.12 (Table 1: UK KM1- Key Metrics template) — https://www.ifastgb.com/assets/static-file/investor-relations/iFAST%20Global%20Bank%20Limited%20Pillar%203%20Disclosures%202023.pdf
FY2021: BFC Bank Limited Pillar 3 Disclosures 2021, p.25 / 23 (Own funds table / Leverage Ratio Common Disclosure table) — https://www.ifastgb.com/assets/static-file/investor-relations/iFAST%20Global%20Bank%20Limited%20Pillar%203%20Disclosures%202021.pdf</t>
        </is>
      </c>
    </row>
  </sheetData>
  <mergeCells count="2">
    <mergeCell ref="A5:F5"/>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iFAST Global Bank Limited — Total Capital</t>
        </is>
      </c>
    </row>
    <row r="2">
      <c r="A2" s="2" t="inlineStr">
        <is>
          <t>Solo basis, £'000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n">
        <v>93994</v>
      </c>
      <c r="C4" s="6" t="n">
        <v>76953</v>
      </c>
      <c r="D4" s="6" t="n">
        <v>39032</v>
      </c>
      <c r="E4" s="6" t="n">
        <v>35017</v>
      </c>
      <c r="F4" s="6" t="n">
        <v>13030</v>
      </c>
    </row>
    <row r="5" ht="30" customHeight="1">
      <c r="A5" s="7" t="inlineStr">
        <is>
          <t>Note: FY2021 figure is 'Total Own funds' from the Own funds table (no Tier 2 capital held that year, so Total capital = Tier 1 capital).</t>
        </is>
      </c>
    </row>
    <row r="7" ht="100" customHeight="1">
      <c r="A7" s="8" t="inlineStr">
        <is>
          <t>Sources — iFAST Global Bank Limited (formerly BFC Bank Limited) solo basis:
FY2025 &amp; FY2024: iFAST Global Bank Limited Pillar 3 Disclosures 2025, p.16 (Table 1: UK KM1 - Key Metrics template) — https://static.ifastgb.com/investor-relations/iFAST%20Global%20Bank%20Limited%20Pillar%203%20Disclosures%202025.pdf
FY2023 &amp; FY2022: iFAST Global Bank Limited Pillar 3 Disclosures 2023, p.12 (Table 1: UK KM1- Key Metrics template) — https://www.ifastgb.com/assets/static-file/investor-relations/iFAST%20Global%20Bank%20Limited%20Pillar%203%20Disclosures%202023.pdf
FY2021: BFC Bank Limited Pillar 3 Disclosures 2021, p.25 / 23 (Own funds table / Leverage Ratio Common Disclosure table) — https://www.ifastgb.com/assets/static-file/investor-relations/iFAST%20Global%20Bank%20Limited%20Pillar%203%20Disclosures%202021.pdf</t>
        </is>
      </c>
    </row>
  </sheetData>
  <mergeCells count="2">
    <mergeCell ref="A5:F5"/>
    <mergeCell ref="A7:F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iFAST Global Bank Limited — Total Capital Ratio</t>
        </is>
      </c>
    </row>
    <row r="2">
      <c r="A2" s="2" t="inlineStr">
        <is>
          <t>Solo basis, %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23.9%</t>
        </is>
      </c>
      <c r="C4" s="6" t="inlineStr">
        <is>
          <t>28.1%</t>
        </is>
      </c>
      <c r="D4" s="6" t="inlineStr">
        <is>
          <t>36.3%</t>
        </is>
      </c>
      <c r="E4" s="6" t="inlineStr">
        <is>
          <t>40.7%</t>
        </is>
      </c>
      <c r="F4" s="6" t="inlineStr">
        <is>
          <t>22%</t>
        </is>
      </c>
    </row>
    <row r="5" ht="30" customHeight="1">
      <c r="A5" s="7" t="inlineStr">
        <is>
          <t>Note: FY2021 figure is the 'Capital Adequacy Ratio' from the Own funds table.</t>
        </is>
      </c>
    </row>
    <row r="7" ht="100" customHeight="1">
      <c r="A7" s="8" t="inlineStr">
        <is>
          <t>Sources — iFAST Global Bank Limited (formerly BFC Bank Limited) solo basis:
FY2025 &amp; FY2024: iFAST Global Bank Limited Pillar 3 Disclosures 2025, p.16 (Table 1: UK KM1 - Key Metrics template) — https://static.ifastgb.com/investor-relations/iFAST%20Global%20Bank%20Limited%20Pillar%203%20Disclosures%202025.pdf
FY2023 &amp; FY2022: iFAST Global Bank Limited Pillar 3 Disclosures 2023, p.12 (Table 1: UK KM1- Key Metrics template) — https://www.ifastgb.com/assets/static-file/investor-relations/iFAST%20Global%20Bank%20Limited%20Pillar%203%20Disclosures%202023.pdf
FY2021: BFC Bank Limited Pillar 3 Disclosures 2021, p.25 / 23 (Own funds table / Leverage Ratio Common Disclosure table) — https://www.ifastgb.com/assets/static-file/investor-relations/iFAST%20Global%20Bank%20Limited%20Pillar%203%20Disclosures%202021.pdf</t>
        </is>
      </c>
    </row>
  </sheetData>
  <mergeCells count="2">
    <mergeCell ref="A5:F5"/>
    <mergeCell ref="A7:F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iFAST Global Bank Limited — Total RWAs</t>
        </is>
      </c>
    </row>
    <row r="2">
      <c r="A2" s="2" t="inlineStr">
        <is>
          <t>Solo basis, £'000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exposure amount</t>
        </is>
      </c>
      <c r="B4" s="6" t="n">
        <v>392607</v>
      </c>
      <c r="C4" s="6" t="n">
        <v>273772</v>
      </c>
      <c r="D4" s="6" t="n">
        <v>107539</v>
      </c>
      <c r="E4" s="6" t="n">
        <v>86029</v>
      </c>
      <c r="F4" s="6" t="n">
        <v>58982</v>
      </c>
    </row>
    <row r="6" ht="100" customHeight="1">
      <c r="A6" s="8" t="inlineStr">
        <is>
          <t>Sources — iFAST Global Bank Limited (formerly BFC Bank Limited) solo basis:
FY2025 &amp; FY2024: iFAST Global Bank Limited Pillar 3 Disclosures 2025, p.16 (Table 1: UK KM1 - Key Metrics template) — https://static.ifastgb.com/investor-relations/iFAST%20Global%20Bank%20Limited%20Pillar%203%20Disclosures%202025.pdf
FY2023 &amp; FY2022: iFAST Global Bank Limited Pillar 3 Disclosures 2023, p.12 (Table 1: UK KM1- Key Metrics template) — https://www.ifastgb.com/assets/static-file/investor-relations/iFAST%20Global%20Bank%20Limited%20Pillar%203%20Disclosures%202023.pdf
FY2021: BFC Bank Limited Pillar 3 Disclosures 2021, p.25 / 23 (Own funds table / Leverage Ratio Common Disclosure table) — https://www.ifastgb.com/assets/static-file/investor-relations/iFAST%20Global%20Bank%20Limited%20Pillar%203%20Disclosures%202021.pdf</t>
        </is>
      </c>
    </row>
  </sheetData>
  <mergeCells count="1">
    <mergeCell ref="A6:F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iFAST Global Bank Limited — RWA Breakdown</t>
        </is>
      </c>
    </row>
    <row r="2">
      <c r="A2" s="2" t="inlineStr">
        <is>
          <t>Solo basis, £'000. FY2025-FY2022 as directly disclosed (UK OV1); FY2021 derived from disclosed Pillar 1 capital requirement x 12.5 - see the two SECTION blocks below and the sources note.</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UK OV1 — Overview of risk weighted exposure amounts</t>
        </is>
      </c>
      <c r="B4" s="6" t="n"/>
      <c r="C4" s="6" t="n"/>
      <c r="D4" s="6" t="n"/>
      <c r="E4" s="6" t="n"/>
      <c r="F4" s="6" t="n"/>
    </row>
    <row r="5">
      <c r="A5" s="6" t="inlineStr">
        <is>
          <t>Credit risk (excluding CCR)</t>
        </is>
      </c>
      <c r="B5" s="6" t="n">
        <v>338558</v>
      </c>
      <c r="C5" s="6" t="n">
        <v>237670</v>
      </c>
      <c r="D5" s="6" t="n">
        <v>80249</v>
      </c>
      <c r="E5" s="6" t="n">
        <v>47985</v>
      </c>
      <c r="F5" s="6" t="n"/>
    </row>
    <row r="6">
      <c r="A6" s="6" t="inlineStr">
        <is>
          <t>Counterparty credit risk (CCR)</t>
        </is>
      </c>
      <c r="B6" s="6" t="n">
        <v>405</v>
      </c>
      <c r="C6" s="6" t="n">
        <v>152</v>
      </c>
      <c r="D6" s="6" t="n">
        <v>534</v>
      </c>
      <c r="E6" s="6" t="n">
        <v>535</v>
      </c>
      <c r="F6" s="6" t="n"/>
    </row>
    <row r="7">
      <c r="A7" s="6" t="inlineStr">
        <is>
          <t>Of which credit valuation adjustment (CVA)</t>
        </is>
      </c>
      <c r="B7" s="6" t="n">
        <v>590</v>
      </c>
      <c r="C7" s="6" t="n">
        <v>301</v>
      </c>
      <c r="D7" s="6" t="n">
        <v>778</v>
      </c>
      <c r="E7" s="6" t="n">
        <v>779</v>
      </c>
      <c r="F7" s="6" t="n"/>
    </row>
    <row r="8">
      <c r="A8" s="6" t="inlineStr">
        <is>
          <t>Market risk (position, FX and commodities)</t>
        </is>
      </c>
      <c r="B8" s="6" t="n">
        <v>36743</v>
      </c>
      <c r="C8" s="6" t="n">
        <v>15850</v>
      </c>
      <c r="D8" s="6" t="n">
        <v>4524</v>
      </c>
      <c r="E8" s="6" t="n">
        <v>1184</v>
      </c>
      <c r="F8" s="6" t="n"/>
    </row>
    <row r="9">
      <c r="A9" s="6" t="inlineStr">
        <is>
          <t>Operational risk</t>
        </is>
      </c>
      <c r="B9" s="6" t="n">
        <v>16311</v>
      </c>
      <c r="C9" s="6" t="n">
        <v>19746</v>
      </c>
      <c r="D9" s="6" t="n">
        <v>21454</v>
      </c>
      <c r="E9" s="6" t="n">
        <v>35546</v>
      </c>
      <c r="F9" s="6" t="n"/>
    </row>
    <row r="10">
      <c r="A10" s="5" t="inlineStr">
        <is>
          <t>Total risk-weighted exposure amount</t>
        </is>
      </c>
      <c r="B10" s="5" t="n">
        <v>392607</v>
      </c>
      <c r="C10" s="5" t="n">
        <v>273718</v>
      </c>
      <c r="D10" s="5" t="n">
        <v>107539</v>
      </c>
      <c r="E10" s="5" t="n">
        <v>86029</v>
      </c>
      <c r="F10" s="5" t="n"/>
    </row>
    <row r="11">
      <c r="A11" s="5" t="inlineStr">
        <is>
          <t>Pillar 1 capital requirement × 12.5 (derived from disclosed capital requirement)</t>
        </is>
      </c>
      <c r="B11" s="6" t="n"/>
      <c r="C11" s="6" t="n"/>
      <c r="D11" s="6" t="n"/>
      <c r="E11" s="6" t="n"/>
      <c r="F11" s="6" t="n"/>
    </row>
    <row r="12">
      <c r="A12" s="6" t="inlineStr">
        <is>
          <t>Credit risk &amp; counterparty risk (derived)</t>
        </is>
      </c>
      <c r="B12" s="6" t="n"/>
      <c r="C12" s="6" t="n"/>
      <c r="D12" s="6" t="n"/>
      <c r="E12" s="6" t="n"/>
      <c r="F12" s="6" t="n">
        <v>31162.5</v>
      </c>
    </row>
    <row r="13">
      <c r="A13" s="6" t="inlineStr">
        <is>
          <t>Market risk (derived)</t>
        </is>
      </c>
      <c r="B13" s="6" t="n"/>
      <c r="C13" s="6" t="n"/>
      <c r="D13" s="6" t="n"/>
      <c r="E13" s="6" t="n"/>
      <c r="F13" s="6" t="n">
        <v>9950</v>
      </c>
    </row>
    <row r="14">
      <c r="A14" s="6" t="inlineStr">
        <is>
          <t>Credit valuation adjustment (CVA) (derived)</t>
        </is>
      </c>
      <c r="B14" s="6" t="n"/>
      <c r="C14" s="6" t="n"/>
      <c r="D14" s="6" t="n"/>
      <c r="E14" s="6" t="n"/>
      <c r="F14" s="6" t="n">
        <v>25</v>
      </c>
    </row>
    <row r="15">
      <c r="A15" s="6" t="inlineStr">
        <is>
          <t>Operational risk (derived)</t>
        </is>
      </c>
      <c r="B15" s="6" t="n"/>
      <c r="C15" s="6" t="n"/>
      <c r="D15" s="6" t="n"/>
      <c r="E15" s="6" t="n"/>
      <c r="F15" s="6" t="n">
        <v>17850</v>
      </c>
    </row>
    <row r="16">
      <c r="A16" s="5" t="inlineStr">
        <is>
          <t>Total risk-weighted exposure amount (derived)</t>
        </is>
      </c>
      <c r="B16" s="5" t="n"/>
      <c r="C16" s="5" t="n"/>
      <c r="D16" s="5" t="n"/>
      <c r="E16" s="5" t="n"/>
      <c r="F16" s="5" t="n">
        <v>58987.5</v>
      </c>
    </row>
    <row r="18" ht="200" customHeight="1">
      <c r="A18" s="8" t="inlineStr">
        <is>
          <t>Sources - iFAST Global Bank Limited's own Table UK OV1 (Overview of risk weighted exposure amounts):
FY2025/FY2024: iFAST Global Bank Limited Pillar 3 Disclosures 2025, p.21 (Table 4: UK OV1) — https://static.ifastgb.com/investor-relations/iFAST%20Global%20Bank%20Limited%20Pillar%203%20Disclosures%202025.pdf
FY2023/FY2022: iFAST Global Bank Limited Pillar 3 Disclosures 2023, p.15 (Table 4: UK OV1) — https://www.ifastgb.com/assets/static-file/investor-relations/iFAST%20Global%20Bank%20Limited%20Pillar%203%20Disclosures%202023.pdf
FY2021 (derived, not directly disclosed as RWA): the FY2021 (BFC Bank Limited) Pillar 3 Disclosures document's Section 6.3 'Pillar 1 capital requirement', p.27, does carry the promised table (a scanned/rasterised table, missed by a prior session's plain-text extraction, which is why it was previously marked absent here - confirmed present by visually rendering the page): 'Capital Resources Requirement - Pillar 1' broken into Credit Risk &amp; Counterparty Risk (£2,493k) / Operational Risk (£1,428k) / Market Risk (£796k) / CVA (£2k), totalling £4,719k. Each figure below is that table's own capital-requirement figure divided by 8% (multiplied by 12.5), the standard, exact Basel/CRR Article 92 identity. Reconciles to within £5.5k of the Total RWAs sheet's own FY2021 figure (58,982) - https://www.ifastgb.com/assets/static-file/investor-relations/iFAST%20Global%20Bank%20Limited%20Pillar%203%20Disclosures%202021.pdf
Genuine, not-force-reconciled discrepancy: the FY2025 Pillar 3 document's own FY2024 comparative differs slightly between its two tables - this OV1 table's FY2024 Total is £273,718k, while the same document's Table 1 (UK KM1) FY2024 Total is £273,772k (used on the Total RWAs sheet for consistency with that sheet's other years); both are the Bank's own disclosed figures, reproduced as reported rather than reconciled.</t>
        </is>
      </c>
    </row>
  </sheetData>
  <mergeCells count="1">
    <mergeCell ref="A18:F1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iFAST Global Bank Limited — Leverage Ratio</t>
        </is>
      </c>
    </row>
    <row r="2">
      <c r="A2" s="2" t="inlineStr">
        <is>
          <t>Solo basis, £'000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exposure measure excluding claims on central banks (£'000)</t>
        </is>
      </c>
      <c r="B4" s="6" t="n">
        <v>868024</v>
      </c>
      <c r="C4" s="6" t="n">
        <v>501384</v>
      </c>
      <c r="D4" s="6" t="n">
        <v>136351</v>
      </c>
      <c r="E4" s="6" t="n">
        <v>74160</v>
      </c>
      <c r="F4" s="6" t="n">
        <v>68805</v>
      </c>
    </row>
    <row r="5">
      <c r="A5" s="6" t="inlineStr">
        <is>
          <t>Regulatory leverage ratio (%)</t>
        </is>
      </c>
      <c r="B5" s="6" t="inlineStr">
        <is>
          <t>11.0%</t>
        </is>
      </c>
      <c r="C5" s="6" t="inlineStr">
        <is>
          <t>15.4%</t>
        </is>
      </c>
      <c r="D5" s="6" t="inlineStr">
        <is>
          <t>29.0%</t>
        </is>
      </c>
      <c r="E5" s="6" t="inlineStr">
        <is>
          <t>47.3%</t>
        </is>
      </c>
      <c r="F5" s="6" t="inlineStr">
        <is>
          <t>19%</t>
        </is>
      </c>
    </row>
    <row r="6" ht="182" customHeight="1">
      <c r="A6" s="7" t="inlineStr">
        <is>
          <t xml:space="preserve">Note: FY2021 exposure measure is the 'Leverage ratio total exposure measure' and ratio is the 'Regulatory Leverage Ratio' from the Leverage Ratio Common Disclosure table (pre-KM1-template disclosure format).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5 source URLs cited on this sheet and its KM1 sheet were re-fetched on 2026-10-09 (5 returned a real PDF, %PDF magic bytes checked), and each document's full text was searched for an LR2/LRCom template and for the 'including claims on central banks' wording. Every match was opened and read on 2026-10-09; none is an in-scope disclosure. The remaining matches are NOT leverage at all: template UK CC1 (composition of regulatory own funds) has its own rows UK-25a 'Losses for the current financial year' and UK-25b 'Foreseeable tax charges', which collide with the leverage template's UK-25a/UK-25c row numbering. A row number alone never identifies a template.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8" ht="100" customHeight="1">
      <c r="A8" s="8" t="inlineStr">
        <is>
          <t>Sources — iFAST Global Bank Limited (formerly BFC Bank Limited) solo basis:
FY2025 &amp; FY2024: iFAST Global Bank Limited Pillar 3 Disclosures 2025, p.16 (Table 1: UK KM1 - Key Metrics template) — https://static.ifastgb.com/investor-relations/iFAST%20Global%20Bank%20Limited%20Pillar%203%20Disclosures%202025.pdf
FY2023 &amp; FY2022: iFAST Global Bank Limited Pillar 3 Disclosures 2023, p.12 (Table 1: UK KM1- Key Metrics template) — https://www.ifastgb.com/assets/static-file/investor-relations/iFAST%20Global%20Bank%20Limited%20Pillar%203%20Disclosures%202023.pdf
FY2021: BFC Bank Limited Pillar 3 Disclosures 2021, p.25 / 23 (Own funds table / Leverage Ratio Common Disclosure table) — https://www.ifastgb.com/assets/static-file/investor-relations/iFAST%20Global%20Bank%20Limited%20Pillar%203%20Disclosures%202021.pdf</t>
        </is>
      </c>
    </row>
  </sheetData>
  <mergeCells count="2">
    <mergeCell ref="A8:F8"/>
    <mergeCell ref="A6:F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iFAST Global Bank Limited — LCR</t>
        </is>
      </c>
    </row>
    <row r="2">
      <c r="A2" s="2" t="inlineStr">
        <is>
          <t>Solo basis, £'000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high-quality liquid assets (HQLA) (£'000)</t>
        </is>
      </c>
      <c r="B4" s="6" t="n">
        <v>279890</v>
      </c>
      <c r="C4" s="6" t="n">
        <v>301040</v>
      </c>
      <c r="D4" s="6" t="n">
        <v>180356</v>
      </c>
      <c r="E4" s="6" t="n">
        <v>65205</v>
      </c>
      <c r="F4" s="6" t="n">
        <v>26728</v>
      </c>
    </row>
    <row r="5">
      <c r="A5" s="6" t="inlineStr">
        <is>
          <t>Total net cash outflows, adjusted value (£'000)</t>
        </is>
      </c>
      <c r="B5" s="6" t="n">
        <v>52750</v>
      </c>
      <c r="C5" s="6" t="n">
        <v>33002</v>
      </c>
      <c r="D5" s="6" t="n">
        <v>24764</v>
      </c>
      <c r="E5" s="6" t="n">
        <v>5258</v>
      </c>
      <c r="F5" s="6" t="n">
        <v>2411</v>
      </c>
    </row>
    <row r="6">
      <c r="A6" s="6" t="inlineStr">
        <is>
          <t>Liquidity coverage ratio (%)</t>
        </is>
      </c>
      <c r="B6" s="6" t="inlineStr">
        <is>
          <t>531%</t>
        </is>
      </c>
      <c r="C6" s="6" t="inlineStr">
        <is>
          <t>912%</t>
        </is>
      </c>
      <c r="D6" s="6" t="inlineStr">
        <is>
          <t>728%</t>
        </is>
      </c>
      <c r="E6" s="6" t="inlineStr">
        <is>
          <t>1240%</t>
        </is>
      </c>
      <c r="F6" s="6" t="inlineStr">
        <is>
          <t>1109%</t>
        </is>
      </c>
    </row>
    <row r="7" ht="30" customHeight="1">
      <c r="A7" s="7" t="inlineStr">
        <is>
          <t>Note: FY2021's (BFC Bank Limited) Pillar 3 Disclosures disclose the liquidity table in the Market Risk section (p.18): liquidity buffer/HQLA £26,728k, total net cash outflows £2,411k and LCR 1,109%. These are the Bank's own figures; the report states that BFC Bank refers to the renamed iFAST Global Bank Limited.</t>
        </is>
      </c>
    </row>
    <row r="9" ht="100" customHeight="1">
      <c r="A9" s="8" t="inlineStr">
        <is>
          <t>Sources — iFAST Global Bank Limited (formerly BFC Bank Limited) solo basis:
FY2025 &amp; FY2024: iFAST Global Bank Limited Pillar 3 Disclosures 2025, p.16 (Table 1: UK KM1 - Key Metrics template) — https://static.ifastgb.com/investor-relations/iFAST%20Global%20Bank%20Limited%20Pillar%203%20Disclosures%202025.pdf
FY2023 &amp; FY2022: iFAST Global Bank Limited Pillar 3 Disclosures 2023, p.12 (Table 1: UK KM1- Key Metrics template) — https://www.ifastgb.com/assets/static-file/investor-relations/iFAST%20Global%20Bank%20Limited%20Pillar%203%20Disclosures%202023.pdf
FY2021: BFC Bank Limited Pillar 3 Disclosures 2021, p.25 / 23 (Own funds table / Leverage Ratio Common Disclosure table) — https://www.ifastgb.com/assets/static-file/investor-relations/iFAST%20Global%20Bank%20Limited%20Pillar%203%20Disclosures%202021.pdf</t>
        </is>
      </c>
    </row>
  </sheetData>
  <mergeCells count="2">
    <mergeCell ref="A7:F7"/>
    <mergeCell ref="A9:F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iFAST Global Bank Limited — NSFR</t>
        </is>
      </c>
    </row>
    <row r="2">
      <c r="A2" s="2" t="inlineStr">
        <is>
          <t>Solo basis, £'000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available stable funding (£'000)</t>
        </is>
      </c>
      <c r="B4" s="6" t="n">
        <v>835880</v>
      </c>
      <c r="C4" s="6" t="n">
        <v>555781</v>
      </c>
      <c r="D4" s="6" t="n">
        <v>173025</v>
      </c>
      <c r="E4" s="6" t="n">
        <v>92023</v>
      </c>
      <c r="F4" s="6" t="inlineStr">
        <is>
          <t>Not applicable – UK NSFR in force only from 1 Jan 2022 (PRA PS17/21); FY2021 Pillar 3 prints no NSFR and the FY2022 KM1's 31-Dec-21 column leaves rows 18-20 empty</t>
        </is>
      </c>
    </row>
    <row r="5">
      <c r="A5" s="6" t="inlineStr">
        <is>
          <t>Total required stable funding (£'000)</t>
        </is>
      </c>
      <c r="B5" s="6" t="n">
        <v>437854</v>
      </c>
      <c r="C5" s="6" t="n">
        <v>215858</v>
      </c>
      <c r="D5" s="6" t="n">
        <v>50090</v>
      </c>
      <c r="E5" s="6" t="n">
        <v>22101</v>
      </c>
      <c r="F5" s="6" t="inlineStr">
        <is>
          <t>Not applicable – UK NSFR in force only from 1 Jan 2022 (PRA PS17/21); FY2021 Pillar 3 prints no NSFR and the FY2022 KM1's 31-Dec-21 column leaves rows 18-20 empty</t>
        </is>
      </c>
    </row>
    <row r="6">
      <c r="A6" s="6" t="inlineStr">
        <is>
          <t>Net Stable Funding Ratio (%)</t>
        </is>
      </c>
      <c r="B6" s="6" t="inlineStr">
        <is>
          <t>190.9%</t>
        </is>
      </c>
      <c r="C6" s="6" t="inlineStr">
        <is>
          <t>257.5%</t>
        </is>
      </c>
      <c r="D6" s="6" t="inlineStr">
        <is>
          <t>345.4%</t>
        </is>
      </c>
      <c r="E6" s="6" t="inlineStr">
        <is>
          <t>416.4%</t>
        </is>
      </c>
      <c r="F6" s="6" t="inlineStr">
        <is>
          <t>Not applicable – UK NSFR in force only from 1 Jan 2022 (PRA PS17/21); FY2021 Pillar 3 prints no NSFR and the FY2022 KM1's 31-Dec-21 column leaves rows 18-20 empty</t>
        </is>
      </c>
    </row>
    <row r="7" ht="30" customHeight="1">
      <c r="A7" s="7" t="inlineStr">
        <is>
          <t>Note: FY2021 is genuinely not disclosed — see the LCR sheet's note; the FY2021 Pillar 3 document predates this bank's NSFR/LCR disclosure section entirely.</t>
        </is>
      </c>
    </row>
    <row r="9" ht="100" customHeight="1">
      <c r="A9" s="8" t="inlineStr">
        <is>
          <t>Sources — iFAST Global Bank Limited (formerly BFC Bank Limited) solo basis:
FY2025 &amp; FY2024: iFAST Global Bank Limited Pillar 3 Disclosures 2025, p.16 (Table 1: UK KM1 - Key Metrics template) — https://static.ifastgb.com/investor-relations/iFAST%20Global%20Bank%20Limited%20Pillar%203%20Disclosures%202025.pdf
FY2023 &amp; FY2022: iFAST Global Bank Limited Pillar 3 Disclosures 2023, p.12 (Table 1: UK KM1- Key Metrics template) — https://www.ifastgb.com/assets/static-file/investor-relations/iFAST%20Global%20Bank%20Limited%20Pillar%203%20Disclosures%202023.pdf
FY2021: BFC Bank Limited Pillar 3 Disclosures 2021, p.25 / 23 (Own funds table / Leverage Ratio Common Disclosure table) — https://www.ifastgb.com/assets/static-file/investor-relations/iFAST%20Global%20Bank%20Limited%20Pillar%203%20Disclosures%202021.pdf</t>
        </is>
      </c>
    </row>
  </sheetData>
  <mergeCells count="2">
    <mergeCell ref="A7:F7"/>
    <mergeCell ref="A9:F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iFAST Global Bank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no MREL figure or statement in this year's Pillar 3, nor in the Annual Reports held (text-searched 2026-09-19)</t>
        </is>
      </c>
      <c r="C4" s="6" t="inlineStr">
        <is>
          <t>Not published – no MREL figure or statement in this year's Pillar 3, nor in the Annual Reports held (text-searched 2026-09-19)</t>
        </is>
      </c>
      <c r="D4" s="6" t="inlineStr">
        <is>
          <t>Not published – no MREL figure or statement in this year's Pillar 3, nor in the Annual Reports held (text-searched 2026-09-19)</t>
        </is>
      </c>
      <c r="E4" s="6" t="inlineStr">
        <is>
          <t>Not published – no MREL figure or statement in this year's Pillar 3, nor in the Annual Reports held (text-searched 2026-09-19)</t>
        </is>
      </c>
      <c r="F4" s="6" t="inlineStr">
        <is>
          <t>Not published – no MREL figure or statement in this year's Pillar 3, nor in the Annual Reports held (text-searched 2026-09-19)</t>
        </is>
      </c>
    </row>
    <row r="5" ht="30" customHeight="1">
      <c r="A5" s="7" t="inlineStr">
        <is>
          <t>Note: MREL is not disclosed in any of the 5 years' Pillar 3 documents — iFAST Global Bank Limited (formerly BFC Bank Limited) is a small bank below the threshold at which the Bank of England sets an MREL requirement above minimum capital requirements.</t>
        </is>
      </c>
    </row>
    <row r="7" ht="150" customHeight="1">
      <c r="A7" s="8" t="inlineStr">
        <is>
          <t>Sources — iFAST Global Bank Limited (formerly BFC Bank Limited) solo basis:
FY2025 &amp; FY2024: iFAST Global Bank Limited Pillar 3 Disclosures 2025, p.16 (Table 1: UK KM1 - Key Metrics template) — https://static.ifastgb.com/investor-relations/iFAST%20Global%20Bank%20Limited%20Pillar%203%20Disclosures%202025.pdf
FY2023 &amp; FY2022: iFAST Global Bank Limited Pillar 3 Disclosures 2023, p.12 (Table 1: UK KM1- Key Metrics template) — https://www.ifastgb.com/assets/static-file/investor-relations/iFAST%20Global%20Bank%20Limited%20Pillar%203%20Disclosures%202023.pdf
FY2021: BFC Bank Limited Pillar 3 Disclosures 2021, p.25 / 23 (Own funds table / Leverage Ratio Common Disclosure table) — https://www.ifastgb.com/assets/static-file/investor-relations/iFAST%20Global%20Bank%20Limited%20Pillar%203%20Disclosures%202021.pdf</t>
        </is>
      </c>
    </row>
  </sheetData>
  <mergeCells count="2">
    <mergeCell ref="A5:F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2026-10-10T15:08:31Z</dcterms:created>
  <dcterms:modified xmlns:dcterms="http://purl.org/dc/terms/" xmlns:xsi="http://www.w3.org/2001/XMLSchema-instance" xsi:type="dcterms:W3CDTF">2026-10-10T15:08:31Z</dcterms:modified>
</cp:coreProperties>
</file>