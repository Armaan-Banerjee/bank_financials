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91D5"/>
        <bgColor rgb="000091D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iFAST Global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iFAST Global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iFAST Global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iFAST Global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'Overview'!AG24</f>
            </strRef>
          </tx>
          <spPr>
            <a:ln xmlns:a="http://schemas.openxmlformats.org/drawingml/2006/main">
              <a:prstDash val="solid"/>
            </a:ln>
          </spPr>
          <cat>
            <numRef>
              <f>'Overview'!$AH$23:$AL$23</f>
            </numRef>
          </cat>
          <val>
            <numRef>
              <f>'Overview'!$AH$24:$AL$24</f>
            </numRef>
          </val>
        </ser>
        <ser>
          <idx val="1"/>
          <order val="1"/>
          <tx>
            <strRef>
              <f>'Overview'!AG25</f>
            </strRef>
          </tx>
          <spPr>
            <a:ln xmlns:a="http://schemas.openxmlformats.org/drawingml/2006/main">
              <a:prstDash val="solid"/>
            </a:ln>
          </spPr>
          <cat>
            <numRef>
              <f>'Overview'!$AH$23:$AL$23</f>
            </numRef>
          </cat>
          <val>
            <numRef>
              <f>'Overview'!$AH$25:$AL$25</f>
            </numRef>
          </val>
        </ser>
        <ser>
          <idx val="2"/>
          <order val="2"/>
          <tx>
            <strRef>
              <f>'Overview'!AG26</f>
            </strRef>
          </tx>
          <spPr>
            <a:ln xmlns:a="http://schemas.openxmlformats.org/drawingml/2006/main">
              <a:prstDash val="solid"/>
            </a:ln>
          </spPr>
          <cat>
            <numRef>
              <f>'Overview'!$AH$23:$AL$23</f>
            </numRef>
          </cat>
          <val>
            <numRef>
              <f>'Overview'!$AH$26:$AL$26</f>
            </numRef>
          </val>
        </ser>
        <ser>
          <idx val="3"/>
          <order val="3"/>
          <tx>
            <strRef>
              <f>'Overview'!AG27</f>
            </strRef>
          </tx>
          <spPr>
            <a:ln xmlns:a="http://schemas.openxmlformats.org/drawingml/2006/main">
              <a:prstDash val="solid"/>
            </a:ln>
          </spPr>
          <cat>
            <numRef>
              <f>'Overview'!$AH$23:$AL$23</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iFAST Global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iFAST Global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1052008</v>
      </c>
      <c r="C6" s="5" t="n">
        <v>700615</v>
      </c>
      <c r="D6" s="5" t="n">
        <v>288288</v>
      </c>
      <c r="E6" s="5" t="n">
        <v>119485</v>
      </c>
      <c r="F6" s="5" t="n">
        <v>71736</v>
      </c>
      <c r="I6" t="inlineStr">
        <is>
          <t>Total assets</t>
        </is>
      </c>
      <c r="J6" t="n">
        <v>71736</v>
      </c>
      <c r="K6" t="n">
        <v>119485</v>
      </c>
      <c r="L6" t="n">
        <v>288288</v>
      </c>
      <c r="M6" t="n">
        <v>700615</v>
      </c>
      <c r="N6" t="n">
        <v>1052008</v>
      </c>
      <c r="AO6" t="inlineStr">
        <is>
          <t>CET1 Ratio</t>
        </is>
      </c>
      <c r="AP6" t="n">
        <v>14</v>
      </c>
      <c r="AQ6" t="n">
        <v>40.7</v>
      </c>
      <c r="AR6" t="n">
        <v>36.3</v>
      </c>
      <c r="AS6" t="n">
        <v>28.1</v>
      </c>
      <c r="AT6" t="n">
        <v>20.2</v>
      </c>
    </row>
    <row r="7">
      <c r="A7" s="5" t="inlineStr">
        <is>
          <t>Loans and advances to customers</t>
        </is>
      </c>
      <c r="B7" s="5" t="n">
        <v>80119</v>
      </c>
      <c r="C7" s="5" t="n">
        <v>25046</v>
      </c>
      <c r="D7" s="5" t="n"/>
      <c r="E7" s="5" t="n"/>
      <c r="F7" s="5" t="n"/>
      <c r="I7" t="inlineStr">
        <is>
          <t>Loans and advances to customers</t>
        </is>
      </c>
      <c r="M7" t="n">
        <v>25046</v>
      </c>
      <c r="N7" t="n">
        <v>80119</v>
      </c>
      <c r="AO7" t="inlineStr">
        <is>
          <t>Tier 1 Ratio</t>
        </is>
      </c>
      <c r="AP7" t="n">
        <v>22</v>
      </c>
      <c r="AQ7" t="n">
        <v>40.7</v>
      </c>
      <c r="AR7" t="n">
        <v>36.3</v>
      </c>
      <c r="AS7" t="n">
        <v>28.1</v>
      </c>
      <c r="AT7" t="n">
        <v>23.9</v>
      </c>
    </row>
    <row r="8">
      <c r="A8" s="5" t="inlineStr">
        <is>
          <t>Due to customers</t>
        </is>
      </c>
      <c r="B8" s="5" t="n">
        <v>941013</v>
      </c>
      <c r="C8" s="5" t="n">
        <v>609964</v>
      </c>
      <c r="D8" s="5" t="n">
        <v>234882</v>
      </c>
      <c r="E8" s="5" t="n">
        <v>73627</v>
      </c>
      <c r="F8" s="5" t="n">
        <v>42307</v>
      </c>
      <c r="I8" t="inlineStr">
        <is>
          <t>Due to customers</t>
        </is>
      </c>
      <c r="J8" t="n">
        <v>42307</v>
      </c>
      <c r="K8" t="n">
        <v>73627</v>
      </c>
      <c r="L8" t="n">
        <v>234882</v>
      </c>
      <c r="M8" t="n">
        <v>609964</v>
      </c>
      <c r="N8" t="n">
        <v>941013</v>
      </c>
      <c r="AO8" t="inlineStr">
        <is>
          <t>Total Capital Ratio</t>
        </is>
      </c>
      <c r="AP8" t="n">
        <v>22</v>
      </c>
      <c r="AQ8" t="n">
        <v>40.7</v>
      </c>
      <c r="AR8" t="n">
        <v>36.3</v>
      </c>
      <c r="AS8" t="n">
        <v>28.1</v>
      </c>
      <c r="AT8" t="n">
        <v>23.9</v>
      </c>
    </row>
    <row r="9">
      <c r="A9" s="5" t="inlineStr">
        <is>
          <t>Total equity</t>
        </is>
      </c>
      <c r="B9" s="5" t="n">
        <v>95877</v>
      </c>
      <c r="C9" s="5" t="n">
        <v>77347</v>
      </c>
      <c r="D9" s="5" t="n">
        <v>39481</v>
      </c>
      <c r="E9" s="5" t="n">
        <v>35081</v>
      </c>
      <c r="F9" s="5" t="n">
        <v>16949</v>
      </c>
      <c r="I9" t="inlineStr">
        <is>
          <t>Total equity</t>
        </is>
      </c>
      <c r="J9" t="n">
        <v>16949</v>
      </c>
      <c r="K9" t="n">
        <v>35081</v>
      </c>
      <c r="L9" t="n">
        <v>39481</v>
      </c>
      <c r="M9" t="n">
        <v>77347</v>
      </c>
      <c r="N9" t="n">
        <v>95877</v>
      </c>
      <c r="AO9" t="inlineStr">
        <is>
          <t>Leverage Ratio</t>
        </is>
      </c>
      <c r="AP9" t="n">
        <v>19</v>
      </c>
      <c r="AQ9" t="n">
        <v>47.3</v>
      </c>
      <c r="AR9" t="n">
        <v>29</v>
      </c>
      <c r="AS9" t="n">
        <v>15.4</v>
      </c>
      <c r="AT9" t="n">
        <v>11</v>
      </c>
    </row>
    <row r="10">
      <c r="AO10" t="inlineStr">
        <is>
          <t>LCR</t>
        </is>
      </c>
      <c r="AP10" t="n">
        <v>1109</v>
      </c>
      <c r="AQ10" t="n">
        <v>1240</v>
      </c>
      <c r="AR10" t="n">
        <v>728</v>
      </c>
      <c r="AS10" t="n">
        <v>912</v>
      </c>
      <c r="AT10" t="n">
        <v>531</v>
      </c>
    </row>
    <row r="11">
      <c r="A11" s="3" t="inlineStr">
        <is>
          <t>Profit &amp; Loss Summary (£'000)</t>
        </is>
      </c>
      <c r="AO11" t="inlineStr">
        <is>
          <t>NSFR</t>
        </is>
      </c>
      <c r="AQ11" t="n">
        <v>416.4</v>
      </c>
      <c r="AR11" t="n">
        <v>345.4</v>
      </c>
      <c r="AS11" t="n">
        <v>257.5</v>
      </c>
      <c r="AT11" t="n">
        <v>190.9</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income/(expense)</t>
        </is>
      </c>
      <c r="B13" s="5" t="n">
        <v>10911</v>
      </c>
      <c r="C13" s="5" t="n">
        <v>5340</v>
      </c>
      <c r="D13" s="5" t="n">
        <v>1701</v>
      </c>
      <c r="E13" s="5" t="n">
        <v>121</v>
      </c>
      <c r="F13" s="5" t="n">
        <v>-450</v>
      </c>
      <c r="Q13" t="inlineStr">
        <is>
          <t>Net interest income/(expense)</t>
        </is>
      </c>
      <c r="R13" t="n">
        <v>-450</v>
      </c>
      <c r="S13" t="n">
        <v>121</v>
      </c>
      <c r="T13" t="n">
        <v>1701</v>
      </c>
      <c r="U13" t="n">
        <v>5340</v>
      </c>
      <c r="V13" t="n">
        <v>10911</v>
      </c>
    </row>
    <row r="14">
      <c r="A14" s="5" t="inlineStr">
        <is>
          <t>Net operating income</t>
        </is>
      </c>
      <c r="B14" s="5" t="n">
        <v>21232</v>
      </c>
      <c r="C14" s="5" t="n">
        <v>11671</v>
      </c>
      <c r="D14" s="5" t="n">
        <v>8119</v>
      </c>
      <c r="E14" s="5" t="n">
        <v>6644</v>
      </c>
      <c r="F14" s="5" t="n">
        <v>7049</v>
      </c>
      <c r="Q14" t="inlineStr">
        <is>
          <t>Net operating income</t>
        </is>
      </c>
      <c r="R14" t="n">
        <v>7049</v>
      </c>
      <c r="S14" t="n">
        <v>6644</v>
      </c>
      <c r="T14" t="n">
        <v>8119</v>
      </c>
      <c r="U14" t="n">
        <v>11671</v>
      </c>
      <c r="V14" t="n">
        <v>21232</v>
      </c>
    </row>
    <row r="15">
      <c r="A15" s="5" t="inlineStr">
        <is>
          <t>Total operating expenses</t>
        </is>
      </c>
      <c r="B15" s="5" t="n">
        <v>-19378</v>
      </c>
      <c r="C15" s="5" t="n">
        <v>-14131</v>
      </c>
      <c r="D15" s="5" t="n">
        <v>-13829</v>
      </c>
      <c r="E15" s="5" t="n">
        <v>-15632</v>
      </c>
      <c r="F15" s="5" t="n">
        <v>-10134</v>
      </c>
      <c r="Q15" t="inlineStr">
        <is>
          <t>Total operating expenses</t>
        </is>
      </c>
      <c r="R15" t="n">
        <v>-10134</v>
      </c>
      <c r="S15" t="n">
        <v>-15632</v>
      </c>
      <c r="T15" t="n">
        <v>-13829</v>
      </c>
      <c r="U15" t="n">
        <v>-14131</v>
      </c>
      <c r="V15" t="n">
        <v>-19378</v>
      </c>
    </row>
    <row r="16">
      <c r="A16" s="5" t="inlineStr">
        <is>
          <t>Profit/(loss) for the year</t>
        </is>
      </c>
      <c r="B16" s="5" t="n">
        <v>3434</v>
      </c>
      <c r="C16" s="5" t="n">
        <v>-2460</v>
      </c>
      <c r="D16" s="5" t="n">
        <v>-5710</v>
      </c>
      <c r="E16" s="5" t="n">
        <v>-11868</v>
      </c>
      <c r="F16" s="5" t="n">
        <v>-3085</v>
      </c>
      <c r="Q16" t="inlineStr">
        <is>
          <t>Profit/(loss) for the year</t>
        </is>
      </c>
      <c r="R16" t="n">
        <v>-3085</v>
      </c>
      <c r="S16" t="n">
        <v>-11868</v>
      </c>
      <c r="T16" t="n">
        <v>-5710</v>
      </c>
      <c r="U16" t="n">
        <v>-2460</v>
      </c>
      <c r="V16" t="n">
        <v>3434</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Total equity</t>
        </is>
      </c>
      <c r="B20" s="5" t="n">
        <v>95877</v>
      </c>
      <c r="C20" s="5" t="n">
        <v>77347</v>
      </c>
      <c r="D20" s="5" t="n">
        <v>39481</v>
      </c>
      <c r="E20" s="5" t="n">
        <v>35081</v>
      </c>
      <c r="F20" s="5" t="n">
        <v>16949</v>
      </c>
      <c r="Y20" t="inlineStr">
        <is>
          <t>Total equity</t>
        </is>
      </c>
      <c r="Z20" t="n">
        <v>16949</v>
      </c>
      <c r="AA20" t="n">
        <v>35081</v>
      </c>
      <c r="AB20" t="n">
        <v>39481</v>
      </c>
      <c r="AC20" t="n">
        <v>77347</v>
      </c>
      <c r="AD20" t="n">
        <v>95877</v>
      </c>
    </row>
    <row r="22">
      <c r="A22" s="3" t="inlineStr">
        <is>
          <t>Cash Flow Summary (£'000)</t>
        </is>
      </c>
    </row>
    <row r="23">
      <c r="A23" s="4" t="inlineStr">
        <is>
          <t>Line item</t>
        </is>
      </c>
      <c r="B23" s="4" t="inlineStr">
        <is>
          <t>FY2025</t>
        </is>
      </c>
      <c r="C23" s="4" t="inlineStr">
        <is>
          <t>FY2024</t>
        </is>
      </c>
      <c r="D23" s="4" t="inlineStr">
        <is>
          <t>FY2023</t>
        </is>
      </c>
      <c r="E23" s="4" t="inlineStr">
        <is>
          <t>FY2022</t>
        </is>
      </c>
      <c r="F23" s="4" t="inlineStr">
        <is>
          <t>FY2021</t>
        </is>
      </c>
      <c r="AH23" t="inlineStr">
        <is>
          <t>FY2021</t>
        </is>
      </c>
      <c r="AI23" t="inlineStr">
        <is>
          <t>FY2022</t>
        </is>
      </c>
      <c r="AJ23" t="inlineStr">
        <is>
          <t>FY2023</t>
        </is>
      </c>
      <c r="AK23" t="inlineStr">
        <is>
          <t>FY2024</t>
        </is>
      </c>
      <c r="AL23" t="inlineStr">
        <is>
          <t>FY2025</t>
        </is>
      </c>
    </row>
    <row r="24">
      <c r="A24" s="5" t="inlineStr">
        <is>
          <t>Net inflows/(outflows) from operating activities</t>
        </is>
      </c>
      <c r="B24" s="5" t="n">
        <v>271945</v>
      </c>
      <c r="C24" s="5" t="n">
        <v>344025</v>
      </c>
      <c r="D24" s="5" t="n">
        <v>98319</v>
      </c>
      <c r="E24" s="5" t="n">
        <v>-9308</v>
      </c>
      <c r="F24" s="5" t="n">
        <v>-8628</v>
      </c>
      <c r="AG24" t="inlineStr">
        <is>
          <t>Net inflows/(outflows) from operating activities</t>
        </is>
      </c>
      <c r="AH24" t="n">
        <v>-8628</v>
      </c>
      <c r="AI24" t="n">
        <v>-9308</v>
      </c>
      <c r="AJ24" t="n">
        <v>98319</v>
      </c>
      <c r="AK24" t="n">
        <v>344025</v>
      </c>
      <c r="AL24" t="n">
        <v>271945</v>
      </c>
    </row>
    <row r="25">
      <c r="A25" s="5" t="inlineStr">
        <is>
          <t>Net outflows from investing activities</t>
        </is>
      </c>
      <c r="B25" s="5" t="n">
        <v>-223714</v>
      </c>
      <c r="C25" s="5" t="n">
        <v>-258670</v>
      </c>
      <c r="D25" s="5" t="n">
        <v>-490</v>
      </c>
      <c r="E25" s="5" t="n">
        <v>-268</v>
      </c>
      <c r="F25" s="5" t="n">
        <v>-125</v>
      </c>
      <c r="AG25" t="inlineStr">
        <is>
          <t>Net outflows from investing activities</t>
        </is>
      </c>
      <c r="AH25" t="n">
        <v>-125</v>
      </c>
      <c r="AI25" t="n">
        <v>-268</v>
      </c>
      <c r="AJ25" t="n">
        <v>-490</v>
      </c>
      <c r="AK25" t="n">
        <v>-258670</v>
      </c>
      <c r="AL25" t="n">
        <v>-223714</v>
      </c>
    </row>
    <row r="26">
      <c r="A26" s="5" t="inlineStr">
        <is>
          <t>Net inflows/(outflows) from financing activities</t>
        </is>
      </c>
      <c r="B26" s="5" t="n">
        <v>14845</v>
      </c>
      <c r="C26" s="5" t="n">
        <v>39669</v>
      </c>
      <c r="D26" s="5" t="n">
        <v>9698</v>
      </c>
      <c r="E26" s="5" t="n">
        <v>31107</v>
      </c>
      <c r="F26" s="5" t="n">
        <v>-730</v>
      </c>
      <c r="AG26" t="inlineStr">
        <is>
          <t>Net inflows/(outflows) from financing activities</t>
        </is>
      </c>
      <c r="AH26" t="n">
        <v>-730</v>
      </c>
      <c r="AI26" t="n">
        <v>31107</v>
      </c>
      <c r="AJ26" t="n">
        <v>9698</v>
      </c>
      <c r="AK26" t="n">
        <v>39669</v>
      </c>
      <c r="AL26" t="n">
        <v>14845</v>
      </c>
    </row>
    <row r="27">
      <c r="A27" s="5" t="inlineStr">
        <is>
          <t>Cash and cash equivalents at end of financial year</t>
        </is>
      </c>
      <c r="B27" s="5" t="n">
        <v>394036</v>
      </c>
      <c r="C27" s="5" t="n">
        <v>330938</v>
      </c>
      <c r="D27" s="5" t="n">
        <v>181658</v>
      </c>
      <c r="E27" s="5" t="n">
        <v>74856</v>
      </c>
      <c r="F27" s="5" t="n">
        <v>53534</v>
      </c>
      <c r="AG27" t="inlineStr">
        <is>
          <t>Cash and cash equivalents at end of financial year</t>
        </is>
      </c>
      <c r="AH27" t="n">
        <v>53534</v>
      </c>
      <c r="AI27" t="n">
        <v>74856</v>
      </c>
      <c r="AJ27" t="n">
        <v>181658</v>
      </c>
      <c r="AK27" t="n">
        <v>330938</v>
      </c>
      <c r="AL27" t="n">
        <v>394036</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inlineStr">
        <is>
          <t>20.2%</t>
        </is>
      </c>
      <c r="C31" s="6" t="inlineStr">
        <is>
          <t>28.1%</t>
        </is>
      </c>
      <c r="D31" s="6" t="inlineStr">
        <is>
          <t>36.3%</t>
        </is>
      </c>
      <c r="E31" s="6" t="inlineStr">
        <is>
          <t>40.7%</t>
        </is>
      </c>
      <c r="F31" s="6" t="inlineStr">
        <is>
          <t>14%</t>
        </is>
      </c>
    </row>
    <row r="32">
      <c r="A32" s="6" t="inlineStr">
        <is>
          <t>Tier 1 Ratio</t>
        </is>
      </c>
      <c r="B32" s="6" t="inlineStr">
        <is>
          <t>23.9%</t>
        </is>
      </c>
      <c r="C32" s="6" t="inlineStr">
        <is>
          <t>28.1%</t>
        </is>
      </c>
      <c r="D32" s="6" t="inlineStr">
        <is>
          <t>36.3%</t>
        </is>
      </c>
      <c r="E32" s="6" t="inlineStr">
        <is>
          <t>40.7%</t>
        </is>
      </c>
      <c r="F32" s="6" t="inlineStr">
        <is>
          <t>22%</t>
        </is>
      </c>
    </row>
    <row r="33">
      <c r="A33" s="6" t="inlineStr">
        <is>
          <t>Total Capital Ratio</t>
        </is>
      </c>
      <c r="B33" s="6" t="inlineStr">
        <is>
          <t>23.9%</t>
        </is>
      </c>
      <c r="C33" s="6" t="inlineStr">
        <is>
          <t>28.1%</t>
        </is>
      </c>
      <c r="D33" s="6" t="inlineStr">
        <is>
          <t>36.3%</t>
        </is>
      </c>
      <c r="E33" s="6" t="inlineStr">
        <is>
          <t>40.7%</t>
        </is>
      </c>
      <c r="F33" s="6" t="inlineStr">
        <is>
          <t>22%</t>
        </is>
      </c>
    </row>
    <row r="34">
      <c r="A34" s="6" t="inlineStr">
        <is>
          <t>Leverage Ratio</t>
        </is>
      </c>
      <c r="B34" s="6" t="inlineStr">
        <is>
          <t>11.0%</t>
        </is>
      </c>
      <c r="C34" s="6" t="inlineStr">
        <is>
          <t>15.4%</t>
        </is>
      </c>
      <c r="D34" s="6" t="inlineStr">
        <is>
          <t>29.0%</t>
        </is>
      </c>
      <c r="E34" s="6" t="inlineStr">
        <is>
          <t>47.3%</t>
        </is>
      </c>
      <c r="F34" s="6" t="inlineStr">
        <is>
          <t>19%</t>
        </is>
      </c>
    </row>
    <row r="35">
      <c r="A35" s="6" t="inlineStr">
        <is>
          <t>LCR</t>
        </is>
      </c>
      <c r="B35" s="6" t="inlineStr">
        <is>
          <t>531%</t>
        </is>
      </c>
      <c r="C35" s="6" t="inlineStr">
        <is>
          <t>912%</t>
        </is>
      </c>
      <c r="D35" s="6" t="inlineStr">
        <is>
          <t>728%</t>
        </is>
      </c>
      <c r="E35" s="6" t="inlineStr">
        <is>
          <t>1240%</t>
        </is>
      </c>
      <c r="F35" s="6" t="inlineStr">
        <is>
          <t>1109%</t>
        </is>
      </c>
    </row>
    <row r="36">
      <c r="A36" s="6" t="inlineStr">
        <is>
          <t>NSFR</t>
        </is>
      </c>
      <c r="B36" s="6" t="inlineStr">
        <is>
          <t>190.9%</t>
        </is>
      </c>
      <c r="C36" s="6" t="inlineStr">
        <is>
          <t>257.5%</t>
        </is>
      </c>
      <c r="D36" s="6" t="inlineStr">
        <is>
          <t>345.4%</t>
        </is>
      </c>
      <c r="E36" s="6" t="inlineStr">
        <is>
          <t>416.4%</t>
        </is>
      </c>
      <c r="F36" s="6" t="inlineStr">
        <is>
          <t>Not disclosed</t>
        </is>
      </c>
    </row>
    <row r="38" ht="45" customHeight="1">
      <c r="A38" s="7" t="inlineStr">
        <is>
          <t>Note: Figures are duplicated from the detail sheets for at-a-glance trend viewing; see each sheet's own source citation for the underlying document/page. FY2023 cash figures use the originally-reported (pre-restatement) balances — see the Cash Flow Statement sheet's note. All capital/liquidity ratios fell sharply from FY2021-2022 to FY2025 as the bank scaled its balance sheet roughly 7x following the 2022 iFAST Corporation acquisition and rebrand from BFC Bank.</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Financial Position</t>
        </is>
      </c>
    </row>
    <row r="2">
      <c r="A2" s="2" t="inlineStr">
        <is>
          <t>Solo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394036</v>
      </c>
      <c r="C5" s="6" t="n">
        <v>330938</v>
      </c>
      <c r="D5" s="6" t="n">
        <v>181658</v>
      </c>
      <c r="E5" s="6" t="n">
        <v>74856</v>
      </c>
      <c r="F5" s="6" t="n">
        <v>53534</v>
      </c>
    </row>
    <row r="6">
      <c r="A6" s="6" t="inlineStr">
        <is>
          <t>Trade and other receivables</t>
        </is>
      </c>
      <c r="B6" s="6" t="n">
        <v>23808</v>
      </c>
      <c r="C6" s="6" t="n">
        <v>18868</v>
      </c>
      <c r="D6" s="6" t="n">
        <v>20732</v>
      </c>
      <c r="E6" s="6" t="n">
        <v>13382</v>
      </c>
      <c r="F6" s="6" t="n">
        <v>11037</v>
      </c>
    </row>
    <row r="7">
      <c r="A7" s="6" t="inlineStr">
        <is>
          <t>Debt instruments held at amortised cost</t>
        </is>
      </c>
      <c r="B7" s="6" t="n">
        <v>539329</v>
      </c>
      <c r="C7" s="6" t="n">
        <v>316623</v>
      </c>
      <c r="D7" s="6" t="n">
        <v>58172</v>
      </c>
      <c r="E7" s="6" t="n">
        <v>29436</v>
      </c>
      <c r="F7" s="6" t="n"/>
    </row>
    <row r="8">
      <c r="A8" s="6" t="inlineStr">
        <is>
          <t>Debt instruments at fair value through profit or loss</t>
        </is>
      </c>
      <c r="B8" s="6" t="n"/>
      <c r="C8" s="6" t="n"/>
      <c r="D8" s="6" t="n">
        <v>23924</v>
      </c>
      <c r="E8" s="6" t="n"/>
      <c r="F8" s="6" t="n"/>
    </row>
    <row r="9">
      <c r="A9" s="6" t="inlineStr">
        <is>
          <t>Loans and advances to customers</t>
        </is>
      </c>
      <c r="B9" s="6" t="n">
        <v>80119</v>
      </c>
      <c r="C9" s="6" t="n">
        <v>25046</v>
      </c>
      <c r="D9" s="6" t="n"/>
      <c r="E9" s="6" t="n"/>
      <c r="F9" s="6" t="n"/>
    </row>
    <row r="10">
      <c r="A10" s="6" t="inlineStr">
        <is>
          <t>Other assets</t>
        </is>
      </c>
      <c r="B10" s="6" t="n">
        <v>9680</v>
      </c>
      <c r="C10" s="6" t="n">
        <v>8483</v>
      </c>
      <c r="D10" s="6" t="n">
        <v>2501</v>
      </c>
      <c r="E10" s="6" t="n">
        <v>777</v>
      </c>
      <c r="F10" s="6" t="n">
        <v>993</v>
      </c>
    </row>
    <row r="11">
      <c r="A11" s="6" t="inlineStr">
        <is>
          <t>Derivative financial assets</t>
        </is>
      </c>
      <c r="B11" s="6" t="n">
        <v>240</v>
      </c>
      <c r="C11" s="6" t="n">
        <v>7</v>
      </c>
      <c r="D11" s="6" t="n">
        <v>216</v>
      </c>
      <c r="E11" s="6" t="n">
        <v>83</v>
      </c>
      <c r="F11" s="6" t="n">
        <v>187</v>
      </c>
    </row>
    <row r="12">
      <c r="A12" s="6" t="inlineStr">
        <is>
          <t>Property, plant and equipment</t>
        </is>
      </c>
      <c r="B12" s="6" t="n">
        <v>3056</v>
      </c>
      <c r="C12" s="6" t="n">
        <v>365</v>
      </c>
      <c r="D12" s="6" t="n">
        <v>659</v>
      </c>
      <c r="E12" s="6" t="n">
        <v>951</v>
      </c>
      <c r="F12" s="6" t="n">
        <v>2066</v>
      </c>
    </row>
    <row r="13">
      <c r="A13" s="6" t="inlineStr">
        <is>
          <t>Intangible assets</t>
        </is>
      </c>
      <c r="B13" s="6" t="n">
        <v>160</v>
      </c>
      <c r="C13" s="6" t="n">
        <v>285</v>
      </c>
      <c r="D13" s="6" t="n">
        <v>426</v>
      </c>
      <c r="E13" s="6" t="n">
        <v>0</v>
      </c>
      <c r="F13" s="6" t="n">
        <v>3919</v>
      </c>
    </row>
    <row r="14">
      <c r="A14" s="6" t="inlineStr">
        <is>
          <t>Deferred tax</t>
        </is>
      </c>
      <c r="B14" s="6" t="n">
        <v>1580</v>
      </c>
      <c r="C14" s="6" t="n"/>
      <c r="D14" s="6" t="n"/>
      <c r="E14" s="6" t="n"/>
      <c r="F14" s="6" t="n"/>
    </row>
    <row r="15">
      <c r="A15" s="5" t="inlineStr">
        <is>
          <t>Total assets</t>
        </is>
      </c>
      <c r="B15" s="5" t="n">
        <v>1052008</v>
      </c>
      <c r="C15" s="5" t="n">
        <v>700615</v>
      </c>
      <c r="D15" s="5" t="n">
        <v>288288</v>
      </c>
      <c r="E15" s="5" t="n">
        <v>119485</v>
      </c>
      <c r="F15" s="5" t="n">
        <v>71736</v>
      </c>
    </row>
    <row r="16">
      <c r="A16" s="5" t="inlineStr">
        <is>
          <t>Liabilities</t>
        </is>
      </c>
      <c r="B16" s="6" t="n"/>
      <c r="C16" s="6" t="n"/>
      <c r="D16" s="6" t="n"/>
      <c r="E16" s="6" t="n"/>
      <c r="F16" s="6" t="n"/>
    </row>
    <row r="17">
      <c r="A17" s="6" t="inlineStr">
        <is>
          <t>Trade and other payables</t>
        </is>
      </c>
      <c r="B17" s="6" t="n">
        <v>9524</v>
      </c>
      <c r="C17" s="6" t="n">
        <v>9713</v>
      </c>
      <c r="D17" s="6" t="n">
        <v>9465</v>
      </c>
      <c r="E17" s="6" t="n">
        <v>5742</v>
      </c>
      <c r="F17" s="6" t="n">
        <v>8811</v>
      </c>
    </row>
    <row r="18">
      <c r="A18" s="6" t="inlineStr">
        <is>
          <t>Due to customers</t>
        </is>
      </c>
      <c r="B18" s="6" t="n">
        <v>941013</v>
      </c>
      <c r="C18" s="6" t="n">
        <v>609964</v>
      </c>
      <c r="D18" s="6" t="n">
        <v>234882</v>
      </c>
      <c r="E18" s="6" t="n">
        <v>73627</v>
      </c>
      <c r="F18" s="6" t="n">
        <v>42307</v>
      </c>
    </row>
    <row r="19">
      <c r="A19" s="6" t="inlineStr">
        <is>
          <t>Derivative financial liabilities</t>
        </is>
      </c>
      <c r="B19" s="6" t="n">
        <v>0</v>
      </c>
      <c r="C19" s="6" t="n">
        <v>1</v>
      </c>
      <c r="D19" s="6" t="n">
        <v>16</v>
      </c>
      <c r="E19" s="6" t="n">
        <v>156</v>
      </c>
      <c r="F19" s="6" t="n">
        <v>82</v>
      </c>
    </row>
    <row r="20">
      <c r="A20" s="6" t="inlineStr">
        <is>
          <t>Other liabilities</t>
        </is>
      </c>
      <c r="B20" s="6" t="n">
        <v>5594</v>
      </c>
      <c r="C20" s="6" t="n">
        <v>3590</v>
      </c>
      <c r="D20" s="6" t="n">
        <v>4066</v>
      </c>
      <c r="E20" s="6" t="n">
        <v>3233</v>
      </c>
      <c r="F20" s="6" t="n">
        <v>3587</v>
      </c>
    </row>
    <row r="21">
      <c r="A21" s="6" t="inlineStr">
        <is>
          <t>Provisions</t>
        </is>
      </c>
      <c r="B21" s="6" t="n"/>
      <c r="C21" s="6" t="n">
        <v>0</v>
      </c>
      <c r="D21" s="6" t="n">
        <v>378</v>
      </c>
      <c r="E21" s="6" t="n">
        <v>1646</v>
      </c>
      <c r="F21" s="6" t="n"/>
    </row>
    <row r="22">
      <c r="A22" s="5" t="inlineStr">
        <is>
          <t>Total liabilities</t>
        </is>
      </c>
      <c r="B22" s="5" t="n">
        <v>956131</v>
      </c>
      <c r="C22" s="5" t="n">
        <v>623268</v>
      </c>
      <c r="D22" s="5" t="n">
        <v>248807</v>
      </c>
      <c r="E22" s="5" t="n">
        <v>84404</v>
      </c>
      <c r="F22" s="5" t="n">
        <v>54787</v>
      </c>
    </row>
    <row r="23">
      <c r="A23" s="5" t="inlineStr">
        <is>
          <t>Equity</t>
        </is>
      </c>
      <c r="B23" s="6" t="n"/>
      <c r="C23" s="6" t="n"/>
      <c r="D23" s="6" t="n"/>
      <c r="E23" s="6" t="n"/>
      <c r="F23" s="6" t="n"/>
    </row>
    <row r="24">
      <c r="A24" s="6" t="inlineStr">
        <is>
          <t>Share capital</t>
        </is>
      </c>
      <c r="B24" s="6" t="n">
        <v>124700</v>
      </c>
      <c r="C24" s="6" t="n">
        <v>124700</v>
      </c>
      <c r="D24" s="6" t="n">
        <v>84700</v>
      </c>
      <c r="E24" s="6" t="n">
        <v>74700</v>
      </c>
      <c r="F24" s="6" t="n">
        <v>40200</v>
      </c>
    </row>
    <row r="25">
      <c r="A25" s="6" t="inlineStr">
        <is>
          <t>Contingent Capital Note</t>
        </is>
      </c>
      <c r="B25" s="6" t="n"/>
      <c r="C25" s="6" t="n"/>
      <c r="D25" s="6" t="n"/>
      <c r="E25" s="6" t="n"/>
      <c r="F25" s="6" t="n">
        <v>4500</v>
      </c>
    </row>
    <row r="26">
      <c r="A26" s="6" t="inlineStr">
        <is>
          <t>Share option reserve</t>
        </is>
      </c>
      <c r="B26" s="6" t="n">
        <v>856</v>
      </c>
      <c r="C26" s="6" t="n">
        <v>436</v>
      </c>
      <c r="D26" s="6" t="n">
        <v>110</v>
      </c>
      <c r="E26" s="6" t="n"/>
      <c r="F26" s="6" t="n"/>
    </row>
    <row r="27">
      <c r="A27" s="6" t="inlineStr">
        <is>
          <t>Other equity instruments (AT1 Perpetual Note)</t>
        </is>
      </c>
      <c r="B27" s="6" t="n">
        <v>14676</v>
      </c>
      <c r="C27" s="6" t="n"/>
      <c r="D27" s="6" t="n"/>
      <c r="E27" s="6" t="n"/>
      <c r="F27" s="6" t="n"/>
    </row>
    <row r="28">
      <c r="A28" s="6" t="inlineStr">
        <is>
          <t>Retained earnings</t>
        </is>
      </c>
      <c r="B28" s="6" t="n">
        <v>-44355</v>
      </c>
      <c r="C28" s="6" t="n">
        <v>-47789</v>
      </c>
      <c r="D28" s="6" t="n">
        <v>-45329</v>
      </c>
      <c r="E28" s="6" t="n">
        <v>-39619</v>
      </c>
      <c r="F28" s="6" t="n">
        <v>-27751</v>
      </c>
    </row>
    <row r="29">
      <c r="A29" s="5" t="inlineStr">
        <is>
          <t>Total equity</t>
        </is>
      </c>
      <c r="B29" s="5" t="n">
        <v>95877</v>
      </c>
      <c r="C29" s="5" t="n">
        <v>77347</v>
      </c>
      <c r="D29" s="5" t="n">
        <v>39481</v>
      </c>
      <c r="E29" s="5" t="n">
        <v>35081</v>
      </c>
      <c r="F29" s="5" t="n">
        <v>16949</v>
      </c>
    </row>
    <row r="30">
      <c r="A30" s="5" t="inlineStr">
        <is>
          <t>Total liabilities and equity</t>
        </is>
      </c>
      <c r="B30" s="5" t="n">
        <v>1052008</v>
      </c>
      <c r="C30" s="5" t="n">
        <v>700615</v>
      </c>
      <c r="D30" s="5" t="n">
        <v>288288</v>
      </c>
      <c r="E30" s="5" t="n">
        <v>119485</v>
      </c>
      <c r="F30" s="5" t="n">
        <v>71736</v>
      </c>
    </row>
    <row r="32" ht="180" customHeight="1">
      <c r="A32"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Comprehensive Income</t>
        </is>
      </c>
    </row>
    <row r="2">
      <c r="A2" s="2" t="inlineStr">
        <is>
          <t>Solo basis, £'000. There was no other comprehensive income in any of the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37524</v>
      </c>
      <c r="C5" s="6" t="n">
        <v>22104</v>
      </c>
      <c r="D5" s="6" t="n">
        <v>6213</v>
      </c>
      <c r="E5" s="6" t="n">
        <v>580</v>
      </c>
      <c r="F5" s="6" t="n">
        <v>13</v>
      </c>
    </row>
    <row r="6">
      <c r="A6" s="6" t="inlineStr">
        <is>
          <t>Interest expense</t>
        </is>
      </c>
      <c r="B6" s="6" t="n">
        <v>-26613</v>
      </c>
      <c r="C6" s="6" t="n">
        <v>-16764</v>
      </c>
      <c r="D6" s="6" t="n">
        <v>-4512</v>
      </c>
      <c r="E6" s="6" t="n">
        <v>-459</v>
      </c>
      <c r="F6" s="6" t="n">
        <v>-463</v>
      </c>
    </row>
    <row r="7">
      <c r="A7" s="5" t="inlineStr">
        <is>
          <t>Net interest income/(expense)</t>
        </is>
      </c>
      <c r="B7" s="5" t="n">
        <v>10911</v>
      </c>
      <c r="C7" s="5" t="n">
        <v>5340</v>
      </c>
      <c r="D7" s="5" t="n">
        <v>1701</v>
      </c>
      <c r="E7" s="5" t="n">
        <v>121</v>
      </c>
      <c r="F7" s="5" t="n">
        <v>-450</v>
      </c>
    </row>
    <row r="8">
      <c r="A8" s="6" t="inlineStr">
        <is>
          <t>Fee and commission income</t>
        </is>
      </c>
      <c r="B8" s="6" t="n">
        <v>9086</v>
      </c>
      <c r="C8" s="6" t="n">
        <v>6787</v>
      </c>
      <c r="D8" s="6" t="n">
        <v>4862</v>
      </c>
      <c r="E8" s="6" t="n">
        <v>4916</v>
      </c>
      <c r="F8" s="6" t="n">
        <v>4832</v>
      </c>
    </row>
    <row r="9">
      <c r="A9" s="6" t="inlineStr">
        <is>
          <t>Fee and commission expense</t>
        </is>
      </c>
      <c r="B9" s="6" t="n">
        <v>-1215</v>
      </c>
      <c r="C9" s="6" t="n">
        <v>-1888</v>
      </c>
      <c r="D9" s="6" t="n">
        <v>-1305</v>
      </c>
      <c r="E9" s="6" t="n">
        <v>-1260</v>
      </c>
      <c r="F9" s="6" t="n">
        <v>-1369</v>
      </c>
    </row>
    <row r="10">
      <c r="A10" s="5" t="inlineStr">
        <is>
          <t>Net fee and commission income</t>
        </is>
      </c>
      <c r="B10" s="5" t="n">
        <v>7871</v>
      </c>
      <c r="C10" s="5" t="n">
        <v>4899</v>
      </c>
      <c r="D10" s="5" t="n">
        <v>3557</v>
      </c>
      <c r="E10" s="5" t="n">
        <v>3656</v>
      </c>
      <c r="F10" s="5" t="n"/>
    </row>
    <row r="11">
      <c r="A11" s="6" t="inlineStr">
        <is>
          <t>Net trading profit on foreign exchange</t>
        </is>
      </c>
      <c r="B11" s="6" t="n">
        <v>2693</v>
      </c>
      <c r="C11" s="6" t="n">
        <v>1803</v>
      </c>
      <c r="D11" s="6" t="n">
        <v>2706</v>
      </c>
      <c r="E11" s="6" t="n">
        <v>2996</v>
      </c>
      <c r="F11" s="6" t="n">
        <v>4479</v>
      </c>
    </row>
    <row r="12">
      <c r="A12" s="6" t="inlineStr">
        <is>
          <t>Fair value gain/(loss) on derivatives</t>
        </is>
      </c>
      <c r="B12" s="6" t="n">
        <v>52</v>
      </c>
      <c r="C12" s="6" t="n">
        <v>-194</v>
      </c>
      <c r="D12" s="6" t="n">
        <v>274</v>
      </c>
      <c r="E12" s="6" t="n">
        <v>-37</v>
      </c>
      <c r="F12" s="6" t="n">
        <v>-531</v>
      </c>
    </row>
    <row r="13">
      <c r="A13" s="6" t="inlineStr">
        <is>
          <t>Other operating income</t>
        </is>
      </c>
      <c r="B13" s="6" t="n">
        <v>8</v>
      </c>
      <c r="C13" s="6" t="n">
        <v>2</v>
      </c>
      <c r="D13" s="6" t="n">
        <v>0</v>
      </c>
      <c r="E13" s="6" t="n">
        <v>17</v>
      </c>
      <c r="F13" s="6" t="n">
        <v>88</v>
      </c>
    </row>
    <row r="14">
      <c r="A14" s="6" t="inlineStr">
        <is>
          <t>Allowance for impairment loss</t>
        </is>
      </c>
      <c r="B14" s="6" t="n">
        <v>-303</v>
      </c>
      <c r="C14" s="6" t="n">
        <v>-179</v>
      </c>
      <c r="D14" s="6" t="n">
        <v>-119</v>
      </c>
      <c r="E14" s="6" t="n">
        <v>-109</v>
      </c>
      <c r="F14" s="6" t="n"/>
    </row>
    <row r="15">
      <c r="A15" s="5" t="inlineStr">
        <is>
          <t>Net operating income</t>
        </is>
      </c>
      <c r="B15" s="5" t="n">
        <v>21232</v>
      </c>
      <c r="C15" s="5" t="n">
        <v>11671</v>
      </c>
      <c r="D15" s="5" t="n">
        <v>8119</v>
      </c>
      <c r="E15" s="5" t="n">
        <v>6644</v>
      </c>
      <c r="F15" s="5" t="n">
        <v>7049</v>
      </c>
    </row>
    <row r="16">
      <c r="A16" s="5" t="inlineStr">
        <is>
          <t>Operating expenses</t>
        </is>
      </c>
      <c r="B16" s="6" t="n"/>
      <c r="C16" s="6" t="n"/>
      <c r="D16" s="6" t="n"/>
      <c r="E16" s="6" t="n"/>
      <c r="F16" s="6" t="n"/>
    </row>
    <row r="17">
      <c r="A17" s="6" t="inlineStr">
        <is>
          <t>Depreciation</t>
        </is>
      </c>
      <c r="B17" s="6" t="n">
        <v>-397</v>
      </c>
      <c r="C17" s="6" t="n">
        <v>-313</v>
      </c>
      <c r="D17" s="6" t="n">
        <v>-312</v>
      </c>
      <c r="E17" s="6" t="n">
        <v>-349</v>
      </c>
      <c r="F17" s="6" t="n">
        <v>-363</v>
      </c>
    </row>
    <row r="18">
      <c r="A18" s="6" t="inlineStr">
        <is>
          <t>Amortisation</t>
        </is>
      </c>
      <c r="B18" s="6" t="n">
        <v>-149</v>
      </c>
      <c r="C18" s="6" t="n">
        <v>-141</v>
      </c>
      <c r="D18" s="6" t="n">
        <v>-12</v>
      </c>
      <c r="E18" s="6" t="n">
        <v>-159</v>
      </c>
      <c r="F18" s="6" t="n">
        <v>-635</v>
      </c>
    </row>
    <row r="19">
      <c r="A19" s="6" t="inlineStr">
        <is>
          <t>Other operating expenses</t>
        </is>
      </c>
      <c r="B19" s="6" t="n">
        <v>-18854</v>
      </c>
      <c r="C19" s="6" t="n">
        <v>-14009</v>
      </c>
      <c r="D19" s="6" t="n">
        <v>-12780</v>
      </c>
      <c r="E19" s="6" t="n">
        <v>-14688</v>
      </c>
      <c r="F19" s="6" t="n">
        <v>-9637</v>
      </c>
    </row>
    <row r="20">
      <c r="A20" s="6" t="inlineStr">
        <is>
          <t>Net foreign exchange gain/(loss)</t>
        </is>
      </c>
      <c r="B20" s="6" t="n">
        <v>22</v>
      </c>
      <c r="C20" s="6" t="n">
        <v>332</v>
      </c>
      <c r="D20" s="6" t="n">
        <v>-725</v>
      </c>
      <c r="E20" s="6" t="n">
        <v>-166</v>
      </c>
      <c r="F20" s="6" t="n">
        <v>501</v>
      </c>
    </row>
    <row r="21">
      <c r="A21" s="5" t="inlineStr">
        <is>
          <t>Total operating expenses</t>
        </is>
      </c>
      <c r="B21" s="5" t="n">
        <v>-19378</v>
      </c>
      <c r="C21" s="5" t="n">
        <v>-14131</v>
      </c>
      <c r="D21" s="5" t="n">
        <v>-13829</v>
      </c>
      <c r="E21" s="5" t="n">
        <v>-15632</v>
      </c>
      <c r="F21" s="5" t="n">
        <v>-10134</v>
      </c>
    </row>
    <row r="22">
      <c r="A22" s="5" t="inlineStr">
        <is>
          <t>Profit/(loss) from continuing operations</t>
        </is>
      </c>
      <c r="B22" s="5" t="n">
        <v>1854</v>
      </c>
      <c r="C22" s="5" t="n">
        <v>-2460</v>
      </c>
      <c r="D22" s="5" t="n">
        <v>-5710</v>
      </c>
      <c r="E22" s="5" t="n">
        <v>-8718</v>
      </c>
      <c r="F22" s="5" t="n">
        <v>-3085</v>
      </c>
    </row>
    <row r="23">
      <c r="A23" s="6" t="inlineStr">
        <is>
          <t>Loss from discontinued operations, net of tax</t>
        </is>
      </c>
      <c r="B23" s="6" t="n"/>
      <c r="C23" s="6" t="n"/>
      <c r="D23" s="6" t="n"/>
      <c r="E23" s="6" t="n">
        <v>-3150</v>
      </c>
      <c r="F23" s="6" t="n"/>
    </row>
    <row r="24">
      <c r="A24" s="5" t="inlineStr">
        <is>
          <t>Profit/(loss) before tax for the year</t>
        </is>
      </c>
      <c r="B24" s="5" t="n">
        <v>1854</v>
      </c>
      <c r="C24" s="5" t="n">
        <v>-2460</v>
      </c>
      <c r="D24" s="5" t="n">
        <v>-5710</v>
      </c>
      <c r="E24" s="5" t="n">
        <v>-11868</v>
      </c>
      <c r="F24" s="5" t="n">
        <v>-3085</v>
      </c>
    </row>
    <row r="25">
      <c r="A25" s="6" t="inlineStr">
        <is>
          <t>Tax credit/(expense)</t>
        </is>
      </c>
      <c r="B25" s="6" t="n">
        <v>1580</v>
      </c>
      <c r="C25" s="6" t="n">
        <v>0</v>
      </c>
      <c r="D25" s="6" t="n"/>
      <c r="E25" s="6" t="n"/>
      <c r="F25" s="6" t="n"/>
    </row>
    <row r="26">
      <c r="A26" s="5" t="inlineStr">
        <is>
          <t>Profit/(loss) for the year</t>
        </is>
      </c>
      <c r="B26" s="5" t="n">
        <v>3434</v>
      </c>
      <c r="C26" s="5" t="n">
        <v>-2460</v>
      </c>
      <c r="D26" s="5" t="n">
        <v>-5710</v>
      </c>
      <c r="E26" s="5" t="n">
        <v>-11868</v>
      </c>
      <c r="F26" s="5" t="n">
        <v>-3085</v>
      </c>
    </row>
    <row r="28" ht="200" customHeight="1">
      <c r="A28"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FY2025/FY2024 are the only years with a disclosed Tax line (FY2024's is a genuine nil, not a gap) - FY2023/FY2022/FY2021 show 'Loss before tax and loss for the year' as a single figure with no separate tax charge disclosed. FY2022 is the only year to separately disclose discontinued operations (a £3,150k loss); every other year's activities are entirely continuing operations. 'Net fee and commission income' and 'Allowance for impairment loss' are not disclosed as their own subtotal/line in FY2021 - left blank rather than computed, since that year's own report doesn't present them that way.</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iFAST Global Bank Limited — Statement of Changes in Equity</t>
        </is>
      </c>
    </row>
    <row r="2">
      <c r="A2" s="2" t="inlineStr">
        <is>
          <t>Solo basis, £'000 — read chronologically, oldest to newest</t>
        </is>
      </c>
    </row>
    <row r="3">
      <c r="A3" s="4" t="inlineStr">
        <is>
          <t>Movement</t>
        </is>
      </c>
      <c r="B3" s="4" t="inlineStr">
        <is>
          <t>Share capital</t>
        </is>
      </c>
      <c r="C3" s="4" t="inlineStr">
        <is>
          <t>Contingent Capital Note</t>
        </is>
      </c>
      <c r="D3" s="4" t="inlineStr">
        <is>
          <t>Share option reserve</t>
        </is>
      </c>
      <c r="E3" s="4" t="inlineStr">
        <is>
          <t>Other equity instruments</t>
        </is>
      </c>
      <c r="F3" s="4" t="inlineStr">
        <is>
          <t>Retained earnings</t>
        </is>
      </c>
      <c r="G3" s="4" t="inlineStr">
        <is>
          <t>Total equity</t>
        </is>
      </c>
    </row>
    <row r="4">
      <c r="A4" s="5" t="inlineStr">
        <is>
          <t>At 31 December 2021</t>
        </is>
      </c>
      <c r="B4" s="5" t="n">
        <v>40200</v>
      </c>
      <c r="C4" s="5" t="n">
        <v>4500</v>
      </c>
      <c r="D4" s="5" t="n"/>
      <c r="E4" s="5" t="n"/>
      <c r="F4" s="5" t="n">
        <v>-27751</v>
      </c>
      <c r="G4" s="5" t="n">
        <v>16949</v>
      </c>
    </row>
    <row r="5">
      <c r="A5" s="6" t="inlineStr">
        <is>
          <t>Loss for the year</t>
        </is>
      </c>
      <c r="B5" s="6" t="n"/>
      <c r="C5" s="6" t="n"/>
      <c r="D5" s="6" t="n"/>
      <c r="E5" s="6" t="n"/>
      <c r="F5" s="6" t="n">
        <v>-11868</v>
      </c>
      <c r="G5" s="6" t="n">
        <v>-11868</v>
      </c>
    </row>
    <row r="6">
      <c r="A6" s="6" t="inlineStr">
        <is>
          <t>Release of contingent capital note</t>
        </is>
      </c>
      <c r="B6" s="6" t="n"/>
      <c r="C6" s="6" t="n">
        <v>-4500</v>
      </c>
      <c r="D6" s="6" t="n"/>
      <c r="E6" s="6" t="n"/>
      <c r="F6" s="6" t="n"/>
      <c r="G6" s="6" t="n">
        <v>-4500</v>
      </c>
    </row>
    <row r="7">
      <c r="A7" s="6" t="inlineStr">
        <is>
          <t>Share capital issuance</t>
        </is>
      </c>
      <c r="B7" s="6" t="n">
        <v>34500</v>
      </c>
      <c r="C7" s="6" t="n"/>
      <c r="D7" s="6" t="n"/>
      <c r="E7" s="6" t="n"/>
      <c r="F7" s="6" t="n"/>
      <c r="G7" s="6" t="n">
        <v>34500</v>
      </c>
    </row>
    <row r="8">
      <c r="A8" s="5" t="inlineStr">
        <is>
          <t>At 31 December 2022</t>
        </is>
      </c>
      <c r="B8" s="5" t="n">
        <v>74700</v>
      </c>
      <c r="C8" s="5" t="n">
        <v>0</v>
      </c>
      <c r="D8" s="5" t="n"/>
      <c r="E8" s="5" t="n"/>
      <c r="F8" s="5" t="n">
        <v>-39619</v>
      </c>
      <c r="G8" s="5" t="n">
        <v>35081</v>
      </c>
    </row>
    <row r="9">
      <c r="A9" s="6" t="inlineStr">
        <is>
          <t>Loss for the year</t>
        </is>
      </c>
      <c r="B9" s="6" t="n"/>
      <c r="C9" s="6" t="n"/>
      <c r="D9" s="6" t="n"/>
      <c r="E9" s="6" t="n"/>
      <c r="F9" s="6" t="n">
        <v>-5710</v>
      </c>
      <c r="G9" s="6" t="n">
        <v>-5710</v>
      </c>
    </row>
    <row r="10">
      <c r="A10" s="6" t="inlineStr">
        <is>
          <t>Share capital issuance</t>
        </is>
      </c>
      <c r="B10" s="6" t="n">
        <v>10000</v>
      </c>
      <c r="C10" s="6" t="n"/>
      <c r="D10" s="6" t="n"/>
      <c r="E10" s="6" t="n"/>
      <c r="F10" s="6" t="n"/>
      <c r="G10" s="6" t="n">
        <v>10000</v>
      </c>
    </row>
    <row r="11">
      <c r="A11" s="6" t="inlineStr">
        <is>
          <t>Share-based payment</t>
        </is>
      </c>
      <c r="B11" s="6" t="n"/>
      <c r="C11" s="6" t="n"/>
      <c r="D11" s="6" t="n">
        <v>110</v>
      </c>
      <c r="E11" s="6" t="n"/>
      <c r="F11" s="6" t="n"/>
      <c r="G11" s="6" t="n">
        <v>110</v>
      </c>
    </row>
    <row r="12">
      <c r="A12" s="5" t="inlineStr">
        <is>
          <t>At 31 December 2023</t>
        </is>
      </c>
      <c r="B12" s="5" t="n">
        <v>84700</v>
      </c>
      <c r="C12" s="5" t="n">
        <v>0</v>
      </c>
      <c r="D12" s="5" t="n">
        <v>110</v>
      </c>
      <c r="E12" s="5" t="n"/>
      <c r="F12" s="5" t="n">
        <v>-45329</v>
      </c>
      <c r="G12" s="5" t="n">
        <v>39481</v>
      </c>
    </row>
    <row r="13">
      <c r="A13" s="6" t="inlineStr">
        <is>
          <t>Loss for the year</t>
        </is>
      </c>
      <c r="B13" s="6" t="n"/>
      <c r="C13" s="6" t="n"/>
      <c r="D13" s="6" t="n"/>
      <c r="E13" s="6" t="n"/>
      <c r="F13" s="6" t="n">
        <v>-2460</v>
      </c>
      <c r="G13" s="6" t="n">
        <v>-2460</v>
      </c>
    </row>
    <row r="14">
      <c r="A14" s="6" t="inlineStr">
        <is>
          <t>Share capital issuance</t>
        </is>
      </c>
      <c r="B14" s="6" t="n">
        <v>40000</v>
      </c>
      <c r="C14" s="6" t="n"/>
      <c r="D14" s="6" t="n"/>
      <c r="E14" s="6" t="n"/>
      <c r="F14" s="6" t="n"/>
      <c r="G14" s="6" t="n">
        <v>40000</v>
      </c>
    </row>
    <row r="15">
      <c r="A15" s="6" t="inlineStr">
        <is>
          <t>Share-based payment</t>
        </is>
      </c>
      <c r="B15" s="6" t="n"/>
      <c r="C15" s="6" t="n"/>
      <c r="D15" s="6" t="n">
        <v>326</v>
      </c>
      <c r="E15" s="6" t="n"/>
      <c r="F15" s="6" t="n"/>
      <c r="G15" s="6" t="n">
        <v>326</v>
      </c>
    </row>
    <row r="16">
      <c r="A16" s="5" t="inlineStr">
        <is>
          <t>At 31 December 2024</t>
        </is>
      </c>
      <c r="B16" s="5" t="n">
        <v>124700</v>
      </c>
      <c r="C16" s="5" t="n">
        <v>0</v>
      </c>
      <c r="D16" s="5" t="n">
        <v>436</v>
      </c>
      <c r="E16" s="5" t="n">
        <v>0</v>
      </c>
      <c r="F16" s="5" t="n">
        <v>-47789</v>
      </c>
      <c r="G16" s="5" t="n">
        <v>77347</v>
      </c>
    </row>
    <row r="17">
      <c r="A17" s="6" t="inlineStr">
        <is>
          <t>Profit for the year</t>
        </is>
      </c>
      <c r="B17" s="6" t="n"/>
      <c r="C17" s="6" t="n"/>
      <c r="D17" s="6" t="n"/>
      <c r="E17" s="6" t="n"/>
      <c r="F17" s="6" t="n">
        <v>3434</v>
      </c>
      <c r="G17" s="6" t="n">
        <v>3434</v>
      </c>
    </row>
    <row r="18">
      <c r="A18" s="6" t="inlineStr">
        <is>
          <t>Share-based payment</t>
        </is>
      </c>
      <c r="B18" s="6" t="n"/>
      <c r="C18" s="6" t="n"/>
      <c r="D18" s="6" t="n">
        <v>420</v>
      </c>
      <c r="E18" s="6" t="n"/>
      <c r="F18" s="6" t="n"/>
      <c r="G18" s="6" t="n">
        <v>420</v>
      </c>
    </row>
    <row r="19">
      <c r="A19" s="6" t="inlineStr">
        <is>
          <t>AT1 issuance</t>
        </is>
      </c>
      <c r="B19" s="6" t="n"/>
      <c r="C19" s="6" t="n"/>
      <c r="D19" s="6" t="n"/>
      <c r="E19" s="6" t="n">
        <v>15023</v>
      </c>
      <c r="F19" s="6" t="n"/>
      <c r="G19" s="6" t="n">
        <v>15023</v>
      </c>
    </row>
    <row r="20">
      <c r="A20" s="6" t="inlineStr">
        <is>
          <t>AT1 note interest</t>
        </is>
      </c>
      <c r="B20" s="6" t="n"/>
      <c r="C20" s="6" t="n"/>
      <c r="D20" s="6" t="n"/>
      <c r="E20" s="6" t="n"/>
      <c r="F20" s="6" t="n">
        <v>-347</v>
      </c>
      <c r="G20" s="6" t="n">
        <v>-347</v>
      </c>
    </row>
    <row r="21">
      <c r="A21" s="5" t="inlineStr">
        <is>
          <t>At 31 December 2025</t>
        </is>
      </c>
      <c r="B21" s="5" t="n">
        <v>124700</v>
      </c>
      <c r="C21" s="5" t="n">
        <v>0</v>
      </c>
      <c r="D21" s="5" t="n">
        <v>856</v>
      </c>
      <c r="E21" s="5" t="n">
        <v>14676</v>
      </c>
      <c r="F21" s="5" t="n">
        <v>-44355</v>
      </c>
      <c r="G21" s="5" t="n">
        <v>95877</v>
      </c>
    </row>
    <row r="23" ht="210" customHeight="1">
      <c r="A23" s="8" t="inlineStr">
        <is>
          <t>Sources - all figures are iFAST Global Bank Limited's own Statement of Financial Position / Statement of Comprehensive Income / Statement of Changes in Equity:
FY2025: iFAST Global Bank Ltd. Annual Report 2025, p.34-35 - https://static.ifastgb.com/investor-relations/iFAST%20Global%20Bank%20Ltd.%20Annual%20Report%202025.pdf
FY2024: iFAST Global Bank Ltd. Annual Report 2024, p.32-33 - https://static.ifastgb.com/investor-relations/iFAST%20Global%20Bank%20Ltd.%20Annual%20Report%202024.pdf
FY2023: iFAST Global Bank Ltd. Annual Report 2023, p.34-35 - https://www.ifastgb.com/assets/static-file/investor-relations/iFAST%20Global%20Bank%20Ltd.%20Annual%20Report%202023.pdf
FY2022: iFAST Global Bank Ltd. Annual Report 2023, p.34-35 (FY2022 comparative column, plus the Statement of changes in equity's own FY2022 roll-forward detail) - https://www.ifastgb.com/assets/static-file/investor-relations/iFAST%20Global%20Bank%20Ltd.%20Annual%20Report%202023.pdf
FY2021: iFAST Global Bank Ltd. Annual Report 2021, p.30-31 - https://www.ifastgb.com/assets/static-file/investor-relations/iFAST%20Global%20Bank%20Ltd.%20Annual%20Report%202021.pdf
iFAST Global Bank Limited (company no. 04797759, formerly BFC Bank Limited until 31 March 2022) - solo/entity basis throughout (the Bank has no subsidiaries). No standalone Annual Report exists for FY2022 (BFC Bank Limited rebranded mid-year); FY2022 figures are iFAST Global Bank Ltd. Annual Report 2023's own FY2022 comparative column, which that report itself labels 'Restated' for the income statement (income-statement presentation was reorganised, not a numeric restatement - the loss figure of £(11,868)k for FY2022 is unchanged across every report that shows it). Balance sheet line items genuinely change across vintages: 'Debt instruments at fair value through profit or loss' only appears as its own line in FY2023 (absorbed elsewhere once reclassified in FY2024); 'Loans and advances to customers' and 'Debt instruments held at amortised cost' first appear from FY2022/FY2024 respectively as the Bank's balance sheet grew roughly 7x following the 2022 iFAST Corporation acquisition; 'Deferred tax' and 'Other equity instruments' (an AT1 Perpetual Note) first appear in FY2025 only. Equity reconciliation ladder: every year's closing balance ties exactly to both the next year's own reported opening balance and that year's own Balance Sheet Total equity - zero plug rows needed anywhere in this 5-year window, including through FY2022's 'Release of contingent capital note' (£4,500k, zeroing that reserve) - an easy-to-miss movement caught by reading the FY2023 Annual Report's own equity statement in full, which is also the only source disclosing FY2022's own detailed equity roll-forward (no standalone FY2022 Annual Report exists). One genuine, not-force-reconciled discrepancy: FY2022's 'Share capital issuance' is £34,500k per the Statement of Changes in Equity, but the pre-existing Cash Flow Statement's 'Proceeds from the issue of ordinary shares' for FY2022 is £30,000k - both are the Bank's own disclosed figures from the same Annual Report, reproduced as reported.</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iFAST Global Bank Limited — Statement of Cash Flows</t>
        </is>
      </c>
    </row>
    <row r="2">
      <c r="A2" s="2" t="inlineStr">
        <is>
          <t>iFAST Global Bank Limited (solo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outflows generated from operating activities</t>
        </is>
      </c>
      <c r="B4" s="6" t="n"/>
      <c r="C4" s="6" t="n"/>
      <c r="D4" s="6" t="n"/>
      <c r="E4" s="6" t="n"/>
      <c r="F4" s="6" t="n"/>
    </row>
    <row r="5">
      <c r="A5" s="6" t="inlineStr">
        <is>
          <t>Profit/(Loss) before tax</t>
        </is>
      </c>
      <c r="B5" s="6" t="n">
        <v>3434</v>
      </c>
      <c r="C5" s="6" t="n">
        <v>-2460</v>
      </c>
      <c r="D5" s="6" t="n">
        <v>-5710</v>
      </c>
      <c r="E5" s="6" t="n">
        <v>-11868</v>
      </c>
      <c r="F5" s="6" t="n">
        <v>-3085</v>
      </c>
    </row>
    <row r="6">
      <c r="A6" s="5" t="inlineStr">
        <is>
          <t>Adjustment for non-cash items</t>
        </is>
      </c>
      <c r="B6" s="6" t="n"/>
      <c r="C6" s="6" t="n"/>
      <c r="D6" s="6" t="n"/>
      <c r="E6" s="6" t="n"/>
      <c r="F6" s="6" t="n"/>
    </row>
    <row r="7">
      <c r="A7" s="6" t="inlineStr">
        <is>
          <t>Depreciation</t>
        </is>
      </c>
      <c r="B7" s="6" t="n">
        <v>397</v>
      </c>
      <c r="C7" s="6" t="n">
        <v>313</v>
      </c>
      <c r="D7" s="6" t="n">
        <v>323</v>
      </c>
      <c r="E7" s="6" t="n">
        <v>376</v>
      </c>
      <c r="F7" s="6" t="n">
        <v>363</v>
      </c>
    </row>
    <row r="8">
      <c r="A8" s="6" t="inlineStr">
        <is>
          <t>Amortisation</t>
        </is>
      </c>
      <c r="B8" s="6" t="n">
        <v>149</v>
      </c>
      <c r="C8" s="6" t="n">
        <v>141</v>
      </c>
      <c r="D8" s="6" t="n">
        <v>12</v>
      </c>
      <c r="E8" s="6" t="n">
        <v>159</v>
      </c>
      <c r="F8" s="6" t="n">
        <v>635</v>
      </c>
    </row>
    <row r="9">
      <c r="A9" s="6" t="inlineStr">
        <is>
          <t>Fair value (loss)/gain on derivatives</t>
        </is>
      </c>
      <c r="B9" s="6" t="n">
        <v>-52</v>
      </c>
      <c r="C9" s="6" t="n">
        <v>194</v>
      </c>
      <c r="D9" s="6" t="n">
        <v>-274</v>
      </c>
      <c r="E9" s="6" t="n">
        <v>178</v>
      </c>
      <c r="F9" s="6" t="n">
        <v>531</v>
      </c>
    </row>
    <row r="10">
      <c r="A10" s="6" t="inlineStr">
        <is>
          <t>Net foreign exchange (gain)/loss</t>
        </is>
      </c>
      <c r="B10" s="6" t="n">
        <v>-22</v>
      </c>
      <c r="C10" s="6" t="n">
        <v>-332</v>
      </c>
      <c r="D10" s="6" t="n">
        <v>725</v>
      </c>
      <c r="E10" s="6" t="n">
        <v>209</v>
      </c>
      <c r="F10" s="6" t="n">
        <v>-501</v>
      </c>
    </row>
    <row r="11">
      <c r="A11" s="6" t="inlineStr">
        <is>
          <t>Finance costs on lease</t>
        </is>
      </c>
      <c r="B11" s="6" t="n">
        <v>14</v>
      </c>
      <c r="C11" s="6" t="n">
        <v>4</v>
      </c>
      <c r="D11" s="6" t="n">
        <v>8</v>
      </c>
      <c r="E11" s="6" t="n">
        <v>6</v>
      </c>
      <c r="F11" s="6" t="n">
        <v>174</v>
      </c>
    </row>
    <row r="12">
      <c r="A12" s="6" t="inlineStr">
        <is>
          <t>Share option reserve</t>
        </is>
      </c>
      <c r="B12" s="6" t="n">
        <v>420</v>
      </c>
      <c r="C12" s="6" t="n">
        <v>326</v>
      </c>
      <c r="D12" s="6" t="n"/>
      <c r="E12" s="6" t="n"/>
      <c r="F12" s="6" t="n"/>
    </row>
    <row r="13">
      <c r="A13" s="6" t="inlineStr">
        <is>
          <t>Other non-cash items included in profit before tax</t>
        </is>
      </c>
      <c r="B13" s="6" t="n">
        <v>303</v>
      </c>
      <c r="C13" s="6" t="n">
        <v>179</v>
      </c>
      <c r="D13" s="6" t="n">
        <v>116</v>
      </c>
      <c r="E13" s="6" t="n">
        <v>3869</v>
      </c>
      <c r="F13" s="6" t="n">
        <v>7</v>
      </c>
    </row>
    <row r="14">
      <c r="A14" s="6" t="inlineStr">
        <is>
          <t>Profit on sale of bonds</t>
        </is>
      </c>
      <c r="B14" s="6" t="n">
        <v>-8</v>
      </c>
      <c r="C14" s="6" t="n">
        <v>-2</v>
      </c>
      <c r="D14" s="6" t="n"/>
      <c r="E14" s="6" t="n"/>
      <c r="F14" s="6" t="n"/>
    </row>
    <row r="15">
      <c r="A15" s="6" t="inlineStr">
        <is>
          <t>Interest received</t>
        </is>
      </c>
      <c r="B15" s="6" t="n"/>
      <c r="C15" s="6" t="n"/>
      <c r="D15" s="6" t="n"/>
      <c r="E15" s="6" t="n"/>
      <c r="F15" s="6" t="n">
        <v>-13</v>
      </c>
    </row>
    <row r="16">
      <c r="A16" s="6" t="inlineStr">
        <is>
          <t>Interest paid</t>
        </is>
      </c>
      <c r="B16" s="6" t="n"/>
      <c r="C16" s="6" t="n"/>
      <c r="D16" s="6" t="n"/>
      <c r="E16" s="6" t="n"/>
      <c r="F16" s="6" t="n">
        <v>170</v>
      </c>
    </row>
    <row r="17">
      <c r="A17" s="5" t="inlineStr">
        <is>
          <t>Changes in operating assets and liabilities</t>
        </is>
      </c>
      <c r="B17" s="6" t="n"/>
      <c r="C17" s="6" t="n"/>
      <c r="D17" s="6" t="n"/>
      <c r="E17" s="6" t="n"/>
      <c r="F17" s="6" t="n"/>
    </row>
    <row r="18">
      <c r="A18" s="6" t="inlineStr">
        <is>
          <t>Increase in loans to customers</t>
        </is>
      </c>
      <c r="B18" s="6" t="n">
        <v>-55103</v>
      </c>
      <c r="C18" s="6" t="n">
        <v>-25046</v>
      </c>
      <c r="D18" s="6" t="n"/>
      <c r="E18" s="6" t="n"/>
      <c r="F18" s="6" t="n"/>
    </row>
    <row r="19">
      <c r="A19" s="6" t="inlineStr">
        <is>
          <t>Increase in amounts due to customers</t>
        </is>
      </c>
      <c r="B19" s="6" t="n">
        <v>331049</v>
      </c>
      <c r="C19" s="6" t="n">
        <v>375082</v>
      </c>
      <c r="D19" s="6" t="n">
        <v>161254</v>
      </c>
      <c r="E19" s="6" t="n">
        <v>31320</v>
      </c>
      <c r="F19" s="6" t="n"/>
    </row>
    <row r="20">
      <c r="A20" s="6" t="inlineStr">
        <is>
          <t>Net (increase)/decrease in receivables</t>
        </is>
      </c>
      <c r="B20" s="6" t="n">
        <v>-7962</v>
      </c>
      <c r="C20" s="6" t="n">
        <v>-3886</v>
      </c>
      <c r="D20" s="6" t="n">
        <v>-9207</v>
      </c>
      <c r="E20" s="6" t="n">
        <v>-2025</v>
      </c>
      <c r="F20" s="6" t="n">
        <v>-2477</v>
      </c>
    </row>
    <row r="21">
      <c r="A21" s="6" t="inlineStr">
        <is>
          <t>Net (decrease)/increase in payables</t>
        </is>
      </c>
      <c r="B21" s="6" t="n">
        <v>-674</v>
      </c>
      <c r="C21" s="6" t="n">
        <v>-488</v>
      </c>
      <c r="D21" s="6" t="n">
        <v>3716</v>
      </c>
      <c r="E21" s="6" t="n">
        <v>-1686</v>
      </c>
      <c r="F21" s="6" t="n">
        <v>-4432</v>
      </c>
    </row>
    <row r="22">
      <c r="A22" s="6" t="inlineStr">
        <is>
          <t>Purchase of assets at fair value through profit and loss</t>
        </is>
      </c>
      <c r="B22" s="6" t="n"/>
      <c r="C22" s="6" t="n"/>
      <c r="D22" s="6" t="n">
        <v>-23924</v>
      </c>
      <c r="E22" s="6" t="n"/>
      <c r="F22" s="6" t="n"/>
    </row>
    <row r="23">
      <c r="A23" s="6" t="inlineStr">
        <is>
          <t>Purchase of debt instruments at amortised cost</t>
        </is>
      </c>
      <c r="B23" s="6" t="n"/>
      <c r="C23" s="6" t="n"/>
      <c r="D23" s="6" t="n">
        <v>-55440</v>
      </c>
      <c r="E23" s="6" t="n">
        <v>-31954</v>
      </c>
      <c r="F23" s="6" t="n"/>
    </row>
    <row r="24">
      <c r="A24" s="6" t="inlineStr">
        <is>
          <t>Proceeds from sale of debt instruments at amortised cost</t>
        </is>
      </c>
      <c r="B24" s="6" t="n"/>
      <c r="C24" s="6" t="n"/>
      <c r="D24" s="6" t="n">
        <v>26720</v>
      </c>
      <c r="E24" s="6" t="n">
        <v>2108</v>
      </c>
      <c r="F24" s="6" t="n"/>
    </row>
    <row r="25">
      <c r="A25" s="5" t="inlineStr">
        <is>
          <t>Net inflows/(outflows) from operating activities</t>
        </is>
      </c>
      <c r="B25" s="5" t="n">
        <v>271945</v>
      </c>
      <c r="C25" s="5" t="n">
        <v>344025</v>
      </c>
      <c r="D25" s="5" t="n">
        <v>98319</v>
      </c>
      <c r="E25" s="5" t="n">
        <v>-9308</v>
      </c>
      <c r="F25" s="5" t="n">
        <v>-8628</v>
      </c>
    </row>
    <row r="26">
      <c r="A26" s="5" t="inlineStr">
        <is>
          <t>Cash flows from investing activities</t>
        </is>
      </c>
      <c r="B26" s="6" t="n"/>
      <c r="C26" s="6" t="n"/>
      <c r="D26" s="6" t="n"/>
      <c r="E26" s="6" t="n"/>
      <c r="F26" s="6" t="n"/>
    </row>
    <row r="27">
      <c r="A27" s="6" t="inlineStr">
        <is>
          <t>Purchase of debt instruments at amortised cost</t>
        </is>
      </c>
      <c r="B27" s="6" t="n">
        <v>-679033</v>
      </c>
      <c r="C27" s="6" t="n">
        <v>-381174</v>
      </c>
      <c r="D27" s="6" t="n"/>
      <c r="E27" s="6" t="n"/>
      <c r="F27" s="6" t="n"/>
    </row>
    <row r="28">
      <c r="A28" s="6" t="inlineStr">
        <is>
          <t>Proceeds from sale of debt instruments at amortised cost</t>
        </is>
      </c>
      <c r="B28" s="6" t="n">
        <v>456071</v>
      </c>
      <c r="C28" s="6" t="n">
        <v>122523</v>
      </c>
      <c r="D28" s="6" t="n"/>
      <c r="E28" s="6" t="n"/>
      <c r="F28" s="6" t="n"/>
    </row>
    <row r="29">
      <c r="A29" s="6" t="inlineStr">
        <is>
          <t>Purchase of property, plant and equipment</t>
        </is>
      </c>
      <c r="B29" s="6" t="n">
        <v>-728</v>
      </c>
      <c r="C29" s="6" t="n">
        <v>-19</v>
      </c>
      <c r="D29" s="6" t="n">
        <v>-52</v>
      </c>
      <c r="E29" s="6" t="n">
        <v>-268</v>
      </c>
      <c r="F29" s="6" t="n">
        <v>-125</v>
      </c>
    </row>
    <row r="30">
      <c r="A30" s="6" t="inlineStr">
        <is>
          <t>Purchase of intangible assets</t>
        </is>
      </c>
      <c r="B30" s="6" t="n">
        <v>-24</v>
      </c>
      <c r="C30" s="6" t="n"/>
      <c r="D30" s="6" t="n">
        <v>-438</v>
      </c>
      <c r="E30" s="6" t="n"/>
      <c r="F30" s="6" t="n"/>
    </row>
    <row r="31">
      <c r="A31" s="5" t="inlineStr">
        <is>
          <t>Net outflows from investing activities</t>
        </is>
      </c>
      <c r="B31" s="5" t="n">
        <v>-223714</v>
      </c>
      <c r="C31" s="5" t="n">
        <v>-258670</v>
      </c>
      <c r="D31" s="5" t="n">
        <v>-490</v>
      </c>
      <c r="E31" s="5" t="n">
        <v>-268</v>
      </c>
      <c r="F31" s="5" t="n">
        <v>-125</v>
      </c>
    </row>
    <row r="32">
      <c r="A32" s="5" t="inlineStr">
        <is>
          <t>Cash flows from financing activities</t>
        </is>
      </c>
      <c r="B32" s="6" t="n"/>
      <c r="C32" s="6" t="n"/>
      <c r="D32" s="6" t="n"/>
      <c r="E32" s="6" t="n"/>
      <c r="F32" s="6" t="n"/>
    </row>
    <row r="33">
      <c r="A33" s="6" t="inlineStr">
        <is>
          <t>Proceeds from the issue of ordinary shares</t>
        </is>
      </c>
      <c r="B33" s="6" t="n"/>
      <c r="C33" s="6" t="n">
        <v>40000</v>
      </c>
      <c r="D33" s="6" t="n">
        <v>10000</v>
      </c>
      <c r="E33" s="6" t="n">
        <v>30000</v>
      </c>
      <c r="F33" s="6" t="n"/>
    </row>
    <row r="34">
      <c r="A34" s="6" t="inlineStr">
        <is>
          <t>Issue of AT1 Perpetual Note net of fees</t>
        </is>
      </c>
      <c r="B34" s="6" t="n">
        <v>15023</v>
      </c>
      <c r="C34" s="6" t="n"/>
      <c r="D34" s="6" t="n"/>
      <c r="E34" s="6" t="n"/>
      <c r="F34" s="6" t="n"/>
    </row>
    <row r="35">
      <c r="A35" s="6" t="inlineStr">
        <is>
          <t>Payment of principal portion of lease liabilities</t>
        </is>
      </c>
      <c r="B35" s="6" t="n">
        <v>-178</v>
      </c>
      <c r="C35" s="6" t="n">
        <v>-331</v>
      </c>
      <c r="D35" s="6" t="n">
        <v>-302</v>
      </c>
      <c r="E35" s="6" t="n"/>
      <c r="F35" s="6" t="n">
        <v>-730</v>
      </c>
    </row>
    <row r="36">
      <c r="A36" s="6" t="inlineStr">
        <is>
          <t>Payment of principal and interest portion of lease liabilities</t>
        </is>
      </c>
      <c r="B36" s="6" t="n"/>
      <c r="C36" s="6" t="n"/>
      <c r="D36" s="6" t="n"/>
      <c r="E36" s="6" t="n">
        <v>1107</v>
      </c>
      <c r="F36" s="6" t="n"/>
    </row>
    <row r="37">
      <c r="A37" s="5" t="inlineStr">
        <is>
          <t>Net inflows/(outflows) from financing activities</t>
        </is>
      </c>
      <c r="B37" s="5" t="n">
        <v>14845</v>
      </c>
      <c r="C37" s="5" t="n">
        <v>39669</v>
      </c>
      <c r="D37" s="5" t="n">
        <v>9698</v>
      </c>
      <c r="E37" s="5" t="n">
        <v>31107</v>
      </c>
      <c r="F37" s="5" t="n">
        <v>-730</v>
      </c>
    </row>
    <row r="38">
      <c r="A38" s="5" t="inlineStr">
        <is>
          <t>Net increase/(decrease) in cash and cash equivalents</t>
        </is>
      </c>
      <c r="B38" s="5" t="n">
        <v>63076</v>
      </c>
      <c r="C38" s="5" t="n">
        <v>125024</v>
      </c>
      <c r="D38" s="5" t="n">
        <v>107527</v>
      </c>
      <c r="E38" s="5" t="n">
        <v>21530</v>
      </c>
      <c r="F38" s="5" t="n">
        <v>-9483</v>
      </c>
    </row>
    <row r="39">
      <c r="A39" s="6" t="inlineStr">
        <is>
          <t>Cash and cash equivalents at beginning of year</t>
        </is>
      </c>
      <c r="B39" s="6" t="n">
        <v>330938</v>
      </c>
      <c r="C39" s="6" t="n">
        <v>205582</v>
      </c>
      <c r="D39" s="6" t="n">
        <v>74856</v>
      </c>
      <c r="E39" s="6" t="n">
        <v>53534</v>
      </c>
      <c r="F39" s="6" t="n">
        <v>62516</v>
      </c>
    </row>
    <row r="40">
      <c r="A40" s="6" t="inlineStr">
        <is>
          <t>Effect of exchange rate fluctuations on cash and cash equivalents</t>
        </is>
      </c>
      <c r="B40" s="6" t="n">
        <v>22</v>
      </c>
      <c r="C40" s="6" t="n">
        <v>332</v>
      </c>
      <c r="D40" s="6" t="n">
        <v>-725</v>
      </c>
      <c r="E40" s="6" t="n">
        <v>-209</v>
      </c>
      <c r="F40" s="6" t="n">
        <v>501</v>
      </c>
    </row>
    <row r="41">
      <c r="A41" s="5" t="inlineStr">
        <is>
          <t>Cash and cash equivalents at end of financial year</t>
        </is>
      </c>
      <c r="B41" s="5" t="n">
        <v>394036</v>
      </c>
      <c r="C41" s="5" t="n">
        <v>330938</v>
      </c>
      <c r="D41" s="5" t="n">
        <v>181658</v>
      </c>
      <c r="E41" s="5" t="n">
        <v>74856</v>
      </c>
      <c r="F41" s="5" t="n">
        <v>53534</v>
      </c>
    </row>
    <row r="43" ht="130" customHeight="1">
      <c r="A43" s="8" t="inlineStr">
        <is>
          <t>Sources — iFAST Global Bank Limited (company no. 04797759, formerly BFC Bank Limited until 31 March 2022) standalone Statement of cash flows, £'000:
FY2025 &amp; FY2024: iFAST Global Bank Ltd. Annual Report 2025, p.36 (Statement of cash flows) — https://static.ifastgb.com/investor-relations/iFAST%20Global%20Bank%20Ltd.%20Annual%20Report%202025.pdf
FY2022: iFAST Global Bank Ltd. Annual Report 2023, p.36 (Statement of cash flows, FY2022 comparative column, as originally reported) — https://www.ifastgb.com/assets/static-file/investor-relations/iFAST%20Global%20Bank%20Ltd.%20Annual%20Report%202023.pdf
FY2023: iFAST Global Bank Ltd. Annual Report 2023, p.36 (Statement of cash flows, as originally reported) — https://www.ifastgb.com/assets/static-file/investor-relations/iFAST%20Global%20Bank%20Ltd.%20Annual%20Report%202023.pdf
FY2021: iFAST Global Bank Ltd. Annual Report 2021, p.32 (Statement of cash flows) — https://www.ifastgb.com/assets/static-file/investor-relations/iFAST%20Global%20Bank%20Ltd.%20Annual%20Report%202021.pdf
Note: FY2023 cash and cash equivalents were subsequently restated in the FY2024 Annual Report (https://static.ifastgb.com/investor-relations/iFAST%20Global%20Bank%20Ltd.%20Annual%20Report%202024.pdf) — originally reported closing balance £181,658k, restated to £205,582k — due to Money Market Funds being reclassified from 'Debt instruments at FVPL' to cash and cash equivalents. This workbook uses the FY2023 figures as originally reported in the FY2023 Annual Report, so the FY2023 closing balance shown here will not tie to the FY2024 column's opening balance; this is a genuine disclosed restatement, not a transcription error. Line-item granularity also changes across vintages (e.g. FY2025/FY2024 itemise 'Increase in loans to customers' and 'Profit on sale of bonds' separately; FY2023/FY2022 itemise 'Purchase of assets at fair value through profit and loss'; FY2021 itemises 'Interest received'/'Interest paid' separately) — section totals are consistent and comparable across all 5 years.</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iFAST Global Bank Limited — Asset Quality</t>
        </is>
      </c>
    </row>
    <row r="2">
      <c r="A2" s="2" t="inlineStr">
        <is>
          <t>Solo basis, £'000. Entire book has sat in Stage 1 throughout FY2021-FY2025 - a genuine feature,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Aggregate credit-risk exposure by IFRS 9 stage (cash balances, receivables, debt instruments, loans and advances to customers, derivatives)</t>
        </is>
      </c>
      <c r="B4" s="6" t="n"/>
      <c r="C4" s="6" t="n"/>
      <c r="D4" s="6" t="n"/>
      <c r="E4" s="6" t="n"/>
      <c r="F4" s="6" t="n"/>
    </row>
    <row r="5">
      <c r="A5" s="6" t="inlineStr">
        <is>
          <t>Stage 1 gross exposure</t>
        </is>
      </c>
      <c r="B5" s="6" t="n">
        <v>896500</v>
      </c>
      <c r="C5" s="6" t="n">
        <v>609339</v>
      </c>
      <c r="D5" s="6" t="n">
        <v>261048</v>
      </c>
      <c r="E5" s="6" t="n">
        <v>111457</v>
      </c>
      <c r="F5" s="6" t="n">
        <v>53027</v>
      </c>
    </row>
    <row r="6">
      <c r="A6" s="6" t="inlineStr">
        <is>
          <t>Stage 2 gross exposure</t>
        </is>
      </c>
      <c r="B6" s="6" t="n">
        <v>0</v>
      </c>
      <c r="C6" s="6" t="n">
        <v>0</v>
      </c>
      <c r="D6" s="6" t="n">
        <v>0</v>
      </c>
      <c r="E6" s="6" t="n">
        <v>0</v>
      </c>
      <c r="F6" s="6" t="n">
        <v>0</v>
      </c>
    </row>
    <row r="7">
      <c r="A7" s="6" t="inlineStr">
        <is>
          <t>Stage 3 gross exposure</t>
        </is>
      </c>
      <c r="B7" s="6" t="n">
        <v>0</v>
      </c>
      <c r="C7" s="6" t="n">
        <v>0</v>
      </c>
      <c r="D7" s="6" t="n">
        <v>0</v>
      </c>
      <c r="E7" s="6" t="n">
        <v>0</v>
      </c>
      <c r="F7" s="6" t="n">
        <v>0</v>
      </c>
    </row>
    <row r="8">
      <c r="A8" s="5" t="inlineStr">
        <is>
          <t>Total gross exposure</t>
        </is>
      </c>
      <c r="B8" s="5" t="n">
        <v>896500</v>
      </c>
      <c r="C8" s="5" t="n">
        <v>609339</v>
      </c>
      <c r="D8" s="5" t="n">
        <v>261048</v>
      </c>
      <c r="E8" s="5" t="n">
        <v>111457</v>
      </c>
      <c r="F8" s="5" t="n">
        <v>53027</v>
      </c>
    </row>
    <row r="9">
      <c r="A9" s="6" t="inlineStr">
        <is>
          <t>Less: allowance for impairment</t>
        </is>
      </c>
      <c r="B9" s="6" t="n">
        <v>-752</v>
      </c>
      <c r="C9" s="6" t="n">
        <v>-449</v>
      </c>
      <c r="D9" s="6" t="n">
        <v>-270</v>
      </c>
      <c r="E9" s="6" t="n">
        <v>-151</v>
      </c>
      <c r="F9" s="6" t="n">
        <v>-42</v>
      </c>
    </row>
    <row r="10">
      <c r="A10" s="5" t="inlineStr">
        <is>
          <t>Net exposure</t>
        </is>
      </c>
      <c r="B10" s="5" t="n">
        <v>895748</v>
      </c>
      <c r="C10" s="5" t="n">
        <v>608890</v>
      </c>
      <c r="D10" s="5" t="n">
        <v>260778</v>
      </c>
      <c r="E10" s="5" t="n">
        <v>111306</v>
      </c>
      <c r="F10" s="5" t="n">
        <v>52985</v>
      </c>
    </row>
    <row r="11">
      <c r="A11" s="6" t="inlineStr">
        <is>
          <t>ECL coverage ratio (allowance / gross exposure)</t>
        </is>
      </c>
      <c r="B11" s="6" t="inlineStr">
        <is>
          <t>0.08%</t>
        </is>
      </c>
      <c r="C11" s="6" t="inlineStr">
        <is>
          <t>0.07%</t>
        </is>
      </c>
      <c r="D11" s="6" t="inlineStr">
        <is>
          <t>0.10%</t>
        </is>
      </c>
      <c r="E11" s="6" t="inlineStr">
        <is>
          <t>0.14%</t>
        </is>
      </c>
      <c r="F11" s="6" t="inlineStr">
        <is>
          <t>0.08%</t>
        </is>
      </c>
    </row>
    <row r="13" ht="190" customHeight="1">
      <c r="A13" s="8" t="inlineStr">
        <is>
          <t>Sources - iFAST Global Bank Limited's own 'maximum exposure to credit risk by class of financial asset' table (aggregates cash balances with central banks/due from banks, trade receivables, debt instruments, loans and advances to customers, and derivative financial instruments; excludes Money Market Funds, which sit within cash and cash equivalents but outside this note):
FY2025/FY2024: iFAST Global Bank Ltd. Annual Report 2025, p.58-59 (Note 27, Credit risk) — https://static.ifastgb.com/investor-relations/iFAST%20Global%20Bank%20Ltd.%20Annual%20Report%202025.pdf
FY2023: iFAST Global Bank Ltd. Annual Report 2023, p.58-59 (Note 29, Credit risk) — https://www.ifastgb.com/assets/static-file/investor-relations/iFAST%20Global%20Bank%20Ltd.%20Annual%20Report%202023.pdf
FY2022: iFAST Global Bank Ltd. Annual Report 2023, p.59 (Note 29, Credit risk, FY2022 comparative column) — https://www.ifastgb.com/assets/static-file/investor-relations/iFAST%20Global%20Bank%20Ltd.%20Annual%20Report%202023.pdf
FY2021: iFAST Global Bank Ltd. Annual Report 2021, p.51 (Note 25, Credit risk) — https://www.ifastgb.com/assets/static-file/investor-relations/iFAST%20Global%20Bank%20Ltd.%20Annual%20Report%202021.pdf
The Bank's loan book is entirely business-to-business/short-tenor in nature; no Stage 2 or Stage 3 balance has existed in any of the 5 years covered by this workbook (confirmed by reading each note in full). Note that 'Loans and advances to customers' only exists as a distinct exposure class from FY2024 onward (see the Balance Sheet sheet's entity note) - it is already included within the aggregate figures above for the years in which it exists.</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79319</v>
      </c>
      <c r="C4" s="6" t="n">
        <v>76953</v>
      </c>
      <c r="D4" s="6" t="n">
        <v>39032</v>
      </c>
      <c r="E4" s="6" t="n">
        <v>35017</v>
      </c>
      <c r="F4" s="6" t="n">
        <v>8530</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CET1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20.2%</t>
        </is>
      </c>
      <c r="C4" s="6" t="inlineStr">
        <is>
          <t>28.1%</t>
        </is>
      </c>
      <c r="D4" s="6" t="inlineStr">
        <is>
          <t>36.3%</t>
        </is>
      </c>
      <c r="E4" s="6" t="inlineStr">
        <is>
          <t>40.7%</t>
        </is>
      </c>
      <c r="F4" s="6" t="inlineStr">
        <is>
          <t>14%</t>
        </is>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93994</v>
      </c>
      <c r="C4" s="6" t="n">
        <v>76953</v>
      </c>
      <c r="D4" s="6" t="n">
        <v>39032</v>
      </c>
      <c r="E4" s="6" t="n">
        <v>35017</v>
      </c>
      <c r="F4" s="6" t="n">
        <v>13030</v>
      </c>
    </row>
    <row r="5" ht="60" customHeight="1">
      <c r="A5" s="7" t="inlineStr">
        <is>
          <t>Note: FY2021's Pillar 3 disclosure did not use the UK KM1 template; the Tier 1 capital figure is taken from the Leverage Ratio Common Disclosure table, and equals Total Own Funds as no Tier 2 capital was held.</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Tier 1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 which equals the Tier 1 ratio as no Tier 2 capital was held that year.</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93994</v>
      </c>
      <c r="C4" s="6" t="n">
        <v>76953</v>
      </c>
      <c r="D4" s="6" t="n">
        <v>39032</v>
      </c>
      <c r="E4" s="6" t="n">
        <v>35017</v>
      </c>
      <c r="F4" s="6" t="n">
        <v>13030</v>
      </c>
    </row>
    <row r="5" ht="60" customHeight="1">
      <c r="A5" s="7" t="inlineStr">
        <is>
          <t>Note: FY2021 figure is 'Total Own funds' from the Own funds table (no Tier 2 capital held that year, so Total capital = Tier 1 capital).</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Capital Ratio</t>
        </is>
      </c>
    </row>
    <row r="2">
      <c r="A2" s="2" t="inlineStr">
        <is>
          <t>Solo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23.9%</t>
        </is>
      </c>
      <c r="C4" s="6" t="inlineStr">
        <is>
          <t>28.1%</t>
        </is>
      </c>
      <c r="D4" s="6" t="inlineStr">
        <is>
          <t>36.3%</t>
        </is>
      </c>
      <c r="E4" s="6" t="inlineStr">
        <is>
          <t>40.7%</t>
        </is>
      </c>
      <c r="F4" s="6" t="inlineStr">
        <is>
          <t>22%</t>
        </is>
      </c>
    </row>
    <row r="5" ht="60" customHeight="1">
      <c r="A5" s="7" t="inlineStr">
        <is>
          <t>Note: FY2021 figure is the 'Capital Adequacy Ratio' from the Own funds table.</t>
        </is>
      </c>
    </row>
    <row r="7" ht="10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Total RWAs</t>
        </is>
      </c>
    </row>
    <row r="2">
      <c r="A2" s="2" t="inlineStr">
        <is>
          <t>Solo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392607</v>
      </c>
      <c r="C4" s="6" t="n">
        <v>273772</v>
      </c>
      <c r="D4" s="6" t="n">
        <v>107539</v>
      </c>
      <c r="E4" s="6" t="n">
        <v>86029</v>
      </c>
      <c r="F4" s="6" t="n">
        <v>58982</v>
      </c>
    </row>
    <row r="6" ht="100" customHeight="1">
      <c r="A6"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iFAST Global Bank Limited — RWA Breakdown</t>
        </is>
      </c>
    </row>
    <row r="2">
      <c r="A2" s="2" t="inlineStr">
        <is>
          <t>Solo basis, £'000. FY2021 not publicly disclosed at category level.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338558</v>
      </c>
      <c r="C4" s="6" t="n">
        <v>237670</v>
      </c>
      <c r="D4" s="6" t="n">
        <v>80249</v>
      </c>
      <c r="E4" s="6" t="n">
        <v>47985</v>
      </c>
      <c r="F4" s="6" t="n"/>
    </row>
    <row r="5">
      <c r="A5" s="6" t="inlineStr">
        <is>
          <t>Counterparty credit risk (CCR)</t>
        </is>
      </c>
      <c r="B5" s="6" t="n">
        <v>405</v>
      </c>
      <c r="C5" s="6" t="n">
        <v>152</v>
      </c>
      <c r="D5" s="6" t="n">
        <v>534</v>
      </c>
      <c r="E5" s="6" t="n">
        <v>535</v>
      </c>
      <c r="F5" s="6" t="n"/>
    </row>
    <row r="6">
      <c r="A6" s="6" t="inlineStr">
        <is>
          <t>Of which credit valuation adjustment (CVA)</t>
        </is>
      </c>
      <c r="B6" s="6" t="n">
        <v>590</v>
      </c>
      <c r="C6" s="6" t="n">
        <v>301</v>
      </c>
      <c r="D6" s="6" t="n">
        <v>778</v>
      </c>
      <c r="E6" s="6" t="n">
        <v>779</v>
      </c>
      <c r="F6" s="6" t="n"/>
    </row>
    <row r="7">
      <c r="A7" s="6" t="inlineStr">
        <is>
          <t>Market risk (position, FX and commodities)</t>
        </is>
      </c>
      <c r="B7" s="6" t="n">
        <v>36743</v>
      </c>
      <c r="C7" s="6" t="n">
        <v>15850</v>
      </c>
      <c r="D7" s="6" t="n">
        <v>4524</v>
      </c>
      <c r="E7" s="6" t="n">
        <v>1184</v>
      </c>
      <c r="F7" s="6" t="n"/>
    </row>
    <row r="8">
      <c r="A8" s="6" t="inlineStr">
        <is>
          <t>Operational risk</t>
        </is>
      </c>
      <c r="B8" s="6" t="n">
        <v>16311</v>
      </c>
      <c r="C8" s="6" t="n">
        <v>19746</v>
      </c>
      <c r="D8" s="6" t="n">
        <v>21454</v>
      </c>
      <c r="E8" s="6" t="n">
        <v>35546</v>
      </c>
      <c r="F8" s="6" t="n"/>
    </row>
    <row r="9">
      <c r="A9" s="5" t="inlineStr">
        <is>
          <t>Total risk-weighted exposure amount</t>
        </is>
      </c>
      <c r="B9" s="5" t="n">
        <v>392607</v>
      </c>
      <c r="C9" s="5" t="n">
        <v>273718</v>
      </c>
      <c r="D9" s="5" t="n">
        <v>107539</v>
      </c>
      <c r="E9" s="5" t="n">
        <v>86029</v>
      </c>
      <c r="F9" s="5" t="n"/>
    </row>
    <row r="11" ht="200" customHeight="1">
      <c r="A11" s="8" t="inlineStr">
        <is>
          <t>Sources - iFAST Global Bank Limited's own Table UK OV1 (Overview of risk weighted exposure amounts):
FY2025/FY2024: iFAST Global Bank Limited Pillar 3 Disclosures 2025, p.21 (Table 4: UK OV1) — https://static.ifastgb.com/investor-relations/iFAST%20Global%20Bank%20Limited%20Pillar%203%20Disclosures%202025.pdf
FY2023/FY2022: iFAST Global Bank Limited Pillar 3 Disclosures 2023, p.15 (Table 4: UK OV1) — https://www.ifastgb.com/assets/static-file/investor-relations/iFAST%20Global%20Bank%20Limited%20Pillar%203%20Disclosures%202023.pdf
FY2021: not publicly disclosed at category level — the FY2021 (BFC Bank Limited) Pillar 3 Disclosures document's Section 6.3 'Pillar 1 capital requirement' promises a category breakdown but the table itself is absent from the published document (confirmed by reading the full section) - only the aggregate Total RWA figure exists that year (see the Total RWAs sheet) — https://www.ifastgb.com/assets/static-file/investor-relations/iFAST%20Global%20Bank%20Limited%20Pillar%203%20Disclosures%202021.pdf
Genuine, not-force-reconciled discrepancy: the FY2025 Pillar 3 document's own FY2024 comparative differs slightly between its two tables - this OV1 table's FY2024 Total is £273,718k, while the same document's Table 1 (UK KM1) FY2024 Total is £273,772k (used on the Total RWAs sheet for consistency with that sheet's other years); both are the Bank's own disclosed figures, reproduced as reported rather than reconciled.</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Leverage Ratio</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868024</v>
      </c>
      <c r="C4" s="6" t="n">
        <v>501384</v>
      </c>
      <c r="D4" s="6" t="n">
        <v>136351</v>
      </c>
      <c r="E4" s="6" t="n">
        <v>74160</v>
      </c>
      <c r="F4" s="6" t="n">
        <v>68805</v>
      </c>
    </row>
    <row r="5">
      <c r="A5" s="6" t="inlineStr">
        <is>
          <t>Regulatory leverage ratio (%)</t>
        </is>
      </c>
      <c r="B5" s="6" t="inlineStr">
        <is>
          <t>11.0%</t>
        </is>
      </c>
      <c r="C5" s="6" t="inlineStr">
        <is>
          <t>15.4%</t>
        </is>
      </c>
      <c r="D5" s="6" t="inlineStr">
        <is>
          <t>29.0%</t>
        </is>
      </c>
      <c r="E5" s="6" t="inlineStr">
        <is>
          <t>47.3%</t>
        </is>
      </c>
      <c r="F5" s="6" t="inlineStr">
        <is>
          <t>19%</t>
        </is>
      </c>
    </row>
    <row r="6" ht="60" customHeight="1">
      <c r="A6" s="7" t="inlineStr">
        <is>
          <t>Note: FY2021 exposure measure is the 'Leverage ratio total exposure measure' and ratio is the 'Regulatory Leverage Ratio' from the Leverage Ratio Common Disclosure table (pre-KM1-template disclosure format).</t>
        </is>
      </c>
    </row>
    <row r="8" ht="100" customHeight="1">
      <c r="A8"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LCR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(£'000)</t>
        </is>
      </c>
      <c r="B4" s="6" t="n">
        <v>279890</v>
      </c>
      <c r="C4" s="6" t="n">
        <v>301040</v>
      </c>
      <c r="D4" s="6" t="n">
        <v>180356</v>
      </c>
      <c r="E4" s="6" t="n">
        <v>65205</v>
      </c>
      <c r="F4" s="6" t="n">
        <v>26728</v>
      </c>
    </row>
    <row r="5">
      <c r="A5" s="6" t="inlineStr">
        <is>
          <t>Total net cash outflows, adjusted value (£'000)</t>
        </is>
      </c>
      <c r="B5" s="6" t="n">
        <v>52750</v>
      </c>
      <c r="C5" s="6" t="n">
        <v>33002</v>
      </c>
      <c r="D5" s="6" t="n">
        <v>24764</v>
      </c>
      <c r="E5" s="6" t="n">
        <v>5258</v>
      </c>
      <c r="F5" s="6" t="n">
        <v>2411</v>
      </c>
    </row>
    <row r="6">
      <c r="A6" s="6" t="inlineStr">
        <is>
          <t>Liquidity coverage ratio (%)</t>
        </is>
      </c>
      <c r="B6" s="6" t="inlineStr">
        <is>
          <t>531%</t>
        </is>
      </c>
      <c r="C6" s="6" t="inlineStr">
        <is>
          <t>912%</t>
        </is>
      </c>
      <c r="D6" s="6" t="inlineStr">
        <is>
          <t>728%</t>
        </is>
      </c>
      <c r="E6" s="6" t="inlineStr">
        <is>
          <t>1240%</t>
        </is>
      </c>
      <c r="F6" s="6" t="inlineStr">
        <is>
          <t>1109%</t>
        </is>
      </c>
    </row>
    <row r="7" ht="60" customHeight="1">
      <c r="A7" s="7" t="inlineStr">
        <is>
          <t>Note: FY2021's (BFC Bank Limited) Pillar 3 Disclosures disclose the liquidity table in the Market Risk section (p.18): liquidity buffer/HQLA £26,728k, total net cash outflows £2,411k and LCR 1,109%. These are the Bank's own figures; the report states that BFC Bank refers to the renamed iFAST Global Bank Limited.</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iFAST Global Bank Limited — NSFR</t>
        </is>
      </c>
    </row>
    <row r="2">
      <c r="A2" s="2" t="inlineStr">
        <is>
          <t>Solo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835880</v>
      </c>
      <c r="C4" s="6" t="n">
        <v>555781</v>
      </c>
      <c r="D4" s="6" t="n">
        <v>173025</v>
      </c>
      <c r="E4" s="6" t="n">
        <v>92023</v>
      </c>
      <c r="F4" s="6" t="inlineStr">
        <is>
          <t>Not disclosed</t>
        </is>
      </c>
    </row>
    <row r="5">
      <c r="A5" s="6" t="inlineStr">
        <is>
          <t>Total required stable funding (£'000)</t>
        </is>
      </c>
      <c r="B5" s="6" t="n">
        <v>437854</v>
      </c>
      <c r="C5" s="6" t="n">
        <v>215858</v>
      </c>
      <c r="D5" s="6" t="n">
        <v>50090</v>
      </c>
      <c r="E5" s="6" t="n">
        <v>22101</v>
      </c>
      <c r="F5" s="6" t="inlineStr">
        <is>
          <t>Not disclosed</t>
        </is>
      </c>
    </row>
    <row r="6">
      <c r="A6" s="6" t="inlineStr">
        <is>
          <t>Net Stable Funding Ratio (%)</t>
        </is>
      </c>
      <c r="B6" s="6" t="inlineStr">
        <is>
          <t>190.9%</t>
        </is>
      </c>
      <c r="C6" s="6" t="inlineStr">
        <is>
          <t>257.5%</t>
        </is>
      </c>
      <c r="D6" s="6" t="inlineStr">
        <is>
          <t>345.4%</t>
        </is>
      </c>
      <c r="E6" s="6" t="inlineStr">
        <is>
          <t>416.4%</t>
        </is>
      </c>
      <c r="F6" s="6" t="inlineStr">
        <is>
          <t>Not disclosed</t>
        </is>
      </c>
    </row>
    <row r="7" ht="60" customHeight="1">
      <c r="A7" s="7" t="inlineStr">
        <is>
          <t>Note: FY2021 is genuinely not disclosed — see the LCR sheet's note; the FY2021 Pillar 3 document predates this bank's NSFR/LCR disclosure section entirely.</t>
        </is>
      </c>
    </row>
    <row r="9" ht="100" customHeight="1">
      <c r="A9"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iFAST Global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disclosed in any of the 5 years' Pillar 3 documents — iFAST Global Bank Limited (formerly BFC Bank Limited) is a small bank below the threshold at which the Bank of England sets an MREL requirement above minimum capital requirements.</t>
        </is>
      </c>
    </row>
    <row r="7" ht="150" customHeight="1">
      <c r="A7" s="8" t="inlineStr">
        <is>
          <t>Sources — iFAST Global Bank Limited (formerly BFC Bank Limited) solo basis:
FY2025 &amp; FY2024: iFAST Global Bank Limited Pillar 3 Disclosures 2025, p.16 (Table 1: UK KM1 - Key Metrics template) — https://static.ifastgb.com/investor-relations/iFAST%20Global%20Bank%20Limited%20Pillar%203%20Disclosures%202025.pdf
FY2023 &amp; FY2022: iFAST Global Bank Limited Pillar 3 Disclosures 2023, p.12 (Table 1: UK KM1- Key Metrics template) — https://www.ifastgb.com/assets/static-file/investor-relations/iFAST%20Global%20Bank%20Limited%20Pillar%203%20Disclosures%202023.pdf
FY2021: BFC Bank Limited Pillar 3 Disclosures 2021, p.25 / 23 (Own funds table / Leverage Ratio Common Disclosure table) — https://www.ifastgb.com/assets/static-file/investor-relations/iFAST%20Global%20Bank%20Limited%20Pillar%203%20Disclosures%202021.pdf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2026-09-07T01:44:22Z</dcterms:created>
  <dcterms:modified xmlns:dcterms="http://purl.org/dc/terms/" xmlns:xsi="http://www.w3.org/2001/XMLSchema-instance" xsi:type="dcterms:W3CDTF">2026-09-07T01:44:22Z</dcterms:modified>
</cp:coreProperties>
</file>