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881D78"/>
        <bgColor rgb="00881D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FCE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FCE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41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FCE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generated from/(used in) operating activities</t>
        </is>
      </c>
      <c r="B6" s="5" t="n">
        <v>966</v>
      </c>
      <c r="C6" s="5" t="n">
        <v>-935</v>
      </c>
      <c r="D6" s="5" t="n">
        <v>-1133</v>
      </c>
      <c r="E6" s="5" t="n">
        <v>-1273</v>
      </c>
      <c r="F6" s="5" t="n">
        <v>3292</v>
      </c>
      <c r="I6" t="inlineStr">
        <is>
          <t>Net cash generated from/(used in) operating activities</t>
        </is>
      </c>
      <c r="J6" t="n">
        <v>3292</v>
      </c>
      <c r="K6" t="n">
        <v>-1273</v>
      </c>
      <c r="L6" t="n">
        <v>-1133</v>
      </c>
      <c r="M6" t="n">
        <v>-935</v>
      </c>
      <c r="N6" t="n">
        <v>966</v>
      </c>
      <c r="Q6" t="inlineStr">
        <is>
          <t>CET1 Ratio</t>
        </is>
      </c>
      <c r="R6" t="n">
        <v>23.58</v>
      </c>
      <c r="S6" t="n">
        <v>16.65</v>
      </c>
      <c r="T6" t="n">
        <v>17.16</v>
      </c>
      <c r="U6" t="n">
        <v>17.61</v>
      </c>
      <c r="V6" t="n">
        <v>16.59</v>
      </c>
    </row>
    <row r="7">
      <c r="A7" s="5" t="inlineStr">
        <is>
          <t>Net cash (used in)/generated from investing activities</t>
        </is>
      </c>
      <c r="B7" s="5" t="n">
        <v>-17</v>
      </c>
      <c r="C7" s="5" t="n">
        <v>113</v>
      </c>
      <c r="D7" s="5" t="n">
        <v>139</v>
      </c>
      <c r="E7" s="5" t="n">
        <v>-15</v>
      </c>
      <c r="F7" s="5" t="n">
        <v>-6</v>
      </c>
      <c r="I7" t="inlineStr">
        <is>
          <t>Net cash (used in)/generated from investing activities</t>
        </is>
      </c>
      <c r="J7" t="n">
        <v>-6</v>
      </c>
      <c r="K7" t="n">
        <v>-15</v>
      </c>
      <c r="L7" t="n">
        <v>139</v>
      </c>
      <c r="M7" t="n">
        <v>113</v>
      </c>
      <c r="N7" t="n">
        <v>-17</v>
      </c>
      <c r="Q7" t="inlineStr">
        <is>
          <t>Total Capital Ratio</t>
        </is>
      </c>
      <c r="R7" t="n">
        <v>26.2</v>
      </c>
      <c r="S7" t="n">
        <v>19.03</v>
      </c>
      <c r="T7" t="n">
        <v>19.3</v>
      </c>
      <c r="U7" t="n">
        <v>19.57</v>
      </c>
      <c r="V7" t="n">
        <v>18.66</v>
      </c>
    </row>
    <row r="8">
      <c r="A8" s="5" t="inlineStr">
        <is>
          <t>Net cash (used in)/generated from financing activities</t>
        </is>
      </c>
      <c r="B8" s="5" t="n">
        <v>-1111</v>
      </c>
      <c r="C8" s="5" t="n">
        <v>441</v>
      </c>
      <c r="D8" s="5" t="n">
        <v>1041</v>
      </c>
      <c r="E8" s="5" t="n">
        <v>1946</v>
      </c>
      <c r="F8" s="5" t="n">
        <v>-3447</v>
      </c>
      <c r="I8" t="inlineStr">
        <is>
          <t>Net cash (used in)/generated from financing activities</t>
        </is>
      </c>
      <c r="J8" t="n">
        <v>-3447</v>
      </c>
      <c r="K8" t="n">
        <v>1946</v>
      </c>
      <c r="L8" t="n">
        <v>1041</v>
      </c>
      <c r="M8" t="n">
        <v>441</v>
      </c>
      <c r="N8" t="n">
        <v>-1111</v>
      </c>
      <c r="Q8" t="inlineStr">
        <is>
          <t>Leverage Ratio</t>
        </is>
      </c>
      <c r="R8" t="n">
        <v>16.95</v>
      </c>
    </row>
    <row r="9">
      <c r="A9" s="5" t="inlineStr">
        <is>
          <t>Cash and cash equivalents at end of year</t>
        </is>
      </c>
      <c r="B9" s="5" t="n">
        <v>1111</v>
      </c>
      <c r="C9" s="5" t="n">
        <v>1253</v>
      </c>
      <c r="D9" s="5" t="n">
        <v>2557</v>
      </c>
      <c r="E9" s="5" t="n">
        <v>2536</v>
      </c>
      <c r="F9" s="5" t="n">
        <v>1822</v>
      </c>
      <c r="I9" t="inlineStr">
        <is>
          <t>Cash and cash equivalents at end of year</t>
        </is>
      </c>
      <c r="J9" t="n">
        <v>1822</v>
      </c>
      <c r="K9" t="n">
        <v>2536</v>
      </c>
      <c r="L9" t="n">
        <v>2557</v>
      </c>
      <c r="M9" t="n">
        <v>1253</v>
      </c>
      <c r="N9" t="n">
        <v>1111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16.59%</t>
        </is>
      </c>
      <c r="C13" s="6" t="inlineStr">
        <is>
          <t>17.61%</t>
        </is>
      </c>
      <c r="D13" s="6" t="inlineStr">
        <is>
          <t>17.16%</t>
        </is>
      </c>
      <c r="E13" s="6" t="inlineStr">
        <is>
          <t>16.65%</t>
        </is>
      </c>
      <c r="F13" s="6" t="inlineStr">
        <is>
          <t>23.58%</t>
        </is>
      </c>
    </row>
    <row r="14">
      <c r="A14" s="6" t="inlineStr">
        <is>
          <t>Total Capital Ratio</t>
        </is>
      </c>
      <c r="B14" s="6" t="inlineStr">
        <is>
          <t>18.66%</t>
        </is>
      </c>
      <c r="C14" s="6" t="inlineStr">
        <is>
          <t>19.57%</t>
        </is>
      </c>
      <c r="D14" s="6" t="inlineStr">
        <is>
          <t>19.30%</t>
        </is>
      </c>
      <c r="E14" s="6" t="inlineStr">
        <is>
          <t>19.03%</t>
        </is>
      </c>
      <c r="F14" s="6" t="inlineStr">
        <is>
          <t>26.20%</t>
        </is>
      </c>
    </row>
    <row r="15">
      <c r="A15" s="6" t="inlineStr">
        <is>
          <t>Leverage Ratio</t>
        </is>
      </c>
      <c r="B15" s="6" t="n"/>
      <c r="C15" s="6" t="n"/>
      <c r="D15" s="6" t="n"/>
      <c r="E15" s="6" t="n"/>
      <c r="F15" s="6" t="inlineStr">
        <is>
          <t>16.95%</t>
        </is>
      </c>
    </row>
    <row r="17" ht="45" customHeight="1">
      <c r="A17" s="7" t="inlineStr">
        <is>
          <t>Note: Figures are duplicated from the detail sheets for at-a-glance trend viewing; see each sheet's own source citation for the underlying document/page. CET1/Tier 1 Ratio and Total RWAs are calculated for FY2022-FY2025 (only the rounded Tier 1/Tier 2/Total Capital Ratio chart is published for those years) - see the individual metric sheets for the full methodology.</t>
        </is>
      </c>
    </row>
  </sheetData>
  <mergeCells count="1">
    <mergeCell ref="A17:F1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Consolidated Statement of Cash Flows</t>
        </is>
      </c>
    </row>
    <row r="2">
      <c r="A2" s="2" t="inlineStr">
        <is>
          <t>Group/Consolidated basis, £m. See source note at bottom.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Cash from/(used in) operating activities</t>
        </is>
      </c>
      <c r="B5" s="6" t="n">
        <v>554</v>
      </c>
      <c r="C5" s="6" t="n">
        <v>-1420</v>
      </c>
      <c r="D5" s="6" t="n">
        <v>-1661</v>
      </c>
      <c r="E5" s="6" t="n">
        <v>-1431</v>
      </c>
      <c r="F5" s="6" t="n">
        <v>2574</v>
      </c>
    </row>
    <row r="6">
      <c r="A6" s="6" t="inlineStr">
        <is>
          <t>Interest paid</t>
        </is>
      </c>
      <c r="B6" s="6" t="n">
        <v>-475</v>
      </c>
      <c r="C6" s="6" t="n">
        <v>-672</v>
      </c>
      <c r="D6" s="6" t="n">
        <v>-542</v>
      </c>
      <c r="E6" s="6" t="n">
        <v>-177</v>
      </c>
      <c r="F6" s="6" t="n">
        <v>-184</v>
      </c>
    </row>
    <row r="7">
      <c r="A7" s="6" t="inlineStr">
        <is>
          <t>Interest received</t>
        </is>
      </c>
      <c r="B7" s="6" t="n">
        <v>926</v>
      </c>
      <c r="C7" s="6" t="n">
        <v>1160</v>
      </c>
      <c r="D7" s="6" t="n">
        <v>1071</v>
      </c>
      <c r="E7" s="6" t="n">
        <v>442</v>
      </c>
      <c r="F7" s="6" t="n">
        <v>836</v>
      </c>
    </row>
    <row r="8">
      <c r="A8" s="6" t="inlineStr">
        <is>
          <t>Other operating income received</t>
        </is>
      </c>
      <c r="B8" s="6" t="n">
        <v>0</v>
      </c>
      <c r="C8" s="6" t="n">
        <v>48</v>
      </c>
      <c r="D8" s="6" t="n">
        <v>72</v>
      </c>
      <c r="E8" s="6" t="n">
        <v>26</v>
      </c>
      <c r="F8" s="6" t="n">
        <v>109</v>
      </c>
    </row>
    <row r="9">
      <c r="A9" s="6" t="inlineStr">
        <is>
          <t>Income taxes paid</t>
        </is>
      </c>
      <c r="B9" s="6" t="n">
        <v>-39</v>
      </c>
      <c r="C9" s="6" t="n">
        <v>-51</v>
      </c>
      <c r="D9" s="6" t="n">
        <v>-73</v>
      </c>
      <c r="E9" s="6" t="n">
        <v>-133</v>
      </c>
      <c r="F9" s="6" t="n">
        <v>-43</v>
      </c>
    </row>
    <row r="10">
      <c r="A10" s="5" t="inlineStr">
        <is>
          <t>Net cash generated from/(used in) operating activities</t>
        </is>
      </c>
      <c r="B10" s="5" t="n">
        <v>966</v>
      </c>
      <c r="C10" s="5" t="n">
        <v>-935</v>
      </c>
      <c r="D10" s="5" t="n">
        <v>-1133</v>
      </c>
      <c r="E10" s="5" t="n">
        <v>-1273</v>
      </c>
      <c r="F10" s="5" t="n">
        <v>3292</v>
      </c>
    </row>
    <row r="11">
      <c r="A11" s="5" t="inlineStr">
        <is>
          <t>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property and equipment</t>
        </is>
      </c>
      <c r="B12" s="6" t="n">
        <v>-2</v>
      </c>
      <c r="C12" s="6" t="n">
        <v>0</v>
      </c>
      <c r="D12" s="6" t="n">
        <v>-6</v>
      </c>
      <c r="E12" s="6" t="n">
        <v>-6</v>
      </c>
      <c r="F12" s="6" t="n">
        <v>-1</v>
      </c>
    </row>
    <row r="13">
      <c r="A13" s="6" t="inlineStr">
        <is>
          <t>Proceeds from sale of property and equipment</t>
        </is>
      </c>
      <c r="B13" s="6" t="n"/>
      <c r="C13" s="6" t="n"/>
      <c r="D13" s="6" t="n"/>
      <c r="E13" s="6" t="n"/>
      <c r="F13" s="6" t="n">
        <v>6</v>
      </c>
    </row>
    <row r="14">
      <c r="A14" s="6" t="inlineStr">
        <is>
          <t>Investment in internally and externally generated software</t>
        </is>
      </c>
      <c r="B14" s="6" t="n">
        <v>-13</v>
      </c>
      <c r="C14" s="6" t="n">
        <v>-19</v>
      </c>
      <c r="D14" s="6" t="n">
        <v>-21</v>
      </c>
      <c r="E14" s="6" t="n">
        <v>-15</v>
      </c>
      <c r="F14" s="6" t="n">
        <v>-11</v>
      </c>
    </row>
    <row r="15">
      <c r="A15" s="6" t="inlineStr">
        <is>
          <t>Net cash movement in sale of subsidiaries</t>
        </is>
      </c>
      <c r="B15" s="6" t="n"/>
      <c r="C15" s="6" t="n"/>
      <c r="D15" s="6" t="n">
        <v>0</v>
      </c>
      <c r="E15" s="6" t="n">
        <v>-13</v>
      </c>
      <c r="F15" s="6" t="n"/>
    </row>
    <row r="16">
      <c r="A16" s="6" t="inlineStr">
        <is>
          <t>Net cash (outflow)/inflow on derivative financial instruments</t>
        </is>
      </c>
      <c r="B16" s="6" t="n">
        <v>2</v>
      </c>
      <c r="C16" s="6" t="n">
        <v>109</v>
      </c>
      <c r="D16" s="6" t="n">
        <v>165</v>
      </c>
      <c r="E16" s="6" t="n">
        <v>29</v>
      </c>
      <c r="F16" s="6" t="n"/>
    </row>
    <row r="17">
      <c r="A17" s="6" t="inlineStr">
        <is>
          <t>Increase in restricted cash</t>
        </is>
      </c>
      <c r="B17" s="6" t="n">
        <v>-65</v>
      </c>
      <c r="C17" s="6" t="n">
        <v>-61</v>
      </c>
      <c r="D17" s="6" t="n">
        <v>-61</v>
      </c>
      <c r="E17" s="6" t="n">
        <v>-73</v>
      </c>
      <c r="F17" s="6" t="n"/>
    </row>
    <row r="18">
      <c r="A18" s="6" t="inlineStr">
        <is>
          <t>Decrease in restricted cash</t>
        </is>
      </c>
      <c r="B18" s="6" t="n">
        <v>61</v>
      </c>
      <c r="C18" s="6" t="n">
        <v>84</v>
      </c>
      <c r="D18" s="6" t="n">
        <v>62</v>
      </c>
      <c r="E18" s="6" t="n">
        <v>63</v>
      </c>
      <c r="F18" s="6" t="n"/>
    </row>
    <row r="19">
      <c r="A19" s="6" t="inlineStr">
        <is>
          <t>Dividend from subsidiaries</t>
        </is>
      </c>
      <c r="B19" s="6" t="n"/>
      <c r="C19" s="6" t="n">
        <v>0</v>
      </c>
      <c r="D19" s="6" t="n">
        <v>0</v>
      </c>
      <c r="E19" s="6" t="n">
        <v>0</v>
      </c>
      <c r="F19" s="6" t="n">
        <v>0</v>
      </c>
    </row>
    <row r="20">
      <c r="A20" s="5" t="inlineStr">
        <is>
          <t>Net cash (used in)/generated from investing activities</t>
        </is>
      </c>
      <c r="B20" s="5" t="n">
        <v>-17</v>
      </c>
      <c r="C20" s="5" t="n">
        <v>113</v>
      </c>
      <c r="D20" s="5" t="n">
        <v>139</v>
      </c>
      <c r="E20" s="5" t="n">
        <v>-15</v>
      </c>
      <c r="F20" s="5" t="n">
        <v>-6</v>
      </c>
    </row>
    <row r="21">
      <c r="A21" s="5" t="inlineStr">
        <is>
          <t>Financing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Proceeds from the issue of debt securities and from loans provided by banks and other financial institutions</t>
        </is>
      </c>
      <c r="B22" s="6" t="n">
        <v>1001</v>
      </c>
      <c r="C22" s="6" t="n">
        <v>1642</v>
      </c>
      <c r="D22" s="6" t="n">
        <v>1311</v>
      </c>
      <c r="E22" s="6" t="n">
        <v>4482</v>
      </c>
      <c r="F22" s="6" t="n">
        <v>2972</v>
      </c>
    </row>
    <row r="23">
      <c r="A23" s="6" t="inlineStr">
        <is>
          <t>Repayments of debt securities and of loans provided by banks and other financial institutions</t>
        </is>
      </c>
      <c r="B23" s="6" t="n">
        <v>-797</v>
      </c>
      <c r="C23" s="6" t="n">
        <v>-1790</v>
      </c>
      <c r="D23" s="6" t="n">
        <v>-2022</v>
      </c>
      <c r="E23" s="6" t="n">
        <v>-3861</v>
      </c>
      <c r="F23" s="6" t="n">
        <v>-6212</v>
      </c>
    </row>
    <row r="24">
      <c r="A24" s="6" t="inlineStr">
        <is>
          <t>Proceeds of funds provided by parent and related undertakings</t>
        </is>
      </c>
      <c r="B24" s="6" t="n">
        <v>211</v>
      </c>
      <c r="C24" s="6" t="n">
        <v>214</v>
      </c>
      <c r="D24" s="6" t="n">
        <v>698</v>
      </c>
      <c r="E24" s="6" t="n">
        <v>568</v>
      </c>
      <c r="F24" s="6" t="n">
        <v>398</v>
      </c>
    </row>
    <row r="25">
      <c r="A25" s="6" t="inlineStr">
        <is>
          <t>Repayment of funds provided by parent and related undertakings</t>
        </is>
      </c>
      <c r="B25" s="6" t="n">
        <v>-557</v>
      </c>
      <c r="C25" s="6" t="n">
        <v>-485</v>
      </c>
      <c r="D25" s="6" t="n">
        <v>-548</v>
      </c>
      <c r="E25" s="6" t="n">
        <v>-480</v>
      </c>
      <c r="F25" s="6" t="n">
        <v>-2614</v>
      </c>
    </row>
    <row r="26">
      <c r="A26" s="6" t="inlineStr">
        <is>
          <t>Net (decrease)/increase in short-term borrowings</t>
        </is>
      </c>
      <c r="B26" s="6" t="n">
        <v>-61</v>
      </c>
      <c r="C26" s="6" t="n">
        <v>343</v>
      </c>
      <c r="D26" s="6" t="n">
        <v>-289</v>
      </c>
      <c r="E26" s="6" t="n">
        <v>-168</v>
      </c>
      <c r="F26" s="6" t="n">
        <v>472</v>
      </c>
    </row>
    <row r="27">
      <c r="A27" s="6" t="inlineStr">
        <is>
          <t>Net (decrease)/increase in deposits</t>
        </is>
      </c>
      <c r="B27" s="6" t="n">
        <v>-408</v>
      </c>
      <c r="C27" s="6" t="n">
        <v>517</v>
      </c>
      <c r="D27" s="6" t="n">
        <v>1891</v>
      </c>
      <c r="E27" s="6" t="n">
        <v>2005</v>
      </c>
      <c r="F27" s="6" t="n">
        <v>1427</v>
      </c>
    </row>
    <row r="28">
      <c r="A28" s="6" t="inlineStr">
        <is>
          <t>Net cash inflow/(outflow) on derivative financial instruments (FY2021 only - classified under Investing in later years' presentation, see ENTITY_NOTE)</t>
        </is>
      </c>
      <c r="B28" s="6" t="n"/>
      <c r="C28" s="6" t="n"/>
      <c r="D28" s="6" t="n"/>
      <c r="E28" s="6" t="n"/>
      <c r="F28" s="6" t="n">
        <v>44</v>
      </c>
    </row>
    <row r="29">
      <c r="A29" s="6" t="inlineStr">
        <is>
          <t>Increase in restricted cash (FY2021 only - classified under Investing in later years' presentation)</t>
        </is>
      </c>
      <c r="B29" s="6" t="n"/>
      <c r="C29" s="6" t="n"/>
      <c r="D29" s="6" t="n"/>
      <c r="E29" s="6" t="n"/>
      <c r="F29" s="6" t="n">
        <v>-97</v>
      </c>
    </row>
    <row r="30">
      <c r="A30" s="6" t="inlineStr">
        <is>
          <t>Decrease in restricted cash (FY2021 only - classified under Investing in later years' presentation)</t>
        </is>
      </c>
      <c r="B30" s="6" t="n"/>
      <c r="C30" s="6" t="n"/>
      <c r="D30" s="6" t="n"/>
      <c r="E30" s="6" t="n"/>
      <c r="F30" s="6" t="n">
        <v>463</v>
      </c>
    </row>
    <row r="31">
      <c r="A31" s="6" t="inlineStr">
        <is>
          <t>Dividend paid</t>
        </is>
      </c>
      <c r="B31" s="6" t="n">
        <v>-500</v>
      </c>
      <c r="C31" s="6" t="n">
        <v>0</v>
      </c>
      <c r="D31" s="6" t="n">
        <v>0</v>
      </c>
      <c r="E31" s="6" t="n">
        <v>-600</v>
      </c>
      <c r="F31" s="6" t="n">
        <v>-300</v>
      </c>
    </row>
    <row r="32">
      <c r="A32" s="5" t="inlineStr">
        <is>
          <t>Net cash (used in)/generated from financing activities</t>
        </is>
      </c>
      <c r="B32" s="5" t="n">
        <v>-1111</v>
      </c>
      <c r="C32" s="5" t="n">
        <v>441</v>
      </c>
      <c r="D32" s="5" t="n">
        <v>1041</v>
      </c>
      <c r="E32" s="5" t="n">
        <v>1946</v>
      </c>
      <c r="F32" s="5" t="n">
        <v>-3447</v>
      </c>
    </row>
    <row r="33">
      <c r="A33" s="5" t="inlineStr">
        <is>
          <t>Net (decrease)/increase in cash and cash equivalents</t>
        </is>
      </c>
      <c r="B33" s="5" t="n">
        <v>-162</v>
      </c>
      <c r="C33" s="5" t="n">
        <v>-381</v>
      </c>
      <c r="D33" s="5" t="n">
        <v>47</v>
      </c>
      <c r="E33" s="5" t="n">
        <v>658</v>
      </c>
      <c r="F33" s="5" t="n">
        <v>-161</v>
      </c>
    </row>
    <row r="34">
      <c r="A34" s="6" t="inlineStr">
        <is>
          <t>Cash and cash equivalents at beginning of year</t>
        </is>
      </c>
      <c r="B34" s="6" t="n">
        <v>1253</v>
      </c>
      <c r="C34" s="6" t="n">
        <v>2557</v>
      </c>
      <c r="D34" s="6" t="n">
        <v>2536</v>
      </c>
      <c r="E34" s="6" t="n">
        <v>1822</v>
      </c>
      <c r="F34" s="6" t="n">
        <v>2048</v>
      </c>
    </row>
    <row r="35">
      <c r="A35" s="6" t="inlineStr">
        <is>
          <t>Effect of exchange rate changes on cash and cash equivalents</t>
        </is>
      </c>
      <c r="B35" s="6" t="n">
        <v>20</v>
      </c>
      <c r="C35" s="6" t="n">
        <v>-50</v>
      </c>
      <c r="D35" s="6" t="n">
        <v>-26</v>
      </c>
      <c r="E35" s="6" t="n">
        <v>56</v>
      </c>
      <c r="F35" s="6" t="n">
        <v>-65</v>
      </c>
    </row>
    <row r="36">
      <c r="A36" s="6" t="inlineStr">
        <is>
          <t>Cash and cash equivalents in respect of discontinued operations</t>
        </is>
      </c>
      <c r="B36" s="6" t="n"/>
      <c r="C36" s="6" t="n">
        <v>-873</v>
      </c>
      <c r="D36" s="6" t="n"/>
      <c r="E36" s="6" t="n"/>
      <c r="F36" s="6" t="n"/>
    </row>
    <row r="37">
      <c r="A37" s="5" t="inlineStr">
        <is>
          <t>Cash and cash equivalents at end of year</t>
        </is>
      </c>
      <c r="B37" s="5" t="n">
        <v>1111</v>
      </c>
      <c r="C37" s="5" t="n">
        <v>1253</v>
      </c>
      <c r="D37" s="5" t="n">
        <v>2557</v>
      </c>
      <c r="E37" s="5" t="n">
        <v>2536</v>
      </c>
      <c r="F37" s="5" t="n">
        <v>1822</v>
      </c>
    </row>
    <row r="39" ht="210" customHeight="1">
      <c r="A39" s="8" t="inlineStr">
        <is>
          <t>Sources - all figures are FCE Bank Plc's own consolidated (Group) Statement of Cash Flows, each year's own originally-published figures (not a later year's restated comparative):
FY2025: Annual Report 2025, p.53 (Statements of Cash Flows) - https://find-and-update.company-information.service.gov.uk/company/00772784/filing-history/MzUxMTcwMTU1NGFkaXF6a2N4/document?format=pdf&amp;download=0
FY2024: Annual Report 2024, p.58 (Statements of Cash Flows) - https://find-and-update.company-information.service.gov.uk/company/00772784/filing-history/MzQ2MTUzNDU1OGFkaXF6a2N4/document?format=pdf&amp;download=0
FY2023: Annual Report 2023, p.55 (Statements of Cash Flows) - https://find-and-update.company-information.service.gov.uk/company/00772784/filing-history/MzQxNTY0NTE3NGFkaXF6a2N4/document?format=pdf&amp;download=0
FY2022: Annual Report 2022 (AMENDED filing, 30 Oct 2023), p.53 (Statements of Cash Flows) - https://find-and-update.company-information.service.gov.uk/company/00772784/filing-history/MzM5ODE1MjYzNmFkaXF6a2N4/document?format=pdf&amp;download=0
FY2021: Annual Report 2021, p.49 (Statements of Cash Flow) - https://find-and-update.company-information.service.gov.uk/company/00772784/filing-history/MzMzMzk0NjU4NWFkaXF6a2N4/document?format=pdf&amp;download=0
FCE Bank Plc (company 00772784) is the UK-regulated captive auto-finance bank for Ford Motor Company's European operations (vehicle financing/leasing across Ford's European markets, not just the UK). Does NOT take the FRS 101/102 cash-flow exemption - full Group-basis Statement of Cash Flows every year. All 5 Companies House filings are fully scanned/image-only (0 text blocks/page); every figure was transcribed via page rendering.
FY2022's accounts were AMENDED (30 Oct 2023, replacing the original 24 Mar 2023 filing) - the amended FY2022 figures were used as the operative record for that year, since this is the entity's own correction to its own year's accounts (not a later year's restatement). Confirmed the amended FY2022 figures are internally consistent with how FY2023's own report later carries them forward as its FY2022 comparative - no discrepancy found.
FY2024's cash and cash equivalents at end of year include a genuine, disclosed 'Cash and cash equivalents in respect of discontinued operations' adjustment of £(873)m (Group basis) - a real disposal/discontinuation event that year, not a data error; kept as the entity's own disclosed reconciling item, not silently absorbed elsewhere.
FY2021's own Statement of Cash Flows classifies 'Net cash inflow/(outflow) on derivative financial instruments', 'Increase in restricted cash', and 'Decrease in restricted cash' under Financing activities (Group: £44m/£(97)m/£463m respectively, p.49); FY2022 onward reclassify these same three items under Investing activities instead. Confirmed via direct page image (p.49) - each year's own reported section placement is used, not forced into a single consistent classification across the 5 years.</t>
        </is>
      </c>
    </row>
  </sheetData>
  <mergeCells count="1"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 (= Tier 1 Capital, no AT1 instruments held)</t>
        </is>
      </c>
      <c r="B4" s="6" t="n">
        <v>1600</v>
      </c>
      <c r="C4" s="6" t="n">
        <v>1800</v>
      </c>
      <c r="D4" s="6" t="n">
        <v>2400</v>
      </c>
      <c r="E4" s="6" t="n">
        <v>2100</v>
      </c>
      <c r="F4" s="6" t="n">
        <v>2684</v>
      </c>
    </row>
    <row r="5" ht="60" customHeight="1">
      <c r="A5" s="7" t="inlineStr">
        <is>
          <t>Note: CALCULATED, not directly disclosed for FY2022-FY2025 (only the rounded nearest-£0.1bn chart value is published) - see the sheet's own source note for the exact FY2021 figure and full methodology.</t>
        </is>
      </c>
    </row>
    <row r="7" ht="21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 (= Tier 1 Ratio, calculated as CET1 Capital / Total RWAs)</t>
        </is>
      </c>
      <c r="B4" s="6" t="inlineStr">
        <is>
          <t>16.59%</t>
        </is>
      </c>
      <c r="C4" s="6" t="inlineStr">
        <is>
          <t>17.61%</t>
        </is>
      </c>
      <c r="D4" s="6" t="inlineStr">
        <is>
          <t>17.16%</t>
        </is>
      </c>
      <c r="E4" s="6" t="inlineStr">
        <is>
          <t>16.65%</t>
        </is>
      </c>
      <c r="F4" s="6" t="inlineStr">
        <is>
          <t>23.58%</t>
        </is>
      </c>
    </row>
    <row r="5" ht="60" customHeight="1">
      <c r="A5" s="7" t="inlineStr">
        <is>
          <t>Note: CALCULATED, not directly disclosed for FY2022-FY2025 (only the rounded nearest-£0.1bn chart value is published) - see the sheet's own source note for the exact FY2021 figure and full methodology. FY2021 also independently cross-checked against the exact Pillar 3 Own Funds table.</t>
        </is>
      </c>
    </row>
    <row r="7" ht="21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 (= CET1, no AT1 instruments held)</t>
        </is>
      </c>
      <c r="B4" s="6" t="n">
        <v>1600</v>
      </c>
      <c r="C4" s="6" t="n">
        <v>1800</v>
      </c>
      <c r="D4" s="6" t="n">
        <v>2400</v>
      </c>
      <c r="E4" s="6" t="n">
        <v>2100</v>
      </c>
      <c r="F4" s="6" t="n">
        <v>2684</v>
      </c>
    </row>
    <row r="5" ht="60" customHeight="1">
      <c r="A5" s="7" t="inlineStr">
        <is>
          <t>Note: CALCULATED, not directly disclosed for FY2022-FY2025 (only the rounded nearest-£0.1bn chart value is published) - see the sheet's own source note for the exact FY2021 figure and full methodology.</t>
        </is>
      </c>
    </row>
    <row r="7" ht="21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 (= CET1 Ratio, no AT1 instruments held)</t>
        </is>
      </c>
      <c r="B4" s="6" t="inlineStr">
        <is>
          <t>16.59%</t>
        </is>
      </c>
      <c r="C4" s="6" t="inlineStr">
        <is>
          <t>17.61%</t>
        </is>
      </c>
      <c r="D4" s="6" t="inlineStr">
        <is>
          <t>17.16%</t>
        </is>
      </c>
      <c r="E4" s="6" t="inlineStr">
        <is>
          <t>16.65%</t>
        </is>
      </c>
      <c r="F4" s="6" t="inlineStr">
        <is>
          <t>23.58%</t>
        </is>
      </c>
    </row>
    <row r="5" ht="60" customHeight="1">
      <c r="A5" s="7" t="inlineStr">
        <is>
          <t>Note: CALCULATED, not directly disclosed for FY2022-FY2025 (only the rounded nearest-£0.1bn chart value is published) - see the sheet's own source note for the exact FY2021 figure and full methodology.</t>
        </is>
      </c>
    </row>
    <row r="7" ht="21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(Tier 1 + Tier 2)</t>
        </is>
      </c>
      <c r="B4" s="6" t="n">
        <v>1800</v>
      </c>
      <c r="C4" s="6" t="n">
        <v>2000</v>
      </c>
      <c r="D4" s="6" t="n">
        <v>2700</v>
      </c>
      <c r="E4" s="6" t="n">
        <v>2400</v>
      </c>
      <c r="F4" s="6" t="n">
        <v>2994</v>
      </c>
    </row>
    <row r="5" ht="60" customHeight="1">
      <c r="A5" s="7" t="inlineStr">
        <is>
          <t>Note: FY2022-FY2025 summed from the Annual Report's own rounded (nearest £0.1bn) Tier 1/Tier 2 chart. FY2021 exact from the Pillar 3 Own Funds tables (£2,684m CET1 + £310m Tier 2).</t>
        </is>
      </c>
    </row>
    <row r="7" ht="21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/ Total Risk-Weighted Exposure Amounts</t>
        </is>
      </c>
      <c r="B4" s="6" t="inlineStr">
        <is>
          <t>18.66%</t>
        </is>
      </c>
      <c r="C4" s="6" t="inlineStr">
        <is>
          <t>19.57%</t>
        </is>
      </c>
      <c r="D4" s="6" t="inlineStr">
        <is>
          <t>19.30%</t>
        </is>
      </c>
      <c r="E4" s="6" t="inlineStr">
        <is>
          <t>19.03%</t>
        </is>
      </c>
      <c r="F4" s="6" t="inlineStr">
        <is>
          <t>26.20%</t>
        </is>
      </c>
    </row>
    <row r="5" ht="60" customHeight="1">
      <c r="A5" s="7" t="inlineStr">
        <is>
          <t>Note: Directly disclosed every year in the Annual Report's own 'Business Performance' - 'Total Capital' chart, the only capital ratio consistently published across all 5 years.</t>
        </is>
      </c>
    </row>
    <row r="7" ht="21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Amounts</t>
        </is>
      </c>
      <c r="B4" s="6" t="n">
        <v>9646</v>
      </c>
      <c r="C4" s="6" t="n">
        <v>10220</v>
      </c>
      <c r="D4" s="6" t="n">
        <v>13990</v>
      </c>
      <c r="E4" s="6" t="n">
        <v>12612</v>
      </c>
      <c r="F4" s="6" t="n">
        <v>11450</v>
      </c>
    </row>
    <row r="5" ht="60" customHeight="1">
      <c r="A5" s="7" t="inlineStr">
        <is>
          <t>Note: CALCULATED (Total Capital / Total Capital Ratio) - not directly disclosed in any year reviewed. Not independently cross-checked against a directly-disclosed RWA figure since none was found.</t>
        </is>
      </c>
    </row>
    <row r="7" ht="21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n"/>
      <c r="C4" s="6" t="n"/>
      <c r="D4" s="6" t="n"/>
      <c r="E4" s="6" t="n"/>
      <c r="F4" s="6" t="inlineStr">
        <is>
          <t>16.95%</t>
        </is>
      </c>
    </row>
    <row r="5" ht="60" customHeight="1">
      <c r="A5" s="7" t="inlineStr">
        <is>
          <t>Note: Only directly disclosed for FY2021, from the dedicated 'Pillar 3 Disclosures' chapter present in that year's Annual Report (Table 19, p.155) - this chapter was dropped from FY2022 onward, and no leverage ratio was found anywhere in the FY2022-FY2025 reports. Not calculated for those years since no leverage exposure measure is disclosed either.</t>
        </is>
      </c>
    </row>
    <row r="7" ht="21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- no LCR reference found in any of the 5 Annual Reports reviewed, including the FY2021 Pillar 3 Disclosures chapter's own index of every CRR disclosure article it covers (no liquidity-ratio article listed at all). Plausibly reflects FCE Bank's captive auto-finance/wholesale-funded business model.</t>
        </is>
      </c>
    </row>
    <row r="7" ht="15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- no NSFR reference found in any of the 5 Annual Reports reviewed, including the FY2021 Pillar 3 Disclosures chapter's own index of every CRR disclosure article it covers (no liquidity-ratio article listed at all).</t>
        </is>
      </c>
    </row>
    <row r="7" ht="15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FCE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- no MREL reference found in any of the 5 Annual Reports reviewed.</t>
        </is>
      </c>
    </row>
    <row r="7" ht="150" customHeight="1">
      <c r="A7" s="8" t="inlineStr">
        <is>
          <t xml:space="preserve">Sources - FCE Bank Plc Pillar 3 / capital basis, Group/Consolidated:
FY2021-FY2025 Tier 1 Capital, Tier 2 Capital and Total Capital Ratio: Annual Report 2025, p.5 ('Business Performance' - 'Total Capital' chart, values to the nearest £0.1bn) - https://find-and-update.company-information.service.gov.uk/company/00772784/filing-history/MzUxMTcwMTU1NGFkaXF6a2N4/document?format=pdf&amp;download=0
FY2021 CET1/Tier 1 Capital (exact, £2,684m) and Leverage Ratio (16.95%): Annual Report 2021, 'Pillar 3 Disclosures' Table 2 (p.135) and Table 19 (p.155) - https://find-and-update.company-information.service.gov.uk/company/00772784/filing-history/MzMzMzk0NjU4NWFkaXF6a2N4/document?format=pdf&amp;download=0
CET1 = Tier 1 Capital every year (confirmed via the FY2021 Pillar 3 Own Funds reconciliation - no Additional Tier 1 instruments held).
FY2022-FY2025 CET1/Tier 1 Capital and CET1/Tier 1 Ratio are CALCULATED, not directly disclosed: the Annual Report only publishes the rounded (nearest £0.1bn) Tier 1/Tier 2 chart and the Total Capital Ratio %; no standalone Pillar 3 document or CET1/Tier 1 Ratio % is published for these years (the dedicated 'Pillar 3 Disclosures' chapter present in the FY2021 report was dropped from FY2022 onward). Total RWAs is likewise calculated (Total Capital / Total Capital Ratio) for every year, since no year discloses RWA directly.
Leverage Ratio, LCR, NSFR, MREL Ratio: not located for FY2022-FY2025 - no Pillar 3 chapter exists in those reports to check, and none of these appear in the Business Performance/Business Environment narrative sections reviewed.
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2026-08-28T08:46:04Z</dcterms:created>
  <dcterms:modified xsi:type="dcterms:W3CDTF">2026-08-28T08:46:04Z</dcterms:modified>
</cp:coreProperties>
</file>