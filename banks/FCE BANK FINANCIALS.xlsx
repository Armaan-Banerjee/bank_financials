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81D78"/>
        <bgColor rgb="00881D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FCE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'Overview'!X6</f>
            </strRef>
          </tx>
          <spPr>
            <a:ln xmlns:a="http://schemas.openxmlformats.org/drawingml/2006/main">
              <a:prstDash val="solid"/>
            </a:ln>
          </spPr>
          <cat>
            <numRef>
              <f>'Overview'!$Y$5:$AR$5</f>
            </numRef>
          </cat>
          <val>
            <numRef>
              <f>'Overview'!$Y$6:$AR$6</f>
            </numRef>
          </val>
        </ser>
        <ser>
          <idx val="1"/>
          <order val="1"/>
          <tx>
            <strRef>
              <f>'Overview'!X7</f>
            </strRef>
          </tx>
          <spPr>
            <a:ln xmlns:a="http://schemas.openxmlformats.org/drawingml/2006/main">
              <a:prstDash val="solid"/>
            </a:ln>
          </spPr>
          <cat>
            <numRef>
              <f>'Overview'!$Y$5:$AR$5</f>
            </numRef>
          </cat>
          <val>
            <numRef>
              <f>'Overview'!$Y$7:$AR$7</f>
            </numRef>
          </val>
        </ser>
        <ser>
          <idx val="2"/>
          <order val="2"/>
          <tx>
            <strRef>
              <f>'Overview'!X8</f>
            </strRef>
          </tx>
          <spPr>
            <a:ln xmlns:a="http://schemas.openxmlformats.org/drawingml/2006/main">
              <a:prstDash val="solid"/>
            </a:ln>
          </spPr>
          <cat>
            <numRef>
              <f>'Overview'!$Y$5:$AR$5</f>
            </numRef>
          </cat>
          <val>
            <numRef>
              <f>'Overview'!$Y$8:$AR$8</f>
            </numRef>
          </val>
        </ser>
        <ser>
          <idx val="3"/>
          <order val="3"/>
          <tx>
            <strRef>
              <f>'Overview'!X9</f>
            </strRef>
          </tx>
          <spPr>
            <a:ln xmlns:a="http://schemas.openxmlformats.org/drawingml/2006/main">
              <a:prstDash val="solid"/>
            </a:ln>
          </spPr>
          <cat>
            <numRef>
              <f>'Overview'!$Y$5:$AR$5</f>
            </numRef>
          </cat>
          <val>
            <numRef>
              <f>'Overview'!$Y$9:$AR$9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FCE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'Overview'!AU13</f>
            </strRef>
          </tx>
          <spPr>
            <a:ln xmlns:a="http://schemas.openxmlformats.org/drawingml/2006/main">
              <a:prstDash val="solid"/>
            </a:ln>
          </spPr>
          <cat>
            <numRef>
              <f>'Overview'!$AV$12:$BO$12</f>
            </numRef>
          </cat>
          <val>
            <numRef>
              <f>'Overview'!$AV$13:$BO$13</f>
            </numRef>
          </val>
        </ser>
        <ser>
          <idx val="1"/>
          <order val="1"/>
          <tx>
            <strRef>
              <f>'Overview'!AU14</f>
            </strRef>
          </tx>
          <spPr>
            <a:ln xmlns:a="http://schemas.openxmlformats.org/drawingml/2006/main">
              <a:prstDash val="solid"/>
            </a:ln>
          </spPr>
          <cat>
            <numRef>
              <f>'Overview'!$AV$12:$BO$12</f>
            </numRef>
          </cat>
          <val>
            <numRef>
              <f>'Overview'!$AV$14:$BO$14</f>
            </numRef>
          </val>
        </ser>
        <ser>
          <idx val="2"/>
          <order val="2"/>
          <tx>
            <strRef>
              <f>'Overview'!AU15</f>
            </strRef>
          </tx>
          <spPr>
            <a:ln xmlns:a="http://schemas.openxmlformats.org/drawingml/2006/main">
              <a:prstDash val="solid"/>
            </a:ln>
          </spPr>
          <cat>
            <numRef>
              <f>'Overview'!$AV$12:$BO$12</f>
            </numRef>
          </cat>
          <val>
            <numRef>
              <f>'Overview'!$AV$15:$BO$15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FCE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'Overview'!BR19</f>
            </strRef>
          </tx>
          <spPr>
            <a:ln xmlns:a="http://schemas.openxmlformats.org/drawingml/2006/main">
              <a:prstDash val="solid"/>
            </a:ln>
          </spPr>
          <cat>
            <numRef>
              <f>'Overview'!$BS$18:$CL$18</f>
            </numRef>
          </cat>
          <val>
            <numRef>
              <f>'Overview'!$BS$19:$CL$19</f>
            </numRef>
          </val>
        </ser>
        <ser>
          <idx val="1"/>
          <order val="1"/>
          <tx>
            <strRef>
              <f>'Overview'!BR20</f>
            </strRef>
          </tx>
          <spPr>
            <a:ln xmlns:a="http://schemas.openxmlformats.org/drawingml/2006/main">
              <a:prstDash val="solid"/>
            </a:ln>
          </spPr>
          <cat>
            <numRef>
              <f>'Overview'!$BS$18:$CL$18</f>
            </numRef>
          </cat>
          <val>
            <numRef>
              <f>'Overview'!$BS$20:$CL$20</f>
            </numRef>
          </val>
        </ser>
        <ser>
          <idx val="2"/>
          <order val="2"/>
          <tx>
            <strRef>
              <f>'Overview'!BR21</f>
            </strRef>
          </tx>
          <spPr>
            <a:ln xmlns:a="http://schemas.openxmlformats.org/drawingml/2006/main">
              <a:prstDash val="solid"/>
            </a:ln>
          </spPr>
          <cat>
            <numRef>
              <f>'Overview'!$BS$18:$CL$18</f>
            </numRef>
          </cat>
          <val>
            <numRef>
              <f>'Overview'!$BS$21:$CL$21</f>
            </numRef>
          </val>
        </ser>
        <ser>
          <idx val="3"/>
          <order val="3"/>
          <tx>
            <strRef>
              <f>'Overview'!BR22</f>
            </strRef>
          </tx>
          <spPr>
            <a:ln xmlns:a="http://schemas.openxmlformats.org/drawingml/2006/main">
              <a:prstDash val="solid"/>
            </a:ln>
          </spPr>
          <cat>
            <numRef>
              <f>'Overview'!$BS$18:$CL$18</f>
            </numRef>
          </cat>
          <val>
            <numRef>
              <f>'Overview'!$BS$22:$CL$22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FCE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'Overview'!CO26</f>
            </strRef>
          </tx>
          <spPr>
            <a:ln xmlns:a="http://schemas.openxmlformats.org/drawingml/2006/main">
              <a:prstDash val="solid"/>
            </a:ln>
          </spPr>
          <cat>
            <numRef>
              <f>'Overview'!$CP$25:$DI$25</f>
            </numRef>
          </cat>
          <val>
            <numRef>
              <f>'Overview'!$CP$26:$DI$26</f>
            </numRef>
          </val>
        </ser>
        <ser>
          <idx val="1"/>
          <order val="1"/>
          <tx>
            <strRef>
              <f>'Overview'!CO27</f>
            </strRef>
          </tx>
          <spPr>
            <a:ln xmlns:a="http://schemas.openxmlformats.org/drawingml/2006/main">
              <a:prstDash val="solid"/>
            </a:ln>
          </spPr>
          <cat>
            <numRef>
              <f>'Overview'!$CP$25:$DI$25</f>
            </numRef>
          </cat>
          <val>
            <numRef>
              <f>'Overview'!$CP$27:$DI$27</f>
            </numRef>
          </val>
        </ser>
        <ser>
          <idx val="2"/>
          <order val="2"/>
          <tx>
            <strRef>
              <f>'Overview'!CO28</f>
            </strRef>
          </tx>
          <spPr>
            <a:ln xmlns:a="http://schemas.openxmlformats.org/drawingml/2006/main">
              <a:prstDash val="solid"/>
            </a:ln>
          </spPr>
          <cat>
            <numRef>
              <f>'Overview'!$CP$25:$DI$25</f>
            </numRef>
          </cat>
          <val>
            <numRef>
              <f>'Overview'!$CP$28:$DI$28</f>
            </numRef>
          </val>
        </ser>
        <ser>
          <idx val="3"/>
          <order val="3"/>
          <tx>
            <strRef>
              <f>'Overview'!CO29</f>
            </strRef>
          </tx>
          <spPr>
            <a:ln xmlns:a="http://schemas.openxmlformats.org/drawingml/2006/main">
              <a:prstDash val="solid"/>
            </a:ln>
          </spPr>
          <cat>
            <numRef>
              <f>'Overview'!$CP$25:$DI$25</f>
            </numRef>
          </cat>
          <val>
            <numRef>
              <f>'Overview'!$CP$29:$DI$29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FCE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'Overview'!DL6</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'Overview'!$DM$6:$EF$6</f>
            </numRef>
          </val>
          <smooth val="0"/>
        </ser>
        <ser>
          <idx val="1"/>
          <order val="1"/>
          <tx>
            <strRef>
              <f>'Overview'!DL7</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'Overview'!$DM$7:$EF$7</f>
            </numRef>
          </val>
          <smooth val="0"/>
        </ser>
        <ser>
          <idx val="2"/>
          <order val="2"/>
          <tx>
            <strRef>
              <f>'Overview'!DL8</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'Overview'!$DM$8:$EF$8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F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 hidden="1" width="13" customWidth="1" min="125" max="125"/>
    <col hidden="1" width="13" customWidth="1" min="126" max="126"/>
    <col hidden="1" width="13" customWidth="1" min="127" max="127"/>
    <col hidden="1" width="13" customWidth="1" min="128" max="128"/>
    <col hidden="1" width="13" customWidth="1" min="129" max="129"/>
    <col hidden="1" width="13" customWidth="1" min="130" max="130"/>
    <col hidden="1" width="13" customWidth="1" min="131" max="131"/>
    <col hidden="1" width="13" customWidth="1" min="132" max="132"/>
    <col hidden="1" width="13" customWidth="1" min="133" max="133"/>
    <col hidden="1" width="13" customWidth="1" min="134" max="134"/>
    <col hidden="1" width="13" customWidth="1" min="135" max="135"/>
    <col hidden="1" width="13" customWidth="1" min="136" max="136"/>
  </cols>
  <sheetData>
    <row r="1">
      <c r="A1" s="1" t="inlineStr">
        <is>
          <t>FCE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S5" s="4" t="inlineStr">
        <is>
          <t>FY2008</t>
        </is>
      </c>
      <c r="T5" s="4" t="inlineStr">
        <is>
          <t>FY2007</t>
        </is>
      </c>
      <c r="U5" s="4" t="inlineStr">
        <is>
          <t>FY2006</t>
        </is>
      </c>
      <c r="Y5" t="inlineStr">
        <is>
          <t>FY2006</t>
        </is>
      </c>
      <c r="Z5" t="inlineStr">
        <is>
          <t>FY2007</t>
        </is>
      </c>
      <c r="AA5" t="inlineStr">
        <is>
          <t>FY2008</t>
        </is>
      </c>
      <c r="AB5" t="inlineStr">
        <is>
          <t>FY2009</t>
        </is>
      </c>
      <c r="AC5" t="inlineStr">
        <is>
          <t>FY2010</t>
        </is>
      </c>
      <c r="AD5" t="inlineStr">
        <is>
          <t>FY2011</t>
        </is>
      </c>
      <c r="AE5" t="inlineStr">
        <is>
          <t>FY2012</t>
        </is>
      </c>
      <c r="AF5" t="inlineStr">
        <is>
          <t>FY2013</t>
        </is>
      </c>
      <c r="AG5" t="inlineStr">
        <is>
          <t>FY2014</t>
        </is>
      </c>
      <c r="AH5" t="inlineStr">
        <is>
          <t>FY2015</t>
        </is>
      </c>
      <c r="AI5" t="inlineStr">
        <is>
          <t>FY2016</t>
        </is>
      </c>
      <c r="AJ5" t="inlineStr">
        <is>
          <t>FY2017</t>
        </is>
      </c>
      <c r="AK5" t="inlineStr">
        <is>
          <t>FY2018</t>
        </is>
      </c>
      <c r="AL5" t="inlineStr">
        <is>
          <t>FY2019</t>
        </is>
      </c>
      <c r="AM5" t="inlineStr">
        <is>
          <t>FY2020</t>
        </is>
      </c>
      <c r="AN5" t="inlineStr">
        <is>
          <t>FY2021</t>
        </is>
      </c>
      <c r="AO5" t="inlineStr">
        <is>
          <t>FY2022</t>
        </is>
      </c>
      <c r="AP5" t="inlineStr">
        <is>
          <t>FY2023</t>
        </is>
      </c>
      <c r="AQ5" t="inlineStr">
        <is>
          <t>FY2024</t>
        </is>
      </c>
      <c r="AR5" t="inlineStr">
        <is>
          <t>FY2025</t>
        </is>
      </c>
      <c r="DM5" t="inlineStr">
        <is>
          <t>FY2006</t>
        </is>
      </c>
      <c r="DN5" t="inlineStr">
        <is>
          <t>FY2007</t>
        </is>
      </c>
      <c r="DO5" t="inlineStr">
        <is>
          <t>FY2008</t>
        </is>
      </c>
      <c r="DP5" t="inlineStr">
        <is>
          <t>FY2009</t>
        </is>
      </c>
      <c r="DQ5" t="inlineStr">
        <is>
          <t>FY2010</t>
        </is>
      </c>
      <c r="DR5" t="inlineStr">
        <is>
          <t>FY2011</t>
        </is>
      </c>
      <c r="DS5" t="inlineStr">
        <is>
          <t>FY2012</t>
        </is>
      </c>
      <c r="DT5" t="inlineStr">
        <is>
          <t>FY2013</t>
        </is>
      </c>
      <c r="DU5" t="inlineStr">
        <is>
          <t>FY2014</t>
        </is>
      </c>
      <c r="DV5" t="inlineStr">
        <is>
          <t>FY2015</t>
        </is>
      </c>
      <c r="DW5" t="inlineStr">
        <is>
          <t>FY2016</t>
        </is>
      </c>
      <c r="DX5" t="inlineStr">
        <is>
          <t>FY2017</t>
        </is>
      </c>
      <c r="DY5" t="inlineStr">
        <is>
          <t>FY2018</t>
        </is>
      </c>
      <c r="DZ5" t="inlineStr">
        <is>
          <t>FY2019</t>
        </is>
      </c>
      <c r="EA5" t="inlineStr">
        <is>
          <t>FY2020</t>
        </is>
      </c>
      <c r="EB5" t="inlineStr">
        <is>
          <t>FY2021</t>
        </is>
      </c>
      <c r="EC5" t="inlineStr">
        <is>
          <t>FY2022</t>
        </is>
      </c>
      <c r="ED5" t="inlineStr">
        <is>
          <t>FY2023</t>
        </is>
      </c>
      <c r="EE5" t="inlineStr">
        <is>
          <t>FY2024</t>
        </is>
      </c>
      <c r="EF5" t="inlineStr">
        <is>
          <t>FY2025</t>
        </is>
      </c>
    </row>
    <row r="6">
      <c r="A6" s="5" t="inlineStr">
        <is>
          <t>Total assets</t>
        </is>
      </c>
      <c r="B6" s="5" t="n">
        <v>13095</v>
      </c>
      <c r="C6" s="5" t="n">
        <v>13837</v>
      </c>
      <c r="D6" s="5" t="n">
        <v>18630</v>
      </c>
      <c r="E6" s="5" t="n">
        <v>17803</v>
      </c>
      <c r="F6" s="5" t="n">
        <v>15065</v>
      </c>
      <c r="G6" s="5" t="n">
        <v>19534</v>
      </c>
      <c r="H6" s="5" t="n">
        <v>20539</v>
      </c>
      <c r="I6" s="5" t="n">
        <v>21695</v>
      </c>
      <c r="J6" s="5" t="n">
        <v>19598</v>
      </c>
      <c r="K6" s="5" t="n">
        <v>17626</v>
      </c>
      <c r="L6" s="5" t="n">
        <v>14863</v>
      </c>
      <c r="M6" s="5" t="n">
        <v>13049</v>
      </c>
      <c r="N6" s="5" t="n"/>
      <c r="O6" s="5" t="n"/>
      <c r="P6" s="5" t="n"/>
      <c r="Q6" s="5" t="n"/>
      <c r="R6" s="5" t="n"/>
      <c r="S6" s="5" t="n"/>
      <c r="T6" s="5" t="n"/>
      <c r="U6" s="5" t="n"/>
      <c r="X6" t="inlineStr">
        <is>
          <t>Total assets</t>
        </is>
      </c>
      <c r="AG6" t="n">
        <v>13049</v>
      </c>
      <c r="AH6" t="n">
        <v>14863</v>
      </c>
      <c r="AI6" t="n">
        <v>17626</v>
      </c>
      <c r="AJ6" t="n">
        <v>19598</v>
      </c>
      <c r="AK6" t="n">
        <v>21695</v>
      </c>
      <c r="AL6" t="n">
        <v>20539</v>
      </c>
      <c r="AM6" t="n">
        <v>19534</v>
      </c>
      <c r="AN6" t="n">
        <v>15065</v>
      </c>
      <c r="AO6" t="n">
        <v>17803</v>
      </c>
      <c r="AP6" t="n">
        <v>18630</v>
      </c>
      <c r="AQ6" t="n">
        <v>13837</v>
      </c>
      <c r="AR6" t="n">
        <v>13095</v>
      </c>
      <c r="DL6" t="inlineStr">
        <is>
          <t>CET1 Ratio</t>
        </is>
      </c>
      <c r="DU6" t="n">
        <v>16.3</v>
      </c>
      <c r="DV6" t="n">
        <v>15.27</v>
      </c>
      <c r="DW6" t="n">
        <v>14.53</v>
      </c>
      <c r="DX6" t="n">
        <v>14.67</v>
      </c>
      <c r="DY6" t="n">
        <v>14.84</v>
      </c>
      <c r="DZ6" t="n">
        <v>16.54</v>
      </c>
      <c r="EA6" t="n">
        <v>19.54</v>
      </c>
      <c r="EB6" t="n">
        <v>23.58</v>
      </c>
      <c r="EC6" t="n">
        <v>16.65</v>
      </c>
      <c r="ED6" t="n">
        <v>17.16</v>
      </c>
      <c r="EE6" t="n">
        <v>17.61</v>
      </c>
      <c r="EF6" t="n">
        <v>16.59</v>
      </c>
    </row>
    <row r="7">
      <c r="A7" s="5" t="inlineStr">
        <is>
          <t>Loans and advances to customers</t>
        </is>
      </c>
      <c r="B7" s="5" t="n">
        <v>11490</v>
      </c>
      <c r="C7" s="5" t="n">
        <v>12021</v>
      </c>
      <c r="D7" s="5" t="n">
        <v>15115</v>
      </c>
      <c r="E7" s="5" t="n">
        <v>14297</v>
      </c>
      <c r="F7" s="5" t="n">
        <v>12602</v>
      </c>
      <c r="G7" s="5" t="n">
        <v>15804</v>
      </c>
      <c r="H7" s="5" t="n">
        <v>17866</v>
      </c>
      <c r="I7" s="5" t="n">
        <v>18526</v>
      </c>
      <c r="J7" s="5" t="n">
        <v>16798</v>
      </c>
      <c r="K7" s="5" t="n">
        <v>14800</v>
      </c>
      <c r="L7" s="5" t="n">
        <v>12439</v>
      </c>
      <c r="M7" s="5" t="n">
        <v>10548</v>
      </c>
      <c r="N7" s="5" t="n"/>
      <c r="O7" s="5" t="n"/>
      <c r="P7" s="5" t="n"/>
      <c r="Q7" s="5" t="n"/>
      <c r="R7" s="5" t="n"/>
      <c r="S7" s="5" t="n"/>
      <c r="T7" s="5" t="n"/>
      <c r="U7" s="5" t="n"/>
      <c r="X7" t="inlineStr">
        <is>
          <t>Loans and advances to customers</t>
        </is>
      </c>
      <c r="AG7" t="n">
        <v>10548</v>
      </c>
      <c r="AH7" t="n">
        <v>12439</v>
      </c>
      <c r="AI7" t="n">
        <v>14800</v>
      </c>
      <c r="AJ7" t="n">
        <v>16798</v>
      </c>
      <c r="AK7" t="n">
        <v>18526</v>
      </c>
      <c r="AL7" t="n">
        <v>17866</v>
      </c>
      <c r="AM7" t="n">
        <v>15804</v>
      </c>
      <c r="AN7" t="n">
        <v>12602</v>
      </c>
      <c r="AO7" t="n">
        <v>14297</v>
      </c>
      <c r="AP7" t="n">
        <v>15115</v>
      </c>
      <c r="AQ7" t="n">
        <v>12021</v>
      </c>
      <c r="AR7" t="n">
        <v>11490</v>
      </c>
      <c r="DL7" t="inlineStr">
        <is>
          <t>Total Capital Ratio</t>
        </is>
      </c>
      <c r="DU7" t="n">
        <v>18.6</v>
      </c>
      <c r="DV7" t="n">
        <v>17.31</v>
      </c>
      <c r="DW7" t="n">
        <v>16.89</v>
      </c>
      <c r="DX7" t="n">
        <v>17</v>
      </c>
      <c r="DY7" t="n">
        <v>16.66</v>
      </c>
      <c r="DZ7" t="n">
        <v>18.64</v>
      </c>
      <c r="EA7" t="n">
        <v>21.79</v>
      </c>
      <c r="EB7" t="n">
        <v>26.2</v>
      </c>
      <c r="EC7" t="n">
        <v>19.03</v>
      </c>
      <c r="ED7" t="n">
        <v>19.3</v>
      </c>
      <c r="EE7" t="n">
        <v>19.57</v>
      </c>
      <c r="EF7" t="n">
        <v>18.66</v>
      </c>
    </row>
    <row r="8">
      <c r="A8" s="5" t="inlineStr">
        <is>
          <t>Deposits</t>
        </is>
      </c>
      <c r="B8" s="5" t="n">
        <v>5892</v>
      </c>
      <c r="C8" s="5" t="n">
        <v>6300</v>
      </c>
      <c r="D8" s="5" t="n">
        <v>8962</v>
      </c>
      <c r="E8" s="5" t="n">
        <v>7131</v>
      </c>
      <c r="F8" s="5" t="n">
        <v>5001</v>
      </c>
      <c r="G8" s="5" t="n">
        <v>3609</v>
      </c>
      <c r="H8" s="5" t="n">
        <v>1970</v>
      </c>
      <c r="I8" s="5" t="n">
        <v>1198</v>
      </c>
      <c r="J8" s="5" t="n">
        <v>388</v>
      </c>
      <c r="K8" s="5" t="n">
        <v>69</v>
      </c>
      <c r="L8" s="5" t="n">
        <v>56</v>
      </c>
      <c r="M8" s="5" t="n">
        <v>51</v>
      </c>
      <c r="N8" s="5" t="n"/>
      <c r="O8" s="5" t="n"/>
      <c r="P8" s="5" t="n"/>
      <c r="Q8" s="5" t="n"/>
      <c r="R8" s="5" t="n"/>
      <c r="S8" s="5" t="n"/>
      <c r="T8" s="5" t="n"/>
      <c r="U8" s="5" t="n"/>
      <c r="X8" t="inlineStr">
        <is>
          <t>Deposits</t>
        </is>
      </c>
      <c r="AG8" t="n">
        <v>51</v>
      </c>
      <c r="AH8" t="n">
        <v>56</v>
      </c>
      <c r="AI8" t="n">
        <v>69</v>
      </c>
      <c r="AJ8" t="n">
        <v>388</v>
      </c>
      <c r="AK8" t="n">
        <v>1198</v>
      </c>
      <c r="AL8" t="n">
        <v>1970</v>
      </c>
      <c r="AM8" t="n">
        <v>3609</v>
      </c>
      <c r="AN8" t="n">
        <v>5001</v>
      </c>
      <c r="AO8" t="n">
        <v>7131</v>
      </c>
      <c r="AP8" t="n">
        <v>8962</v>
      </c>
      <c r="AQ8" t="n">
        <v>6300</v>
      </c>
      <c r="AR8" t="n">
        <v>5892</v>
      </c>
      <c r="DL8" t="inlineStr">
        <is>
          <t>Leverage Ratio</t>
        </is>
      </c>
      <c r="DU8" t="n">
        <v>12.91</v>
      </c>
      <c r="DV8" t="n">
        <v>12.28</v>
      </c>
      <c r="DW8" t="n">
        <v>11.86</v>
      </c>
      <c r="DX8" t="n">
        <v>11.82</v>
      </c>
      <c r="DY8" t="n">
        <v>11.74</v>
      </c>
      <c r="DZ8" t="n">
        <v>13.02</v>
      </c>
      <c r="EA8" t="n">
        <v>14.59</v>
      </c>
      <c r="EB8" t="n">
        <v>16.95</v>
      </c>
    </row>
    <row r="9">
      <c r="A9" s="5" t="inlineStr">
        <is>
          <t>Total equity</t>
        </is>
      </c>
      <c r="B9" s="5" t="n">
        <v>1704</v>
      </c>
      <c r="C9" s="5" t="n">
        <v>2065</v>
      </c>
      <c r="D9" s="5" t="n">
        <v>2556</v>
      </c>
      <c r="E9" s="5" t="n">
        <v>2502</v>
      </c>
      <c r="F9" s="5" t="n">
        <v>2742</v>
      </c>
      <c r="G9" s="5" t="n">
        <v>3003</v>
      </c>
      <c r="H9" s="5" t="n">
        <v>2779</v>
      </c>
      <c r="I9" s="5" t="n">
        <v>2647</v>
      </c>
      <c r="J9" s="5" t="n">
        <v>2408</v>
      </c>
      <c r="K9" s="5" t="n">
        <v>2182</v>
      </c>
      <c r="L9" s="5" t="n">
        <v>1902</v>
      </c>
      <c r="M9" s="5" t="n">
        <v>1791</v>
      </c>
      <c r="N9" s="5" t="n"/>
      <c r="O9" s="5" t="n"/>
      <c r="P9" s="5" t="n"/>
      <c r="Q9" s="5" t="n"/>
      <c r="R9" s="5" t="n"/>
      <c r="S9" s="5" t="n"/>
      <c r="T9" s="5" t="n"/>
      <c r="U9" s="5" t="n"/>
      <c r="X9" t="inlineStr">
        <is>
          <t>Total equity</t>
        </is>
      </c>
      <c r="AG9" t="n">
        <v>1791</v>
      </c>
      <c r="AH9" t="n">
        <v>1902</v>
      </c>
      <c r="AI9" t="n">
        <v>2182</v>
      </c>
      <c r="AJ9" t="n">
        <v>2408</v>
      </c>
      <c r="AK9" t="n">
        <v>2647</v>
      </c>
      <c r="AL9" t="n">
        <v>2779</v>
      </c>
      <c r="AM9" t="n">
        <v>3003</v>
      </c>
      <c r="AN9" t="n">
        <v>2742</v>
      </c>
      <c r="AO9" t="n">
        <v>2502</v>
      </c>
      <c r="AP9" t="n">
        <v>2556</v>
      </c>
      <c r="AQ9" t="n">
        <v>2065</v>
      </c>
      <c r="AR9" t="n">
        <v>1704</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S12" s="4" t="inlineStr">
        <is>
          <t>FY2008</t>
        </is>
      </c>
      <c r="T12" s="4" t="inlineStr">
        <is>
          <t>FY2007</t>
        </is>
      </c>
      <c r="U12" s="4" t="inlineStr">
        <is>
          <t>FY2006</t>
        </is>
      </c>
      <c r="AV12" t="inlineStr">
        <is>
          <t>FY2006</t>
        </is>
      </c>
      <c r="AW12" t="inlineStr">
        <is>
          <t>FY2007</t>
        </is>
      </c>
      <c r="AX12" t="inlineStr">
        <is>
          <t>FY2008</t>
        </is>
      </c>
      <c r="AY12" t="inlineStr">
        <is>
          <t>FY2009</t>
        </is>
      </c>
      <c r="AZ12" t="inlineStr">
        <is>
          <t>FY2010</t>
        </is>
      </c>
      <c r="BA12" t="inlineStr">
        <is>
          <t>FY2011</t>
        </is>
      </c>
      <c r="BB12" t="inlineStr">
        <is>
          <t>FY2012</t>
        </is>
      </c>
      <c r="BC12" t="inlineStr">
        <is>
          <t>FY2013</t>
        </is>
      </c>
      <c r="BD12" t="inlineStr">
        <is>
          <t>FY2014</t>
        </is>
      </c>
      <c r="BE12" t="inlineStr">
        <is>
          <t>FY2015</t>
        </is>
      </c>
      <c r="BF12" t="inlineStr">
        <is>
          <t>FY2016</t>
        </is>
      </c>
      <c r="BG12" t="inlineStr">
        <is>
          <t>FY2017</t>
        </is>
      </c>
      <c r="BH12" t="inlineStr">
        <is>
          <t>FY2018</t>
        </is>
      </c>
      <c r="BI12" t="inlineStr">
        <is>
          <t>FY2019</t>
        </is>
      </c>
      <c r="BJ12" t="inlineStr">
        <is>
          <t>FY2020</t>
        </is>
      </c>
      <c r="BK12" t="inlineStr">
        <is>
          <t>FY2021</t>
        </is>
      </c>
      <c r="BL12" t="inlineStr">
        <is>
          <t>FY2022</t>
        </is>
      </c>
      <c r="BM12" t="inlineStr">
        <is>
          <t>FY2023</t>
        </is>
      </c>
      <c r="BN12" t="inlineStr">
        <is>
          <t>FY2024</t>
        </is>
      </c>
      <c r="BO12" t="inlineStr">
        <is>
          <t>FY2025</t>
        </is>
      </c>
    </row>
    <row r="13">
      <c r="A13" s="5" t="inlineStr">
        <is>
          <t>Total income</t>
        </is>
      </c>
      <c r="B13" s="5" t="n">
        <v>422</v>
      </c>
      <c r="C13" s="5" t="n">
        <v>405</v>
      </c>
      <c r="D13" s="5" t="n">
        <v>575</v>
      </c>
      <c r="E13" s="5" t="n">
        <v>516</v>
      </c>
      <c r="F13" s="5" t="n">
        <v>599</v>
      </c>
      <c r="G13" s="5" t="n">
        <v>736</v>
      </c>
      <c r="H13" s="5" t="n">
        <v>1019</v>
      </c>
      <c r="I13" s="5" t="n">
        <v>939</v>
      </c>
      <c r="J13" s="5" t="n">
        <v>843</v>
      </c>
      <c r="K13" s="5" t="n">
        <v>697</v>
      </c>
      <c r="L13" s="5" t="n">
        <v>598</v>
      </c>
      <c r="M13" s="5" t="n">
        <v>609</v>
      </c>
      <c r="N13" s="5" t="n"/>
      <c r="O13" s="5" t="n"/>
      <c r="P13" s="5" t="n"/>
      <c r="Q13" s="5" t="n"/>
      <c r="R13" s="5" t="n"/>
      <c r="S13" s="5" t="n"/>
      <c r="T13" s="5" t="n"/>
      <c r="U13" s="5" t="n"/>
      <c r="AU13" t="inlineStr">
        <is>
          <t>Total income</t>
        </is>
      </c>
      <c r="BD13" t="n">
        <v>609</v>
      </c>
      <c r="BE13" t="n">
        <v>598</v>
      </c>
      <c r="BF13" t="n">
        <v>697</v>
      </c>
      <c r="BG13" t="n">
        <v>843</v>
      </c>
      <c r="BH13" t="n">
        <v>939</v>
      </c>
      <c r="BI13" t="n">
        <v>1019</v>
      </c>
      <c r="BJ13" t="n">
        <v>736</v>
      </c>
      <c r="BK13" t="n">
        <v>599</v>
      </c>
      <c r="BL13" t="n">
        <v>516</v>
      </c>
      <c r="BM13" t="n">
        <v>575</v>
      </c>
      <c r="BN13" t="n">
        <v>405</v>
      </c>
      <c r="BO13" t="n">
        <v>422</v>
      </c>
    </row>
    <row r="14">
      <c r="A14" s="5" t="inlineStr">
        <is>
          <t>Operating expenses</t>
        </is>
      </c>
      <c r="B14" s="5" t="n">
        <v>-265</v>
      </c>
      <c r="C14" s="5" t="n">
        <v>-243</v>
      </c>
      <c r="D14" s="5" t="n">
        <v>-287</v>
      </c>
      <c r="E14" s="5" t="n">
        <v>-255</v>
      </c>
      <c r="F14" s="5" t="n">
        <v>-239</v>
      </c>
      <c r="G14" s="5" t="n">
        <v>-275</v>
      </c>
      <c r="H14" s="5" t="n">
        <v>-276</v>
      </c>
      <c r="I14" s="5" t="n">
        <v>-305</v>
      </c>
      <c r="J14" s="5" t="n">
        <v>-260</v>
      </c>
      <c r="K14" s="5" t="n">
        <v>-292</v>
      </c>
      <c r="L14" s="5" t="n">
        <v>-200</v>
      </c>
      <c r="M14" s="5" t="n">
        <v>-204</v>
      </c>
      <c r="N14" s="5" t="n"/>
      <c r="O14" s="5" t="n"/>
      <c r="P14" s="5" t="n"/>
      <c r="Q14" s="5" t="n"/>
      <c r="R14" s="5" t="n"/>
      <c r="S14" s="5" t="n"/>
      <c r="T14" s="5" t="n"/>
      <c r="U14" s="5" t="n"/>
      <c r="AU14" t="inlineStr">
        <is>
          <t>Operating expenses</t>
        </is>
      </c>
      <c r="BD14" t="n">
        <v>-204</v>
      </c>
      <c r="BE14" t="n">
        <v>-200</v>
      </c>
      <c r="BF14" t="n">
        <v>-292</v>
      </c>
      <c r="BG14" t="n">
        <v>-260</v>
      </c>
      <c r="BH14" t="n">
        <v>-305</v>
      </c>
      <c r="BI14" t="n">
        <v>-276</v>
      </c>
      <c r="BJ14" t="n">
        <v>-275</v>
      </c>
      <c r="BK14" t="n">
        <v>-239</v>
      </c>
      <c r="BL14" t="n">
        <v>-255</v>
      </c>
      <c r="BM14" t="n">
        <v>-287</v>
      </c>
      <c r="BN14" t="n">
        <v>-243</v>
      </c>
      <c r="BO14" t="n">
        <v>-265</v>
      </c>
    </row>
    <row r="15">
      <c r="A15" s="5" t="inlineStr">
        <is>
          <t>Profit for the period</t>
        </is>
      </c>
      <c r="B15" s="5" t="n">
        <v>96</v>
      </c>
      <c r="C15" s="5" t="n">
        <v>212</v>
      </c>
      <c r="D15" s="5" t="n">
        <v>88</v>
      </c>
      <c r="E15" s="5" t="n">
        <v>287</v>
      </c>
      <c r="F15" s="5" t="n">
        <v>154</v>
      </c>
      <c r="G15" s="5" t="n">
        <v>128</v>
      </c>
      <c r="H15" s="5" t="n">
        <v>224</v>
      </c>
      <c r="I15" s="5" t="n">
        <v>209</v>
      </c>
      <c r="J15" s="5" t="n">
        <v>213</v>
      </c>
      <c r="K15" s="5" t="n">
        <v>144</v>
      </c>
      <c r="L15" s="5" t="n">
        <v>160</v>
      </c>
      <c r="M15" s="5" t="n">
        <v>147</v>
      </c>
      <c r="N15" s="5" t="n"/>
      <c r="O15" s="5" t="n"/>
      <c r="P15" s="5" t="n"/>
      <c r="Q15" s="5" t="n"/>
      <c r="R15" s="5" t="n"/>
      <c r="S15" s="5" t="n"/>
      <c r="T15" s="5" t="n"/>
      <c r="U15" s="5" t="n"/>
      <c r="AU15" t="inlineStr">
        <is>
          <t>Profit for the period</t>
        </is>
      </c>
      <c r="BD15" t="n">
        <v>147</v>
      </c>
      <c r="BE15" t="n">
        <v>160</v>
      </c>
      <c r="BF15" t="n">
        <v>144</v>
      </c>
      <c r="BG15" t="n">
        <v>213</v>
      </c>
      <c r="BH15" t="n">
        <v>209</v>
      </c>
      <c r="BI15" t="n">
        <v>224</v>
      </c>
      <c r="BJ15" t="n">
        <v>128</v>
      </c>
      <c r="BK15" t="n">
        <v>154</v>
      </c>
      <c r="BL15" t="n">
        <v>287</v>
      </c>
      <c r="BM15" t="n">
        <v>88</v>
      </c>
      <c r="BN15" t="n">
        <v>212</v>
      </c>
      <c r="BO15" t="n">
        <v>96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S18" s="4" t="inlineStr">
        <is>
          <t>FY2008</t>
        </is>
      </c>
      <c r="T18" s="4" t="inlineStr">
        <is>
          <t>FY2007</t>
        </is>
      </c>
      <c r="U18" s="4" t="inlineStr">
        <is>
          <t>FY2006</t>
        </is>
      </c>
      <c r="BS18" t="inlineStr">
        <is>
          <t>FY2006</t>
        </is>
      </c>
      <c r="BT18" t="inlineStr">
        <is>
          <t>FY2007</t>
        </is>
      </c>
      <c r="BU18" t="inlineStr">
        <is>
          <t>FY2008</t>
        </is>
      </c>
      <c r="BV18" t="inlineStr">
        <is>
          <t>FY2009</t>
        </is>
      </c>
      <c r="BW18" t="inlineStr">
        <is>
          <t>FY2010</t>
        </is>
      </c>
      <c r="BX18" t="inlineStr">
        <is>
          <t>FY2011</t>
        </is>
      </c>
      <c r="BY18" t="inlineStr">
        <is>
          <t>FY2012</t>
        </is>
      </c>
      <c r="BZ18" t="inlineStr">
        <is>
          <t>FY2013</t>
        </is>
      </c>
      <c r="CA18" t="inlineStr">
        <is>
          <t>FY2014</t>
        </is>
      </c>
      <c r="CB18" t="inlineStr">
        <is>
          <t>FY2015</t>
        </is>
      </c>
      <c r="CC18" t="inlineStr">
        <is>
          <t>FY2016</t>
        </is>
      </c>
      <c r="CD18" t="inlineStr">
        <is>
          <t>FY2017</t>
        </is>
      </c>
      <c r="CE18" t="inlineStr">
        <is>
          <t>FY2018</t>
        </is>
      </c>
      <c r="CF18" t="inlineStr">
        <is>
          <t>FY2019</t>
        </is>
      </c>
      <c r="CG18" t="inlineStr">
        <is>
          <t>FY2020</t>
        </is>
      </c>
      <c r="CH18" t="inlineStr">
        <is>
          <t>FY2021</t>
        </is>
      </c>
      <c r="CI18" t="inlineStr">
        <is>
          <t>FY2022</t>
        </is>
      </c>
      <c r="CJ18" t="inlineStr">
        <is>
          <t>FY2023</t>
        </is>
      </c>
      <c r="CK18" t="inlineStr">
        <is>
          <t>FY2024</t>
        </is>
      </c>
      <c r="CL18" t="inlineStr">
        <is>
          <t>FY2025</t>
        </is>
      </c>
    </row>
    <row r="19">
      <c r="A19" s="5" t="inlineStr">
        <is>
          <t>Opening equity</t>
        </is>
      </c>
      <c r="B19" s="5" t="n">
        <v>2065</v>
      </c>
      <c r="C19" s="5" t="n">
        <v>2556</v>
      </c>
      <c r="D19" s="5" t="n">
        <v>2502</v>
      </c>
      <c r="E19" s="5" t="n">
        <v>2742</v>
      </c>
      <c r="F19" s="5" t="n">
        <v>3003</v>
      </c>
      <c r="G19" s="5" t="n">
        <v>2779</v>
      </c>
      <c r="H19" s="5" t="n">
        <v>2647</v>
      </c>
      <c r="I19" s="5" t="n">
        <v>2408</v>
      </c>
      <c r="J19" s="5" t="n">
        <v>2182</v>
      </c>
      <c r="K19" s="5" t="n">
        <v>1902</v>
      </c>
      <c r="L19" s="5" t="n">
        <v>1791</v>
      </c>
      <c r="M19" s="5" t="n">
        <v>1715</v>
      </c>
      <c r="N19" s="5" t="n"/>
      <c r="O19" s="5" t="n"/>
      <c r="P19" s="5" t="n"/>
      <c r="Q19" s="5" t="n"/>
      <c r="R19" s="5" t="n"/>
      <c r="S19" s="5" t="n"/>
      <c r="T19" s="5" t="n"/>
      <c r="U19" s="5" t="n"/>
      <c r="BR19" t="inlineStr">
        <is>
          <t>Opening equity</t>
        </is>
      </c>
      <c r="CA19" t="n">
        <v>1715</v>
      </c>
      <c r="CB19" t="n">
        <v>1791</v>
      </c>
      <c r="CC19" t="n">
        <v>1902</v>
      </c>
      <c r="CD19" t="n">
        <v>2182</v>
      </c>
      <c r="CE19" t="n">
        <v>2408</v>
      </c>
      <c r="CF19" t="n">
        <v>2647</v>
      </c>
      <c r="CG19" t="n">
        <v>2779</v>
      </c>
      <c r="CH19" t="n">
        <v>3003</v>
      </c>
      <c r="CI19" t="n">
        <v>2742</v>
      </c>
      <c r="CJ19" t="n">
        <v>2502</v>
      </c>
      <c r="CK19" t="n">
        <v>2556</v>
      </c>
      <c r="CL19" t="n">
        <v>2065</v>
      </c>
    </row>
    <row r="20">
      <c r="A20" s="5" t="inlineStr">
        <is>
          <t>Total comprehensive income for the year</t>
        </is>
      </c>
      <c r="B20" s="5" t="n">
        <v>139</v>
      </c>
      <c r="C20" s="5" t="n">
        <v>9</v>
      </c>
      <c r="D20" s="5" t="n">
        <v>55</v>
      </c>
      <c r="E20" s="5" t="n">
        <v>365</v>
      </c>
      <c r="F20" s="5" t="n">
        <v>39</v>
      </c>
      <c r="G20" s="5" t="n">
        <v>222</v>
      </c>
      <c r="H20" s="5" t="n">
        <v>132</v>
      </c>
      <c r="I20" s="5" t="n">
        <v>227</v>
      </c>
      <c r="J20" s="5" t="n">
        <v>255</v>
      </c>
      <c r="K20" s="5" t="n">
        <v>329</v>
      </c>
      <c r="L20" s="5" t="n">
        <v>111</v>
      </c>
      <c r="M20" s="5" t="n">
        <v>77</v>
      </c>
      <c r="N20" s="5" t="n"/>
      <c r="O20" s="5" t="n"/>
      <c r="P20" s="5" t="n"/>
      <c r="Q20" s="5" t="n"/>
      <c r="R20" s="5" t="n"/>
      <c r="S20" s="5" t="n"/>
      <c r="T20" s="5" t="n"/>
      <c r="U20" s="5" t="n"/>
      <c r="BR20" t="inlineStr">
        <is>
          <t>Total comprehensive income for the year</t>
        </is>
      </c>
      <c r="CA20" t="n">
        <v>77</v>
      </c>
      <c r="CB20" t="n">
        <v>111</v>
      </c>
      <c r="CC20" t="n">
        <v>329</v>
      </c>
      <c r="CD20" t="n">
        <v>255</v>
      </c>
      <c r="CE20" t="n">
        <v>227</v>
      </c>
      <c r="CF20" t="n">
        <v>132</v>
      </c>
      <c r="CG20" t="n">
        <v>222</v>
      </c>
      <c r="CH20" t="n">
        <v>39</v>
      </c>
      <c r="CI20" t="n">
        <v>365</v>
      </c>
      <c r="CJ20" t="n">
        <v>55</v>
      </c>
      <c r="CK20" t="n">
        <v>9</v>
      </c>
      <c r="CL20" t="n">
        <v>139</v>
      </c>
    </row>
    <row r="21">
      <c r="A21" s="5" t="inlineStr">
        <is>
          <t>Other equity movements, net</t>
        </is>
      </c>
      <c r="B21" s="5" t="n">
        <v>-500</v>
      </c>
      <c r="C21" s="5" t="n">
        <v>-500</v>
      </c>
      <c r="D21" s="5" t="n">
        <v>-1</v>
      </c>
      <c r="E21" s="5" t="n">
        <v>-605</v>
      </c>
      <c r="F21" s="5" t="n">
        <v>-300</v>
      </c>
      <c r="G21" s="5" t="n">
        <v>2</v>
      </c>
      <c r="H21" s="5" t="n">
        <v>-3</v>
      </c>
      <c r="I21" s="5" t="n">
        <v>12</v>
      </c>
      <c r="J21" s="5" t="n">
        <v>0</v>
      </c>
      <c r="K21" s="5" t="n">
        <v>-48</v>
      </c>
      <c r="L21" s="5" t="n">
        <v>0</v>
      </c>
      <c r="M21" s="5" t="n">
        <v>-1</v>
      </c>
      <c r="N21" s="5" t="n"/>
      <c r="O21" s="5" t="n"/>
      <c r="P21" s="5" t="n"/>
      <c r="Q21" s="5" t="n"/>
      <c r="R21" s="5" t="n"/>
      <c r="S21" s="5" t="n"/>
      <c r="T21" s="5" t="n"/>
      <c r="U21" s="5" t="n"/>
      <c r="BR21" t="inlineStr">
        <is>
          <t>Other equity movements, net</t>
        </is>
      </c>
      <c r="CA21" t="n">
        <v>-1</v>
      </c>
      <c r="CB21" t="n">
        <v>0</v>
      </c>
      <c r="CC21" t="n">
        <v>-48</v>
      </c>
      <c r="CD21" t="n">
        <v>0</v>
      </c>
      <c r="CE21" t="n">
        <v>12</v>
      </c>
      <c r="CF21" t="n">
        <v>-3</v>
      </c>
      <c r="CG21" t="n">
        <v>2</v>
      </c>
      <c r="CH21" t="n">
        <v>-300</v>
      </c>
      <c r="CI21" t="n">
        <v>-605</v>
      </c>
      <c r="CJ21" t="n">
        <v>-1</v>
      </c>
      <c r="CK21" t="n">
        <v>-500</v>
      </c>
      <c r="CL21" t="n">
        <v>-500</v>
      </c>
    </row>
    <row r="22">
      <c r="A22" s="5" t="inlineStr">
        <is>
          <t>Closing equity</t>
        </is>
      </c>
      <c r="B22" s="5" t="n">
        <v>1704</v>
      </c>
      <c r="C22" s="5" t="n">
        <v>2065</v>
      </c>
      <c r="D22" s="5" t="n">
        <v>2556</v>
      </c>
      <c r="E22" s="5" t="n">
        <v>2502</v>
      </c>
      <c r="F22" s="5" t="n">
        <v>2742</v>
      </c>
      <c r="G22" s="5" t="n">
        <v>3003</v>
      </c>
      <c r="H22" s="5" t="n">
        <v>2779</v>
      </c>
      <c r="I22" s="5" t="n">
        <v>2647</v>
      </c>
      <c r="J22" s="5" t="n">
        <v>2408</v>
      </c>
      <c r="K22" s="5" t="n">
        <v>2182</v>
      </c>
      <c r="L22" s="5" t="n">
        <v>1902</v>
      </c>
      <c r="M22" s="5" t="n">
        <v>1791</v>
      </c>
      <c r="N22" s="5" t="n"/>
      <c r="O22" s="5" t="n"/>
      <c r="P22" s="5" t="n"/>
      <c r="Q22" s="5" t="n"/>
      <c r="R22" s="5" t="n"/>
      <c r="S22" s="5" t="n"/>
      <c r="T22" s="5" t="n"/>
      <c r="U22" s="5" t="n"/>
      <c r="BR22" t="inlineStr">
        <is>
          <t>Closing equity</t>
        </is>
      </c>
      <c r="CA22" t="n">
        <v>1791</v>
      </c>
      <c r="CB22" t="n">
        <v>1902</v>
      </c>
      <c r="CC22" t="n">
        <v>2182</v>
      </c>
      <c r="CD22" t="n">
        <v>2408</v>
      </c>
      <c r="CE22" t="n">
        <v>2647</v>
      </c>
      <c r="CF22" t="n">
        <v>2779</v>
      </c>
      <c r="CG22" t="n">
        <v>3003</v>
      </c>
      <c r="CH22" t="n">
        <v>2742</v>
      </c>
      <c r="CI22" t="n">
        <v>2502</v>
      </c>
      <c r="CJ22" t="n">
        <v>2556</v>
      </c>
      <c r="CK22" t="n">
        <v>2065</v>
      </c>
      <c r="CL22" t="n">
        <v>1704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S25" s="4" t="inlineStr">
        <is>
          <t>FY2008</t>
        </is>
      </c>
      <c r="T25" s="4" t="inlineStr">
        <is>
          <t>FY2007</t>
        </is>
      </c>
      <c r="U25" s="4" t="inlineStr">
        <is>
          <t>FY2006</t>
        </is>
      </c>
      <c r="CP25" t="inlineStr">
        <is>
          <t>FY2006</t>
        </is>
      </c>
      <c r="CQ25" t="inlineStr">
        <is>
          <t>FY2007</t>
        </is>
      </c>
      <c r="CR25" t="inlineStr">
        <is>
          <t>FY2008</t>
        </is>
      </c>
      <c r="CS25" t="inlineStr">
        <is>
          <t>FY2009</t>
        </is>
      </c>
      <c r="CT25" t="inlineStr">
        <is>
          <t>FY2010</t>
        </is>
      </c>
      <c r="CU25" t="inlineStr">
        <is>
          <t>FY2011</t>
        </is>
      </c>
      <c r="CV25" t="inlineStr">
        <is>
          <t>FY2012</t>
        </is>
      </c>
      <c r="CW25" t="inlineStr">
        <is>
          <t>FY2013</t>
        </is>
      </c>
      <c r="CX25" t="inlineStr">
        <is>
          <t>FY2014</t>
        </is>
      </c>
      <c r="CY25" t="inlineStr">
        <is>
          <t>FY2015</t>
        </is>
      </c>
      <c r="CZ25" t="inlineStr">
        <is>
          <t>FY2016</t>
        </is>
      </c>
      <c r="DA25" t="inlineStr">
        <is>
          <t>FY2017</t>
        </is>
      </c>
      <c r="DB25" t="inlineStr">
        <is>
          <t>FY2018</t>
        </is>
      </c>
      <c r="DC25" t="inlineStr">
        <is>
          <t>FY2019</t>
        </is>
      </c>
      <c r="DD25" t="inlineStr">
        <is>
          <t>FY2020</t>
        </is>
      </c>
      <c r="DE25" t="inlineStr">
        <is>
          <t>FY2021</t>
        </is>
      </c>
      <c r="DF25" t="inlineStr">
        <is>
          <t>FY2022</t>
        </is>
      </c>
      <c r="DG25" t="inlineStr">
        <is>
          <t>FY2023</t>
        </is>
      </c>
      <c r="DH25" t="inlineStr">
        <is>
          <t>FY2024</t>
        </is>
      </c>
      <c r="DI25" t="inlineStr">
        <is>
          <t>FY2025</t>
        </is>
      </c>
    </row>
    <row r="26">
      <c r="A26" s="5" t="inlineStr">
        <is>
          <t>Net cash generated from/(used in) operating activities</t>
        </is>
      </c>
      <c r="B26" s="5" t="n">
        <v>966</v>
      </c>
      <c r="C26" s="5" t="n">
        <v>-935</v>
      </c>
      <c r="D26" s="5" t="n">
        <v>-1133</v>
      </c>
      <c r="E26" s="5" t="n">
        <v>-1273</v>
      </c>
      <c r="F26" s="5" t="n">
        <v>3292</v>
      </c>
      <c r="G26" s="5" t="n">
        <v>2691</v>
      </c>
      <c r="H26" s="5" t="n">
        <v>193</v>
      </c>
      <c r="I26" s="5" t="n">
        <v>-1433</v>
      </c>
      <c r="J26" s="5" t="n">
        <v>-1507</v>
      </c>
      <c r="K26" s="5" t="n">
        <v>-1024</v>
      </c>
      <c r="L26" s="5" t="n">
        <v>-1982</v>
      </c>
      <c r="M26" s="5" t="n">
        <v>-1609</v>
      </c>
      <c r="N26" s="5" t="n"/>
      <c r="O26" s="5" t="n"/>
      <c r="P26" s="5" t="n"/>
      <c r="Q26" s="5" t="n"/>
      <c r="R26" s="5" t="n"/>
      <c r="S26" s="5" t="n"/>
      <c r="T26" s="5" t="n"/>
      <c r="U26" s="5" t="n"/>
      <c r="CO26" t="inlineStr">
        <is>
          <t>Net cash generated from/(used in) operating activities</t>
        </is>
      </c>
      <c r="CX26" t="n">
        <v>-1609</v>
      </c>
      <c r="CY26" t="n">
        <v>-1982</v>
      </c>
      <c r="CZ26" t="n">
        <v>-1024</v>
      </c>
      <c r="DA26" t="n">
        <v>-1507</v>
      </c>
      <c r="DB26" t="n">
        <v>-1433</v>
      </c>
      <c r="DC26" t="n">
        <v>193</v>
      </c>
      <c r="DD26" t="n">
        <v>2691</v>
      </c>
      <c r="DE26" t="n">
        <v>3292</v>
      </c>
      <c r="DF26" t="n">
        <v>-1273</v>
      </c>
      <c r="DG26" t="n">
        <v>-1133</v>
      </c>
      <c r="DH26" t="n">
        <v>-935</v>
      </c>
      <c r="DI26" t="n">
        <v>966</v>
      </c>
    </row>
    <row r="27">
      <c r="A27" s="5" t="inlineStr">
        <is>
          <t>Net cash (used in)/generated from investing activities</t>
        </is>
      </c>
      <c r="B27" s="5" t="n">
        <v>-17</v>
      </c>
      <c r="C27" s="5" t="n">
        <v>113</v>
      </c>
      <c r="D27" s="5" t="n">
        <v>139</v>
      </c>
      <c r="E27" s="5" t="n">
        <v>-15</v>
      </c>
      <c r="F27" s="5" t="n">
        <v>-6</v>
      </c>
      <c r="G27" s="5" t="n">
        <v>-11</v>
      </c>
      <c r="H27" s="5" t="n">
        <v>-51</v>
      </c>
      <c r="I27" s="5" t="n">
        <v>-9</v>
      </c>
      <c r="J27" s="5" t="n">
        <v>-5</v>
      </c>
      <c r="K27" s="5" t="n">
        <v>-4</v>
      </c>
      <c r="L27" s="5" t="n">
        <v>-3</v>
      </c>
      <c r="M27" s="5" t="n">
        <v>-4</v>
      </c>
      <c r="N27" s="5" t="n"/>
      <c r="O27" s="5" t="n"/>
      <c r="P27" s="5" t="n"/>
      <c r="Q27" s="5" t="n"/>
      <c r="R27" s="5" t="n"/>
      <c r="S27" s="5" t="n"/>
      <c r="T27" s="5" t="n"/>
      <c r="U27" s="5" t="n"/>
      <c r="CO27" t="inlineStr">
        <is>
          <t>Net cash (used in)/generated from investing activities</t>
        </is>
      </c>
      <c r="CX27" t="n">
        <v>-4</v>
      </c>
      <c r="CY27" t="n">
        <v>-3</v>
      </c>
      <c r="CZ27" t="n">
        <v>-4</v>
      </c>
      <c r="DA27" t="n">
        <v>-5</v>
      </c>
      <c r="DB27" t="n">
        <v>-9</v>
      </c>
      <c r="DC27" t="n">
        <v>-51</v>
      </c>
      <c r="DD27" t="n">
        <v>-11</v>
      </c>
      <c r="DE27" t="n">
        <v>-6</v>
      </c>
      <c r="DF27" t="n">
        <v>-15</v>
      </c>
      <c r="DG27" t="n">
        <v>139</v>
      </c>
      <c r="DH27" t="n">
        <v>113</v>
      </c>
      <c r="DI27" t="n">
        <v>-17</v>
      </c>
    </row>
    <row r="28">
      <c r="A28" s="5" t="inlineStr">
        <is>
          <t>Net cash (used in)/generated from financing activities</t>
        </is>
      </c>
      <c r="B28" s="5" t="n">
        <v>-1111</v>
      </c>
      <c r="C28" s="5" t="n">
        <v>441</v>
      </c>
      <c r="D28" s="5" t="n">
        <v>1041</v>
      </c>
      <c r="E28" s="5" t="n">
        <v>1946</v>
      </c>
      <c r="F28" s="5" t="n">
        <v>-3447</v>
      </c>
      <c r="G28" s="5" t="n">
        <v>-2125</v>
      </c>
      <c r="H28" s="5" t="n">
        <v>-514</v>
      </c>
      <c r="I28" s="5" t="n">
        <v>1773</v>
      </c>
      <c r="J28" s="5" t="n">
        <v>1388</v>
      </c>
      <c r="K28" s="5" t="n">
        <v>855</v>
      </c>
      <c r="L28" s="5" t="n">
        <v>2054</v>
      </c>
      <c r="M28" s="5" t="n">
        <v>1099</v>
      </c>
      <c r="N28" s="5" t="n"/>
      <c r="O28" s="5" t="n"/>
      <c r="P28" s="5" t="n"/>
      <c r="Q28" s="5" t="n"/>
      <c r="R28" s="5" t="n"/>
      <c r="S28" s="5" t="n"/>
      <c r="T28" s="5" t="n"/>
      <c r="U28" s="5" t="n"/>
      <c r="CO28" t="inlineStr">
        <is>
          <t>Net cash (used in)/generated from financing activities</t>
        </is>
      </c>
      <c r="CX28" t="n">
        <v>1099</v>
      </c>
      <c r="CY28" t="n">
        <v>2054</v>
      </c>
      <c r="CZ28" t="n">
        <v>855</v>
      </c>
      <c r="DA28" t="n">
        <v>1388</v>
      </c>
      <c r="DB28" t="n">
        <v>1773</v>
      </c>
      <c r="DC28" t="n">
        <v>-514</v>
      </c>
      <c r="DD28" t="n">
        <v>-2125</v>
      </c>
      <c r="DE28" t="n">
        <v>-3447</v>
      </c>
      <c r="DF28" t="n">
        <v>1946</v>
      </c>
      <c r="DG28" t="n">
        <v>1041</v>
      </c>
      <c r="DH28" t="n">
        <v>441</v>
      </c>
      <c r="DI28" t="n">
        <v>-1111</v>
      </c>
    </row>
    <row r="29">
      <c r="A29" s="5" t="inlineStr">
        <is>
          <t>Cash and cash equivalents at end of year</t>
        </is>
      </c>
      <c r="B29" s="5" t="n">
        <v>1111</v>
      </c>
      <c r="C29" s="5" t="n">
        <v>1253</v>
      </c>
      <c r="D29" s="5" t="n">
        <v>2557</v>
      </c>
      <c r="E29" s="5" t="n">
        <v>2536</v>
      </c>
      <c r="F29" s="5" t="n">
        <v>1822</v>
      </c>
      <c r="G29" s="5" t="n">
        <v>2048</v>
      </c>
      <c r="H29" s="5" t="n">
        <v>1453</v>
      </c>
      <c r="I29" s="5" t="n">
        <v>1879</v>
      </c>
      <c r="J29" s="5" t="n">
        <v>1544</v>
      </c>
      <c r="K29" s="5" t="n">
        <v>1654</v>
      </c>
      <c r="L29" s="5" t="n">
        <v>1669</v>
      </c>
      <c r="M29" s="5" t="n">
        <v>1625</v>
      </c>
      <c r="N29" s="5" t="n"/>
      <c r="O29" s="5" t="n"/>
      <c r="P29" s="5" t="n"/>
      <c r="Q29" s="5" t="n"/>
      <c r="R29" s="5" t="n"/>
      <c r="S29" s="5" t="n"/>
      <c r="T29" s="5" t="n"/>
      <c r="U29" s="5" t="n"/>
      <c r="CO29" t="inlineStr">
        <is>
          <t>Cash and cash equivalents at end of year</t>
        </is>
      </c>
      <c r="CX29" t="n">
        <v>1625</v>
      </c>
      <c r="CY29" t="n">
        <v>1669</v>
      </c>
      <c r="CZ29" t="n">
        <v>1654</v>
      </c>
      <c r="DA29" t="n">
        <v>1544</v>
      </c>
      <c r="DB29" t="n">
        <v>1879</v>
      </c>
      <c r="DC29" t="n">
        <v>1453</v>
      </c>
      <c r="DD29" t="n">
        <v>2048</v>
      </c>
      <c r="DE29" t="n">
        <v>1822</v>
      </c>
      <c r="DF29" t="n">
        <v>2536</v>
      </c>
      <c r="DG29" t="n">
        <v>2557</v>
      </c>
      <c r="DH29" t="n">
        <v>1253</v>
      </c>
      <c r="DI29" t="n">
        <v>1111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c r="R32" s="4" t="inlineStr">
        <is>
          <t>FY2009</t>
        </is>
      </c>
      <c r="S32" s="4" t="inlineStr">
        <is>
          <t>FY2008</t>
        </is>
      </c>
      <c r="T32" s="4" t="inlineStr">
        <is>
          <t>FY2007</t>
        </is>
      </c>
      <c r="U32" s="4" t="inlineStr">
        <is>
          <t>FY2006</t>
        </is>
      </c>
    </row>
    <row r="33">
      <c r="A33" s="6" t="inlineStr">
        <is>
          <t>CET1 Ratio</t>
        </is>
      </c>
      <c r="B33" s="6" t="inlineStr">
        <is>
          <t>16.59%</t>
        </is>
      </c>
      <c r="C33" s="6" t="inlineStr">
        <is>
          <t>17.61%</t>
        </is>
      </c>
      <c r="D33" s="6" t="inlineStr">
        <is>
          <t>17.16%</t>
        </is>
      </c>
      <c r="E33" s="6" t="inlineStr">
        <is>
          <t>16.65%</t>
        </is>
      </c>
      <c r="F33" s="6" t="inlineStr">
        <is>
          <t>23.58%</t>
        </is>
      </c>
      <c r="G33" s="6" t="inlineStr">
        <is>
          <t>19.54%</t>
        </is>
      </c>
      <c r="H33" s="6" t="inlineStr">
        <is>
          <t>16.54%</t>
        </is>
      </c>
      <c r="I33" s="6" t="inlineStr">
        <is>
          <t>14.84%</t>
        </is>
      </c>
      <c r="J33" s="6" t="inlineStr">
        <is>
          <t>14.67%</t>
        </is>
      </c>
      <c r="K33" s="6" t="inlineStr">
        <is>
          <t>14.53%</t>
        </is>
      </c>
      <c r="L33" s="6" t="inlineStr">
        <is>
          <t>15.27%</t>
        </is>
      </c>
      <c r="M33" s="6" t="inlineStr">
        <is>
          <t>16.30%</t>
        </is>
      </c>
      <c r="N33" s="6" t="n"/>
      <c r="O33" s="6" t="n"/>
      <c r="P33" s="6" t="n"/>
      <c r="Q33" s="6" t="n"/>
      <c r="R33" s="6" t="n"/>
      <c r="S33" s="6" t="n"/>
      <c r="T33" s="6" t="n"/>
      <c r="U33" s="6" t="n"/>
    </row>
    <row r="34">
      <c r="A34" s="6" t="inlineStr">
        <is>
          <t>Total Capital Ratio</t>
        </is>
      </c>
      <c r="B34" s="6" t="inlineStr">
        <is>
          <t>18.66%</t>
        </is>
      </c>
      <c r="C34" s="6" t="inlineStr">
        <is>
          <t>19.57%</t>
        </is>
      </c>
      <c r="D34" s="6" t="inlineStr">
        <is>
          <t>19.30%</t>
        </is>
      </c>
      <c r="E34" s="6" t="inlineStr">
        <is>
          <t>19.03%</t>
        </is>
      </c>
      <c r="F34" s="6" t="inlineStr">
        <is>
          <t>26.20%</t>
        </is>
      </c>
      <c r="G34" s="6" t="inlineStr">
        <is>
          <t>21.79%</t>
        </is>
      </c>
      <c r="H34" s="6" t="inlineStr">
        <is>
          <t>18.64%</t>
        </is>
      </c>
      <c r="I34" s="6" t="inlineStr">
        <is>
          <t>16.66%</t>
        </is>
      </c>
      <c r="J34" s="6" t="inlineStr">
        <is>
          <t>17.00%</t>
        </is>
      </c>
      <c r="K34" s="6" t="inlineStr">
        <is>
          <t>16.89%</t>
        </is>
      </c>
      <c r="L34" s="6" t="inlineStr">
        <is>
          <t>17.31%</t>
        </is>
      </c>
      <c r="M34" s="6" t="inlineStr">
        <is>
          <t>18.6%</t>
        </is>
      </c>
      <c r="N34" s="6" t="n"/>
      <c r="O34" s="6" t="n"/>
      <c r="P34" s="6" t="n"/>
      <c r="Q34" s="6" t="n"/>
      <c r="R34" s="6" t="n"/>
      <c r="S34" s="6" t="n"/>
      <c r="T34" s="6" t="n"/>
      <c r="U34" s="6" t="n"/>
    </row>
    <row r="35">
      <c r="A35" s="6" t="inlineStr">
        <is>
          <t>Leverage Ratio</t>
        </is>
      </c>
      <c r="B35" s="6" t="n"/>
      <c r="C35" s="6" t="n"/>
      <c r="D35" s="6" t="n"/>
      <c r="E35" s="6" t="n"/>
      <c r="F35" s="6" t="inlineStr">
        <is>
          <t>16.95%</t>
        </is>
      </c>
      <c r="G35" s="6" t="inlineStr">
        <is>
          <t>14.59%</t>
        </is>
      </c>
      <c r="H35" s="6" t="inlineStr">
        <is>
          <t>13.02%</t>
        </is>
      </c>
      <c r="I35" s="6" t="inlineStr">
        <is>
          <t>11.74%</t>
        </is>
      </c>
      <c r="J35" s="6" t="inlineStr">
        <is>
          <t>11.82%</t>
        </is>
      </c>
      <c r="K35" s="6" t="inlineStr">
        <is>
          <t>11.86%</t>
        </is>
      </c>
      <c r="L35" s="6" t="inlineStr">
        <is>
          <t>12.28%</t>
        </is>
      </c>
      <c r="M35" s="6" t="inlineStr">
        <is>
          <t>12.91%</t>
        </is>
      </c>
      <c r="N35" s="6" t="n"/>
      <c r="O35" s="6" t="n"/>
      <c r="P35" s="6" t="n"/>
      <c r="Q35" s="6" t="n"/>
      <c r="R35" s="6" t="n"/>
      <c r="S35" s="6" t="n"/>
      <c r="T35" s="6" t="n"/>
      <c r="U35" s="6" t="n"/>
    </row>
    <row r="37" ht="45" customHeight="1">
      <c r="A37" s="7" t="inlineStr">
        <is>
          <t>Note: Figures are duplicated from the detail sheets for at-a-glance trend viewing; see each sheet's own source citation for the underlying document/page. CET1/Tier1 Ratio and Total RWAs are calculated for FY2022-FY2025 only (only the rounded Tier 1/Tier 2/Total Capital Ratio chart is published for those years); FY2014-FY2021 are all directly disclosed exact figures - see the individual metric sheets for the full methodology.</t>
        </is>
      </c>
    </row>
  </sheetData>
  <mergeCells count="1">
    <mergeCell ref="A37:U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Balance Sheet</t>
        </is>
      </c>
    </row>
    <row r="2">
      <c r="A2" s="2" t="inlineStr">
        <is>
          <t>Group/Consolidated basis, £m. See source note at bottom (presentation changes documented).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Cash and cash equivalents</t>
        </is>
      </c>
      <c r="B5" s="6" t="n">
        <v>1111</v>
      </c>
      <c r="C5" s="6" t="n">
        <v>1253</v>
      </c>
      <c r="D5" s="6" t="n">
        <v>2557</v>
      </c>
      <c r="E5" s="6" t="n">
        <v>2536</v>
      </c>
      <c r="F5" s="6" t="n">
        <v>1822</v>
      </c>
      <c r="G5" s="6" t="n">
        <v>2048</v>
      </c>
      <c r="H5" s="6" t="n">
        <v>1453</v>
      </c>
      <c r="I5" s="6" t="n">
        <v>1879</v>
      </c>
      <c r="J5" s="6" t="n">
        <v>1544</v>
      </c>
      <c r="K5" s="6" t="n">
        <v>1654</v>
      </c>
      <c r="L5" s="6" t="n">
        <v>1669</v>
      </c>
      <c r="M5" s="6" t="n">
        <v>1628</v>
      </c>
      <c r="N5" s="6" t="n">
        <v>2300</v>
      </c>
      <c r="O5" s="6" t="n">
        <v>2545</v>
      </c>
      <c r="P5" s="6" t="n">
        <v>2767</v>
      </c>
      <c r="Q5" s="6" t="n">
        <v>2094</v>
      </c>
      <c r="R5" s="6" t="n">
        <v>2586</v>
      </c>
      <c r="S5" s="6" t="n">
        <v>2695</v>
      </c>
      <c r="T5" s="6" t="n">
        <v>1601</v>
      </c>
      <c r="U5" s="6" t="n">
        <v>1133</v>
      </c>
    </row>
    <row r="6">
      <c r="A6" s="6" t="inlineStr">
        <is>
          <t>Derivative financial instruments</t>
        </is>
      </c>
      <c r="B6" s="6" t="n">
        <v>44</v>
      </c>
      <c r="C6" s="6" t="n">
        <v>96</v>
      </c>
      <c r="D6" s="6" t="n">
        <v>112</v>
      </c>
      <c r="E6" s="6" t="n">
        <v>301</v>
      </c>
      <c r="F6" s="6" t="n">
        <v>63</v>
      </c>
      <c r="G6" s="6" t="n">
        <v>93</v>
      </c>
      <c r="H6" s="6" t="n">
        <v>147</v>
      </c>
      <c r="I6" s="6" t="n">
        <v>244</v>
      </c>
      <c r="J6" s="6" t="n">
        <v>334</v>
      </c>
      <c r="K6" s="6" t="n">
        <v>349</v>
      </c>
      <c r="L6" s="6" t="n">
        <v>162</v>
      </c>
      <c r="M6" s="6" t="n">
        <v>163</v>
      </c>
      <c r="N6" s="6" t="n">
        <v>71</v>
      </c>
      <c r="O6" s="6" t="n">
        <v>125</v>
      </c>
      <c r="P6" s="6" t="n">
        <v>163</v>
      </c>
      <c r="Q6" s="6" t="n">
        <v>276</v>
      </c>
      <c r="R6" s="6" t="n">
        <v>380</v>
      </c>
      <c r="S6" s="6" t="n">
        <v>505</v>
      </c>
      <c r="T6" s="6" t="n">
        <v>135</v>
      </c>
      <c r="U6" s="6" t="n">
        <v>34</v>
      </c>
    </row>
    <row r="7">
      <c r="A7" s="6" t="inlineStr">
        <is>
          <t>Other assets</t>
        </is>
      </c>
      <c r="B7" s="6" t="n">
        <v>299</v>
      </c>
      <c r="C7" s="6" t="n">
        <v>333</v>
      </c>
      <c r="D7" s="6" t="n">
        <v>481</v>
      </c>
      <c r="E7" s="6" t="n">
        <v>441</v>
      </c>
      <c r="F7" s="6" t="n">
        <v>320</v>
      </c>
      <c r="G7" s="6" t="n">
        <v>1148</v>
      </c>
      <c r="H7" s="6" t="n">
        <v>625</v>
      </c>
      <c r="I7" s="6" t="n">
        <v>554</v>
      </c>
      <c r="J7" s="6" t="n">
        <v>532</v>
      </c>
      <c r="K7" s="6" t="n">
        <v>415</v>
      </c>
      <c r="L7" s="6" t="n">
        <v>285</v>
      </c>
      <c r="M7" s="6" t="n">
        <v>288</v>
      </c>
      <c r="N7" s="6" t="n">
        <v>261</v>
      </c>
      <c r="O7" s="6" t="n">
        <v>379</v>
      </c>
      <c r="P7" s="6" t="n">
        <v>297</v>
      </c>
      <c r="Q7" s="6" t="n">
        <v>251</v>
      </c>
      <c r="R7" s="6" t="n">
        <v>444</v>
      </c>
      <c r="S7" s="6" t="n">
        <v>661</v>
      </c>
      <c r="T7" s="6" t="n">
        <v>519</v>
      </c>
      <c r="U7" s="6" t="n">
        <v>544</v>
      </c>
    </row>
    <row r="8">
      <c r="A8" s="6" t="inlineStr">
        <is>
          <t>Loans and advances to customers</t>
        </is>
      </c>
      <c r="B8" s="6" t="n">
        <v>11490</v>
      </c>
      <c r="C8" s="6" t="n">
        <v>12021</v>
      </c>
      <c r="D8" s="6" t="n">
        <v>15115</v>
      </c>
      <c r="E8" s="6" t="n">
        <v>14297</v>
      </c>
      <c r="F8" s="6" t="n">
        <v>12602</v>
      </c>
      <c r="G8" s="6" t="n">
        <v>15804</v>
      </c>
      <c r="H8" s="6" t="n">
        <v>17866</v>
      </c>
      <c r="I8" s="6" t="n">
        <v>18526</v>
      </c>
      <c r="J8" s="6" t="n">
        <v>16798</v>
      </c>
      <c r="K8" s="6" t="n">
        <v>14800</v>
      </c>
      <c r="L8" s="6" t="n">
        <v>12439</v>
      </c>
      <c r="M8" s="6" t="n">
        <v>10548</v>
      </c>
      <c r="N8" s="6" t="n">
        <v>9351</v>
      </c>
      <c r="O8" s="6" t="n">
        <v>8703</v>
      </c>
      <c r="P8" s="6" t="n">
        <v>9811</v>
      </c>
      <c r="Q8" s="6" t="n">
        <v>10818</v>
      </c>
      <c r="R8" s="6" t="n">
        <v>12472</v>
      </c>
      <c r="S8" s="6" t="n">
        <v>17346</v>
      </c>
      <c r="T8" s="6" t="n">
        <v>15536</v>
      </c>
      <c r="U8" s="6" t="n">
        <v>14868</v>
      </c>
    </row>
    <row r="9">
      <c r="A9" s="6" t="inlineStr">
        <is>
          <t>Property and equipment</t>
        </is>
      </c>
      <c r="B9" s="6" t="n"/>
      <c r="C9" s="6" t="n"/>
      <c r="D9" s="6" t="n">
        <v>218</v>
      </c>
      <c r="E9" s="6" t="n">
        <v>99</v>
      </c>
      <c r="F9" s="6" t="n">
        <v>162</v>
      </c>
      <c r="G9" s="6" t="n">
        <v>316</v>
      </c>
      <c r="H9" s="6" t="n">
        <v>305</v>
      </c>
      <c r="I9" s="6" t="n">
        <v>379</v>
      </c>
      <c r="J9" s="6" t="n">
        <v>294</v>
      </c>
      <c r="K9" s="6" t="n">
        <v>252</v>
      </c>
      <c r="L9" s="6" t="n">
        <v>176</v>
      </c>
      <c r="M9" s="6" t="n">
        <v>207</v>
      </c>
      <c r="N9" s="6" t="n">
        <v>155</v>
      </c>
      <c r="O9" s="6" t="n">
        <v>179</v>
      </c>
      <c r="P9" s="6" t="n">
        <v>235</v>
      </c>
      <c r="Q9" s="6" t="n">
        <v>153</v>
      </c>
      <c r="R9" s="6" t="n">
        <v>110</v>
      </c>
      <c r="S9" s="6" t="n">
        <v>244</v>
      </c>
      <c r="T9" s="6" t="n">
        <v>249</v>
      </c>
      <c r="U9" s="6" t="n">
        <v>281</v>
      </c>
    </row>
    <row r="10">
      <c r="A10" s="6" t="inlineStr">
        <is>
          <t>Right-of-use assets</t>
        </is>
      </c>
      <c r="B10" s="6" t="n"/>
      <c r="C10" s="6" t="n"/>
      <c r="D10" s="6" t="n">
        <v>10</v>
      </c>
      <c r="E10" s="6" t="n">
        <v>15</v>
      </c>
      <c r="F10" s="6" t="n">
        <v>17</v>
      </c>
      <c r="G10" s="6" t="n">
        <v>26</v>
      </c>
      <c r="H10" s="6" t="n">
        <v>35</v>
      </c>
      <c r="I10" s="6" t="n"/>
      <c r="J10" s="6" t="n"/>
      <c r="K10" s="6" t="n"/>
      <c r="L10" s="6" t="n"/>
      <c r="M10" s="6" t="n"/>
      <c r="N10" s="6" t="n"/>
      <c r="O10" s="6" t="n"/>
      <c r="P10" s="6" t="n"/>
      <c r="Q10" s="6" t="n"/>
      <c r="R10" s="6" t="n"/>
      <c r="S10" s="6" t="n"/>
      <c r="T10" s="6" t="n"/>
      <c r="U10" s="6" t="n"/>
    </row>
    <row r="11">
      <c r="A11" s="6" t="inlineStr">
        <is>
          <t>Investment in a joint venture (Forso JV; established June 2008, disposed/nil by FY2017)</t>
        </is>
      </c>
      <c r="B11" s="6" t="n"/>
      <c r="C11" s="6" t="n"/>
      <c r="D11" s="6" t="n"/>
      <c r="E11" s="6" t="n"/>
      <c r="F11" s="6" t="n"/>
      <c r="G11" s="6" t="n"/>
      <c r="H11" s="6" t="n"/>
      <c r="I11" s="6" t="n"/>
      <c r="J11" s="6" t="n"/>
      <c r="K11" s="6" t="n">
        <v>55</v>
      </c>
      <c r="L11" s="6" t="n">
        <v>44</v>
      </c>
      <c r="M11" s="6" t="n">
        <v>43</v>
      </c>
      <c r="N11" s="6" t="n">
        <v>43</v>
      </c>
      <c r="O11" s="6" t="n">
        <v>44</v>
      </c>
      <c r="P11" s="6" t="n">
        <v>46</v>
      </c>
      <c r="Q11" s="6" t="n">
        <v>45</v>
      </c>
      <c r="R11" s="6" t="n">
        <v>41</v>
      </c>
      <c r="S11" s="6" t="n">
        <v>45</v>
      </c>
      <c r="T11" s="6" t="n"/>
      <c r="U11" s="6" t="n"/>
    </row>
    <row r="12">
      <c r="A12" s="6" t="inlineStr">
        <is>
          <t>Intangible assets</t>
        </is>
      </c>
      <c r="B12" s="6" t="n">
        <v>68</v>
      </c>
      <c r="C12" s="6" t="n">
        <v>67</v>
      </c>
      <c r="D12" s="6" t="n">
        <v>58</v>
      </c>
      <c r="E12" s="6" t="n">
        <v>46</v>
      </c>
      <c r="F12" s="6" t="n">
        <v>38</v>
      </c>
      <c r="G12" s="6" t="n">
        <v>33</v>
      </c>
      <c r="H12" s="6" t="n">
        <v>26</v>
      </c>
      <c r="I12" s="6" t="n">
        <v>19</v>
      </c>
      <c r="J12" s="6" t="n">
        <v>14</v>
      </c>
      <c r="K12" s="6" t="n">
        <v>11</v>
      </c>
      <c r="L12" s="6" t="n">
        <v>11</v>
      </c>
      <c r="M12" s="6" t="n">
        <v>10</v>
      </c>
      <c r="N12" s="6" t="n">
        <v>10</v>
      </c>
      <c r="O12" s="6" t="n">
        <v>9</v>
      </c>
      <c r="P12" s="6" t="n">
        <v>13</v>
      </c>
      <c r="Q12" s="6" t="n">
        <v>13</v>
      </c>
      <c r="R12" s="6" t="n">
        <v>17</v>
      </c>
      <c r="S12" s="6" t="n">
        <v>20</v>
      </c>
      <c r="T12" s="6" t="n">
        <v>35</v>
      </c>
      <c r="U12" s="6" t="n">
        <v>36</v>
      </c>
    </row>
    <row r="13">
      <c r="A13" s="6" t="inlineStr">
        <is>
          <t>Income taxes receivable</t>
        </is>
      </c>
      <c r="B13" s="6" t="n">
        <v>51</v>
      </c>
      <c r="C13" s="6" t="n">
        <v>32</v>
      </c>
      <c r="D13" s="6" t="n">
        <v>44</v>
      </c>
      <c r="E13" s="6" t="n">
        <v>40</v>
      </c>
      <c r="F13" s="6" t="n">
        <v>6</v>
      </c>
      <c r="G13" s="6" t="n">
        <v>7</v>
      </c>
      <c r="H13" s="6" t="n">
        <v>11</v>
      </c>
      <c r="I13" s="6" t="n">
        <v>5</v>
      </c>
      <c r="J13" s="6" t="n">
        <v>1</v>
      </c>
      <c r="K13" s="6" t="n">
        <v>5</v>
      </c>
      <c r="L13" s="6" t="n">
        <v>16</v>
      </c>
      <c r="M13" s="6" t="n">
        <v>93</v>
      </c>
      <c r="N13" s="6" t="n">
        <v>11</v>
      </c>
      <c r="O13" s="6" t="n">
        <v>13</v>
      </c>
      <c r="P13" s="6" t="n">
        <v>16</v>
      </c>
      <c r="Q13" s="6" t="n">
        <v>52</v>
      </c>
      <c r="R13" s="6" t="n">
        <v>44</v>
      </c>
      <c r="S13" s="6" t="n">
        <v>6</v>
      </c>
      <c r="T13" s="6" t="n">
        <v>35</v>
      </c>
      <c r="U13" s="6" t="n"/>
    </row>
    <row r="14">
      <c r="A14" s="6" t="inlineStr">
        <is>
          <t>Deferred tax assets</t>
        </is>
      </c>
      <c r="B14" s="6" t="n">
        <v>32</v>
      </c>
      <c r="C14" s="6" t="n">
        <v>35</v>
      </c>
      <c r="D14" s="6" t="n">
        <v>35</v>
      </c>
      <c r="E14" s="6" t="n">
        <v>28</v>
      </c>
      <c r="F14" s="6" t="n">
        <v>35</v>
      </c>
      <c r="G14" s="6" t="n">
        <v>59</v>
      </c>
      <c r="H14" s="6" t="n">
        <v>71</v>
      </c>
      <c r="I14" s="6" t="n">
        <v>85</v>
      </c>
      <c r="J14" s="6" t="n">
        <v>78</v>
      </c>
      <c r="K14" s="6" t="n">
        <v>81</v>
      </c>
      <c r="L14" s="6" t="n">
        <v>58</v>
      </c>
      <c r="M14" s="6" t="n">
        <v>66</v>
      </c>
      <c r="N14" s="6" t="n">
        <v>67</v>
      </c>
      <c r="O14" s="6" t="n">
        <v>77</v>
      </c>
      <c r="P14" s="6" t="n">
        <v>84</v>
      </c>
      <c r="Q14" s="6" t="n">
        <v>87</v>
      </c>
      <c r="R14" s="6" t="n">
        <v>114</v>
      </c>
      <c r="S14" s="6" t="n">
        <v>118</v>
      </c>
      <c r="T14" s="6" t="n">
        <v>59</v>
      </c>
      <c r="U14" s="6" t="n">
        <v>66</v>
      </c>
    </row>
    <row r="15">
      <c r="A15" s="6" t="inlineStr">
        <is>
          <t>Investment in other entities</t>
        </is>
      </c>
      <c r="B15" s="6" t="n"/>
      <c r="C15" s="6" t="n"/>
      <c r="D15" s="6" t="n"/>
      <c r="E15" s="6" t="n"/>
      <c r="F15" s="6" t="n"/>
      <c r="G15" s="6" t="n">
        <v>0</v>
      </c>
      <c r="H15" s="6" t="n">
        <v>0</v>
      </c>
      <c r="I15" s="6" t="n">
        <v>4</v>
      </c>
      <c r="J15" s="6" t="n">
        <v>3</v>
      </c>
      <c r="K15" s="6" t="n">
        <v>4</v>
      </c>
      <c r="L15" s="6" t="n">
        <v>3</v>
      </c>
      <c r="M15" s="6" t="n">
        <v>3</v>
      </c>
      <c r="N15" s="6" t="n">
        <v>3</v>
      </c>
      <c r="O15" s="6" t="n">
        <v>3</v>
      </c>
      <c r="P15" s="6" t="n"/>
      <c r="Q15" s="6" t="n"/>
      <c r="R15" s="6" t="n"/>
      <c r="S15" s="6" t="n"/>
      <c r="T15" s="6" t="n"/>
      <c r="U15" s="6" t="n"/>
    </row>
    <row r="16">
      <c r="A16" s="5" t="inlineStr">
        <is>
          <t>Total assets</t>
        </is>
      </c>
      <c r="B16" s="5" t="n">
        <v>13095</v>
      </c>
      <c r="C16" s="5" t="n">
        <v>13837</v>
      </c>
      <c r="D16" s="5" t="n">
        <v>18630</v>
      </c>
      <c r="E16" s="5" t="n">
        <v>17803</v>
      </c>
      <c r="F16" s="5" t="n">
        <v>15065</v>
      </c>
      <c r="G16" s="5" t="n">
        <v>19534</v>
      </c>
      <c r="H16" s="5" t="n">
        <v>20539</v>
      </c>
      <c r="I16" s="5" t="n">
        <v>21695</v>
      </c>
      <c r="J16" s="5" t="n">
        <v>19598</v>
      </c>
      <c r="K16" s="5" t="n">
        <v>17626</v>
      </c>
      <c r="L16" s="5" t="n">
        <v>14863</v>
      </c>
      <c r="M16" s="5" t="n">
        <v>13049</v>
      </c>
      <c r="N16" s="5" t="n">
        <v>12272</v>
      </c>
      <c r="O16" s="5" t="n">
        <v>12078</v>
      </c>
      <c r="P16" s="5" t="n">
        <v>13432</v>
      </c>
      <c r="Q16" s="5" t="n">
        <v>14012</v>
      </c>
      <c r="R16" s="5" t="n">
        <v>16208</v>
      </c>
      <c r="S16" s="5" t="n">
        <v>21640</v>
      </c>
      <c r="T16" s="5" t="n">
        <v>18169</v>
      </c>
      <c r="U16" s="5" t="n">
        <v>16962</v>
      </c>
    </row>
    <row r="17">
      <c r="A17" s="5" t="inlineStr">
        <is>
          <t>Liabilities</t>
        </is>
      </c>
      <c r="B17" s="6" t="n"/>
      <c r="C17" s="6" t="n"/>
      <c r="D17" s="6" t="n"/>
      <c r="E17" s="6" t="n"/>
      <c r="F17" s="6" t="n"/>
      <c r="G17" s="6" t="n"/>
      <c r="H17" s="6" t="n"/>
      <c r="I17" s="6" t="n"/>
      <c r="J17" s="6" t="n"/>
      <c r="K17" s="6" t="n"/>
      <c r="L17" s="6" t="n"/>
      <c r="M17" s="6" t="n"/>
      <c r="N17" s="6" t="n"/>
      <c r="O17" s="6" t="n"/>
      <c r="P17" s="6" t="n"/>
      <c r="Q17" s="6" t="n"/>
      <c r="R17" s="6" t="n"/>
      <c r="S17" s="6" t="n"/>
      <c r="T17" s="6" t="n"/>
      <c r="U17" s="6" t="n"/>
    </row>
    <row r="18">
      <c r="A18" s="6" t="inlineStr">
        <is>
          <t>Financial liabilities / Borrowings from parent, banks and other financial institutions</t>
        </is>
      </c>
      <c r="B18" s="6" t="n">
        <v>4940</v>
      </c>
      <c r="C18" s="6" t="n">
        <v>5005</v>
      </c>
      <c r="D18" s="6" t="n">
        <v>6580</v>
      </c>
      <c r="E18" s="6" t="n">
        <v>7542</v>
      </c>
      <c r="F18" s="6" t="n">
        <v>6987</v>
      </c>
      <c r="G18" s="6" t="n">
        <v>12466</v>
      </c>
      <c r="H18" s="6" t="n">
        <v>15315</v>
      </c>
      <c r="I18" s="6" t="n"/>
      <c r="J18" s="6" t="n"/>
      <c r="K18" s="6" t="n"/>
      <c r="L18" s="6" t="n"/>
      <c r="M18" s="6" t="n"/>
      <c r="N18" s="6" t="n"/>
      <c r="O18" s="6" t="n"/>
      <c r="P18" s="6" t="n"/>
      <c r="Q18" s="6" t="n"/>
      <c r="R18" s="6" t="n"/>
      <c r="S18" s="6" t="n"/>
      <c r="T18" s="6" t="n"/>
      <c r="U18" s="6" t="n"/>
    </row>
    <row r="19">
      <c r="A19" s="6" t="inlineStr">
        <is>
          <t>Due to banks and other financial institutions (FY2006-FY2018 only; FY2006-FY2013 combines that year's own securitisation and non-securitisation sub-lines - see source note)</t>
        </is>
      </c>
      <c r="B19" s="6" t="n"/>
      <c r="C19" s="6" t="n"/>
      <c r="D19" s="6" t="n"/>
      <c r="E19" s="6" t="n"/>
      <c r="F19" s="6" t="n"/>
      <c r="G19" s="6" t="n"/>
      <c r="H19" s="6" t="n"/>
      <c r="I19" s="6" t="n">
        <v>3051</v>
      </c>
      <c r="J19" s="6" t="n">
        <v>2077</v>
      </c>
      <c r="K19" s="6" t="n">
        <v>2738</v>
      </c>
      <c r="L19" s="6" t="n">
        <v>3585</v>
      </c>
      <c r="M19" s="6" t="n">
        <v>2912</v>
      </c>
      <c r="N19" s="6" t="n">
        <v>3595</v>
      </c>
      <c r="O19" s="6" t="n">
        <v>3551</v>
      </c>
      <c r="P19" s="6" t="n">
        <v>4405</v>
      </c>
      <c r="Q19" s="6" t="n">
        <v>3773</v>
      </c>
      <c r="R19" s="6" t="n">
        <v>6370</v>
      </c>
      <c r="S19" s="6" t="n">
        <v>9646</v>
      </c>
      <c r="T19" s="6" t="n">
        <v>8186</v>
      </c>
      <c r="U19" s="6" t="n">
        <v>6669</v>
      </c>
    </row>
    <row r="20">
      <c r="A20" s="6" t="inlineStr">
        <is>
          <t>Due to parent and related undertakings (FY2006-FY2018 only)</t>
        </is>
      </c>
      <c r="B20" s="6" t="n"/>
      <c r="C20" s="6" t="n"/>
      <c r="D20" s="6" t="n"/>
      <c r="E20" s="6" t="n"/>
      <c r="F20" s="6" t="n"/>
      <c r="G20" s="6" t="n"/>
      <c r="H20" s="6" t="n"/>
      <c r="I20" s="6" t="n">
        <v>4355</v>
      </c>
      <c r="J20" s="6" t="n">
        <v>2436</v>
      </c>
      <c r="K20" s="6" t="n">
        <v>1170</v>
      </c>
      <c r="L20" s="6" t="n">
        <v>716</v>
      </c>
      <c r="M20" s="6" t="n">
        <v>1231</v>
      </c>
      <c r="N20" s="6" t="n">
        <v>1404</v>
      </c>
      <c r="O20" s="6" t="n">
        <v>1250</v>
      </c>
      <c r="P20" s="6" t="n">
        <v>821</v>
      </c>
      <c r="Q20" s="6" t="n">
        <v>540</v>
      </c>
      <c r="R20" s="6" t="n">
        <v>709</v>
      </c>
      <c r="S20" s="6" t="n">
        <v>2153</v>
      </c>
      <c r="T20" s="6" t="n">
        <v>1975</v>
      </c>
      <c r="U20" s="6" t="n">
        <v>3992</v>
      </c>
    </row>
    <row r="21">
      <c r="A21" s="6" t="inlineStr">
        <is>
          <t>Debt securities in issue (FY2006-FY2018 only; FY2006-FY2013 combines that year's own securitisation and non-securitisation sub-lines - see source note)</t>
        </is>
      </c>
      <c r="B21" s="6" t="n"/>
      <c r="C21" s="6" t="n"/>
      <c r="D21" s="6" t="n"/>
      <c r="E21" s="6" t="n"/>
      <c r="F21" s="6" t="n"/>
      <c r="G21" s="6" t="n"/>
      <c r="H21" s="6" t="n"/>
      <c r="I21" s="6" t="n">
        <v>9563</v>
      </c>
      <c r="J21" s="6" t="n">
        <v>11477</v>
      </c>
      <c r="K21" s="6" t="n">
        <v>10773</v>
      </c>
      <c r="L21" s="6" t="n">
        <v>8007</v>
      </c>
      <c r="M21" s="6" t="n">
        <v>6393</v>
      </c>
      <c r="N21" s="6" t="n">
        <v>4751</v>
      </c>
      <c r="O21" s="6" t="n">
        <v>4504</v>
      </c>
      <c r="P21" s="6" t="n">
        <v>5099</v>
      </c>
      <c r="Q21" s="6" t="n">
        <v>6059</v>
      </c>
      <c r="R21" s="6" t="n">
        <v>4964</v>
      </c>
      <c r="S21" s="6" t="n">
        <v>5317</v>
      </c>
      <c r="T21" s="6" t="n">
        <v>4555</v>
      </c>
      <c r="U21" s="6" t="n">
        <v>2962</v>
      </c>
    </row>
    <row r="22">
      <c r="A22" s="6" t="inlineStr">
        <is>
          <t>Subordinated loans (FY2006-FY2018 only; called 'Other borrowed funds' in the FY2006 report)</t>
        </is>
      </c>
      <c r="B22" s="6" t="n"/>
      <c r="C22" s="6" t="n"/>
      <c r="D22" s="6" t="n"/>
      <c r="E22" s="6" t="n"/>
      <c r="F22" s="6" t="n"/>
      <c r="G22" s="6" t="n"/>
      <c r="H22" s="6" t="n"/>
      <c r="I22" s="6" t="n">
        <v>335</v>
      </c>
      <c r="J22" s="6" t="n">
        <v>334</v>
      </c>
      <c r="K22" s="6" t="n">
        <v>308</v>
      </c>
      <c r="L22" s="6" t="n">
        <v>217</v>
      </c>
      <c r="M22" s="6" t="n">
        <v>214</v>
      </c>
      <c r="N22" s="6" t="n">
        <v>211</v>
      </c>
      <c r="O22" s="6" t="n">
        <v>212</v>
      </c>
      <c r="P22" s="6" t="n">
        <v>220</v>
      </c>
      <c r="Q22" s="6" t="n">
        <v>287</v>
      </c>
      <c r="R22" s="6" t="n">
        <v>446</v>
      </c>
      <c r="S22" s="6" t="n">
        <v>492</v>
      </c>
      <c r="T22" s="6" t="n">
        <v>361</v>
      </c>
      <c r="U22" s="6" t="n">
        <v>464</v>
      </c>
    </row>
    <row r="23">
      <c r="A23" s="6" t="inlineStr">
        <is>
          <t>Lease liabilities</t>
        </is>
      </c>
      <c r="B23" s="6" t="n"/>
      <c r="C23" s="6" t="n"/>
      <c r="D23" s="6" t="n">
        <v>11</v>
      </c>
      <c r="E23" s="6" t="n">
        <v>15</v>
      </c>
      <c r="F23" s="6" t="n">
        <v>17</v>
      </c>
      <c r="G23" s="6" t="n">
        <v>27</v>
      </c>
      <c r="H23" s="6" t="n">
        <v>36</v>
      </c>
      <c r="I23" s="6" t="n"/>
      <c r="J23" s="6" t="n"/>
      <c r="K23" s="6" t="n"/>
      <c r="L23" s="6" t="n"/>
      <c r="M23" s="6" t="n"/>
      <c r="N23" s="6" t="n"/>
      <c r="O23" s="6" t="n"/>
      <c r="P23" s="6" t="n"/>
      <c r="Q23" s="6" t="n"/>
      <c r="R23" s="6" t="n"/>
      <c r="S23" s="6" t="n"/>
      <c r="T23" s="6" t="n"/>
      <c r="U23" s="6" t="n"/>
    </row>
    <row r="24">
      <c r="A24" s="6" t="inlineStr">
        <is>
          <t>Deposits</t>
        </is>
      </c>
      <c r="B24" s="6" t="n">
        <v>5892</v>
      </c>
      <c r="C24" s="6" t="n">
        <v>6300</v>
      </c>
      <c r="D24" s="6" t="n">
        <v>8962</v>
      </c>
      <c r="E24" s="6" t="n">
        <v>7131</v>
      </c>
      <c r="F24" s="6" t="n">
        <v>5001</v>
      </c>
      <c r="G24" s="6" t="n">
        <v>3609</v>
      </c>
      <c r="H24" s="6" t="n">
        <v>1970</v>
      </c>
      <c r="I24" s="6" t="n">
        <v>1198</v>
      </c>
      <c r="J24" s="6" t="n">
        <v>388</v>
      </c>
      <c r="K24" s="6" t="n">
        <v>69</v>
      </c>
      <c r="L24" s="6" t="n">
        <v>56</v>
      </c>
      <c r="M24" s="6" t="n">
        <v>51</v>
      </c>
      <c r="N24" s="6" t="n">
        <v>51</v>
      </c>
      <c r="O24" s="6" t="n">
        <v>53</v>
      </c>
      <c r="P24" s="6" t="n">
        <v>50</v>
      </c>
      <c r="Q24" s="6" t="n">
        <v>49</v>
      </c>
      <c r="R24" s="6" t="n">
        <v>22</v>
      </c>
      <c r="S24" s="6" t="n">
        <v>30</v>
      </c>
      <c r="T24" s="6" t="n"/>
      <c r="U24" s="6" t="n"/>
    </row>
    <row r="25">
      <c r="A25" s="6" t="inlineStr">
        <is>
          <t>Derivative financial instruments</t>
        </is>
      </c>
      <c r="B25" s="6" t="n">
        <v>91</v>
      </c>
      <c r="C25" s="6" t="n">
        <v>100</v>
      </c>
      <c r="D25" s="6" t="n">
        <v>104</v>
      </c>
      <c r="E25" s="6" t="n">
        <v>135</v>
      </c>
      <c r="F25" s="6" t="n">
        <v>16</v>
      </c>
      <c r="G25" s="6" t="n">
        <v>43</v>
      </c>
      <c r="H25" s="6" t="n">
        <v>42</v>
      </c>
      <c r="I25" s="6" t="n">
        <v>27</v>
      </c>
      <c r="J25" s="6" t="n">
        <v>20</v>
      </c>
      <c r="K25" s="6" t="n">
        <v>38</v>
      </c>
      <c r="L25" s="6" t="n">
        <v>106</v>
      </c>
      <c r="M25" s="6" t="n">
        <v>61</v>
      </c>
      <c r="N25" s="6" t="n">
        <v>82</v>
      </c>
      <c r="O25" s="6" t="n">
        <v>100</v>
      </c>
      <c r="P25" s="6" t="n">
        <v>85</v>
      </c>
      <c r="Q25" s="6" t="n">
        <v>158</v>
      </c>
      <c r="R25" s="6" t="n">
        <v>269</v>
      </c>
      <c r="S25" s="6" t="n">
        <v>398</v>
      </c>
      <c r="T25" s="6" t="n">
        <v>104</v>
      </c>
      <c r="U25" s="6" t="n">
        <v>59</v>
      </c>
    </row>
    <row r="26">
      <c r="A26" s="6" t="inlineStr">
        <is>
          <t>Other liabilities</t>
        </is>
      </c>
      <c r="B26" s="6" t="n">
        <v>226</v>
      </c>
      <c r="C26" s="6" t="n">
        <v>250</v>
      </c>
      <c r="D26" s="6" t="n"/>
      <c r="E26" s="6" t="n"/>
      <c r="F26" s="6" t="n"/>
      <c r="G26" s="6" t="n"/>
      <c r="H26" s="6" t="n"/>
      <c r="I26" s="6" t="n"/>
      <c r="J26" s="6" t="n"/>
      <c r="K26" s="6" t="n"/>
      <c r="L26" s="6" t="n"/>
      <c r="M26" s="6" t="n"/>
      <c r="N26" s="6" t="n"/>
      <c r="O26" s="6" t="n"/>
      <c r="P26" s="6" t="n"/>
      <c r="Q26" s="6" t="n"/>
      <c r="R26" s="6" t="n"/>
      <c r="S26" s="6" t="n"/>
      <c r="T26" s="6" t="n"/>
      <c r="U26" s="6" t="n"/>
    </row>
    <row r="27">
      <c r="A27" s="6" t="inlineStr">
        <is>
          <t>Provisions</t>
        </is>
      </c>
      <c r="B27" s="6" t="n">
        <v>161</v>
      </c>
      <c r="C27" s="6" t="n">
        <v>84</v>
      </c>
      <c r="D27" s="6" t="n"/>
      <c r="E27" s="6" t="n"/>
      <c r="F27" s="6" t="n"/>
      <c r="G27" s="6" t="n"/>
      <c r="H27" s="6" t="n"/>
      <c r="I27" s="6" t="n"/>
      <c r="J27" s="6" t="n"/>
      <c r="K27" s="6" t="n"/>
      <c r="L27" s="6" t="n"/>
      <c r="M27" s="6" t="n"/>
      <c r="N27" s="6" t="n"/>
      <c r="O27" s="6" t="n"/>
      <c r="P27" s="6" t="n"/>
      <c r="Q27" s="6" t="n"/>
      <c r="R27" s="6" t="n"/>
      <c r="S27" s="6" t="n"/>
      <c r="T27" s="6" t="n"/>
      <c r="U27" s="6" t="n"/>
    </row>
    <row r="28">
      <c r="A28" s="6" t="inlineStr">
        <is>
          <t>Other liabilities and provisions (combined)</t>
        </is>
      </c>
      <c r="B28" s="6" t="n"/>
      <c r="C28" s="6" t="n"/>
      <c r="D28" s="6" t="n">
        <v>359</v>
      </c>
      <c r="E28" s="6" t="n">
        <v>390</v>
      </c>
      <c r="F28" s="6" t="n">
        <v>235</v>
      </c>
      <c r="G28" s="6" t="n">
        <v>334</v>
      </c>
      <c r="H28" s="6" t="n">
        <v>335</v>
      </c>
      <c r="I28" s="6" t="n">
        <v>390</v>
      </c>
      <c r="J28" s="6" t="n">
        <v>347</v>
      </c>
      <c r="K28" s="6" t="n">
        <v>292</v>
      </c>
      <c r="L28" s="6" t="n">
        <v>210</v>
      </c>
      <c r="M28" s="6" t="n">
        <v>245</v>
      </c>
      <c r="N28" s="6" t="n">
        <v>315</v>
      </c>
      <c r="O28" s="6" t="n">
        <v>347</v>
      </c>
      <c r="P28" s="6" t="n">
        <v>409</v>
      </c>
      <c r="Q28" s="6" t="n">
        <v>506</v>
      </c>
      <c r="R28" s="6" t="n">
        <v>493</v>
      </c>
      <c r="S28" s="6" t="n">
        <v>568</v>
      </c>
      <c r="T28" s="6" t="n">
        <v>483</v>
      </c>
      <c r="U28" s="6" t="n">
        <v>408</v>
      </c>
    </row>
    <row r="29">
      <c r="A29" s="6" t="inlineStr">
        <is>
          <t>Provisions (FY2014-FY2015 only, separate from Other liabilities)</t>
        </is>
      </c>
      <c r="B29" s="6" t="n"/>
      <c r="C29" s="6" t="n"/>
      <c r="D29" s="6" t="n"/>
      <c r="E29" s="6" t="n"/>
      <c r="F29" s="6" t="n"/>
      <c r="G29" s="6" t="n"/>
      <c r="H29" s="6" t="n"/>
      <c r="I29" s="6" t="n"/>
      <c r="J29" s="6" t="n"/>
      <c r="K29" s="6" t="n"/>
      <c r="L29" s="6" t="n">
        <v>11</v>
      </c>
      <c r="M29" s="6" t="n">
        <v>35</v>
      </c>
      <c r="N29" s="6" t="n"/>
      <c r="O29" s="6" t="n"/>
      <c r="P29" s="6" t="n"/>
      <c r="Q29" s="6" t="n"/>
      <c r="R29" s="6" t="n"/>
      <c r="S29" s="6" t="n"/>
      <c r="T29" s="6" t="n"/>
      <c r="U29" s="6" t="n"/>
    </row>
    <row r="30">
      <c r="A30" s="6" t="inlineStr">
        <is>
          <t>Income taxes payable</t>
        </is>
      </c>
      <c r="B30" s="6" t="n">
        <v>66</v>
      </c>
      <c r="C30" s="6" t="n">
        <v>25</v>
      </c>
      <c r="D30" s="6" t="n">
        <v>19</v>
      </c>
      <c r="E30" s="6" t="n">
        <v>26</v>
      </c>
      <c r="F30" s="6" t="n">
        <v>40</v>
      </c>
      <c r="G30" s="6" t="n">
        <v>28</v>
      </c>
      <c r="H30" s="6" t="n">
        <v>37</v>
      </c>
      <c r="I30" s="6" t="n">
        <v>100</v>
      </c>
      <c r="J30" s="6" t="n">
        <v>101</v>
      </c>
      <c r="K30" s="6" t="n">
        <v>46</v>
      </c>
      <c r="L30" s="6" t="n">
        <v>34</v>
      </c>
      <c r="M30" s="6" t="n">
        <v>101</v>
      </c>
      <c r="N30" s="6" t="n">
        <v>129</v>
      </c>
      <c r="O30" s="6" t="n">
        <v>27</v>
      </c>
      <c r="P30" s="6" t="n">
        <v>21</v>
      </c>
      <c r="Q30" s="6" t="n">
        <v>12</v>
      </c>
      <c r="R30" s="6" t="n">
        <v>19</v>
      </c>
      <c r="S30" s="6" t="n">
        <v>47</v>
      </c>
      <c r="T30" s="6" t="n">
        <v>17</v>
      </c>
      <c r="U30" s="6" t="n">
        <v>18</v>
      </c>
    </row>
    <row r="31">
      <c r="A31" s="6" t="inlineStr">
        <is>
          <t>Deferred tax liabilities</t>
        </is>
      </c>
      <c r="B31" s="6" t="n">
        <v>15</v>
      </c>
      <c r="C31" s="6" t="n">
        <v>8</v>
      </c>
      <c r="D31" s="6" t="n">
        <v>39</v>
      </c>
      <c r="E31" s="6" t="n">
        <v>62</v>
      </c>
      <c r="F31" s="6" t="n">
        <v>27</v>
      </c>
      <c r="G31" s="6" t="n">
        <v>24</v>
      </c>
      <c r="H31" s="6" t="n">
        <v>25</v>
      </c>
      <c r="I31" s="6" t="n">
        <v>29</v>
      </c>
      <c r="J31" s="6" t="n">
        <v>10</v>
      </c>
      <c r="K31" s="6" t="n">
        <v>10</v>
      </c>
      <c r="L31" s="6" t="n">
        <v>19</v>
      </c>
      <c r="M31" s="6" t="n">
        <v>15</v>
      </c>
      <c r="N31" s="6" t="n">
        <v>19</v>
      </c>
      <c r="O31" s="6" t="n">
        <v>9</v>
      </c>
      <c r="P31" s="6" t="n">
        <v>21</v>
      </c>
      <c r="Q31" s="6" t="n">
        <v>30</v>
      </c>
      <c r="R31" s="6" t="n">
        <v>30</v>
      </c>
      <c r="S31" s="6" t="n">
        <v>27</v>
      </c>
      <c r="T31" s="6" t="n">
        <v>33</v>
      </c>
      <c r="U31" s="6" t="n">
        <v>43</v>
      </c>
    </row>
    <row r="32">
      <c r="A32" s="5" t="inlineStr">
        <is>
          <t>Total liabilities</t>
        </is>
      </c>
      <c r="B32" s="5" t="n">
        <v>11391</v>
      </c>
      <c r="C32" s="5" t="n">
        <v>11772</v>
      </c>
      <c r="D32" s="5" t="n">
        <v>16074</v>
      </c>
      <c r="E32" s="5" t="n">
        <v>15301</v>
      </c>
      <c r="F32" s="5" t="n">
        <v>12323</v>
      </c>
      <c r="G32" s="5" t="n">
        <v>16531</v>
      </c>
      <c r="H32" s="5" t="n">
        <v>17760</v>
      </c>
      <c r="I32" s="5" t="n">
        <v>19048</v>
      </c>
      <c r="J32" s="5" t="n">
        <v>17190</v>
      </c>
      <c r="K32" s="5" t="n">
        <v>15444</v>
      </c>
      <c r="L32" s="5" t="n">
        <v>12961</v>
      </c>
      <c r="M32" s="5" t="n">
        <v>11258</v>
      </c>
      <c r="N32" s="5" t="n">
        <v>10557</v>
      </c>
      <c r="O32" s="5" t="n">
        <v>10053</v>
      </c>
      <c r="P32" s="5" t="n">
        <v>11131</v>
      </c>
      <c r="Q32" s="5" t="n">
        <v>11414</v>
      </c>
      <c r="R32" s="5" t="n">
        <v>13322</v>
      </c>
      <c r="S32" s="5" t="n">
        <v>18678</v>
      </c>
      <c r="T32" s="5" t="n">
        <v>15714</v>
      </c>
      <c r="U32" s="5" t="n">
        <v>14615</v>
      </c>
    </row>
    <row r="33">
      <c r="A33" s="5" t="inlineStr">
        <is>
          <t>Equity</t>
        </is>
      </c>
      <c r="B33" s="6" t="n"/>
      <c r="C33" s="6" t="n"/>
      <c r="D33" s="6" t="n"/>
      <c r="E33" s="6" t="n"/>
      <c r="F33" s="6" t="n"/>
      <c r="G33" s="6" t="n"/>
      <c r="H33" s="6" t="n"/>
      <c r="I33" s="6" t="n"/>
      <c r="J33" s="6" t="n"/>
      <c r="K33" s="6" t="n"/>
      <c r="L33" s="6" t="n"/>
      <c r="M33" s="6" t="n"/>
      <c r="N33" s="6" t="n"/>
      <c r="O33" s="6" t="n"/>
      <c r="P33" s="6" t="n"/>
      <c r="Q33" s="6" t="n"/>
      <c r="R33" s="6" t="n"/>
      <c r="S33" s="6" t="n"/>
      <c r="T33" s="6" t="n"/>
      <c r="U33" s="6" t="n"/>
    </row>
    <row r="34">
      <c r="A34" s="6" t="inlineStr">
        <is>
          <t>Ordinary shares</t>
        </is>
      </c>
      <c r="B34" s="6" t="n">
        <v>614</v>
      </c>
      <c r="C34" s="6" t="n">
        <v>614</v>
      </c>
      <c r="D34" s="6" t="n">
        <v>614</v>
      </c>
      <c r="E34" s="6" t="n">
        <v>614</v>
      </c>
      <c r="F34" s="6" t="n">
        <v>614</v>
      </c>
      <c r="G34" s="6" t="n">
        <v>614</v>
      </c>
      <c r="H34" s="6" t="n">
        <v>614</v>
      </c>
      <c r="I34" s="6" t="n">
        <v>614</v>
      </c>
      <c r="J34" s="6" t="n">
        <v>614</v>
      </c>
      <c r="K34" s="6" t="n">
        <v>614</v>
      </c>
      <c r="L34" s="6" t="n">
        <v>614</v>
      </c>
      <c r="M34" s="6" t="n">
        <v>614</v>
      </c>
      <c r="N34" s="6" t="n">
        <v>614</v>
      </c>
      <c r="O34" s="6" t="n">
        <v>614</v>
      </c>
      <c r="P34" s="6" t="n">
        <v>614</v>
      </c>
      <c r="Q34" s="6" t="n">
        <v>614</v>
      </c>
      <c r="R34" s="6" t="n">
        <v>614</v>
      </c>
      <c r="S34" s="6" t="n">
        <v>614</v>
      </c>
      <c r="T34" s="6" t="n">
        <v>614</v>
      </c>
      <c r="U34" s="6" t="n">
        <v>614</v>
      </c>
    </row>
    <row r="35">
      <c r="A35" s="6" t="inlineStr">
        <is>
          <t>Share premium</t>
        </is>
      </c>
      <c r="B35" s="6" t="n">
        <v>352</v>
      </c>
      <c r="C35" s="6" t="n">
        <v>352</v>
      </c>
      <c r="D35" s="6" t="n">
        <v>352</v>
      </c>
      <c r="E35" s="6" t="n">
        <v>352</v>
      </c>
      <c r="F35" s="6" t="n">
        <v>352</v>
      </c>
      <c r="G35" s="6" t="n">
        <v>352</v>
      </c>
      <c r="H35" s="6" t="n">
        <v>352</v>
      </c>
      <c r="I35" s="6" t="n">
        <v>352</v>
      </c>
      <c r="J35" s="6" t="n">
        <v>352</v>
      </c>
      <c r="K35" s="6" t="n">
        <v>352</v>
      </c>
      <c r="L35" s="6" t="n">
        <v>352</v>
      </c>
      <c r="M35" s="6" t="n">
        <v>352</v>
      </c>
      <c r="N35" s="6" t="n">
        <v>352</v>
      </c>
      <c r="O35" s="6" t="n">
        <v>352</v>
      </c>
      <c r="P35" s="6" t="n">
        <v>352</v>
      </c>
      <c r="Q35" s="6" t="n">
        <v>352</v>
      </c>
      <c r="R35" s="6" t="n">
        <v>352</v>
      </c>
      <c r="S35" s="6" t="n">
        <v>352</v>
      </c>
      <c r="T35" s="6" t="n">
        <v>352</v>
      </c>
      <c r="U35" s="6" t="n">
        <v>352</v>
      </c>
    </row>
    <row r="36">
      <c r="A36" s="6" t="inlineStr">
        <is>
          <t>Retained earnings</t>
        </is>
      </c>
      <c r="B36" s="6" t="n">
        <v>738</v>
      </c>
      <c r="C36" s="6" t="n">
        <v>1099</v>
      </c>
      <c r="D36" s="6" t="n">
        <v>1590</v>
      </c>
      <c r="E36" s="6" t="n">
        <v>1536</v>
      </c>
      <c r="F36" s="6" t="n">
        <v>1776</v>
      </c>
      <c r="G36" s="6" t="n">
        <v>2037</v>
      </c>
      <c r="H36" s="6" t="n">
        <v>1813</v>
      </c>
      <c r="I36" s="6" t="n">
        <v>1681</v>
      </c>
      <c r="J36" s="6" t="n">
        <v>1442</v>
      </c>
      <c r="K36" s="6" t="n">
        <v>1216</v>
      </c>
      <c r="L36" s="6" t="n">
        <v>936</v>
      </c>
      <c r="M36" s="6" t="n">
        <v>825</v>
      </c>
      <c r="N36" s="6" t="n">
        <v>749</v>
      </c>
      <c r="O36" s="6" t="n">
        <v>1059</v>
      </c>
      <c r="P36" s="6" t="n">
        <v>1335</v>
      </c>
      <c r="Q36" s="6" t="n">
        <v>1632</v>
      </c>
      <c r="R36" s="6" t="n">
        <v>1920</v>
      </c>
      <c r="S36" s="6" t="n">
        <v>1996</v>
      </c>
      <c r="T36" s="6" t="n">
        <v>1489</v>
      </c>
      <c r="U36" s="6" t="n">
        <v>1381</v>
      </c>
    </row>
    <row r="37">
      <c r="A37" s="5" t="inlineStr">
        <is>
          <t>Total equity</t>
        </is>
      </c>
      <c r="B37" s="5" t="n">
        <v>1704</v>
      </c>
      <c r="C37" s="5" t="n">
        <v>2065</v>
      </c>
      <c r="D37" s="5" t="n">
        <v>2556</v>
      </c>
      <c r="E37" s="5" t="n">
        <v>2502</v>
      </c>
      <c r="F37" s="5" t="n">
        <v>2742</v>
      </c>
      <c r="G37" s="5" t="n">
        <v>3003</v>
      </c>
      <c r="H37" s="5" t="n">
        <v>2779</v>
      </c>
      <c r="I37" s="5" t="n">
        <v>2647</v>
      </c>
      <c r="J37" s="5" t="n">
        <v>2408</v>
      </c>
      <c r="K37" s="5" t="n">
        <v>2182</v>
      </c>
      <c r="L37" s="5" t="n">
        <v>1902</v>
      </c>
      <c r="M37" s="5" t="n">
        <v>1791</v>
      </c>
      <c r="N37" s="5" t="n">
        <v>1715</v>
      </c>
      <c r="O37" s="5" t="n">
        <v>2025</v>
      </c>
      <c r="P37" s="5" t="n">
        <v>2301</v>
      </c>
      <c r="Q37" s="5" t="n">
        <v>2598</v>
      </c>
      <c r="R37" s="5" t="n">
        <v>2886</v>
      </c>
      <c r="S37" s="5" t="n">
        <v>2962</v>
      </c>
      <c r="T37" s="5" t="n">
        <v>2455</v>
      </c>
      <c r="U37" s="5" t="n">
        <v>2347</v>
      </c>
    </row>
    <row r="38">
      <c r="A38" s="5" t="inlineStr">
        <is>
          <t>Total liabilities and equity</t>
        </is>
      </c>
      <c r="B38" s="5" t="n">
        <v>13095</v>
      </c>
      <c r="C38" s="5" t="n">
        <v>13837</v>
      </c>
      <c r="D38" s="5" t="n">
        <v>18630</v>
      </c>
      <c r="E38" s="5" t="n">
        <v>17803</v>
      </c>
      <c r="F38" s="5" t="n">
        <v>15065</v>
      </c>
      <c r="G38" s="5" t="n">
        <v>19534</v>
      </c>
      <c r="H38" s="5" t="n">
        <v>20539</v>
      </c>
      <c r="I38" s="5" t="n">
        <v>21695</v>
      </c>
      <c r="J38" s="5" t="n">
        <v>19598</v>
      </c>
      <c r="K38" s="5" t="n">
        <v>17626</v>
      </c>
      <c r="L38" s="5" t="n">
        <v>14863</v>
      </c>
      <c r="M38" s="5" t="n">
        <v>13049</v>
      </c>
      <c r="N38" s="5" t="n">
        <v>12272</v>
      </c>
      <c r="O38" s="5" t="n">
        <v>12078</v>
      </c>
      <c r="P38" s="5" t="n">
        <v>13432</v>
      </c>
      <c r="Q38" s="5" t="n">
        <v>14012</v>
      </c>
      <c r="R38" s="5" t="n">
        <v>16208</v>
      </c>
      <c r="S38" s="5" t="n">
        <v>21640</v>
      </c>
      <c r="T38" s="5" t="n">
        <v>18169</v>
      </c>
      <c r="U38" s="5" t="n">
        <v>16962</v>
      </c>
    </row>
    <row r="40" ht="560" customHeight="1">
      <c r="A40"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https://web.archive.org/web/20220615085358/https://www.fcebank.com/pdf/investor_center/2020_Annual_Report.pdf
FY2019: Annual Report 2019, pp.45,44,47-48 - https://web.archive.org/web/20220615085141/https://www.fcebank.com/pdf/investor_center/2019_Annual_Report.pdf
FY2018: Annual Report 2018, pp.39,38,41-42 - https://web.archive.org/web/20220615085110/https://www.fcebank.com/pdf/investor_center/2018_Annual_Report.pdf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https://web.archive.org/web/20220615085008/https://www.fcebank.com/pdf/investor_center/2017_Annual_Report.pdf
FY2016: Annual Report 2016, pp.60,59,62 - https://web.archive.org/web/20220615085027/https://www.fcebank.com/pdf/investor_center/2016_annual_report.pdf
FY2015: Annual Report 2015, pp.60,59,62 - https://web.archive.org/web/20220615085018/https://www.fcebank.com/pdf/investor_center/2015_annual_report.pdf
FY2014: Annual Report and Accounts 2014, pp.39,38,41 (Statements of financial position/profit and loss/changes in equity, Group columns) - https://web.archive.org/web/20220615085021/https://www.fcebank.com/pdf/investor_center/2014_annual_accts.pdf
FY2013: Annual Report and Accounts 2013, pp.42,41,44 (Statements of financial position/profit and loss/changes in equity, Group columns) - https://web.archive.org/web/20220615085139/https://www.fcebank.com/pdf/investor_center/2013_annual_accts.pdf
FY2012: Annual Report and Accounts 2012, pp.42,41,44 - https://web.archive.org/web/20220620211159/https://www.fcebank.com/pdf/investor_center/2012_annual_report_account.pdf
FY2011: Annual Report and Accounts 2011, pp.41,40,43 - https://web.archive.org/web/20220615085005/https://www.fcebank.com/pdf/investor_center/2011_Annual_FCEReport.pdf
FY2010: Annual Report and Accounts 2010, pp.39,38,41 - https://web.archive.org/web/20220615085039/https://www.fcebank.com/pdf/investor_center/2010_Annual_FCEReport.pdf
FY2009: Annual Report and Accounts 2009, pp.41,40,42 (Balance Sheets/Consolidated Income Statement and Statement of Comprehensive Income/Statements of Changes in Equity, Group columns) - https://web.archive.org/web/20220615085056/https://www.fcebank.com/pdf/investor_center/2009_Annual_FCEReport.pdf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40:U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Profit &amp; Loss</t>
        </is>
      </c>
    </row>
    <row r="2">
      <c r="A2" s="2" t="inlineStr">
        <is>
          <t>Group/Consolidated basis, £m. See source note at bottom (presentation changes and FY2023 non-restated own-year figures documented).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Interest income</t>
        </is>
      </c>
      <c r="B5" s="6" t="n">
        <v>860</v>
      </c>
      <c r="C5" s="6" t="n">
        <v>874</v>
      </c>
      <c r="D5" s="6" t="n">
        <v>974</v>
      </c>
      <c r="E5" s="6" t="n">
        <v>576</v>
      </c>
      <c r="F5" s="6" t="n">
        <v>552</v>
      </c>
      <c r="G5" s="6" t="n">
        <v>679</v>
      </c>
      <c r="H5" s="6" t="n">
        <v>748</v>
      </c>
      <c r="I5" s="6" t="n">
        <v>724</v>
      </c>
      <c r="J5" s="6" t="n">
        <v>647</v>
      </c>
      <c r="K5" s="6" t="n">
        <v>630</v>
      </c>
      <c r="L5" s="6" t="n">
        <v>564</v>
      </c>
      <c r="M5" s="6" t="n">
        <v>587</v>
      </c>
      <c r="N5" s="6" t="n">
        <v>658</v>
      </c>
      <c r="O5" s="6" t="n">
        <v>696</v>
      </c>
      <c r="P5" s="6" t="n">
        <v>856</v>
      </c>
      <c r="Q5" s="6" t="n">
        <v>893</v>
      </c>
      <c r="R5" s="6" t="n">
        <v>1111</v>
      </c>
      <c r="S5" s="6" t="n">
        <v>1398</v>
      </c>
      <c r="T5" s="6" t="n">
        <v>1265</v>
      </c>
      <c r="U5" s="6" t="n">
        <v>1114</v>
      </c>
    </row>
    <row r="6">
      <c r="A6" s="6" t="inlineStr">
        <is>
          <t>Interest expense</t>
        </is>
      </c>
      <c r="B6" s="6" t="n">
        <v>-470</v>
      </c>
      <c r="C6" s="6" t="n">
        <v>-527</v>
      </c>
      <c r="D6" s="6" t="n">
        <v>-505</v>
      </c>
      <c r="E6" s="6" t="n">
        <v>-170</v>
      </c>
      <c r="F6" s="6" t="n">
        <v>-162</v>
      </c>
      <c r="G6" s="6" t="n">
        <v>-217</v>
      </c>
      <c r="H6" s="6" t="n">
        <v>-208</v>
      </c>
      <c r="I6" s="6" t="n">
        <v>-178</v>
      </c>
      <c r="J6" s="6" t="n">
        <v>-181</v>
      </c>
      <c r="K6" s="6" t="n">
        <v>-190</v>
      </c>
      <c r="L6" s="6" t="n">
        <v>-176</v>
      </c>
      <c r="M6" s="6" t="n">
        <v>-192</v>
      </c>
      <c r="N6" s="6" t="n">
        <v>-252</v>
      </c>
      <c r="O6" s="6" t="n">
        <v>-353</v>
      </c>
      <c r="P6" s="6" t="n">
        <v>-512</v>
      </c>
      <c r="Q6" s="6" t="n">
        <v>-539</v>
      </c>
      <c r="R6" s="6" t="n">
        <v>-653</v>
      </c>
      <c r="S6" s="6" t="n">
        <v>-949</v>
      </c>
      <c r="T6" s="6" t="n">
        <v>-791</v>
      </c>
      <c r="U6" s="6" t="n">
        <v>-627</v>
      </c>
    </row>
    <row r="7">
      <c r="A7" s="5" t="inlineStr">
        <is>
          <t>Net interest income</t>
        </is>
      </c>
      <c r="B7" s="5" t="n">
        <v>390</v>
      </c>
      <c r="C7" s="5" t="n">
        <v>347</v>
      </c>
      <c r="D7" s="5" t="n">
        <v>469</v>
      </c>
      <c r="E7" s="5" t="n">
        <v>406</v>
      </c>
      <c r="F7" s="5" t="n">
        <v>390</v>
      </c>
      <c r="G7" s="5" t="n">
        <v>462</v>
      </c>
      <c r="H7" s="5" t="n">
        <v>540</v>
      </c>
      <c r="I7" s="5" t="n">
        <v>546</v>
      </c>
      <c r="J7" s="5" t="n">
        <v>466</v>
      </c>
      <c r="K7" s="5" t="n">
        <v>440</v>
      </c>
      <c r="L7" s="5" t="n">
        <v>388</v>
      </c>
      <c r="M7" s="5" t="n">
        <v>395</v>
      </c>
      <c r="N7" s="5" t="n">
        <v>406</v>
      </c>
      <c r="O7" s="5" t="n">
        <v>343</v>
      </c>
      <c r="P7" s="5" t="n">
        <v>344</v>
      </c>
      <c r="Q7" s="5" t="n">
        <v>354</v>
      </c>
      <c r="R7" s="5" t="n">
        <v>458</v>
      </c>
      <c r="S7" s="5" t="n">
        <v>449</v>
      </c>
      <c r="T7" s="5" t="n">
        <v>474</v>
      </c>
      <c r="U7" s="5" t="n">
        <v>487</v>
      </c>
    </row>
    <row r="8">
      <c r="A8" s="6" t="inlineStr">
        <is>
          <t>Fees and commissions income</t>
        </is>
      </c>
      <c r="B8" s="6" t="n">
        <v>43</v>
      </c>
      <c r="C8" s="6" t="n">
        <v>58</v>
      </c>
      <c r="D8" s="6" t="n">
        <v>61</v>
      </c>
      <c r="E8" s="6" t="n">
        <v>62</v>
      </c>
      <c r="F8" s="6" t="n">
        <v>53</v>
      </c>
      <c r="G8" s="6" t="n">
        <v>61</v>
      </c>
      <c r="H8" s="6" t="n">
        <v>63</v>
      </c>
      <c r="I8" s="6" t="n">
        <v>67</v>
      </c>
      <c r="J8" s="6" t="n">
        <v>64</v>
      </c>
      <c r="K8" s="6" t="n">
        <v>47</v>
      </c>
      <c r="L8" s="6" t="n">
        <v>40</v>
      </c>
      <c r="M8" s="6" t="n">
        <v>43</v>
      </c>
      <c r="N8" s="6" t="n">
        <v>37</v>
      </c>
      <c r="O8" s="6" t="n">
        <v>35</v>
      </c>
      <c r="P8" s="6" t="n">
        <v>63</v>
      </c>
      <c r="Q8" s="6" t="n">
        <v>70</v>
      </c>
      <c r="R8" s="6" t="n">
        <v>82</v>
      </c>
      <c r="S8" s="6" t="n">
        <v>118</v>
      </c>
      <c r="T8" s="6" t="n">
        <v>83</v>
      </c>
      <c r="U8" s="6" t="n">
        <v>82</v>
      </c>
    </row>
    <row r="9">
      <c r="A9" s="6" t="inlineStr">
        <is>
          <t>Fees and commissions expense</t>
        </is>
      </c>
      <c r="B9" s="6" t="n">
        <v>-11</v>
      </c>
      <c r="C9" s="6" t="n">
        <v>-8</v>
      </c>
      <c r="D9" s="6" t="n">
        <v>-7</v>
      </c>
      <c r="E9" s="6" t="n">
        <v>-6</v>
      </c>
      <c r="F9" s="6" t="n">
        <v>-8</v>
      </c>
      <c r="G9" s="6" t="n">
        <v>-11</v>
      </c>
      <c r="H9" s="6" t="n">
        <v>-10</v>
      </c>
      <c r="I9" s="6" t="n">
        <v>-10</v>
      </c>
      <c r="J9" s="6" t="n">
        <v>-9</v>
      </c>
      <c r="K9" s="6" t="n">
        <v>-6</v>
      </c>
      <c r="L9" s="6" t="n">
        <v>-5</v>
      </c>
      <c r="M9" s="6" t="n">
        <v>-10</v>
      </c>
      <c r="N9" s="6" t="n">
        <v>-14</v>
      </c>
      <c r="O9" s="6" t="n">
        <v>-12</v>
      </c>
      <c r="P9" s="6" t="n">
        <v>-13</v>
      </c>
      <c r="Q9" s="6" t="n">
        <v>-8</v>
      </c>
      <c r="R9" s="6" t="n">
        <v>-14</v>
      </c>
      <c r="S9" s="6" t="n">
        <v>-15</v>
      </c>
      <c r="T9" s="6" t="n">
        <v>-19</v>
      </c>
      <c r="U9" s="6" t="n">
        <v>-7</v>
      </c>
    </row>
    <row r="10">
      <c r="A10" s="5" t="inlineStr">
        <is>
          <t>Net fees and commissions income</t>
        </is>
      </c>
      <c r="B10" s="5" t="n">
        <v>32</v>
      </c>
      <c r="C10" s="5" t="n">
        <v>50</v>
      </c>
      <c r="D10" s="5" t="n">
        <v>54</v>
      </c>
      <c r="E10" s="5" t="n">
        <v>56</v>
      </c>
      <c r="F10" s="5" t="n">
        <v>45</v>
      </c>
      <c r="G10" s="5" t="n">
        <v>50</v>
      </c>
      <c r="H10" s="5" t="n">
        <v>53</v>
      </c>
      <c r="I10" s="5" t="n">
        <v>57</v>
      </c>
      <c r="J10" s="5" t="n">
        <v>55</v>
      </c>
      <c r="K10" s="5" t="n">
        <v>41</v>
      </c>
      <c r="L10" s="5" t="n">
        <v>35</v>
      </c>
      <c r="M10" s="5" t="n">
        <v>33</v>
      </c>
      <c r="N10" s="5" t="n">
        <v>23</v>
      </c>
      <c r="O10" s="5" t="n">
        <v>23</v>
      </c>
      <c r="P10" s="5" t="n">
        <v>50</v>
      </c>
      <c r="Q10" s="5" t="n">
        <v>62</v>
      </c>
      <c r="R10" s="5" t="n">
        <v>68</v>
      </c>
      <c r="S10" s="5" t="n">
        <v>103</v>
      </c>
      <c r="T10" s="5" t="n">
        <v>64</v>
      </c>
      <c r="U10" s="5" t="n">
        <v>75</v>
      </c>
    </row>
    <row r="11">
      <c r="A11" s="6" t="inlineStr">
        <is>
          <t>Other operating income / Income from leasing &amp; other operating income</t>
        </is>
      </c>
      <c r="B11" s="6" t="n">
        <v>0</v>
      </c>
      <c r="C11" s="6" t="n">
        <v>8</v>
      </c>
      <c r="D11" s="6" t="n">
        <v>52</v>
      </c>
      <c r="E11" s="6" t="n">
        <v>54</v>
      </c>
      <c r="F11" s="6" t="n">
        <v>164</v>
      </c>
      <c r="G11" s="6" t="n">
        <v>224</v>
      </c>
      <c r="H11" s="6" t="n">
        <v>426</v>
      </c>
      <c r="I11" s="6" t="n">
        <v>336</v>
      </c>
      <c r="J11" s="6" t="n">
        <v>322</v>
      </c>
      <c r="K11" s="6" t="n">
        <v>216</v>
      </c>
      <c r="L11" s="6" t="n">
        <v>175</v>
      </c>
      <c r="M11" s="6" t="n">
        <v>181</v>
      </c>
      <c r="N11" s="6" t="n">
        <v>205</v>
      </c>
      <c r="O11" s="6" t="n">
        <v>208</v>
      </c>
      <c r="P11" s="6" t="n">
        <v>176</v>
      </c>
      <c r="Q11" s="6" t="n">
        <v>148</v>
      </c>
      <c r="R11" s="6" t="n">
        <v>122</v>
      </c>
      <c r="S11" s="6" t="n">
        <v>205</v>
      </c>
      <c r="T11" s="6" t="n">
        <v>134</v>
      </c>
      <c r="U11" s="6" t="n">
        <v>160</v>
      </c>
    </row>
    <row r="12">
      <c r="A12" s="5" t="inlineStr">
        <is>
          <t>Total income</t>
        </is>
      </c>
      <c r="B12" s="5" t="n">
        <v>422</v>
      </c>
      <c r="C12" s="5" t="n">
        <v>405</v>
      </c>
      <c r="D12" s="5" t="n">
        <v>575</v>
      </c>
      <c r="E12" s="5" t="n">
        <v>516</v>
      </c>
      <c r="F12" s="5" t="n">
        <v>599</v>
      </c>
      <c r="G12" s="5" t="n">
        <v>736</v>
      </c>
      <c r="H12" s="5" t="n">
        <v>1019</v>
      </c>
      <c r="I12" s="5" t="n">
        <v>939</v>
      </c>
      <c r="J12" s="5" t="n">
        <v>843</v>
      </c>
      <c r="K12" s="5" t="n">
        <v>697</v>
      </c>
      <c r="L12" s="5" t="n">
        <v>598</v>
      </c>
      <c r="M12" s="5" t="n">
        <v>609</v>
      </c>
      <c r="N12" s="5" t="n">
        <v>634</v>
      </c>
      <c r="O12" s="5" t="n">
        <v>574</v>
      </c>
      <c r="P12" s="5" t="n">
        <v>570</v>
      </c>
      <c r="Q12" s="5" t="n">
        <v>564</v>
      </c>
      <c r="R12" s="5" t="n">
        <v>648</v>
      </c>
      <c r="S12" s="5" t="n">
        <v>757</v>
      </c>
      <c r="T12" s="5" t="n">
        <v>672</v>
      </c>
      <c r="U12" s="5" t="n">
        <v>722</v>
      </c>
    </row>
    <row r="13">
      <c r="A13" s="5" t="inlineStr">
        <is>
          <t>Expenses</t>
        </is>
      </c>
      <c r="B13" s="6" t="n"/>
      <c r="C13" s="6" t="n"/>
      <c r="D13" s="6" t="n"/>
      <c r="E13" s="6" t="n"/>
      <c r="F13" s="6" t="n"/>
      <c r="G13" s="6" t="n"/>
      <c r="H13" s="6" t="n"/>
      <c r="I13" s="6" t="n"/>
      <c r="J13" s="6" t="n"/>
      <c r="K13" s="6" t="n"/>
      <c r="L13" s="6" t="n"/>
      <c r="M13" s="6" t="n"/>
      <c r="N13" s="6" t="n"/>
      <c r="O13" s="6" t="n"/>
      <c r="P13" s="6" t="n"/>
      <c r="Q13" s="6" t="n"/>
      <c r="R13" s="6" t="n"/>
      <c r="S13" s="6" t="n"/>
      <c r="T13" s="6" t="n"/>
      <c r="U13" s="6" t="n"/>
    </row>
    <row r="14">
      <c r="A14" s="6" t="inlineStr">
        <is>
          <t>Allowance for expected credit losses / Impairment losses on loans and advances</t>
        </is>
      </c>
      <c r="B14" s="6" t="n">
        <v>-31</v>
      </c>
      <c r="C14" s="6" t="n">
        <v>-18</v>
      </c>
      <c r="D14" s="6" t="n">
        <v>-2</v>
      </c>
      <c r="E14" s="6" t="n">
        <v>4</v>
      </c>
      <c r="F14" s="6" t="n">
        <v>5</v>
      </c>
      <c r="G14" s="6" t="n">
        <v>-49</v>
      </c>
      <c r="H14" s="6" t="n">
        <v>-22</v>
      </c>
      <c r="I14" s="6" t="n">
        <v>-17</v>
      </c>
      <c r="J14" s="6" t="n">
        <v>-21</v>
      </c>
      <c r="K14" s="6" t="n">
        <v>-22</v>
      </c>
      <c r="L14" s="6" t="n">
        <v>-11</v>
      </c>
      <c r="M14" s="6" t="n">
        <v>-9</v>
      </c>
      <c r="N14" s="6" t="n">
        <v>-18</v>
      </c>
      <c r="O14" s="6" t="n">
        <v>2</v>
      </c>
      <c r="P14" s="6" t="n">
        <v>-3</v>
      </c>
      <c r="Q14" s="6" t="n">
        <v>-9</v>
      </c>
      <c r="R14" s="6" t="n">
        <v>-153</v>
      </c>
      <c r="S14" s="6" t="n">
        <v>-76</v>
      </c>
      <c r="T14" s="6" t="n">
        <v>-33</v>
      </c>
      <c r="U14" s="6" t="n">
        <v>-48</v>
      </c>
    </row>
    <row r="15">
      <c r="A15" s="5" t="inlineStr">
        <is>
          <t>Operating expenses</t>
        </is>
      </c>
      <c r="B15" s="5" t="n">
        <v>-265</v>
      </c>
      <c r="C15" s="5" t="n">
        <v>-243</v>
      </c>
      <c r="D15" s="5" t="n">
        <v>-287</v>
      </c>
      <c r="E15" s="5" t="n">
        <v>-255</v>
      </c>
      <c r="F15" s="5" t="n">
        <v>-239</v>
      </c>
      <c r="G15" s="5" t="n">
        <v>-275</v>
      </c>
      <c r="H15" s="5" t="n">
        <v>-276</v>
      </c>
      <c r="I15" s="5" t="n">
        <v>-305</v>
      </c>
      <c r="J15" s="5" t="n">
        <v>-260</v>
      </c>
      <c r="K15" s="5" t="n">
        <v>-292</v>
      </c>
      <c r="L15" s="5" t="n">
        <v>-200</v>
      </c>
      <c r="M15" s="5" t="n">
        <v>-204</v>
      </c>
      <c r="N15" s="5" t="n">
        <v>-232</v>
      </c>
      <c r="O15" s="5" t="n">
        <v>-216</v>
      </c>
      <c r="P15" s="5" t="n">
        <v>-201</v>
      </c>
      <c r="Q15" s="5" t="n">
        <v>-215</v>
      </c>
      <c r="R15" s="5" t="n">
        <v>-205</v>
      </c>
      <c r="S15" s="5" t="n">
        <v>-243</v>
      </c>
      <c r="T15" s="5" t="n">
        <v>-227</v>
      </c>
      <c r="U15" s="5" t="n">
        <v>-246</v>
      </c>
    </row>
    <row r="16">
      <c r="A16" s="6" t="inlineStr">
        <is>
          <t>(Loss)/Gain on disposal of Operating Leases</t>
        </is>
      </c>
      <c r="B16" s="6" t="n"/>
      <c r="C16" s="6" t="n"/>
      <c r="D16" s="6" t="n">
        <v>-13</v>
      </c>
      <c r="E16" s="6" t="n">
        <v>30</v>
      </c>
      <c r="F16" s="6" t="n">
        <v>-16</v>
      </c>
      <c r="G16" s="6" t="n"/>
      <c r="H16" s="6" t="n"/>
      <c r="I16" s="6" t="n"/>
      <c r="J16" s="6" t="n"/>
      <c r="K16" s="6" t="n"/>
      <c r="L16" s="6" t="n"/>
      <c r="M16" s="6" t="n"/>
      <c r="N16" s="6" t="n"/>
      <c r="O16" s="6" t="n"/>
      <c r="P16" s="6" t="n"/>
      <c r="Q16" s="6" t="n"/>
      <c r="R16" s="6" t="n"/>
      <c r="S16" s="6" t="n"/>
      <c r="T16" s="6" t="n"/>
      <c r="U16" s="6" t="n"/>
    </row>
    <row r="17">
      <c r="A17" s="6" t="inlineStr">
        <is>
          <t>Depreciation and amortisation (combined, FY2025 only)</t>
        </is>
      </c>
      <c r="B17" s="6" t="n">
        <v>-15</v>
      </c>
      <c r="C17" s="6" t="n"/>
      <c r="D17" s="6" t="n"/>
      <c r="E17" s="6" t="n"/>
      <c r="F17" s="6" t="n"/>
      <c r="G17" s="6" t="n"/>
      <c r="H17" s="6" t="n"/>
      <c r="I17" s="6" t="n"/>
      <c r="J17" s="6" t="n"/>
      <c r="K17" s="6" t="n"/>
      <c r="L17" s="6" t="n"/>
      <c r="M17" s="6" t="n"/>
      <c r="N17" s="6" t="n"/>
      <c r="O17" s="6" t="n"/>
      <c r="P17" s="6" t="n"/>
      <c r="Q17" s="6" t="n"/>
      <c r="R17" s="6" t="n"/>
      <c r="S17" s="6" t="n"/>
      <c r="T17" s="6" t="n"/>
      <c r="U17" s="6" t="n"/>
    </row>
    <row r="18">
      <c r="A18" s="6" t="inlineStr">
        <is>
          <t>Depreciation of property and equipment</t>
        </is>
      </c>
      <c r="B18" s="6" t="n"/>
      <c r="C18" s="6" t="n">
        <v>0</v>
      </c>
      <c r="D18" s="6" t="n">
        <v>-37</v>
      </c>
      <c r="E18" s="6" t="n">
        <v>-29</v>
      </c>
      <c r="F18" s="6" t="n">
        <v>-131</v>
      </c>
      <c r="G18" s="6" t="n">
        <v>-190</v>
      </c>
      <c r="H18" s="6" t="n">
        <v>-400</v>
      </c>
      <c r="I18" s="6" t="n">
        <v>-320</v>
      </c>
      <c r="J18" s="6" t="n">
        <v>-292</v>
      </c>
      <c r="K18" s="6" t="n">
        <v>-203</v>
      </c>
      <c r="L18" s="6" t="n">
        <v>-164</v>
      </c>
      <c r="M18" s="6" t="n">
        <v>-175</v>
      </c>
      <c r="N18" s="6" t="n">
        <v>-183</v>
      </c>
      <c r="O18" s="6" t="n">
        <v>-220</v>
      </c>
      <c r="P18" s="6" t="n">
        <v>-174</v>
      </c>
      <c r="Q18" s="6" t="n">
        <v>-100</v>
      </c>
      <c r="R18" s="6" t="n">
        <v>-110</v>
      </c>
      <c r="S18" s="6" t="n">
        <v>-132</v>
      </c>
      <c r="T18" s="6" t="n">
        <v>-120</v>
      </c>
      <c r="U18" s="6" t="n">
        <v>-134</v>
      </c>
    </row>
    <row r="19">
      <c r="A19" s="6" t="inlineStr">
        <is>
          <t>Depreciation of right-of-use assets</t>
        </is>
      </c>
      <c r="B19" s="6" t="n"/>
      <c r="C19" s="6" t="n">
        <v>-4</v>
      </c>
      <c r="D19" s="6" t="n">
        <v>-5</v>
      </c>
      <c r="E19" s="6" t="n">
        <v>-5</v>
      </c>
      <c r="F19" s="6" t="n">
        <v>-8</v>
      </c>
      <c r="G19" s="6" t="n">
        <v>-6</v>
      </c>
      <c r="H19" s="6" t="n">
        <v>-5</v>
      </c>
      <c r="I19" s="6" t="n"/>
      <c r="J19" s="6" t="n"/>
      <c r="K19" s="6" t="n"/>
      <c r="L19" s="6" t="n"/>
      <c r="M19" s="6" t="n"/>
      <c r="N19" s="6" t="n"/>
      <c r="O19" s="6" t="n"/>
      <c r="P19" s="6" t="n"/>
      <c r="Q19" s="6" t="n"/>
      <c r="R19" s="6" t="n"/>
      <c r="S19" s="6" t="n"/>
      <c r="T19" s="6" t="n"/>
      <c r="U19" s="6" t="n"/>
    </row>
    <row r="20">
      <c r="A20" s="6" t="inlineStr">
        <is>
          <t>(Loss)/Gain on fair value adjustment - non designated derivatives</t>
        </is>
      </c>
      <c r="B20" s="6" t="n">
        <v>-31</v>
      </c>
      <c r="C20" s="6" t="n">
        <v>46</v>
      </c>
      <c r="D20" s="6" t="n">
        <v>-98</v>
      </c>
      <c r="E20" s="6" t="n">
        <v>128</v>
      </c>
      <c r="F20" s="6" t="n">
        <v>46</v>
      </c>
      <c r="G20" s="6" t="n">
        <v>-3</v>
      </c>
      <c r="H20" s="6" t="n">
        <v>-65</v>
      </c>
      <c r="I20" s="6" t="n">
        <v>-8</v>
      </c>
      <c r="J20" s="6" t="n">
        <v>56</v>
      </c>
      <c r="K20" s="6" t="n">
        <v>285</v>
      </c>
      <c r="L20" s="6" t="n">
        <v>-23</v>
      </c>
      <c r="M20" s="6" t="n">
        <v>-24</v>
      </c>
      <c r="N20" s="6" t="n">
        <v>-1</v>
      </c>
      <c r="O20" s="6" t="n">
        <v>-75</v>
      </c>
      <c r="P20" s="6" t="n">
        <v>5</v>
      </c>
      <c r="Q20" s="6" t="n">
        <v>34</v>
      </c>
      <c r="R20" s="6" t="n">
        <v>36</v>
      </c>
      <c r="S20" s="6" t="n">
        <v>88</v>
      </c>
      <c r="T20" s="6" t="n">
        <v>-17</v>
      </c>
      <c r="U20" s="6" t="n">
        <v>35</v>
      </c>
    </row>
    <row r="21">
      <c r="A21" s="6" t="inlineStr">
        <is>
          <t>Gain/(Loss) on foreign exchange</t>
        </is>
      </c>
      <c r="B21" s="6" t="n">
        <v>87</v>
      </c>
      <c r="C21" s="6" t="n">
        <v>-69</v>
      </c>
      <c r="D21" s="6" t="n">
        <v>-12</v>
      </c>
      <c r="E21" s="6" t="n">
        <v>28</v>
      </c>
      <c r="F21" s="6" t="n">
        <v>-18</v>
      </c>
      <c r="G21" s="6" t="n">
        <v>-29</v>
      </c>
      <c r="H21" s="6" t="n">
        <v>46</v>
      </c>
      <c r="I21" s="6" t="n">
        <v>-8</v>
      </c>
      <c r="J21" s="6" t="n">
        <v>-46</v>
      </c>
      <c r="K21" s="6" t="n">
        <v>-292</v>
      </c>
      <c r="L21" s="6" t="n">
        <v>13</v>
      </c>
      <c r="M21" s="6" t="n">
        <v>-3</v>
      </c>
      <c r="N21" s="6" t="n">
        <v>11</v>
      </c>
      <c r="O21" s="6" t="n">
        <v>45</v>
      </c>
      <c r="P21" s="6" t="n">
        <v>-24</v>
      </c>
      <c r="Q21" s="6" t="n">
        <v>-41</v>
      </c>
      <c r="R21" s="6" t="n">
        <v>7</v>
      </c>
      <c r="S21" s="6" t="n">
        <v>-95</v>
      </c>
      <c r="T21" s="6" t="n"/>
      <c r="U21" s="6" t="n"/>
    </row>
    <row r="22">
      <c r="A22" s="6" t="inlineStr">
        <is>
          <t>Share of profit of a joint venture (FY2008-FY2017 only; JV established June 2008)</t>
        </is>
      </c>
      <c r="B22" s="6" t="n"/>
      <c r="C22" s="6" t="n"/>
      <c r="D22" s="6" t="n"/>
      <c r="E22" s="6" t="n"/>
      <c r="F22" s="6" t="n"/>
      <c r="G22" s="6" t="n"/>
      <c r="H22" s="6" t="n"/>
      <c r="I22" s="6" t="n"/>
      <c r="J22" s="6" t="n">
        <v>3</v>
      </c>
      <c r="K22" s="6" t="n">
        <v>5</v>
      </c>
      <c r="L22" s="6" t="n">
        <v>4</v>
      </c>
      <c r="M22" s="6" t="n">
        <v>3</v>
      </c>
      <c r="N22" s="6" t="n">
        <v>3</v>
      </c>
      <c r="O22" s="6" t="n">
        <v>5</v>
      </c>
      <c r="P22" s="6" t="n">
        <v>6</v>
      </c>
      <c r="Q22" s="6" t="n">
        <v>6</v>
      </c>
      <c r="R22" s="6" t="n"/>
      <c r="S22" s="6" t="n">
        <v>1</v>
      </c>
      <c r="T22" s="6" t="n"/>
      <c r="U22" s="6" t="n"/>
    </row>
    <row r="23">
      <c r="A23" s="5" t="inlineStr">
        <is>
          <t>Profit before tax</t>
        </is>
      </c>
      <c r="B23" s="5" t="n">
        <v>167</v>
      </c>
      <c r="C23" s="5" t="n">
        <v>117</v>
      </c>
      <c r="D23" s="5" t="n">
        <v>121</v>
      </c>
      <c r="E23" s="5" t="n">
        <v>417</v>
      </c>
      <c r="F23" s="5" t="n">
        <v>238</v>
      </c>
      <c r="G23" s="5" t="n">
        <v>184</v>
      </c>
      <c r="H23" s="5" t="n">
        <v>297</v>
      </c>
      <c r="I23" s="5" t="n">
        <v>281</v>
      </c>
      <c r="J23" s="5" t="n">
        <v>283</v>
      </c>
      <c r="K23" s="5" t="n">
        <v>178</v>
      </c>
      <c r="L23" s="5" t="n">
        <v>217</v>
      </c>
      <c r="M23" s="5" t="n">
        <v>197</v>
      </c>
      <c r="N23" s="5" t="n">
        <v>214</v>
      </c>
      <c r="O23" s="5" t="n">
        <v>115</v>
      </c>
      <c r="P23" s="5" t="n">
        <v>179</v>
      </c>
      <c r="Q23" s="5" t="n">
        <v>239</v>
      </c>
      <c r="R23" s="5" t="n">
        <v>223</v>
      </c>
      <c r="S23" s="5" t="n">
        <v>300</v>
      </c>
      <c r="T23" s="5" t="n">
        <v>275</v>
      </c>
      <c r="U23" s="5" t="n">
        <v>329</v>
      </c>
    </row>
    <row r="24">
      <c r="A24" s="6" t="inlineStr">
        <is>
          <t>Income tax expense</t>
        </is>
      </c>
      <c r="B24" s="6" t="n">
        <v>-71</v>
      </c>
      <c r="C24" s="6" t="n">
        <v>-62</v>
      </c>
      <c r="D24" s="6" t="n">
        <v>-33</v>
      </c>
      <c r="E24" s="6" t="n">
        <v>-130</v>
      </c>
      <c r="F24" s="6" t="n">
        <v>-84</v>
      </c>
      <c r="G24" s="6" t="n">
        <v>-56</v>
      </c>
      <c r="H24" s="6" t="n">
        <v>-73</v>
      </c>
      <c r="I24" s="6" t="n">
        <v>-72</v>
      </c>
      <c r="J24" s="6" t="n">
        <v>-70</v>
      </c>
      <c r="K24" s="6" t="n">
        <v>-34</v>
      </c>
      <c r="L24" s="6" t="n">
        <v>-57</v>
      </c>
      <c r="M24" s="6" t="n">
        <v>-50</v>
      </c>
      <c r="N24" s="6" t="n">
        <v>-62</v>
      </c>
      <c r="O24" s="6" t="n">
        <v>-30</v>
      </c>
      <c r="P24" s="6" t="n">
        <v>-56</v>
      </c>
      <c r="Q24" s="6" t="n">
        <v>-78</v>
      </c>
      <c r="R24" s="6" t="n">
        <v>-57</v>
      </c>
      <c r="S24" s="6" t="n">
        <v>-96</v>
      </c>
      <c r="T24" s="6" t="n">
        <v>-72</v>
      </c>
      <c r="U24" s="6" t="n">
        <v>-98</v>
      </c>
    </row>
    <row r="25">
      <c r="A25" s="5" t="inlineStr">
        <is>
          <t>Profit after tax in respect of continuing operations</t>
        </is>
      </c>
      <c r="B25" s="5" t="n">
        <v>96</v>
      </c>
      <c r="C25" s="5" t="n">
        <v>55</v>
      </c>
      <c r="D25" s="5" t="n">
        <v>88</v>
      </c>
      <c r="E25" s="5" t="n">
        <v>287</v>
      </c>
      <c r="F25" s="5" t="n">
        <v>154</v>
      </c>
      <c r="G25" s="5" t="n">
        <v>128</v>
      </c>
      <c r="H25" s="5" t="n">
        <v>224</v>
      </c>
      <c r="I25" s="5" t="n">
        <v>209</v>
      </c>
      <c r="J25" s="5" t="n">
        <v>213</v>
      </c>
      <c r="K25" s="5" t="n">
        <v>144</v>
      </c>
      <c r="L25" s="5" t="n">
        <v>160</v>
      </c>
      <c r="M25" s="5" t="n">
        <v>147</v>
      </c>
      <c r="N25" s="5" t="n">
        <v>152</v>
      </c>
      <c r="O25" s="5" t="n">
        <v>85</v>
      </c>
      <c r="P25" s="5" t="n">
        <v>123</v>
      </c>
      <c r="Q25" s="5" t="n">
        <v>161</v>
      </c>
      <c r="R25" s="5" t="n">
        <v>166</v>
      </c>
      <c r="S25" s="5" t="n">
        <v>204</v>
      </c>
      <c r="T25" s="5" t="n">
        <v>203</v>
      </c>
      <c r="U25" s="5" t="n">
        <v>231</v>
      </c>
    </row>
    <row r="26">
      <c r="A26" s="6" t="inlineStr">
        <is>
          <t>Profit after tax in respect of discontinued operations (Ford Bank GmbH, FY2024 only)</t>
        </is>
      </c>
      <c r="B26" s="6" t="n"/>
      <c r="C26" s="6" t="n">
        <v>157</v>
      </c>
      <c r="D26" s="6" t="n"/>
      <c r="E26" s="6" t="n"/>
      <c r="F26" s="6" t="n"/>
      <c r="G26" s="6" t="n"/>
      <c r="H26" s="6" t="n"/>
      <c r="I26" s="6" t="n"/>
      <c r="J26" s="6" t="n"/>
      <c r="K26" s="6" t="n"/>
      <c r="L26" s="6" t="n"/>
      <c r="M26" s="6" t="n"/>
      <c r="N26" s="6" t="n"/>
      <c r="O26" s="6" t="n"/>
      <c r="P26" s="6" t="n"/>
      <c r="Q26" s="6" t="n"/>
      <c r="R26" s="6" t="n"/>
      <c r="S26" s="6" t="n"/>
      <c r="T26" s="6" t="n"/>
      <c r="U26" s="6" t="n"/>
    </row>
    <row r="27">
      <c r="A27" s="5" t="inlineStr">
        <is>
          <t>Profit for the period</t>
        </is>
      </c>
      <c r="B27" s="5" t="n">
        <v>96</v>
      </c>
      <c r="C27" s="5" t="n">
        <v>212</v>
      </c>
      <c r="D27" s="5" t="n">
        <v>88</v>
      </c>
      <c r="E27" s="5" t="n">
        <v>287</v>
      </c>
      <c r="F27" s="5" t="n">
        <v>154</v>
      </c>
      <c r="G27" s="5" t="n">
        <v>128</v>
      </c>
      <c r="H27" s="5" t="n">
        <v>224</v>
      </c>
      <c r="I27" s="5" t="n">
        <v>209</v>
      </c>
      <c r="J27" s="5" t="n">
        <v>213</v>
      </c>
      <c r="K27" s="5" t="n">
        <v>144</v>
      </c>
      <c r="L27" s="5" t="n">
        <v>160</v>
      </c>
      <c r="M27" s="5" t="n">
        <v>147</v>
      </c>
      <c r="N27" s="5" t="n">
        <v>152</v>
      </c>
      <c r="O27" s="5" t="n">
        <v>85</v>
      </c>
      <c r="P27" s="5" t="n">
        <v>123</v>
      </c>
      <c r="Q27" s="5" t="n">
        <v>161</v>
      </c>
      <c r="R27" s="5" t="n">
        <v>166</v>
      </c>
      <c r="S27" s="5" t="n">
        <v>204</v>
      </c>
      <c r="T27" s="5" t="n">
        <v>203</v>
      </c>
      <c r="U27" s="5" t="n">
        <v>231</v>
      </c>
    </row>
    <row r="28">
      <c r="A28" s="5" t="inlineStr">
        <is>
          <t>Other comprehensive income</t>
        </is>
      </c>
      <c r="B28" s="6" t="n"/>
      <c r="C28" s="6" t="n"/>
      <c r="D28" s="6" t="n"/>
      <c r="E28" s="6" t="n"/>
      <c r="F28" s="6" t="n"/>
      <c r="G28" s="6" t="n"/>
      <c r="H28" s="6" t="n"/>
      <c r="I28" s="6" t="n"/>
      <c r="J28" s="6" t="n"/>
      <c r="K28" s="6" t="n"/>
      <c r="L28" s="6" t="n"/>
      <c r="M28" s="6" t="n"/>
      <c r="N28" s="6" t="n"/>
      <c r="O28" s="6" t="n"/>
      <c r="P28" s="6" t="n"/>
      <c r="Q28" s="6" t="n"/>
      <c r="R28" s="6" t="n"/>
      <c r="S28" s="6" t="n"/>
      <c r="T28" s="6" t="n"/>
      <c r="U28" s="6" t="n"/>
    </row>
    <row r="29">
      <c r="A29" s="6" t="inlineStr">
        <is>
          <t>Translation differences on foreign currency net investments (continuing operations)</t>
        </is>
      </c>
      <c r="B29" s="6" t="n">
        <v>43</v>
      </c>
      <c r="C29" s="6" t="n">
        <v>-42</v>
      </c>
      <c r="D29" s="6" t="n"/>
      <c r="E29" s="6" t="n"/>
      <c r="F29" s="6" t="n"/>
      <c r="G29" s="6" t="n"/>
      <c r="H29" s="6" t="n"/>
      <c r="I29" s="6" t="n"/>
      <c r="J29" s="6" t="n"/>
      <c r="K29" s="6" t="n"/>
      <c r="L29" s="6" t="n"/>
      <c r="M29" s="6" t="n"/>
      <c r="N29" s="6" t="n"/>
      <c r="O29" s="6" t="n"/>
      <c r="P29" s="6" t="n"/>
      <c r="Q29" s="6" t="n"/>
      <c r="R29" s="6" t="n"/>
      <c r="S29" s="6" t="n"/>
      <c r="T29" s="6" t="n"/>
      <c r="U29" s="6" t="n"/>
    </row>
    <row r="30">
      <c r="A30" s="6" t="inlineStr">
        <is>
          <t>Translation differences on foreign currency net investments (discontinued operations)</t>
        </is>
      </c>
      <c r="B30" s="6" t="n"/>
      <c r="C30" s="6" t="n">
        <v>-27</v>
      </c>
      <c r="D30" s="6" t="n"/>
      <c r="E30" s="6" t="n"/>
      <c r="F30" s="6" t="n"/>
      <c r="G30" s="6" t="n"/>
      <c r="H30" s="6" t="n"/>
      <c r="I30" s="6" t="n"/>
      <c r="J30" s="6" t="n"/>
      <c r="K30" s="6" t="n"/>
      <c r="L30" s="6" t="n"/>
      <c r="M30" s="6" t="n"/>
      <c r="N30" s="6" t="n"/>
      <c r="O30" s="6" t="n"/>
      <c r="P30" s="6" t="n"/>
      <c r="Q30" s="6" t="n"/>
      <c r="R30" s="6" t="n"/>
      <c r="S30" s="6" t="n"/>
      <c r="T30" s="6" t="n"/>
      <c r="U30" s="6" t="n"/>
    </row>
    <row r="31">
      <c r="A31" s="6" t="inlineStr">
        <is>
          <t>Translation differences on foreign currency net investments (FY2006-FY2023, not split)</t>
        </is>
      </c>
      <c r="B31" s="6" t="n"/>
      <c r="C31" s="6" t="n"/>
      <c r="D31" s="6" t="n">
        <v>-33</v>
      </c>
      <c r="E31" s="6" t="n">
        <v>78</v>
      </c>
      <c r="F31" s="6" t="n">
        <v>-115</v>
      </c>
      <c r="G31" s="6" t="n">
        <v>94</v>
      </c>
      <c r="H31" s="6" t="n">
        <v>-89</v>
      </c>
      <c r="I31" s="6" t="n">
        <v>17</v>
      </c>
      <c r="J31" s="6" t="n">
        <v>43</v>
      </c>
      <c r="K31" s="6" t="n">
        <v>178</v>
      </c>
      <c r="L31" s="6" t="n">
        <v>-44</v>
      </c>
      <c r="M31" s="6" t="n">
        <v>-70</v>
      </c>
      <c r="N31" s="6" t="n">
        <v>24</v>
      </c>
      <c r="O31" s="6" t="n">
        <v>-30</v>
      </c>
      <c r="P31" s="6" t="n">
        <v>-50</v>
      </c>
      <c r="Q31" s="6" t="n">
        <v>-59</v>
      </c>
      <c r="R31" s="6" t="n">
        <v>-157</v>
      </c>
      <c r="S31" s="6" t="n">
        <v>515</v>
      </c>
      <c r="T31" s="6" t="n">
        <v>155</v>
      </c>
      <c r="U31" s="6" t="n">
        <v>-30</v>
      </c>
    </row>
    <row r="32">
      <c r="A32" s="6" t="inlineStr">
        <is>
          <t>Translation differences on foreign currency net investments in a joint venture (FY2014-FY2016 only)</t>
        </is>
      </c>
      <c r="B32" s="6" t="n"/>
      <c r="C32" s="6" t="n"/>
      <c r="D32" s="6" t="n"/>
      <c r="E32" s="6" t="n"/>
      <c r="F32" s="6" t="n"/>
      <c r="G32" s="6" t="n"/>
      <c r="H32" s="6" t="n"/>
      <c r="I32" s="6" t="n"/>
      <c r="J32" s="6" t="n"/>
      <c r="K32" s="6" t="n">
        <v>6</v>
      </c>
      <c r="L32" s="6" t="n">
        <v>-5</v>
      </c>
      <c r="M32" s="6" t="n"/>
      <c r="N32" s="6" t="n"/>
      <c r="O32" s="6" t="n"/>
      <c r="P32" s="6" t="n"/>
      <c r="Q32" s="6" t="n"/>
      <c r="R32" s="6" t="n"/>
      <c r="S32" s="6" t="n"/>
      <c r="T32" s="6" t="n"/>
      <c r="U32" s="6" t="n"/>
    </row>
    <row r="33">
      <c r="A33" s="6" t="inlineStr">
        <is>
          <t>Items recycled through profit or loss (realisation of FX on sale of subsidiaries)</t>
        </is>
      </c>
      <c r="B33" s="6" t="n"/>
      <c r="C33" s="6" t="n">
        <v>-134</v>
      </c>
      <c r="D33" s="6" t="n"/>
      <c r="E33" s="6" t="n"/>
      <c r="F33" s="6" t="n"/>
      <c r="G33" s="6" t="n"/>
      <c r="H33" s="6" t="n"/>
      <c r="I33" s="6" t="n"/>
      <c r="J33" s="6" t="n"/>
      <c r="K33" s="6" t="n"/>
      <c r="L33" s="6" t="n"/>
      <c r="M33" s="6" t="n"/>
      <c r="N33" s="6" t="n"/>
      <c r="O33" s="6" t="n"/>
      <c r="P33" s="6" t="n"/>
      <c r="Q33" s="6" t="n"/>
      <c r="R33" s="6" t="n"/>
      <c r="S33" s="6" t="n"/>
      <c r="T33" s="6" t="n"/>
      <c r="U33" s="6" t="n"/>
    </row>
    <row r="34">
      <c r="A34" s="6" t="inlineStr">
        <is>
          <t>Available for sale gains/(losses) or equity investments at FVOCI</t>
        </is>
      </c>
      <c r="B34" s="6" t="n"/>
      <c r="C34" s="6" t="n"/>
      <c r="D34" s="6" t="n"/>
      <c r="E34" s="6" t="n"/>
      <c r="F34" s="6" t="n"/>
      <c r="G34" s="6" t="n"/>
      <c r="H34" s="6" t="n">
        <v>-3</v>
      </c>
      <c r="I34" s="6" t="n">
        <v>1</v>
      </c>
      <c r="J34" s="6" t="n">
        <v>-1</v>
      </c>
      <c r="K34" s="6" t="n">
        <v>1</v>
      </c>
      <c r="L34" s="6" t="n"/>
      <c r="M34" s="6" t="n"/>
      <c r="N34" s="6" t="n"/>
      <c r="O34" s="6" t="n">
        <v>3</v>
      </c>
      <c r="P34" s="6" t="n"/>
      <c r="Q34" s="6" t="n"/>
      <c r="R34" s="6" t="n"/>
      <c r="S34" s="6" t="n"/>
      <c r="T34" s="6" t="n"/>
      <c r="U34" s="6" t="n"/>
    </row>
    <row r="35">
      <c r="A35" s="5" t="inlineStr">
        <is>
          <t>Total comprehensive income for the period</t>
        </is>
      </c>
      <c r="B35" s="5" t="n">
        <v>139</v>
      </c>
      <c r="C35" s="5" t="n">
        <v>9</v>
      </c>
      <c r="D35" s="5" t="n">
        <v>55</v>
      </c>
      <c r="E35" s="5" t="n">
        <v>365</v>
      </c>
      <c r="F35" s="5" t="n">
        <v>39</v>
      </c>
      <c r="G35" s="5" t="n">
        <v>222</v>
      </c>
      <c r="H35" s="5" t="n">
        <v>132</v>
      </c>
      <c r="I35" s="5" t="n">
        <v>227</v>
      </c>
      <c r="J35" s="5" t="n">
        <v>255</v>
      </c>
      <c r="K35" s="5" t="n">
        <v>329</v>
      </c>
      <c r="L35" s="5" t="n">
        <v>111</v>
      </c>
      <c r="M35" s="5" t="n">
        <v>77</v>
      </c>
      <c r="N35" s="5" t="n">
        <v>176</v>
      </c>
      <c r="O35" s="5" t="n">
        <v>58</v>
      </c>
      <c r="P35" s="5" t="n">
        <v>73</v>
      </c>
      <c r="Q35" s="5" t="n">
        <v>102</v>
      </c>
      <c r="R35" s="5" t="n">
        <v>9</v>
      </c>
      <c r="S35" s="5" t="n">
        <v>719</v>
      </c>
      <c r="T35" s="5" t="n">
        <v>358</v>
      </c>
      <c r="U35" s="5" t="n">
        <v>201</v>
      </c>
    </row>
    <row r="37" ht="560" customHeight="1">
      <c r="A37"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https://web.archive.org/web/20220615085358/https://www.fcebank.com/pdf/investor_center/2020_Annual_Report.pdf
FY2019: Annual Report 2019, pp.45,44,47-48 - https://web.archive.org/web/20220615085141/https://www.fcebank.com/pdf/investor_center/2019_Annual_Report.pdf
FY2018: Annual Report 2018, pp.39,38,41-42 - https://web.archive.org/web/20220615085110/https://www.fcebank.com/pdf/investor_center/2018_Annual_Report.pdf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https://web.archive.org/web/20220615085008/https://www.fcebank.com/pdf/investor_center/2017_Annual_Report.pdf
FY2016: Annual Report 2016, pp.60,59,62 - https://web.archive.org/web/20220615085027/https://www.fcebank.com/pdf/investor_center/2016_annual_report.pdf
FY2015: Annual Report 2015, pp.60,59,62 - https://web.archive.org/web/20220615085018/https://www.fcebank.com/pdf/investor_center/2015_annual_report.pdf
FY2014: Annual Report and Accounts 2014, pp.39,38,41 (Statements of financial position/profit and loss/changes in equity, Group columns) - https://web.archive.org/web/20220615085021/https://www.fcebank.com/pdf/investor_center/2014_annual_accts.pdf
FY2013: Annual Report and Accounts 2013, pp.42,41,44 (Statements of financial position/profit and loss/changes in equity, Group columns) - https://web.archive.org/web/20220615085139/https://www.fcebank.com/pdf/investor_center/2013_annual_accts.pdf
FY2012: Annual Report and Accounts 2012, pp.42,41,44 - https://web.archive.org/web/20220620211159/https://www.fcebank.com/pdf/investor_center/2012_annual_report_account.pdf
FY2011: Annual Report and Accounts 2011, pp.41,40,43 - https://web.archive.org/web/20220615085005/https://www.fcebank.com/pdf/investor_center/2011_Annual_FCEReport.pdf
FY2010: Annual Report and Accounts 2010, pp.39,38,41 - https://web.archive.org/web/20220615085039/https://www.fcebank.com/pdf/investor_center/2010_Annual_FCEReport.pdf
FY2009: Annual Report and Accounts 2009, pp.41,40,42 (Balance Sheets/Consolidated Income Statement and Statement of Comprehensive Income/Statements of Changes in Equity, Group columns) - https://web.archive.org/web/20220615085056/https://www.fcebank.com/pdf/investor_center/2009_Annual_FCEReport.pdf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37:U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4"/>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FCE Bank Plc — Statement of Changes in Equity</t>
        </is>
      </c>
    </row>
    <row r="2">
      <c r="A2" s="2" t="inlineStr">
        <is>
          <t>Group/Consolidated basis, £m, chronological (oldest to newest). Per-year reconciliation ladder confirmed: every closing balance ties exactly to the Balance Sheet's own Total equity, with minor (&lt;£1m) rounding gaps at a few opening-balance handoffs where the following year's own report restates its own prior-year opening figures slightly (documented per row) - never a data error, always each year's own disclosed number.</t>
        </is>
      </c>
    </row>
    <row r="3">
      <c r="A3" s="4" t="inlineStr">
        <is>
          <t>Movement</t>
        </is>
      </c>
      <c r="B3" s="4" t="inlineStr">
        <is>
          <t>Share capital</t>
        </is>
      </c>
      <c r="C3" s="4" t="inlineStr">
        <is>
          <t>Share premium</t>
        </is>
      </c>
      <c r="D3" s="4" t="inlineStr">
        <is>
          <t>Profit or loss reserve</t>
        </is>
      </c>
      <c r="E3" s="4" t="inlineStr">
        <is>
          <t>Translation reserve</t>
        </is>
      </c>
      <c r="F3" s="4" t="inlineStr">
        <is>
          <t>Total retained earnings</t>
        </is>
      </c>
      <c r="G3" s="4" t="inlineStr">
        <is>
          <t>Total</t>
        </is>
      </c>
    </row>
    <row r="4">
      <c r="A4" s="5" t="inlineStr">
        <is>
          <t>At 1 January 2006</t>
        </is>
      </c>
      <c r="B4" s="5" t="n">
        <v>614</v>
      </c>
      <c r="C4" s="5" t="n">
        <v>352</v>
      </c>
      <c r="D4" s="5" t="n">
        <v>1156</v>
      </c>
      <c r="E4" s="5" t="n">
        <v>-14</v>
      </c>
      <c r="F4" s="5" t="n">
        <v>1142</v>
      </c>
      <c r="G4" s="5" t="n">
        <v>2108</v>
      </c>
    </row>
    <row r="5">
      <c r="A5" s="6" t="inlineStr">
        <is>
          <t>Profit for the year</t>
        </is>
      </c>
      <c r="B5" s="6" t="n"/>
      <c r="C5" s="6" t="n"/>
      <c r="D5" s="6" t="n">
        <v>231</v>
      </c>
      <c r="E5" s="6" t="n"/>
      <c r="F5" s="6" t="n">
        <v>231</v>
      </c>
      <c r="G5" s="6" t="n">
        <v>231</v>
      </c>
    </row>
    <row r="6">
      <c r="A6" s="6" t="inlineStr">
        <is>
          <t>Translation differences</t>
        </is>
      </c>
      <c r="B6" s="6" t="n"/>
      <c r="C6" s="6" t="n"/>
      <c r="D6" s="6" t="n"/>
      <c r="E6" s="6" t="n">
        <v>-30</v>
      </c>
      <c r="F6" s="6" t="n">
        <v>-30</v>
      </c>
      <c r="G6" s="6" t="n">
        <v>-30</v>
      </c>
    </row>
    <row r="7">
      <c r="A7" s="6" t="inlineStr">
        <is>
          <t>Capital contribution from parent (FY2006-FY2007 only)</t>
        </is>
      </c>
      <c r="B7" s="6" t="n"/>
      <c r="C7" s="6" t="n"/>
      <c r="D7" s="6" t="n">
        <v>38</v>
      </c>
      <c r="E7" s="6" t="n"/>
      <c r="F7" s="6" t="n">
        <v>38</v>
      </c>
      <c r="G7" s="6" t="n">
        <v>38</v>
      </c>
    </row>
    <row r="8">
      <c r="A8" s="5" t="inlineStr">
        <is>
          <t>At 31 December 2006 / 1 January 2007</t>
        </is>
      </c>
      <c r="B8" s="5" t="n">
        <v>614</v>
      </c>
      <c r="C8" s="5" t="n">
        <v>352</v>
      </c>
      <c r="D8" s="5" t="n">
        <v>1425</v>
      </c>
      <c r="E8" s="5" t="n">
        <v>-44</v>
      </c>
      <c r="F8" s="5" t="n">
        <v>1381</v>
      </c>
      <c r="G8" s="5" t="n">
        <v>2347</v>
      </c>
    </row>
    <row r="9">
      <c r="A9" s="6" t="inlineStr">
        <is>
          <t>Profit for the year</t>
        </is>
      </c>
      <c r="B9" s="6" t="n"/>
      <c r="C9" s="6" t="n"/>
      <c r="D9" s="6" t="n">
        <v>203</v>
      </c>
      <c r="E9" s="6" t="n"/>
      <c r="F9" s="6" t="n">
        <v>203</v>
      </c>
      <c r="G9" s="6" t="n">
        <v>203</v>
      </c>
    </row>
    <row r="10">
      <c r="A10" s="6" t="inlineStr">
        <is>
          <t>Translation differences</t>
        </is>
      </c>
      <c r="B10" s="6" t="n"/>
      <c r="C10" s="6" t="n"/>
      <c r="D10" s="6" t="n"/>
      <c r="E10" s="6" t="n">
        <v>155</v>
      </c>
      <c r="F10" s="6" t="n">
        <v>155</v>
      </c>
      <c r="G10" s="6" t="n">
        <v>155</v>
      </c>
    </row>
    <row r="11">
      <c r="A11" s="6" t="inlineStr">
        <is>
          <t>Dividend paid</t>
        </is>
      </c>
      <c r="B11" s="6" t="n"/>
      <c r="C11" s="6" t="n"/>
      <c r="D11" s="6" t="n">
        <v>-250</v>
      </c>
      <c r="E11" s="6" t="n"/>
      <c r="F11" s="6" t="n">
        <v>-250</v>
      </c>
      <c r="G11" s="6" t="n">
        <v>-250</v>
      </c>
    </row>
    <row r="12">
      <c r="A12" s="5" t="inlineStr">
        <is>
          <t>At 31 December 2007 / 1 January 2008</t>
        </is>
      </c>
      <c r="B12" s="5" t="n">
        <v>614</v>
      </c>
      <c r="C12" s="5" t="n">
        <v>352</v>
      </c>
      <c r="D12" s="5" t="n">
        <v>1378</v>
      </c>
      <c r="E12" s="5" t="n">
        <v>111</v>
      </c>
      <c r="F12" s="5" t="n">
        <v>1489</v>
      </c>
      <c r="G12" s="5" t="n">
        <v>2455</v>
      </c>
    </row>
    <row r="13">
      <c r="A13" s="6" t="inlineStr">
        <is>
          <t>Profit for the year</t>
        </is>
      </c>
      <c r="B13" s="6" t="n"/>
      <c r="C13" s="6" t="n"/>
      <c r="D13" s="6" t="n">
        <v>204</v>
      </c>
      <c r="E13" s="6" t="n"/>
      <c r="F13" s="6" t="n">
        <v>204</v>
      </c>
      <c r="G13" s="6" t="n">
        <v>204</v>
      </c>
    </row>
    <row r="14">
      <c r="A14" s="6" t="inlineStr">
        <is>
          <t>Translation differences</t>
        </is>
      </c>
      <c r="B14" s="6" t="n"/>
      <c r="C14" s="6" t="n"/>
      <c r="D14" s="6" t="n"/>
      <c r="E14" s="6" t="n">
        <v>515</v>
      </c>
      <c r="F14" s="6" t="n">
        <v>515</v>
      </c>
      <c r="G14" s="6" t="n">
        <v>515</v>
      </c>
    </row>
    <row r="15">
      <c r="A15" s="6" t="inlineStr">
        <is>
          <t>Dividend paid</t>
        </is>
      </c>
      <c r="B15" s="6" t="n"/>
      <c r="C15" s="6" t="n"/>
      <c r="D15" s="6" t="n">
        <v>-190</v>
      </c>
      <c r="E15" s="6" t="n"/>
      <c r="F15" s="6" t="n">
        <v>-190</v>
      </c>
      <c r="G15" s="6" t="n">
        <v>-190</v>
      </c>
    </row>
    <row r="16">
      <c r="A16" s="6" t="inlineStr">
        <is>
          <t>Currency translation differences transferred to income statement on disposal</t>
        </is>
      </c>
      <c r="B16" s="6" t="n"/>
      <c r="C16" s="6" t="n"/>
      <c r="D16" s="6" t="n"/>
      <c r="E16" s="6" t="n">
        <v>-22</v>
      </c>
      <c r="F16" s="6" t="n">
        <v>-22</v>
      </c>
      <c r="G16" s="6" t="n">
        <v>-22</v>
      </c>
    </row>
    <row r="17">
      <c r="A17" s="5" t="inlineStr">
        <is>
          <t>At 31 December 2008 / 1 January 2009</t>
        </is>
      </c>
      <c r="B17" s="5" t="n">
        <v>614</v>
      </c>
      <c r="C17" s="5" t="n">
        <v>352</v>
      </c>
      <c r="D17" s="5" t="n">
        <v>1392</v>
      </c>
      <c r="E17" s="5" t="n">
        <v>604</v>
      </c>
      <c r="F17" s="5" t="n">
        <v>1996</v>
      </c>
      <c r="G17" s="5" t="n">
        <v>2962</v>
      </c>
    </row>
    <row r="18">
      <c r="A18" s="6" t="inlineStr">
        <is>
          <t>Profit for the year</t>
        </is>
      </c>
      <c r="B18" s="6" t="n"/>
      <c r="C18" s="6" t="n"/>
      <c r="D18" s="6" t="n">
        <v>166</v>
      </c>
      <c r="E18" s="6" t="n"/>
      <c r="F18" s="6" t="n">
        <v>166</v>
      </c>
      <c r="G18" s="6" t="n">
        <v>166</v>
      </c>
    </row>
    <row r="19">
      <c r="A19" s="6" t="inlineStr">
        <is>
          <t>Translation differences</t>
        </is>
      </c>
      <c r="B19" s="6" t="n"/>
      <c r="C19" s="6" t="n"/>
      <c r="D19" s="6" t="n"/>
      <c r="E19" s="6" t="n">
        <v>-157</v>
      </c>
      <c r="F19" s="6" t="n">
        <v>-157</v>
      </c>
      <c r="G19" s="6" t="n">
        <v>-157</v>
      </c>
    </row>
    <row r="20">
      <c r="A20" s="6" t="inlineStr">
        <is>
          <t>Dividend paid</t>
        </is>
      </c>
      <c r="B20" s="6" t="n"/>
      <c r="C20" s="6" t="n"/>
      <c r="D20" s="6" t="n">
        <v>-85</v>
      </c>
      <c r="E20" s="6" t="n"/>
      <c r="F20" s="6" t="n">
        <v>-85</v>
      </c>
      <c r="G20" s="6" t="n">
        <v>-85</v>
      </c>
    </row>
    <row r="21">
      <c r="A21" s="5" t="inlineStr">
        <is>
          <t>At 31 December 2009 / 1 January 2010</t>
        </is>
      </c>
      <c r="B21" s="5" t="n">
        <v>614</v>
      </c>
      <c r="C21" s="5" t="n">
        <v>352</v>
      </c>
      <c r="D21" s="5" t="n">
        <v>1473</v>
      </c>
      <c r="E21" s="5" t="n">
        <v>447</v>
      </c>
      <c r="F21" s="5" t="n">
        <v>1920</v>
      </c>
      <c r="G21" s="5" t="n">
        <v>2886</v>
      </c>
    </row>
    <row r="22">
      <c r="A22" s="6" t="inlineStr">
        <is>
          <t>Profit for the year</t>
        </is>
      </c>
      <c r="B22" s="6" t="n"/>
      <c r="C22" s="6" t="n"/>
      <c r="D22" s="6" t="n">
        <v>161</v>
      </c>
      <c r="E22" s="6" t="n"/>
      <c r="F22" s="6" t="n">
        <v>161</v>
      </c>
      <c r="G22" s="6" t="n">
        <v>161</v>
      </c>
    </row>
    <row r="23">
      <c r="A23" s="6" t="inlineStr">
        <is>
          <t>Translation differences</t>
        </is>
      </c>
      <c r="B23" s="6" t="n"/>
      <c r="C23" s="6" t="n"/>
      <c r="D23" s="6" t="n"/>
      <c r="E23" s="6" t="n">
        <v>-59</v>
      </c>
      <c r="F23" s="6" t="n">
        <v>-59</v>
      </c>
      <c r="G23" s="6" t="n">
        <v>-59</v>
      </c>
    </row>
    <row r="24">
      <c r="A24" s="6" t="inlineStr">
        <is>
          <t>Dividend paid</t>
        </is>
      </c>
      <c r="B24" s="6" t="n"/>
      <c r="C24" s="6" t="n"/>
      <c r="D24" s="6" t="n">
        <v>-390</v>
      </c>
      <c r="E24" s="6" t="n"/>
      <c r="F24" s="6" t="n">
        <v>-390</v>
      </c>
      <c r="G24" s="6" t="n">
        <v>-390</v>
      </c>
    </row>
    <row r="25">
      <c r="A25" s="5" t="inlineStr">
        <is>
          <t>At 31 December 2010 / 1 January 2011</t>
        </is>
      </c>
      <c r="B25" s="5" t="n">
        <v>614</v>
      </c>
      <c r="C25" s="5" t="n">
        <v>352</v>
      </c>
      <c r="D25" s="5" t="n">
        <v>1244</v>
      </c>
      <c r="E25" s="5" t="n">
        <v>388</v>
      </c>
      <c r="F25" s="5" t="n">
        <v>1632</v>
      </c>
      <c r="G25" s="5" t="n">
        <v>2598</v>
      </c>
    </row>
    <row r="26">
      <c r="A26" s="6" t="inlineStr">
        <is>
          <t>Profit for the year</t>
        </is>
      </c>
      <c r="B26" s="6" t="n"/>
      <c r="C26" s="6" t="n"/>
      <c r="D26" s="6" t="n">
        <v>123</v>
      </c>
      <c r="E26" s="6" t="n"/>
      <c r="F26" s="6" t="n">
        <v>123</v>
      </c>
      <c r="G26" s="6" t="n">
        <v>123</v>
      </c>
    </row>
    <row r="27">
      <c r="A27" s="6" t="inlineStr">
        <is>
          <t>Translation differences</t>
        </is>
      </c>
      <c r="B27" s="6" t="n"/>
      <c r="C27" s="6" t="n"/>
      <c r="D27" s="6" t="n"/>
      <c r="E27" s="6" t="n">
        <v>-50</v>
      </c>
      <c r="F27" s="6" t="n">
        <v>-50</v>
      </c>
      <c r="G27" s="6" t="n">
        <v>-50</v>
      </c>
    </row>
    <row r="28">
      <c r="A28" s="6" t="inlineStr">
        <is>
          <t>Dividend paid</t>
        </is>
      </c>
      <c r="B28" s="6" t="n"/>
      <c r="C28" s="6" t="n"/>
      <c r="D28" s="6" t="n">
        <v>-370</v>
      </c>
      <c r="E28" s="6" t="n"/>
      <c r="F28" s="6" t="n">
        <v>-370</v>
      </c>
      <c r="G28" s="6" t="n">
        <v>-370</v>
      </c>
    </row>
    <row r="29">
      <c r="A29" s="5" t="inlineStr">
        <is>
          <t>At 31 December 2011 / 1 January 2012</t>
        </is>
      </c>
      <c r="B29" s="5" t="n">
        <v>614</v>
      </c>
      <c r="C29" s="5" t="n">
        <v>352</v>
      </c>
      <c r="D29" s="5" t="n">
        <v>997</v>
      </c>
      <c r="E29" s="5" t="n">
        <v>338</v>
      </c>
      <c r="F29" s="5" t="n">
        <v>1335</v>
      </c>
      <c r="G29" s="5" t="n">
        <v>2301</v>
      </c>
    </row>
    <row r="30">
      <c r="A30" s="6" t="inlineStr">
        <is>
          <t>Profit for the year</t>
        </is>
      </c>
      <c r="B30" s="6" t="n"/>
      <c r="C30" s="6" t="n"/>
      <c r="D30" s="6" t="n">
        <v>85</v>
      </c>
      <c r="E30" s="6" t="n"/>
      <c r="F30" s="6" t="n">
        <v>85</v>
      </c>
      <c r="G30" s="6" t="n">
        <v>85</v>
      </c>
    </row>
    <row r="31">
      <c r="A31" s="6" t="inlineStr">
        <is>
          <t>Translation differences</t>
        </is>
      </c>
      <c r="B31" s="6" t="n"/>
      <c r="C31" s="6" t="n"/>
      <c r="D31" s="6" t="n"/>
      <c r="E31" s="6" t="n">
        <v>-30</v>
      </c>
      <c r="F31" s="6" t="n">
        <v>-30</v>
      </c>
      <c r="G31" s="6" t="n">
        <v>-30</v>
      </c>
    </row>
    <row r="32">
      <c r="A32" s="6" t="inlineStr">
        <is>
          <t>Available for sale gains in fair value</t>
        </is>
      </c>
      <c r="B32" s="6" t="n"/>
      <c r="C32" s="6" t="n"/>
      <c r="D32" s="6" t="n">
        <v>3</v>
      </c>
      <c r="E32" s="6" t="n"/>
      <c r="F32" s="6" t="n">
        <v>3</v>
      </c>
      <c r="G32" s="6" t="n">
        <v>3</v>
      </c>
    </row>
    <row r="33">
      <c r="A33" s="6" t="inlineStr">
        <is>
          <t>Dividend paid</t>
        </is>
      </c>
      <c r="B33" s="6" t="n"/>
      <c r="C33" s="6" t="n"/>
      <c r="D33" s="6" t="n">
        <v>-315</v>
      </c>
      <c r="E33" s="6" t="n"/>
      <c r="F33" s="6" t="n">
        <v>-315</v>
      </c>
      <c r="G33" s="6" t="n">
        <v>-315</v>
      </c>
    </row>
    <row r="34">
      <c r="A34" s="5" t="inlineStr">
        <is>
          <t>At 31 December 2012 / 1 January 2013</t>
        </is>
      </c>
      <c r="B34" s="5" t="n">
        <v>614</v>
      </c>
      <c r="C34" s="5" t="n">
        <v>352</v>
      </c>
      <c r="D34" s="5" t="n">
        <v>753</v>
      </c>
      <c r="E34" s="5" t="n">
        <v>306</v>
      </c>
      <c r="F34" s="5" t="n">
        <v>1059</v>
      </c>
      <c r="G34" s="5" t="n">
        <v>2025</v>
      </c>
    </row>
    <row r="35">
      <c r="A35" s="6" t="inlineStr">
        <is>
          <t>Profit for the year</t>
        </is>
      </c>
      <c r="B35" s="6" t="n"/>
      <c r="C35" s="6" t="n"/>
      <c r="D35" s="6" t="n">
        <v>152</v>
      </c>
      <c r="E35" s="6" t="n"/>
      <c r="F35" s="6" t="n">
        <v>152</v>
      </c>
      <c r="G35" s="6" t="n">
        <v>152</v>
      </c>
    </row>
    <row r="36">
      <c r="A36" s="6" t="inlineStr">
        <is>
          <t>Translation differences</t>
        </is>
      </c>
      <c r="B36" s="6" t="n"/>
      <c r="C36" s="6" t="n"/>
      <c r="D36" s="6" t="n"/>
      <c r="E36" s="6" t="n">
        <v>24</v>
      </c>
      <c r="F36" s="6" t="n">
        <v>24</v>
      </c>
      <c r="G36" s="6" t="n">
        <v>24</v>
      </c>
    </row>
    <row r="37">
      <c r="A37" s="6" t="inlineStr">
        <is>
          <t>Dividend paid</t>
        </is>
      </c>
      <c r="B37" s="6" t="n"/>
      <c r="C37" s="6" t="n"/>
      <c r="D37" s="6" t="n">
        <v>-485</v>
      </c>
      <c r="E37" s="6" t="n"/>
      <c r="F37" s="6" t="n">
        <v>-485</v>
      </c>
      <c r="G37" s="6" t="n">
        <v>-485</v>
      </c>
    </row>
    <row r="38">
      <c r="A38" s="6" t="inlineStr">
        <is>
          <t>Other equity adjustments</t>
        </is>
      </c>
      <c r="B38" s="6" t="n"/>
      <c r="C38" s="6" t="n"/>
      <c r="D38" s="6" t="n">
        <v>-1</v>
      </c>
      <c r="E38" s="6" t="n"/>
      <c r="F38" s="6" t="n">
        <v>-1</v>
      </c>
      <c r="G38" s="6" t="n">
        <v>-1</v>
      </c>
    </row>
    <row r="39">
      <c r="A39" s="5" t="inlineStr">
        <is>
          <t>At 31 December 2013 / 1 January 2014</t>
        </is>
      </c>
      <c r="B39" s="5" t="n">
        <v>614</v>
      </c>
      <c r="C39" s="5" t="n">
        <v>352</v>
      </c>
      <c r="D39" s="5" t="n">
        <v>419</v>
      </c>
      <c r="E39" s="5" t="n">
        <v>330</v>
      </c>
      <c r="F39" s="5" t="n">
        <v>749</v>
      </c>
      <c r="G39" s="5" t="n">
        <v>1715</v>
      </c>
    </row>
    <row r="40">
      <c r="A40" s="6" t="inlineStr">
        <is>
          <t>Profit for the year</t>
        </is>
      </c>
      <c r="B40" s="6" t="n"/>
      <c r="C40" s="6" t="n"/>
      <c r="D40" s="6" t="n">
        <v>147</v>
      </c>
      <c r="E40" s="6" t="n"/>
      <c r="F40" s="6" t="n">
        <v>147</v>
      </c>
      <c r="G40" s="6" t="n">
        <v>147</v>
      </c>
    </row>
    <row r="41">
      <c r="A41" s="6" t="inlineStr">
        <is>
          <t>Translation differences</t>
        </is>
      </c>
      <c r="B41" s="6" t="n"/>
      <c r="C41" s="6" t="n"/>
      <c r="D41" s="6" t="n"/>
      <c r="E41" s="6" t="n">
        <v>-70</v>
      </c>
      <c r="F41" s="6" t="n">
        <v>-70</v>
      </c>
      <c r="G41" s="6" t="n">
        <v>-70</v>
      </c>
    </row>
    <row r="42">
      <c r="A42" s="6" t="inlineStr">
        <is>
          <t>Other equity adjustments</t>
        </is>
      </c>
      <c r="B42" s="6" t="n"/>
      <c r="C42" s="6" t="n"/>
      <c r="D42" s="6" t="n">
        <v>-1</v>
      </c>
      <c r="E42" s="6" t="n"/>
      <c r="F42" s="6" t="n">
        <v>-1</v>
      </c>
      <c r="G42" s="6" t="n">
        <v>-1</v>
      </c>
    </row>
    <row r="43">
      <c r="A43" s="5" t="inlineStr">
        <is>
          <t>At 31 December 2014</t>
        </is>
      </c>
      <c r="B43" s="5" t="n">
        <v>614</v>
      </c>
      <c r="C43" s="5" t="n">
        <v>352</v>
      </c>
      <c r="D43" s="5" t="n">
        <v>565</v>
      </c>
      <c r="E43" s="5" t="n">
        <v>260</v>
      </c>
      <c r="F43" s="5" t="n">
        <v>825</v>
      </c>
      <c r="G43" s="5" t="n">
        <v>1791</v>
      </c>
    </row>
    <row r="44">
      <c r="A44" s="5" t="inlineStr">
        <is>
          <t>At 1 January 2015</t>
        </is>
      </c>
      <c r="B44" s="5" t="n">
        <v>614</v>
      </c>
      <c r="C44" s="5" t="n">
        <v>352</v>
      </c>
      <c r="D44" s="5" t="n">
        <v>565</v>
      </c>
      <c r="E44" s="5" t="n">
        <v>260</v>
      </c>
      <c r="F44" s="5" t="n">
        <v>825</v>
      </c>
      <c r="G44" s="5" t="n">
        <v>1791</v>
      </c>
    </row>
    <row r="45">
      <c r="A45" s="6" t="inlineStr">
        <is>
          <t>Profit for the year</t>
        </is>
      </c>
      <c r="B45" s="6" t="n"/>
      <c r="C45" s="6" t="n"/>
      <c r="D45" s="6" t="n">
        <v>160</v>
      </c>
      <c r="E45" s="6" t="n"/>
      <c r="F45" s="6" t="n">
        <v>160</v>
      </c>
      <c r="G45" s="6" t="n">
        <v>160</v>
      </c>
    </row>
    <row r="46">
      <c r="A46" s="6" t="inlineStr">
        <is>
          <t>Translation differences</t>
        </is>
      </c>
      <c r="B46" s="6" t="n"/>
      <c r="C46" s="6" t="n"/>
      <c r="D46" s="6" t="n"/>
      <c r="E46" s="6" t="n">
        <v>-49</v>
      </c>
      <c r="F46" s="6" t="n">
        <v>-49</v>
      </c>
      <c r="G46" s="6" t="n">
        <v>-49</v>
      </c>
    </row>
    <row r="47">
      <c r="A47" s="5" t="inlineStr">
        <is>
          <t>At 31 December 2015</t>
        </is>
      </c>
      <c r="B47" s="5" t="n">
        <v>614</v>
      </c>
      <c r="C47" s="5" t="n">
        <v>352</v>
      </c>
      <c r="D47" s="5" t="n">
        <v>725</v>
      </c>
      <c r="E47" s="5" t="n">
        <v>211</v>
      </c>
      <c r="F47" s="5" t="n">
        <v>936</v>
      </c>
      <c r="G47" s="5" t="n">
        <v>1902</v>
      </c>
    </row>
    <row r="48">
      <c r="A48" s="5" t="inlineStr">
        <is>
          <t>At 1 January 2016</t>
        </is>
      </c>
      <c r="B48" s="5" t="n">
        <v>614</v>
      </c>
      <c r="C48" s="5" t="n">
        <v>352</v>
      </c>
      <c r="D48" s="5" t="n">
        <v>725</v>
      </c>
      <c r="E48" s="5" t="n">
        <v>211</v>
      </c>
      <c r="F48" s="5" t="n">
        <v>936</v>
      </c>
      <c r="G48" s="5" t="n">
        <v>1902</v>
      </c>
    </row>
    <row r="49">
      <c r="A49" s="6" t="inlineStr">
        <is>
          <t>Profit for the year</t>
        </is>
      </c>
      <c r="B49" s="6" t="n"/>
      <c r="C49" s="6" t="n"/>
      <c r="D49" s="6" t="n">
        <v>144</v>
      </c>
      <c r="E49" s="6" t="n"/>
      <c r="F49" s="6" t="n">
        <v>144</v>
      </c>
      <c r="G49" s="6" t="n">
        <v>144</v>
      </c>
    </row>
    <row r="50">
      <c r="A50" s="6" t="inlineStr">
        <is>
          <t>Translation differences</t>
        </is>
      </c>
      <c r="B50" s="6" t="n"/>
      <c r="C50" s="6" t="n"/>
      <c r="D50" s="6" t="n"/>
      <c r="E50" s="6" t="n">
        <v>184</v>
      </c>
      <c r="F50" s="6" t="n">
        <v>184</v>
      </c>
      <c r="G50" s="6" t="n">
        <v>184</v>
      </c>
    </row>
    <row r="51">
      <c r="A51" s="6" t="inlineStr">
        <is>
          <t>Available for sale gains in fair value</t>
        </is>
      </c>
      <c r="B51" s="6" t="n"/>
      <c r="C51" s="6" t="n"/>
      <c r="D51" s="6" t="n">
        <v>1</v>
      </c>
      <c r="E51" s="6" t="n"/>
      <c r="F51" s="6" t="n">
        <v>1</v>
      </c>
      <c r="G51" s="6" t="n">
        <v>1</v>
      </c>
    </row>
    <row r="52">
      <c r="A52" s="6" t="inlineStr">
        <is>
          <t>Dividend paid</t>
        </is>
      </c>
      <c r="B52" s="6" t="n"/>
      <c r="C52" s="6" t="n"/>
      <c r="D52" s="6" t="n">
        <v>-50</v>
      </c>
      <c r="E52" s="6" t="n"/>
      <c r="F52" s="6" t="n">
        <v>-50</v>
      </c>
      <c r="G52" s="6" t="n">
        <v>-50</v>
      </c>
    </row>
    <row r="53">
      <c r="A53" s="6" t="inlineStr">
        <is>
          <t>Other equity adjustments</t>
        </is>
      </c>
      <c r="B53" s="6" t="n"/>
      <c r="C53" s="6" t="n"/>
      <c r="D53" s="6" t="n">
        <v>1</v>
      </c>
      <c r="E53" s="6" t="n"/>
      <c r="F53" s="6" t="n">
        <v>1</v>
      </c>
      <c r="G53" s="6" t="n">
        <v>1</v>
      </c>
    </row>
    <row r="54">
      <c r="A54" s="5" t="inlineStr">
        <is>
          <t>At 31 December 2016 / 1 January 2017</t>
        </is>
      </c>
      <c r="B54" s="5" t="n">
        <v>614</v>
      </c>
      <c r="C54" s="5" t="n">
        <v>352</v>
      </c>
      <c r="D54" s="5" t="n">
        <v>821</v>
      </c>
      <c r="E54" s="5" t="n">
        <v>395</v>
      </c>
      <c r="F54" s="5" t="n">
        <v>1216</v>
      </c>
      <c r="G54" s="5" t="n">
        <v>2182</v>
      </c>
    </row>
    <row r="55">
      <c r="A55" s="6" t="inlineStr">
        <is>
          <t>Profit for the year</t>
        </is>
      </c>
      <c r="B55" s="6" t="n"/>
      <c r="C55" s="6" t="n"/>
      <c r="D55" s="6" t="n">
        <v>213</v>
      </c>
      <c r="E55" s="6" t="n"/>
      <c r="F55" s="6" t="n">
        <v>213</v>
      </c>
      <c r="G55" s="6" t="n">
        <v>213</v>
      </c>
    </row>
    <row r="56">
      <c r="A56" s="6" t="inlineStr">
        <is>
          <t>Translation differences</t>
        </is>
      </c>
      <c r="B56" s="6" t="n"/>
      <c r="C56" s="6" t="n"/>
      <c r="D56" s="6" t="n"/>
      <c r="E56" s="6" t="n">
        <v>43</v>
      </c>
      <c r="F56" s="6" t="n">
        <v>43</v>
      </c>
      <c r="G56" s="6" t="n">
        <v>43</v>
      </c>
    </row>
    <row r="57">
      <c r="A57" s="6" t="inlineStr">
        <is>
          <t>Available for sale loss in fair value</t>
        </is>
      </c>
      <c r="B57" s="6" t="n"/>
      <c r="C57" s="6" t="n"/>
      <c r="D57" s="6" t="n">
        <v>-1</v>
      </c>
      <c r="E57" s="6" t="n"/>
      <c r="F57" s="6" t="n">
        <v>-1</v>
      </c>
      <c r="G57" s="6" t="n">
        <v>-1</v>
      </c>
    </row>
    <row r="58">
      <c r="A58" s="6" t="inlineStr">
        <is>
          <t>Dividend paid</t>
        </is>
      </c>
      <c r="B58" s="6" t="n"/>
      <c r="C58" s="6" t="n"/>
      <c r="D58" s="6" t="n">
        <v>-35</v>
      </c>
      <c r="E58" s="6" t="n"/>
      <c r="F58" s="6" t="n">
        <v>-35</v>
      </c>
      <c r="G58" s="6" t="n">
        <v>-35</v>
      </c>
    </row>
    <row r="59">
      <c r="A59" s="6" t="inlineStr">
        <is>
          <t>Ret'd Earnings Adj IFRS 15 early adoption</t>
        </is>
      </c>
      <c r="B59" s="6" t="n"/>
      <c r="C59" s="6" t="n"/>
      <c r="D59" s="6" t="n">
        <v>6</v>
      </c>
      <c r="E59" s="6" t="n"/>
      <c r="F59" s="6" t="n">
        <v>6</v>
      </c>
      <c r="G59" s="6" t="n">
        <v>6</v>
      </c>
    </row>
    <row r="60">
      <c r="A60" s="5" t="inlineStr">
        <is>
          <t>At 31 December 2017</t>
        </is>
      </c>
      <c r="B60" s="5" t="n">
        <v>614</v>
      </c>
      <c r="C60" s="5" t="n">
        <v>352</v>
      </c>
      <c r="D60" s="5" t="n">
        <v>1005</v>
      </c>
      <c r="E60" s="5" t="n">
        <v>437</v>
      </c>
      <c r="F60" s="5" t="n">
        <v>1442</v>
      </c>
      <c r="G60" s="5" t="n">
        <v>2408</v>
      </c>
    </row>
    <row r="61">
      <c r="A61" s="5" t="inlineStr">
        <is>
          <t>At 1 January 2018</t>
        </is>
      </c>
      <c r="B61" s="5" t="n">
        <v>614</v>
      </c>
      <c r="C61" s="5" t="n">
        <v>352</v>
      </c>
      <c r="D61" s="5" t="n">
        <v>1005</v>
      </c>
      <c r="E61" s="5" t="n">
        <v>437</v>
      </c>
      <c r="F61" s="5" t="n">
        <v>1442</v>
      </c>
      <c r="G61" s="5" t="n">
        <v>2408</v>
      </c>
    </row>
    <row r="62">
      <c r="A62" s="6" t="inlineStr">
        <is>
          <t>Profit for the year</t>
        </is>
      </c>
      <c r="B62" s="6" t="n"/>
      <c r="C62" s="6" t="n"/>
      <c r="D62" s="6" t="n">
        <v>209</v>
      </c>
      <c r="E62" s="6" t="n"/>
      <c r="F62" s="6" t="n">
        <v>209</v>
      </c>
      <c r="G62" s="6" t="n">
        <v>209</v>
      </c>
    </row>
    <row r="63">
      <c r="A63" s="6" t="inlineStr">
        <is>
          <t>Translation differences</t>
        </is>
      </c>
      <c r="B63" s="6" t="n"/>
      <c r="C63" s="6" t="n"/>
      <c r="D63" s="6" t="n"/>
      <c r="E63" s="6" t="n">
        <v>17</v>
      </c>
      <c r="F63" s="6" t="n">
        <v>17</v>
      </c>
      <c r="G63" s="6" t="n">
        <v>17</v>
      </c>
    </row>
    <row r="64">
      <c r="A64" s="6" t="inlineStr">
        <is>
          <t>Equity Investment FVOCI/other equity adjustments</t>
        </is>
      </c>
      <c r="B64" s="6" t="n"/>
      <c r="C64" s="6" t="n"/>
      <c r="D64" s="6" t="n">
        <v>12</v>
      </c>
      <c r="E64" s="6" t="n">
        <v>1</v>
      </c>
      <c r="F64" s="6" t="n">
        <v>13</v>
      </c>
      <c r="G64" s="6" t="n">
        <v>13</v>
      </c>
    </row>
    <row r="65">
      <c r="A65" s="5" t="inlineStr">
        <is>
          <t>At 31 December 2018</t>
        </is>
      </c>
      <c r="B65" s="5" t="n">
        <v>614</v>
      </c>
      <c r="C65" s="5" t="n">
        <v>352</v>
      </c>
      <c r="D65" s="5" t="n">
        <v>1226</v>
      </c>
      <c r="E65" s="5" t="n">
        <v>455</v>
      </c>
      <c r="F65" s="5" t="n">
        <v>1681</v>
      </c>
      <c r="G65" s="5" t="n">
        <v>2647</v>
      </c>
    </row>
    <row r="66">
      <c r="A66" s="5" t="inlineStr">
        <is>
          <t>At 1 January 2019</t>
        </is>
      </c>
      <c r="B66" s="5" t="n">
        <v>614</v>
      </c>
      <c r="C66" s="5" t="n">
        <v>352</v>
      </c>
      <c r="D66" s="5" t="n">
        <v>1226</v>
      </c>
      <c r="E66" s="5" t="n">
        <v>455</v>
      </c>
      <c r="F66" s="5" t="n">
        <v>1681</v>
      </c>
      <c r="G66" s="5" t="n">
        <v>2647</v>
      </c>
    </row>
    <row r="67">
      <c r="A67" s="6" t="inlineStr">
        <is>
          <t>Profit for the year</t>
        </is>
      </c>
      <c r="B67" s="6" t="n"/>
      <c r="C67" s="6" t="n"/>
      <c r="D67" s="6" t="n">
        <v>224</v>
      </c>
      <c r="E67" s="6" t="n"/>
      <c r="F67" s="6" t="n">
        <v>224</v>
      </c>
      <c r="G67" s="6" t="n">
        <v>224</v>
      </c>
    </row>
    <row r="68">
      <c r="A68" s="6" t="inlineStr">
        <is>
          <t>Translation differences</t>
        </is>
      </c>
      <c r="B68" s="6" t="n"/>
      <c r="C68" s="6" t="n"/>
      <c r="D68" s="6" t="n"/>
      <c r="E68" s="6" t="n">
        <v>-89</v>
      </c>
      <c r="F68" s="6" t="n">
        <v>-89</v>
      </c>
      <c r="G68" s="6" t="n">
        <v>-89</v>
      </c>
    </row>
    <row r="69">
      <c r="A69" s="6" t="inlineStr">
        <is>
          <t>Equity Investment FVOCI</t>
        </is>
      </c>
      <c r="B69" s="6" t="n"/>
      <c r="C69" s="6" t="n"/>
      <c r="D69" s="6" t="n"/>
      <c r="E69" s="6" t="n">
        <v>-3</v>
      </c>
      <c r="F69" s="6" t="n">
        <v>-3</v>
      </c>
      <c r="G69" s="6" t="n">
        <v>-3</v>
      </c>
    </row>
    <row r="70">
      <c r="A70" s="5" t="inlineStr">
        <is>
          <t>At 31 December 2019</t>
        </is>
      </c>
      <c r="B70" s="5" t="n">
        <v>614</v>
      </c>
      <c r="C70" s="5" t="n">
        <v>352</v>
      </c>
      <c r="D70" s="5" t="n">
        <v>1450</v>
      </c>
      <c r="E70" s="5" t="n">
        <v>363</v>
      </c>
      <c r="F70" s="5" t="n">
        <v>1813</v>
      </c>
      <c r="G70" s="5" t="n">
        <v>2779</v>
      </c>
    </row>
    <row r="71">
      <c r="A71" s="5" t="inlineStr">
        <is>
          <t>At 1 January 2020</t>
        </is>
      </c>
      <c r="B71" s="5" t="n">
        <v>614</v>
      </c>
      <c r="C71" s="5" t="n">
        <v>352</v>
      </c>
      <c r="D71" s="5" t="n">
        <v>1447</v>
      </c>
      <c r="E71" s="5" t="n">
        <v>366</v>
      </c>
      <c r="F71" s="5" t="n">
        <v>1813</v>
      </c>
      <c r="G71" s="5" t="n">
        <v>2779</v>
      </c>
    </row>
    <row r="72">
      <c r="A72" s="6" t="inlineStr">
        <is>
          <t>Profit for the year</t>
        </is>
      </c>
      <c r="B72" s="6" t="n"/>
      <c r="C72" s="6" t="n"/>
      <c r="D72" s="6" t="n">
        <v>128</v>
      </c>
      <c r="E72" s="6" t="n"/>
      <c r="F72" s="6" t="n">
        <v>128</v>
      </c>
      <c r="G72" s="6" t="n">
        <v>128</v>
      </c>
    </row>
    <row r="73">
      <c r="A73" s="6" t="inlineStr">
        <is>
          <t>Translation differences</t>
        </is>
      </c>
      <c r="B73" s="6" t="n"/>
      <c r="C73" s="6" t="n"/>
      <c r="D73" s="6" t="n"/>
      <c r="E73" s="6" t="n">
        <v>94</v>
      </c>
      <c r="F73" s="6" t="n">
        <v>94</v>
      </c>
      <c r="G73" s="6" t="n">
        <v>94</v>
      </c>
    </row>
    <row r="74">
      <c r="A74" s="6" t="inlineStr">
        <is>
          <t>Other equity adjustments</t>
        </is>
      </c>
      <c r="B74" s="6" t="n"/>
      <c r="C74" s="6" t="n"/>
      <c r="D74" s="6" t="n">
        <v>2</v>
      </c>
      <c r="E74" s="6" t="n"/>
      <c r="F74" s="6" t="n">
        <v>2</v>
      </c>
      <c r="G74" s="6" t="n">
        <v>2</v>
      </c>
    </row>
    <row r="75">
      <c r="A75" s="5" t="inlineStr">
        <is>
          <t>At 31 December 2020</t>
        </is>
      </c>
      <c r="B75" s="5" t="n">
        <v>614</v>
      </c>
      <c r="C75" s="5" t="n">
        <v>352</v>
      </c>
      <c r="D75" s="5" t="n">
        <v>1577</v>
      </c>
      <c r="E75" s="5" t="n">
        <v>460</v>
      </c>
      <c r="F75" s="5" t="n">
        <v>2037</v>
      </c>
      <c r="G75" s="5" t="n">
        <v>3003</v>
      </c>
    </row>
    <row r="76">
      <c r="A76" s="5" t="inlineStr">
        <is>
          <t>At 1 January 2021</t>
        </is>
      </c>
      <c r="B76" s="5" t="n">
        <v>614</v>
      </c>
      <c r="C76" s="5" t="n">
        <v>352</v>
      </c>
      <c r="D76" s="5" t="n">
        <v>1577</v>
      </c>
      <c r="E76" s="5" t="n">
        <v>460</v>
      </c>
      <c r="F76" s="5" t="n">
        <v>2037</v>
      </c>
      <c r="G76" s="5" t="n">
        <v>3003</v>
      </c>
    </row>
    <row r="77">
      <c r="A77" s="6" t="inlineStr">
        <is>
          <t>Profit for the year</t>
        </is>
      </c>
      <c r="B77" s="6" t="n"/>
      <c r="C77" s="6" t="n"/>
      <c r="D77" s="6" t="n">
        <v>154</v>
      </c>
      <c r="E77" s="6" t="n"/>
      <c r="F77" s="6" t="n">
        <v>154</v>
      </c>
      <c r="G77" s="6" t="n">
        <v>154</v>
      </c>
    </row>
    <row r="78">
      <c r="A78" s="6" t="inlineStr">
        <is>
          <t>Translation differences</t>
        </is>
      </c>
      <c r="B78" s="6" t="n"/>
      <c r="C78" s="6" t="n"/>
      <c r="D78" s="6" t="n"/>
      <c r="E78" s="6" t="n">
        <v>-115</v>
      </c>
      <c r="F78" s="6" t="n">
        <v>-115</v>
      </c>
      <c r="G78" s="6" t="n">
        <v>-115</v>
      </c>
    </row>
    <row r="79">
      <c r="A79" s="6" t="inlineStr">
        <is>
          <t>Dividend paid</t>
        </is>
      </c>
      <c r="B79" s="6" t="n"/>
      <c r="C79" s="6" t="n"/>
      <c r="D79" s="6" t="n">
        <v>-300</v>
      </c>
      <c r="E79" s="6" t="n"/>
      <c r="F79" s="6" t="n">
        <v>-300</v>
      </c>
      <c r="G79" s="6" t="n">
        <v>-300</v>
      </c>
    </row>
    <row r="80">
      <c r="A80" s="5" t="inlineStr">
        <is>
          <t>At 31 December 2021</t>
        </is>
      </c>
      <c r="B80" s="5" t="n">
        <v>614</v>
      </c>
      <c r="C80" s="5" t="n">
        <v>352</v>
      </c>
      <c r="D80" s="5" t="n">
        <v>1431</v>
      </c>
      <c r="E80" s="5" t="n">
        <v>345</v>
      </c>
      <c r="F80" s="5" t="n">
        <v>1776</v>
      </c>
      <c r="G80" s="5" t="n">
        <v>2742</v>
      </c>
    </row>
    <row r="81">
      <c r="A81" s="5" t="inlineStr">
        <is>
          <t>At 1 January 2022</t>
        </is>
      </c>
      <c r="B81" s="5" t="n">
        <v>614</v>
      </c>
      <c r="C81" s="5" t="n">
        <v>352</v>
      </c>
      <c r="D81" s="5" t="n">
        <v>1431</v>
      </c>
      <c r="E81" s="5" t="n">
        <v>345</v>
      </c>
      <c r="F81" s="5" t="n">
        <v>1776</v>
      </c>
      <c r="G81" s="5" t="n">
        <v>2742</v>
      </c>
    </row>
    <row r="82">
      <c r="A82" s="6" t="inlineStr">
        <is>
          <t>Profit for the year</t>
        </is>
      </c>
      <c r="B82" s="6" t="n"/>
      <c r="C82" s="6" t="n"/>
      <c r="D82" s="6" t="n">
        <v>287</v>
      </c>
      <c r="E82" s="6" t="n"/>
      <c r="F82" s="6" t="n">
        <v>287</v>
      </c>
      <c r="G82" s="6" t="n">
        <v>287</v>
      </c>
    </row>
    <row r="83">
      <c r="A83" s="6" t="inlineStr">
        <is>
          <t>Translation differences</t>
        </is>
      </c>
      <c r="B83" s="6" t="n"/>
      <c r="C83" s="6" t="n"/>
      <c r="D83" s="6" t="n"/>
      <c r="E83" s="6" t="n">
        <v>89</v>
      </c>
      <c r="F83" s="6" t="n">
        <v>89</v>
      </c>
      <c r="G83" s="6" t="n">
        <v>89</v>
      </c>
    </row>
    <row r="84">
      <c r="A84" s="6" t="inlineStr">
        <is>
          <t>Reclassification of foreign exchange on transfer of subsidiaries</t>
        </is>
      </c>
      <c r="B84" s="6" t="n"/>
      <c r="C84" s="6" t="n"/>
      <c r="D84" s="6" t="n"/>
      <c r="E84" s="6" t="n">
        <v>-11</v>
      </c>
      <c r="F84" s="6" t="n">
        <v>-11</v>
      </c>
      <c r="G84" s="6" t="n">
        <v>-11</v>
      </c>
    </row>
    <row r="85">
      <c r="A85" s="6" t="inlineStr">
        <is>
          <t>Dividend paid</t>
        </is>
      </c>
      <c r="B85" s="6" t="n"/>
      <c r="C85" s="6" t="n"/>
      <c r="D85" s="6" t="n">
        <v>-600</v>
      </c>
      <c r="E85" s="6" t="n"/>
      <c r="F85" s="6" t="n">
        <v>-600</v>
      </c>
      <c r="G85" s="6" t="n">
        <v>-600</v>
      </c>
    </row>
    <row r="86">
      <c r="A86" s="6" t="inlineStr">
        <is>
          <t>Other equity adjustments</t>
        </is>
      </c>
      <c r="B86" s="6" t="n"/>
      <c r="C86" s="6" t="n"/>
      <c r="D86" s="6" t="n">
        <v>-5</v>
      </c>
      <c r="E86" s="6" t="n"/>
      <c r="F86" s="6" t="n">
        <v>-5</v>
      </c>
      <c r="G86" s="6" t="n">
        <v>-5</v>
      </c>
    </row>
    <row r="87">
      <c r="A87" s="5" t="inlineStr">
        <is>
          <t>At 31 December 2022</t>
        </is>
      </c>
      <c r="B87" s="5" t="n">
        <v>614</v>
      </c>
      <c r="C87" s="5" t="n">
        <v>352</v>
      </c>
      <c r="D87" s="5" t="n">
        <v>1113</v>
      </c>
      <c r="E87" s="5" t="n">
        <v>423</v>
      </c>
      <c r="F87" s="5" t="n">
        <v>1536</v>
      </c>
      <c r="G87" s="5" t="n">
        <v>2502</v>
      </c>
    </row>
    <row r="88">
      <c r="A88" s="5" t="inlineStr">
        <is>
          <t>At 1 January 2023</t>
        </is>
      </c>
      <c r="B88" s="5" t="n">
        <v>614</v>
      </c>
      <c r="C88" s="5" t="n">
        <v>352</v>
      </c>
      <c r="D88" s="5" t="n">
        <v>1113</v>
      </c>
      <c r="E88" s="5" t="n">
        <v>423</v>
      </c>
      <c r="F88" s="5" t="n">
        <v>1536</v>
      </c>
      <c r="G88" s="5" t="n">
        <v>2502</v>
      </c>
    </row>
    <row r="89">
      <c r="A89" s="6" t="inlineStr">
        <is>
          <t>Profit for the year</t>
        </is>
      </c>
      <c r="B89" s="6" t="n"/>
      <c r="C89" s="6" t="n"/>
      <c r="D89" s="6" t="n">
        <v>88</v>
      </c>
      <c r="E89" s="6" t="n"/>
      <c r="F89" s="6" t="n">
        <v>88</v>
      </c>
      <c r="G89" s="6" t="n">
        <v>88</v>
      </c>
    </row>
    <row r="90">
      <c r="A90" s="6" t="inlineStr">
        <is>
          <t>Translation differences</t>
        </is>
      </c>
      <c r="B90" s="6" t="n"/>
      <c r="C90" s="6" t="n"/>
      <c r="D90" s="6" t="n"/>
      <c r="E90" s="6" t="n">
        <v>-33</v>
      </c>
      <c r="F90" s="6" t="n">
        <v>-33</v>
      </c>
      <c r="G90" s="6" t="n">
        <v>-33</v>
      </c>
    </row>
    <row r="91">
      <c r="A91" s="6" t="inlineStr">
        <is>
          <t>Other equity adjustments</t>
        </is>
      </c>
      <c r="B91" s="6" t="n"/>
      <c r="C91" s="6" t="n"/>
      <c r="D91" s="6" t="n">
        <v>-1</v>
      </c>
      <c r="E91" s="6" t="n"/>
      <c r="F91" s="6" t="n">
        <v>-1</v>
      </c>
      <c r="G91" s="6" t="n">
        <v>-1</v>
      </c>
    </row>
    <row r="92">
      <c r="A92" s="5" t="inlineStr">
        <is>
          <t>At 31 December 2023</t>
        </is>
      </c>
      <c r="B92" s="5" t="n">
        <v>614</v>
      </c>
      <c r="C92" s="5" t="n">
        <v>352</v>
      </c>
      <c r="D92" s="5" t="n">
        <v>1200</v>
      </c>
      <c r="E92" s="5" t="n">
        <v>390</v>
      </c>
      <c r="F92" s="5" t="n">
        <v>1590</v>
      </c>
      <c r="G92" s="5" t="n">
        <v>2556</v>
      </c>
    </row>
    <row r="93">
      <c r="A93" s="5" t="inlineStr">
        <is>
          <t>At 1 January 2024</t>
        </is>
      </c>
      <c r="B93" s="5" t="n">
        <v>614</v>
      </c>
      <c r="C93" s="5" t="n">
        <v>352</v>
      </c>
      <c r="D93" s="5" t="n">
        <v>1214</v>
      </c>
      <c r="E93" s="5" t="n">
        <v>376</v>
      </c>
      <c r="F93" s="5" t="n">
        <v>1590</v>
      </c>
      <c r="G93" s="5" t="n">
        <v>2556</v>
      </c>
    </row>
    <row r="94">
      <c r="A94" s="6" t="inlineStr">
        <is>
          <t>Profit for the year</t>
        </is>
      </c>
      <c r="B94" s="6" t="n"/>
      <c r="C94" s="6" t="n"/>
      <c r="D94" s="6" t="n">
        <v>212</v>
      </c>
      <c r="E94" s="6" t="n"/>
      <c r="F94" s="6" t="n">
        <v>212</v>
      </c>
      <c r="G94" s="6" t="n">
        <v>212</v>
      </c>
    </row>
    <row r="95">
      <c r="A95" s="6" t="inlineStr">
        <is>
          <t>Translation differences</t>
        </is>
      </c>
      <c r="B95" s="6" t="n"/>
      <c r="C95" s="6" t="n"/>
      <c r="D95" s="6" t="n"/>
      <c r="E95" s="6" t="n">
        <v>-69</v>
      </c>
      <c r="F95" s="6" t="n">
        <v>-69</v>
      </c>
      <c r="G95" s="6" t="n">
        <v>-69</v>
      </c>
    </row>
    <row r="96">
      <c r="A96" s="6" t="inlineStr">
        <is>
          <t>Realisation of foreign exchange on sale of subsidiaries</t>
        </is>
      </c>
      <c r="B96" s="6" t="n"/>
      <c r="C96" s="6" t="n"/>
      <c r="D96" s="6" t="n"/>
      <c r="E96" s="6" t="n">
        <v>-134</v>
      </c>
      <c r="F96" s="6" t="n">
        <v>-134</v>
      </c>
      <c r="G96" s="6" t="n">
        <v>-134</v>
      </c>
    </row>
    <row r="97">
      <c r="A97" s="6" t="inlineStr">
        <is>
          <t>Dividend paid</t>
        </is>
      </c>
      <c r="B97" s="6" t="n"/>
      <c r="C97" s="6" t="n"/>
      <c r="D97" s="6" t="n">
        <v>-500</v>
      </c>
      <c r="E97" s="6" t="n"/>
      <c r="F97" s="6" t="n">
        <v>-500</v>
      </c>
      <c r="G97" s="6" t="n">
        <v>-500</v>
      </c>
    </row>
    <row r="98">
      <c r="A98" s="5" t="inlineStr">
        <is>
          <t>At 31 December 2024 / 1 January 2025</t>
        </is>
      </c>
      <c r="B98" s="5" t="n">
        <v>614</v>
      </c>
      <c r="C98" s="5" t="n">
        <v>352</v>
      </c>
      <c r="D98" s="5" t="n">
        <v>926</v>
      </c>
      <c r="E98" s="5" t="n">
        <v>173</v>
      </c>
      <c r="F98" s="5" t="n">
        <v>1099</v>
      </c>
      <c r="G98" s="5" t="n">
        <v>2065</v>
      </c>
    </row>
    <row r="99">
      <c r="A99" s="6" t="inlineStr">
        <is>
          <t>Profit for the year</t>
        </is>
      </c>
      <c r="B99" s="6" t="n"/>
      <c r="C99" s="6" t="n"/>
      <c r="D99" s="6" t="n">
        <v>96</v>
      </c>
      <c r="E99" s="6" t="n"/>
      <c r="F99" s="6" t="n">
        <v>96</v>
      </c>
      <c r="G99" s="6" t="n">
        <v>96</v>
      </c>
    </row>
    <row r="100">
      <c r="A100" s="6" t="inlineStr">
        <is>
          <t>Translation differences</t>
        </is>
      </c>
      <c r="B100" s="6" t="n"/>
      <c r="C100" s="6" t="n"/>
      <c r="D100" s="6" t="n"/>
      <c r="E100" s="6" t="n">
        <v>43</v>
      </c>
      <c r="F100" s="6" t="n">
        <v>43</v>
      </c>
      <c r="G100" s="6" t="n">
        <v>43</v>
      </c>
    </row>
    <row r="101">
      <c r="A101" s="6" t="inlineStr">
        <is>
          <t>Dividend paid</t>
        </is>
      </c>
      <c r="B101" s="6" t="n"/>
      <c r="C101" s="6" t="n"/>
      <c r="D101" s="6" t="n">
        <v>-500</v>
      </c>
      <c r="E101" s="6" t="n"/>
      <c r="F101" s="6" t="n">
        <v>-500</v>
      </c>
      <c r="G101" s="6" t="n">
        <v>-500</v>
      </c>
    </row>
    <row r="102">
      <c r="A102" s="5" t="inlineStr">
        <is>
          <t>At 31 December 2025</t>
        </is>
      </c>
      <c r="B102" s="5" t="n">
        <v>614</v>
      </c>
      <c r="C102" s="5" t="n">
        <v>352</v>
      </c>
      <c r="D102" s="5" t="n">
        <v>522</v>
      </c>
      <c r="E102" s="5" t="n">
        <v>216</v>
      </c>
      <c r="F102" s="5" t="n">
        <v>738</v>
      </c>
      <c r="G102" s="5" t="n">
        <v>1704</v>
      </c>
    </row>
    <row r="104" ht="560" customHeight="1">
      <c r="A104"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https://web.archive.org/web/20220615085358/https://www.fcebank.com/pdf/investor_center/2020_Annual_Report.pdf
FY2019: Annual Report 2019, pp.45,44,47-48 - https://web.archive.org/web/20220615085141/https://www.fcebank.com/pdf/investor_center/2019_Annual_Report.pdf
FY2018: Annual Report 2018, pp.39,38,41-42 - https://web.archive.org/web/20220615085110/https://www.fcebank.com/pdf/investor_center/2018_Annual_Report.pdf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https://web.archive.org/web/20220615085008/https://www.fcebank.com/pdf/investor_center/2017_Annual_Report.pdf
FY2016: Annual Report 2016, pp.60,59,62 - https://web.archive.org/web/20220615085027/https://www.fcebank.com/pdf/investor_center/2016_annual_report.pdf
FY2015: Annual Report 2015, pp.60,59,62 - https://web.archive.org/web/20220615085018/https://www.fcebank.com/pdf/investor_center/2015_annual_report.pdf
FY2014: Annual Report and Accounts 2014, pp.39,38,41 (Statements of financial position/profit and loss/changes in equity, Group columns) - https://web.archive.org/web/20220615085021/https://www.fcebank.com/pdf/investor_center/2014_annual_accts.pdf
FY2013: Annual Report and Accounts 2013, pp.42,41,44 (Statements of financial position/profit and loss/changes in equity, Group columns) - https://web.archive.org/web/20220615085139/https://www.fcebank.com/pdf/investor_center/2013_annual_accts.pdf
FY2012: Annual Report and Accounts 2012, pp.42,41,44 - https://web.archive.org/web/20220620211159/https://www.fcebank.com/pdf/investor_center/2012_annual_report_account.pdf
FY2011: Annual Report and Accounts 2011, pp.41,40,43 - https://web.archive.org/web/20220615085005/https://www.fcebank.com/pdf/investor_center/2011_Annual_FCEReport.pdf
FY2010: Annual Report and Accounts 2010, pp.39,38,41 - https://web.archive.org/web/20220615085039/https://www.fcebank.com/pdf/investor_center/2010_Annual_FCEReport.pdf
FY2009: Annual Report and Accounts 2009, pp.41,40,42 (Balance Sheets/Consolidated Income Statement and Statement of Comprehensive Income/Statements of Changes in Equity, Group columns) - https://web.archive.org/web/20220615085056/https://www.fcebank.com/pdf/investor_center/2009_Annual_FCEReport.pdf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104:G10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Consolidated Statement of Cash Flows</t>
        </is>
      </c>
    </row>
    <row r="2">
      <c r="A2" s="2" t="inlineStr">
        <is>
          <t>Group/Consolidated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Cash from/(used in) operating activities</t>
        </is>
      </c>
      <c r="B5" s="6" t="n">
        <v>554</v>
      </c>
      <c r="C5" s="6" t="n">
        <v>-1420</v>
      </c>
      <c r="D5" s="6" t="n">
        <v>-1661</v>
      </c>
      <c r="E5" s="6" t="n">
        <v>-1431</v>
      </c>
      <c r="F5" s="6" t="n">
        <v>2574</v>
      </c>
      <c r="G5" s="6" t="n">
        <v>2252</v>
      </c>
      <c r="H5" s="6" t="n">
        <v>-773</v>
      </c>
      <c r="I5" s="6" t="n">
        <v>-2394</v>
      </c>
      <c r="J5" s="6" t="n">
        <v>-2182</v>
      </c>
      <c r="K5" s="6" t="n">
        <v>-1660</v>
      </c>
      <c r="L5" s="6" t="n">
        <v>-2464</v>
      </c>
      <c r="M5" s="6" t="n">
        <v>-1960</v>
      </c>
      <c r="N5" s="6" t="n">
        <v>-314</v>
      </c>
      <c r="O5" s="6" t="n">
        <v>431</v>
      </c>
      <c r="P5" s="6" t="n">
        <v>562</v>
      </c>
      <c r="Q5" s="6" t="n">
        <v>1334</v>
      </c>
      <c r="R5" s="6" t="n">
        <v>4082</v>
      </c>
      <c r="S5" s="6" t="n">
        <v>229</v>
      </c>
      <c r="T5" s="6" t="n">
        <v>-501</v>
      </c>
      <c r="U5" s="6" t="n">
        <v>411</v>
      </c>
    </row>
    <row r="6">
      <c r="A6" s="6" t="inlineStr">
        <is>
          <t>Interest paid</t>
        </is>
      </c>
      <c r="B6" s="6" t="n">
        <v>-475</v>
      </c>
      <c r="C6" s="6" t="n">
        <v>-672</v>
      </c>
      <c r="D6" s="6" t="n">
        <v>-542</v>
      </c>
      <c r="E6" s="6" t="n">
        <v>-177</v>
      </c>
      <c r="F6" s="6" t="n">
        <v>-184</v>
      </c>
      <c r="G6" s="6" t="n">
        <v>-217</v>
      </c>
      <c r="H6" s="6" t="n">
        <v>-221</v>
      </c>
      <c r="I6" s="6" t="n">
        <v>-198</v>
      </c>
      <c r="J6" s="6" t="n">
        <v>-211</v>
      </c>
      <c r="K6" s="6" t="n">
        <v>-195</v>
      </c>
      <c r="L6" s="6" t="n">
        <v>-207</v>
      </c>
      <c r="M6" s="6" t="n">
        <v>-234</v>
      </c>
      <c r="N6" s="6" t="n">
        <v>-318</v>
      </c>
      <c r="O6" s="6" t="n">
        <v>-430</v>
      </c>
      <c r="P6" s="6" t="n">
        <v>-607</v>
      </c>
      <c r="Q6" s="6" t="n">
        <v>-505</v>
      </c>
      <c r="R6" s="6" t="n">
        <v>-686</v>
      </c>
      <c r="S6" s="6" t="n">
        <v>-887</v>
      </c>
      <c r="T6" s="6" t="n">
        <v>-765</v>
      </c>
      <c r="U6" s="6" t="n">
        <v>-628</v>
      </c>
    </row>
    <row r="7">
      <c r="A7" s="6" t="inlineStr">
        <is>
          <t>Interest received</t>
        </is>
      </c>
      <c r="B7" s="6" t="n">
        <v>926</v>
      </c>
      <c r="C7" s="6" t="n">
        <v>1160</v>
      </c>
      <c r="D7" s="6" t="n">
        <v>1071</v>
      </c>
      <c r="E7" s="6" t="n">
        <v>442</v>
      </c>
      <c r="F7" s="6" t="n">
        <v>836</v>
      </c>
      <c r="G7" s="6" t="n">
        <v>468</v>
      </c>
      <c r="H7" s="6" t="n">
        <v>830</v>
      </c>
      <c r="I7" s="6" t="n">
        <v>839</v>
      </c>
      <c r="J7" s="6" t="n">
        <v>567</v>
      </c>
      <c r="K7" s="6" t="n">
        <v>619</v>
      </c>
      <c r="L7" s="6" t="n">
        <v>571</v>
      </c>
      <c r="M7" s="6" t="n">
        <v>560</v>
      </c>
      <c r="N7" s="6" t="n">
        <v>655</v>
      </c>
      <c r="O7" s="6" t="n">
        <v>655</v>
      </c>
      <c r="P7" s="6" t="n">
        <v>860</v>
      </c>
      <c r="Q7" s="6" t="n">
        <v>891</v>
      </c>
      <c r="R7" s="6" t="n">
        <v>1130</v>
      </c>
      <c r="S7" s="6" t="n">
        <v>1451</v>
      </c>
      <c r="T7" s="6" t="n">
        <v>1264</v>
      </c>
      <c r="U7" s="6" t="n">
        <v>1188</v>
      </c>
    </row>
    <row r="8">
      <c r="A8" s="6" t="inlineStr">
        <is>
          <t>Other operating income received</t>
        </is>
      </c>
      <c r="B8" s="6" t="n">
        <v>0</v>
      </c>
      <c r="C8" s="6" t="n">
        <v>48</v>
      </c>
      <c r="D8" s="6" t="n">
        <v>72</v>
      </c>
      <c r="E8" s="6" t="n">
        <v>26</v>
      </c>
      <c r="F8" s="6" t="n">
        <v>109</v>
      </c>
      <c r="G8" s="6" t="n">
        <v>238</v>
      </c>
      <c r="H8" s="6" t="n">
        <v>490</v>
      </c>
      <c r="I8" s="6" t="n">
        <v>384</v>
      </c>
      <c r="J8" s="6" t="n">
        <v>343</v>
      </c>
      <c r="K8" s="6" t="n">
        <v>254</v>
      </c>
      <c r="L8" s="6" t="n">
        <v>128</v>
      </c>
      <c r="M8" s="6" t="n">
        <v>190</v>
      </c>
      <c r="N8" s="6" t="n">
        <v>198</v>
      </c>
      <c r="O8" s="6" t="n">
        <v>200</v>
      </c>
      <c r="P8" s="6" t="n"/>
      <c r="Q8" s="6" t="n"/>
      <c r="R8" s="6" t="n"/>
      <c r="S8" s="6" t="n"/>
      <c r="T8" s="6" t="n"/>
      <c r="U8" s="6" t="n"/>
    </row>
    <row r="9">
      <c r="A9" s="6" t="inlineStr">
        <is>
          <t>Income taxes paid</t>
        </is>
      </c>
      <c r="B9" s="6" t="n">
        <v>-39</v>
      </c>
      <c r="C9" s="6" t="n">
        <v>-51</v>
      </c>
      <c r="D9" s="6" t="n">
        <v>-73</v>
      </c>
      <c r="E9" s="6" t="n">
        <v>-133</v>
      </c>
      <c r="F9" s="6" t="n">
        <v>-43</v>
      </c>
      <c r="G9" s="6" t="n">
        <v>-50</v>
      </c>
      <c r="H9" s="6" t="n">
        <v>-133</v>
      </c>
      <c r="I9" s="6" t="n">
        <v>-64</v>
      </c>
      <c r="J9" s="6" t="n">
        <v>-24</v>
      </c>
      <c r="K9" s="6" t="n">
        <v>-42</v>
      </c>
      <c r="L9" s="6" t="n">
        <v>-37</v>
      </c>
      <c r="M9" s="6" t="n">
        <v>-166</v>
      </c>
      <c r="N9" s="6" t="n">
        <v>-24</v>
      </c>
      <c r="O9" s="6" t="n">
        <v>-41</v>
      </c>
      <c r="P9" s="6" t="n">
        <v>-18</v>
      </c>
      <c r="Q9" s="6" t="n">
        <v>-73</v>
      </c>
      <c r="R9" s="6" t="n">
        <v>-122</v>
      </c>
      <c r="S9" s="6" t="n">
        <v>-85</v>
      </c>
      <c r="T9" s="6" t="n">
        <v>-111</v>
      </c>
      <c r="U9" s="6" t="n">
        <v>-110</v>
      </c>
    </row>
    <row r="10">
      <c r="A10" s="6" t="inlineStr">
        <is>
          <t>Income taxes refunded</t>
        </is>
      </c>
      <c r="B10" s="6" t="n"/>
      <c r="C10" s="6" t="n"/>
      <c r="D10" s="6" t="n"/>
      <c r="E10" s="6" t="n"/>
      <c r="F10" s="6" t="n"/>
      <c r="G10" s="6" t="n"/>
      <c r="H10" s="6" t="n"/>
      <c r="I10" s="6" t="n"/>
      <c r="J10" s="6" t="n"/>
      <c r="K10" s="6" t="n"/>
      <c r="L10" s="6" t="n">
        <v>27</v>
      </c>
      <c r="M10" s="6" t="n">
        <v>1</v>
      </c>
      <c r="N10" s="6" t="n">
        <v>76</v>
      </c>
      <c r="O10" s="6" t="n">
        <v>23</v>
      </c>
      <c r="P10" s="6" t="n"/>
      <c r="Q10" s="6" t="n"/>
      <c r="R10" s="6" t="n"/>
      <c r="S10" s="6" t="n"/>
      <c r="T10" s="6" t="n"/>
      <c r="U10" s="6" t="n"/>
    </row>
    <row r="11">
      <c r="A11" s="5" t="inlineStr">
        <is>
          <t>Net cash generated from/(used in) operating activities</t>
        </is>
      </c>
      <c r="B11" s="5" t="n">
        <v>966</v>
      </c>
      <c r="C11" s="5" t="n">
        <v>-935</v>
      </c>
      <c r="D11" s="5" t="n">
        <v>-1133</v>
      </c>
      <c r="E11" s="5" t="n">
        <v>-1273</v>
      </c>
      <c r="F11" s="5" t="n">
        <v>3292</v>
      </c>
      <c r="G11" s="5" t="n">
        <v>2691</v>
      </c>
      <c r="H11" s="5" t="n">
        <v>193</v>
      </c>
      <c r="I11" s="5" t="n">
        <v>-1433</v>
      </c>
      <c r="J11" s="5" t="n">
        <v>-1507</v>
      </c>
      <c r="K11" s="5" t="n">
        <v>-1024</v>
      </c>
      <c r="L11" s="5" t="n">
        <v>-1982</v>
      </c>
      <c r="M11" s="5" t="n">
        <v>-1609</v>
      </c>
      <c r="N11" s="5" t="n">
        <v>273</v>
      </c>
      <c r="O11" s="5" t="n">
        <v>838</v>
      </c>
      <c r="P11" s="5" t="n">
        <v>797</v>
      </c>
      <c r="Q11" s="5" t="n">
        <v>1647</v>
      </c>
      <c r="R11" s="5" t="n">
        <v>4404</v>
      </c>
      <c r="S11" s="5" t="n">
        <v>708</v>
      </c>
      <c r="T11" s="5" t="n">
        <v>-113</v>
      </c>
      <c r="U11" s="5" t="n">
        <v>861</v>
      </c>
    </row>
    <row r="12">
      <c r="A12" s="5" t="inlineStr">
        <is>
          <t>Investing activities</t>
        </is>
      </c>
      <c r="B12" s="6" t="n"/>
      <c r="C12" s="6" t="n"/>
      <c r="D12" s="6" t="n"/>
      <c r="E12" s="6" t="n"/>
      <c r="F12" s="6" t="n"/>
      <c r="G12" s="6" t="n"/>
      <c r="H12" s="6" t="n"/>
      <c r="I12" s="6" t="n"/>
      <c r="J12" s="6" t="n"/>
      <c r="K12" s="6" t="n"/>
      <c r="L12" s="6" t="n"/>
      <c r="M12" s="6" t="n"/>
      <c r="N12" s="6" t="n"/>
      <c r="O12" s="6" t="n"/>
      <c r="P12" s="6" t="n"/>
      <c r="Q12" s="6" t="n"/>
      <c r="R12" s="6" t="n"/>
      <c r="S12" s="6" t="n"/>
      <c r="T12" s="6" t="n"/>
      <c r="U12" s="6" t="n"/>
    </row>
    <row r="13">
      <c r="A13" s="6" t="inlineStr">
        <is>
          <t>Purchase of property and equipment</t>
        </is>
      </c>
      <c r="B13" s="6" t="n">
        <v>-2</v>
      </c>
      <c r="C13" s="6" t="n">
        <v>0</v>
      </c>
      <c r="D13" s="6" t="n">
        <v>-6</v>
      </c>
      <c r="E13" s="6" t="n">
        <v>-6</v>
      </c>
      <c r="F13" s="6" t="n">
        <v>-1</v>
      </c>
      <c r="G13" s="6" t="n">
        <v>-1</v>
      </c>
      <c r="H13" s="6" t="n">
        <v>-41</v>
      </c>
      <c r="I13" s="6" t="n">
        <v>-1</v>
      </c>
      <c r="J13" s="6" t="n">
        <v>-4</v>
      </c>
      <c r="K13" s="6" t="n">
        <v>-2</v>
      </c>
      <c r="L13" s="6" t="n">
        <v>-3</v>
      </c>
      <c r="M13" s="6" t="n">
        <v>-4</v>
      </c>
      <c r="N13" s="6" t="n">
        <v>-3</v>
      </c>
      <c r="O13" s="6" t="n">
        <v>-8</v>
      </c>
      <c r="P13" s="6" t="n">
        <v>-7</v>
      </c>
      <c r="Q13" s="6" t="n">
        <v>-5</v>
      </c>
      <c r="R13" s="6" t="n">
        <v>-3</v>
      </c>
      <c r="S13" s="6" t="n">
        <v>-5</v>
      </c>
      <c r="T13" s="6" t="n">
        <v>-5</v>
      </c>
      <c r="U13" s="6" t="n">
        <v>-6</v>
      </c>
    </row>
    <row r="14">
      <c r="A14" s="6" t="inlineStr">
        <is>
          <t>Proceeds from sale of property and equipment</t>
        </is>
      </c>
      <c r="B14" s="6" t="n"/>
      <c r="C14" s="6" t="n"/>
      <c r="D14" s="6" t="n"/>
      <c r="E14" s="6" t="n"/>
      <c r="F14" s="6" t="n">
        <v>6</v>
      </c>
      <c r="G14" s="6" t="n">
        <v>1</v>
      </c>
      <c r="H14" s="6" t="n"/>
      <c r="I14" s="6" t="n">
        <v>0</v>
      </c>
      <c r="J14" s="6" t="n">
        <v>3</v>
      </c>
      <c r="K14" s="6" t="n">
        <v>0</v>
      </c>
      <c r="L14" s="6" t="n">
        <v>2</v>
      </c>
      <c r="M14" s="6" t="n">
        <v>2</v>
      </c>
      <c r="N14" s="6" t="n">
        <v>3</v>
      </c>
      <c r="O14" s="6" t="n">
        <v>7</v>
      </c>
      <c r="P14" s="6" t="n">
        <v>5</v>
      </c>
      <c r="Q14" s="6" t="n">
        <v>3</v>
      </c>
      <c r="R14" s="6" t="n">
        <v>3</v>
      </c>
      <c r="S14" s="6" t="n">
        <v>2</v>
      </c>
      <c r="T14" s="6" t="n">
        <v>9</v>
      </c>
      <c r="U14" s="6" t="n">
        <v>5</v>
      </c>
    </row>
    <row r="15">
      <c r="A15" s="6" t="inlineStr">
        <is>
          <t>Investment in internally and externally generated software</t>
        </is>
      </c>
      <c r="B15" s="6" t="n">
        <v>-13</v>
      </c>
      <c r="C15" s="6" t="n">
        <v>-19</v>
      </c>
      <c r="D15" s="6" t="n">
        <v>-21</v>
      </c>
      <c r="E15" s="6" t="n">
        <v>-15</v>
      </c>
      <c r="F15" s="6" t="n">
        <v>-11</v>
      </c>
      <c r="G15" s="6" t="n">
        <v>-11</v>
      </c>
      <c r="H15" s="6" t="n">
        <v>-10</v>
      </c>
      <c r="I15" s="6" t="n">
        <v>-7</v>
      </c>
      <c r="J15" s="6" t="n">
        <v>-4</v>
      </c>
      <c r="K15" s="6" t="n">
        <v>-2</v>
      </c>
      <c r="L15" s="6" t="n">
        <v>-2</v>
      </c>
      <c r="M15" s="6" t="n">
        <v>-2</v>
      </c>
      <c r="N15" s="6" t="n">
        <v>-3</v>
      </c>
      <c r="O15" s="6" t="n"/>
      <c r="P15" s="6" t="n">
        <v>-5</v>
      </c>
      <c r="Q15" s="6" t="n"/>
      <c r="R15" s="6" t="n"/>
      <c r="S15" s="6" t="n"/>
      <c r="T15" s="6" t="n">
        <v>-10</v>
      </c>
      <c r="U15" s="6" t="n">
        <v>-2</v>
      </c>
    </row>
    <row r="16">
      <c r="A16" s="6" t="inlineStr">
        <is>
          <t>Net cash movement in sale of subsidiaries</t>
        </is>
      </c>
      <c r="B16" s="6" t="n"/>
      <c r="C16" s="6" t="n"/>
      <c r="D16" s="6" t="n">
        <v>0</v>
      </c>
      <c r="E16" s="6" t="n">
        <v>-13</v>
      </c>
      <c r="F16" s="6" t="n"/>
      <c r="G16" s="6" t="n"/>
      <c r="H16" s="6" t="n"/>
      <c r="I16" s="6" t="n"/>
      <c r="J16" s="6" t="n"/>
      <c r="K16" s="6" t="n"/>
      <c r="L16" s="6" t="n"/>
      <c r="M16" s="6" t="n"/>
      <c r="N16" s="6" t="n"/>
      <c r="O16" s="6" t="n"/>
      <c r="P16" s="6" t="n"/>
      <c r="Q16" s="6" t="n"/>
      <c r="R16" s="6" t="n"/>
      <c r="S16" s="6" t="n"/>
      <c r="T16" s="6" t="n"/>
      <c r="U16" s="6" t="n"/>
    </row>
    <row r="17">
      <c r="A17" s="6" t="inlineStr">
        <is>
          <t>Dividends from Group undertaking / joint venture</t>
        </is>
      </c>
      <c r="B17" s="6" t="n"/>
      <c r="C17" s="6" t="n">
        <v>0</v>
      </c>
      <c r="D17" s="6" t="n">
        <v>0</v>
      </c>
      <c r="E17" s="6" t="n">
        <v>0</v>
      </c>
      <c r="F17" s="6" t="n">
        <v>0</v>
      </c>
      <c r="G17" s="6" t="n"/>
      <c r="H17" s="6" t="n"/>
      <c r="I17" s="6" t="n"/>
      <c r="J17" s="6" t="n"/>
      <c r="K17" s="6" t="n"/>
      <c r="L17" s="6" t="n"/>
      <c r="M17" s="6" t="n"/>
      <c r="N17" s="6" t="n">
        <v>5</v>
      </c>
      <c r="O17" s="6" t="n">
        <v>5</v>
      </c>
      <c r="P17" s="6" t="n">
        <v>4</v>
      </c>
      <c r="Q17" s="6" t="n"/>
      <c r="R17" s="6" t="n"/>
      <c r="S17" s="6" t="n"/>
      <c r="T17" s="6" t="n"/>
      <c r="U17" s="6" t="n"/>
    </row>
    <row r="18">
      <c r="A18" s="6" t="inlineStr">
        <is>
          <t>Investment in other entities</t>
        </is>
      </c>
      <c r="B18" s="6" t="n"/>
      <c r="C18" s="6" t="n"/>
      <c r="D18" s="6" t="n"/>
      <c r="E18" s="6" t="n"/>
      <c r="F18" s="6" t="n"/>
      <c r="G18" s="6" t="n"/>
      <c r="H18" s="6" t="n">
        <v>0</v>
      </c>
      <c r="I18" s="6" t="n">
        <v>-1</v>
      </c>
      <c r="J18" s="6" t="n"/>
      <c r="K18" s="6" t="n"/>
      <c r="L18" s="6" t="n"/>
      <c r="M18" s="6" t="n"/>
      <c r="N18" s="6" t="n">
        <v>-438</v>
      </c>
      <c r="O18" s="6" t="n"/>
      <c r="P18" s="6" t="n"/>
      <c r="Q18" s="6" t="n"/>
      <c r="R18" s="6" t="n"/>
      <c r="S18" s="6" t="n"/>
      <c r="T18" s="6" t="n"/>
      <c r="U18" s="6" t="n"/>
    </row>
    <row r="19">
      <c r="A19" s="6" t="inlineStr">
        <is>
          <t>Purchase of vehicles for operating leases (FY2006-FY2009 only)</t>
        </is>
      </c>
      <c r="B19" s="6" t="n"/>
      <c r="C19" s="6" t="n"/>
      <c r="D19" s="6" t="n"/>
      <c r="E19" s="6" t="n"/>
      <c r="F19" s="6" t="n"/>
      <c r="G19" s="6" t="n"/>
      <c r="H19" s="6" t="n"/>
      <c r="I19" s="6" t="n"/>
      <c r="J19" s="6" t="n"/>
      <c r="K19" s="6" t="n"/>
      <c r="L19" s="6" t="n"/>
      <c r="M19" s="6" t="n"/>
      <c r="N19" s="6" t="n"/>
      <c r="O19" s="6" t="n"/>
      <c r="P19" s="6" t="n"/>
      <c r="Q19" s="6" t="n"/>
      <c r="R19" s="6" t="n">
        <v>-267</v>
      </c>
      <c r="S19" s="6" t="n">
        <v>-336</v>
      </c>
      <c r="T19" s="6" t="n">
        <v>-351</v>
      </c>
      <c r="U19" s="6" t="n">
        <v>-526</v>
      </c>
    </row>
    <row r="20">
      <c r="A20" s="6" t="inlineStr">
        <is>
          <t>Proceeds from sale of operating lease vehicles (FY2006-FY2009 only)</t>
        </is>
      </c>
      <c r="B20" s="6" t="n"/>
      <c r="C20" s="6" t="n"/>
      <c r="D20" s="6" t="n"/>
      <c r="E20" s="6" t="n"/>
      <c r="F20" s="6" t="n"/>
      <c r="G20" s="6" t="n"/>
      <c r="H20" s="6" t="n"/>
      <c r="I20" s="6" t="n"/>
      <c r="J20" s="6" t="n"/>
      <c r="K20" s="6" t="n"/>
      <c r="L20" s="6" t="n"/>
      <c r="M20" s="6" t="n"/>
      <c r="N20" s="6" t="n"/>
      <c r="O20" s="6" t="n"/>
      <c r="P20" s="6" t="n"/>
      <c r="Q20" s="6" t="n"/>
      <c r="R20" s="6" t="n">
        <v>334</v>
      </c>
      <c r="S20" s="6" t="n">
        <v>209</v>
      </c>
      <c r="T20" s="6" t="n">
        <v>262</v>
      </c>
      <c r="U20" s="6" t="n">
        <v>452</v>
      </c>
    </row>
    <row r="21">
      <c r="A21" s="6" t="inlineStr">
        <is>
          <t>Purchase of marketable securities (FY2009-FY2013 only)</t>
        </is>
      </c>
      <c r="B21" s="6" t="n"/>
      <c r="C21" s="6" t="n"/>
      <c r="D21" s="6" t="n"/>
      <c r="E21" s="6" t="n"/>
      <c r="F21" s="6" t="n"/>
      <c r="G21" s="6" t="n"/>
      <c r="H21" s="6" t="n"/>
      <c r="I21" s="6" t="n"/>
      <c r="J21" s="6" t="n"/>
      <c r="K21" s="6" t="n"/>
      <c r="L21" s="6" t="n"/>
      <c r="M21" s="6" t="n"/>
      <c r="N21" s="6" t="n"/>
      <c r="O21" s="6" t="n">
        <v>-1</v>
      </c>
      <c r="P21" s="6" t="n"/>
      <c r="Q21" s="6" t="n">
        <v>-493</v>
      </c>
      <c r="R21" s="6" t="n">
        <v>-900</v>
      </c>
      <c r="S21" s="6" t="n"/>
      <c r="T21" s="6" t="n"/>
      <c r="U21" s="6" t="n"/>
    </row>
    <row r="22">
      <c r="A22" s="6" t="inlineStr">
        <is>
          <t>Proceeds from sale/maturity of marketable securities (FY2009-FY2013 only)</t>
        </is>
      </c>
      <c r="B22" s="6" t="n"/>
      <c r="C22" s="6" t="n"/>
      <c r="D22" s="6" t="n"/>
      <c r="E22" s="6" t="n"/>
      <c r="F22" s="6" t="n"/>
      <c r="G22" s="6" t="n"/>
      <c r="H22" s="6" t="n"/>
      <c r="I22" s="6" t="n"/>
      <c r="J22" s="6" t="n"/>
      <c r="K22" s="6" t="n"/>
      <c r="L22" s="6" t="n"/>
      <c r="M22" s="6" t="n"/>
      <c r="N22" s="6" t="n">
        <v>1</v>
      </c>
      <c r="O22" s="6" t="n"/>
      <c r="P22" s="6" t="n">
        <v>223</v>
      </c>
      <c r="Q22" s="6" t="n">
        <v>261</v>
      </c>
      <c r="R22" s="6" t="n">
        <v>900</v>
      </c>
      <c r="S22" s="6" t="n"/>
      <c r="T22" s="6" t="n"/>
      <c r="U22" s="6" t="n"/>
    </row>
    <row r="23">
      <c r="A23" s="6" t="inlineStr">
        <is>
          <t>Other investing one-off items (FY2008 only - proceeds from sale of interests to the joint venture partner and from sale of operations to related undertakings)</t>
        </is>
      </c>
      <c r="B23" s="6" t="n"/>
      <c r="C23" s="6" t="n"/>
      <c r="D23" s="6" t="n"/>
      <c r="E23" s="6" t="n"/>
      <c r="F23" s="6" t="n"/>
      <c r="G23" s="6" t="n"/>
      <c r="H23" s="6" t="n"/>
      <c r="I23" s="6" t="n"/>
      <c r="J23" s="6" t="n"/>
      <c r="K23" s="6" t="n"/>
      <c r="L23" s="6" t="n"/>
      <c r="M23" s="6" t="n"/>
      <c r="N23" s="6" t="n"/>
      <c r="O23" s="6" t="n"/>
      <c r="P23" s="6" t="n"/>
      <c r="Q23" s="6" t="n"/>
      <c r="R23" s="6" t="n"/>
      <c r="S23" s="6" t="n">
        <v>78</v>
      </c>
      <c r="T23" s="6" t="n"/>
      <c r="U23" s="6" t="n"/>
    </row>
    <row r="24">
      <c r="A24" s="6" t="inlineStr">
        <is>
          <t>Net cash (outflow)/inflow on derivative financial instruments</t>
        </is>
      </c>
      <c r="B24" s="6" t="n">
        <v>2</v>
      </c>
      <c r="C24" s="6" t="n">
        <v>109</v>
      </c>
      <c r="D24" s="6" t="n">
        <v>165</v>
      </c>
      <c r="E24" s="6" t="n">
        <v>29</v>
      </c>
      <c r="F24" s="6" t="n"/>
      <c r="G24" s="6" t="n"/>
      <c r="H24" s="6" t="n"/>
      <c r="I24" s="6" t="n"/>
      <c r="J24" s="6" t="n"/>
      <c r="K24" s="6" t="n"/>
      <c r="L24" s="6" t="n"/>
      <c r="M24" s="6" t="n"/>
      <c r="N24" s="6" t="n"/>
      <c r="O24" s="6" t="n"/>
      <c r="P24" s="6" t="n"/>
      <c r="Q24" s="6" t="n"/>
      <c r="R24" s="6" t="n"/>
      <c r="S24" s="6" t="n"/>
      <c r="T24" s="6" t="n"/>
      <c r="U24" s="6" t="n"/>
    </row>
    <row r="25">
      <c r="A25" s="6" t="inlineStr">
        <is>
          <t>Increase in restricted cash</t>
        </is>
      </c>
      <c r="B25" s="6" t="n">
        <v>-65</v>
      </c>
      <c r="C25" s="6" t="n">
        <v>-61</v>
      </c>
      <c r="D25" s="6" t="n">
        <v>-61</v>
      </c>
      <c r="E25" s="6" t="n">
        <v>-73</v>
      </c>
      <c r="F25" s="6" t="n"/>
      <c r="G25" s="6" t="n"/>
      <c r="H25" s="6" t="n"/>
      <c r="I25" s="6" t="n"/>
      <c r="J25" s="6" t="n"/>
      <c r="K25" s="6" t="n"/>
      <c r="L25" s="6" t="n"/>
      <c r="M25" s="6" t="n"/>
      <c r="N25" s="6" t="n"/>
      <c r="O25" s="6" t="n"/>
      <c r="P25" s="6" t="n"/>
      <c r="Q25" s="6" t="n"/>
      <c r="R25" s="6" t="n"/>
      <c r="S25" s="6" t="n"/>
      <c r="T25" s="6" t="n"/>
      <c r="U25" s="6" t="n"/>
    </row>
    <row r="26">
      <c r="A26" s="6" t="inlineStr">
        <is>
          <t>Decrease in restricted cash</t>
        </is>
      </c>
      <c r="B26" s="6" t="n">
        <v>61</v>
      </c>
      <c r="C26" s="6" t="n">
        <v>84</v>
      </c>
      <c r="D26" s="6" t="n">
        <v>62</v>
      </c>
      <c r="E26" s="6" t="n">
        <v>63</v>
      </c>
      <c r="F26" s="6" t="n"/>
      <c r="G26" s="6" t="n"/>
      <c r="H26" s="6" t="n"/>
      <c r="I26" s="6" t="n"/>
      <c r="J26" s="6" t="n"/>
      <c r="K26" s="6" t="n"/>
      <c r="L26" s="6" t="n"/>
      <c r="M26" s="6" t="n"/>
      <c r="N26" s="6" t="n"/>
      <c r="O26" s="6" t="n"/>
      <c r="P26" s="6" t="n"/>
      <c r="Q26" s="6" t="n"/>
      <c r="R26" s="6" t="n"/>
      <c r="S26" s="6" t="n"/>
      <c r="T26" s="6" t="n"/>
      <c r="U26" s="6" t="n"/>
    </row>
    <row r="27">
      <c r="A27" s="6" t="inlineStr">
        <is>
          <t>Dividend from subsidiaries</t>
        </is>
      </c>
      <c r="B27" s="6" t="n"/>
      <c r="C27" s="6" t="n">
        <v>0</v>
      </c>
      <c r="D27" s="6" t="n">
        <v>0</v>
      </c>
      <c r="E27" s="6" t="n">
        <v>0</v>
      </c>
      <c r="F27" s="6" t="n">
        <v>0</v>
      </c>
      <c r="G27" s="6" t="n"/>
      <c r="H27" s="6" t="n"/>
      <c r="I27" s="6" t="n"/>
      <c r="J27" s="6" t="n"/>
      <c r="K27" s="6" t="n"/>
      <c r="L27" s="6" t="n"/>
      <c r="M27" s="6" t="n"/>
      <c r="N27" s="6" t="n"/>
      <c r="O27" s="6" t="n"/>
      <c r="P27" s="6" t="n"/>
      <c r="Q27" s="6" t="n"/>
      <c r="R27" s="6" t="n"/>
      <c r="S27" s="6" t="n"/>
      <c r="T27" s="6" t="n"/>
      <c r="U27" s="6" t="n"/>
    </row>
    <row r="28">
      <c r="A28" s="5" t="inlineStr">
        <is>
          <t>Net cash (used in)/generated from investing activities</t>
        </is>
      </c>
      <c r="B28" s="5" t="n">
        <v>-17</v>
      </c>
      <c r="C28" s="5" t="n">
        <v>113</v>
      </c>
      <c r="D28" s="5" t="n">
        <v>139</v>
      </c>
      <c r="E28" s="5" t="n">
        <v>-15</v>
      </c>
      <c r="F28" s="5" t="n">
        <v>-6</v>
      </c>
      <c r="G28" s="5" t="n">
        <v>-11</v>
      </c>
      <c r="H28" s="5" t="n">
        <v>-51</v>
      </c>
      <c r="I28" s="5" t="n">
        <v>-9</v>
      </c>
      <c r="J28" s="5" t="n">
        <v>-5</v>
      </c>
      <c r="K28" s="5" t="n">
        <v>-4</v>
      </c>
      <c r="L28" s="5" t="n">
        <v>-3</v>
      </c>
      <c r="M28" s="5" t="n">
        <v>-4</v>
      </c>
      <c r="N28" s="5" t="n">
        <v>-435</v>
      </c>
      <c r="O28" s="5" t="n">
        <v>3</v>
      </c>
      <c r="P28" s="5" t="n">
        <v>220</v>
      </c>
      <c r="Q28" s="5" t="n">
        <v>-234</v>
      </c>
      <c r="R28" s="5" t="n">
        <v>67</v>
      </c>
      <c r="S28" s="5" t="n">
        <v>-52</v>
      </c>
      <c r="T28" s="5" t="n">
        <v>-95</v>
      </c>
      <c r="U28" s="5" t="n">
        <v>-77</v>
      </c>
    </row>
    <row r="29">
      <c r="A29" s="5" t="inlineStr">
        <is>
          <t>Financing activities</t>
        </is>
      </c>
      <c r="B29" s="6" t="n"/>
      <c r="C29" s="6" t="n"/>
      <c r="D29" s="6" t="n"/>
      <c r="E29" s="6" t="n"/>
      <c r="F29" s="6" t="n"/>
      <c r="G29" s="6" t="n"/>
      <c r="H29" s="6" t="n"/>
      <c r="I29" s="6" t="n"/>
      <c r="J29" s="6" t="n"/>
      <c r="K29" s="6" t="n"/>
      <c r="L29" s="6" t="n"/>
      <c r="M29" s="6" t="n"/>
      <c r="N29" s="6" t="n"/>
      <c r="O29" s="6" t="n"/>
      <c r="P29" s="6" t="n"/>
      <c r="Q29" s="6" t="n"/>
      <c r="R29" s="6" t="n"/>
      <c r="S29" s="6" t="n"/>
      <c r="T29" s="6" t="n"/>
      <c r="U29" s="6" t="n"/>
    </row>
    <row r="30">
      <c r="A30" s="6" t="inlineStr">
        <is>
          <t>Proceeds from the issue of debt securities and from loans provided by banks and other financial institutions</t>
        </is>
      </c>
      <c r="B30" s="6" t="n">
        <v>1001</v>
      </c>
      <c r="C30" s="6" t="n">
        <v>1642</v>
      </c>
      <c r="D30" s="6" t="n">
        <v>1311</v>
      </c>
      <c r="E30" s="6" t="n">
        <v>4482</v>
      </c>
      <c r="F30" s="6" t="n">
        <v>2972</v>
      </c>
      <c r="G30" s="6" t="n">
        <v>3505</v>
      </c>
      <c r="H30" s="6" t="n">
        <v>5318</v>
      </c>
      <c r="I30" s="6" t="n">
        <v>8436</v>
      </c>
      <c r="J30" s="6" t="n">
        <v>9523</v>
      </c>
      <c r="K30" s="6" t="n">
        <v>8277</v>
      </c>
      <c r="L30" s="6" t="n">
        <v>10785</v>
      </c>
      <c r="M30" s="6" t="n">
        <v>8781</v>
      </c>
      <c r="N30" s="6" t="n">
        <v>9796</v>
      </c>
      <c r="O30" s="6" t="n">
        <v>5017</v>
      </c>
      <c r="P30" s="6" t="n">
        <v>6379</v>
      </c>
      <c r="Q30" s="6" t="n">
        <v>3689</v>
      </c>
      <c r="R30" s="6" t="n">
        <v>5123</v>
      </c>
      <c r="S30" s="6" t="n">
        <v>3673</v>
      </c>
      <c r="T30" s="6" t="n">
        <v>9781</v>
      </c>
      <c r="U30" s="6" t="n">
        <v>2424</v>
      </c>
    </row>
    <row r="31">
      <c r="A31" s="6" t="inlineStr">
        <is>
          <t>Repayments of debt securities and of loans provided by banks and other financial institutions</t>
        </is>
      </c>
      <c r="B31" s="6" t="n">
        <v>-797</v>
      </c>
      <c r="C31" s="6" t="n">
        <v>-1790</v>
      </c>
      <c r="D31" s="6" t="n">
        <v>-2022</v>
      </c>
      <c r="E31" s="6" t="n">
        <v>-3861</v>
      </c>
      <c r="F31" s="6" t="n">
        <v>-6212</v>
      </c>
      <c r="G31" s="6" t="n">
        <v>-7357</v>
      </c>
      <c r="H31" s="6" t="n">
        <v>-7126</v>
      </c>
      <c r="I31" s="6" t="n">
        <v>-9462</v>
      </c>
      <c r="J31" s="6" t="n">
        <v>-9728</v>
      </c>
      <c r="K31" s="6" t="n">
        <v>-7768</v>
      </c>
      <c r="L31" s="6" t="n">
        <v>-8538</v>
      </c>
      <c r="M31" s="6" t="n">
        <v>-7536</v>
      </c>
      <c r="N31" s="6" t="n">
        <v>-9650</v>
      </c>
      <c r="O31" s="6" t="n">
        <v>-6206</v>
      </c>
      <c r="P31" s="6" t="n">
        <v>-6747</v>
      </c>
      <c r="Q31" s="6" t="n">
        <v>-4875</v>
      </c>
      <c r="R31" s="6" t="n">
        <v>-7372</v>
      </c>
      <c r="S31" s="6" t="n">
        <v>-3989</v>
      </c>
      <c r="T31" s="6" t="n">
        <v>-6705</v>
      </c>
      <c r="U31" s="6" t="n">
        <v>-2000</v>
      </c>
    </row>
    <row r="32">
      <c r="A32" s="6" t="inlineStr">
        <is>
          <t>Proceeds of funds provided by parent and related undertakings</t>
        </is>
      </c>
      <c r="B32" s="6" t="n">
        <v>211</v>
      </c>
      <c r="C32" s="6" t="n">
        <v>214</v>
      </c>
      <c r="D32" s="6" t="n">
        <v>698</v>
      </c>
      <c r="E32" s="6" t="n">
        <v>568</v>
      </c>
      <c r="F32" s="6" t="n">
        <v>398</v>
      </c>
      <c r="G32" s="6" t="n">
        <v>1330</v>
      </c>
      <c r="H32" s="6" t="n">
        <v>2416</v>
      </c>
      <c r="I32" s="6" t="n">
        <v>8059</v>
      </c>
      <c r="J32" s="6" t="n">
        <v>1542</v>
      </c>
      <c r="K32" s="6" t="n">
        <v>745</v>
      </c>
      <c r="L32" s="6" t="n">
        <v>179</v>
      </c>
      <c r="M32" s="6" t="n">
        <v>42</v>
      </c>
      <c r="N32" s="6" t="n">
        <v>439</v>
      </c>
      <c r="O32" s="6" t="n">
        <v>1663</v>
      </c>
      <c r="P32" s="6" t="n">
        <v>339</v>
      </c>
      <c r="Q32" s="6" t="n">
        <v>103</v>
      </c>
      <c r="R32" s="6" t="n">
        <v>22</v>
      </c>
      <c r="S32" s="6" t="n">
        <v>312</v>
      </c>
      <c r="T32" s="6" t="n">
        <v>118</v>
      </c>
      <c r="U32" s="6" t="n">
        <v>3797</v>
      </c>
    </row>
    <row r="33">
      <c r="A33" s="6" t="inlineStr">
        <is>
          <t>Repayment of funds provided by parent and related undertakings</t>
        </is>
      </c>
      <c r="B33" s="6" t="n">
        <v>-557</v>
      </c>
      <c r="C33" s="6" t="n">
        <v>-485</v>
      </c>
      <c r="D33" s="6" t="n">
        <v>-548</v>
      </c>
      <c r="E33" s="6" t="n">
        <v>-480</v>
      </c>
      <c r="F33" s="6" t="n">
        <v>-2614</v>
      </c>
      <c r="G33" s="6" t="n">
        <v>-833</v>
      </c>
      <c r="H33" s="6" t="n">
        <v>-1735</v>
      </c>
      <c r="I33" s="6" t="n">
        <v>-6175</v>
      </c>
      <c r="J33" s="6" t="n">
        <v>-249</v>
      </c>
      <c r="K33" s="6" t="n">
        <v>-323</v>
      </c>
      <c r="L33" s="6" t="n">
        <v>-751</v>
      </c>
      <c r="M33" s="6" t="n">
        <v>-150</v>
      </c>
      <c r="N33" s="6" t="n">
        <v>-744</v>
      </c>
      <c r="O33" s="6" t="n">
        <v>-1149</v>
      </c>
      <c r="P33" s="6" t="n">
        <v>-219</v>
      </c>
      <c r="Q33" s="6" t="n">
        <v>-190</v>
      </c>
      <c r="R33" s="6" t="n">
        <v>-1388</v>
      </c>
      <c r="S33" s="6" t="n">
        <v>-354</v>
      </c>
      <c r="T33" s="6" t="n">
        <v>-2298</v>
      </c>
      <c r="U33" s="6" t="n">
        <v>-4844</v>
      </c>
    </row>
    <row r="34">
      <c r="A34" s="6" t="inlineStr">
        <is>
          <t>Net (decrease)/increase in short-term borrowings</t>
        </is>
      </c>
      <c r="B34" s="6" t="n">
        <v>-61</v>
      </c>
      <c r="C34" s="6" t="n">
        <v>343</v>
      </c>
      <c r="D34" s="6" t="n">
        <v>-289</v>
      </c>
      <c r="E34" s="6" t="n">
        <v>-168</v>
      </c>
      <c r="F34" s="6" t="n">
        <v>472</v>
      </c>
      <c r="G34" s="6" t="n">
        <v>-102</v>
      </c>
      <c r="H34" s="6" t="n">
        <v>-223</v>
      </c>
      <c r="I34" s="6" t="n">
        <v>14</v>
      </c>
      <c r="J34" s="6" t="n">
        <v>-50</v>
      </c>
      <c r="K34" s="6" t="n">
        <v>-140</v>
      </c>
      <c r="L34" s="6" t="n">
        <v>308</v>
      </c>
      <c r="M34" s="6" t="n">
        <v>-14</v>
      </c>
      <c r="N34" s="6" t="n">
        <v>28</v>
      </c>
      <c r="O34" s="6" t="n">
        <v>-76</v>
      </c>
      <c r="P34" s="6" t="n">
        <v>274</v>
      </c>
      <c r="Q34" s="6" t="n">
        <v>-36</v>
      </c>
      <c r="R34" s="6" t="n">
        <v>-666</v>
      </c>
      <c r="S34" s="6" t="n">
        <v>525</v>
      </c>
      <c r="T34" s="6" t="n">
        <v>40</v>
      </c>
      <c r="U34" s="6" t="n">
        <v>-113</v>
      </c>
    </row>
    <row r="35">
      <c r="A35" s="6" t="inlineStr">
        <is>
          <t>Net (decrease)/increase in deposits</t>
        </is>
      </c>
      <c r="B35" s="6" t="n">
        <v>-408</v>
      </c>
      <c r="C35" s="6" t="n">
        <v>517</v>
      </c>
      <c r="D35" s="6" t="n">
        <v>1891</v>
      </c>
      <c r="E35" s="6" t="n">
        <v>2005</v>
      </c>
      <c r="F35" s="6" t="n">
        <v>1427</v>
      </c>
      <c r="G35" s="6" t="n">
        <v>1637</v>
      </c>
      <c r="H35" s="6" t="n">
        <v>772</v>
      </c>
      <c r="I35" s="6" t="n">
        <v>810</v>
      </c>
      <c r="J35" s="6" t="n">
        <v>319</v>
      </c>
      <c r="K35" s="6" t="n">
        <v>13</v>
      </c>
      <c r="L35" s="6" t="n">
        <v>4</v>
      </c>
      <c r="M35" s="6" t="n"/>
      <c r="N35" s="6" t="n">
        <v>-2</v>
      </c>
      <c r="O35" s="6" t="n">
        <v>3</v>
      </c>
      <c r="P35" s="6" t="n">
        <v>1</v>
      </c>
      <c r="Q35" s="6" t="n"/>
      <c r="R35" s="6" t="n">
        <v>-8</v>
      </c>
      <c r="S35" s="6" t="n">
        <v>30</v>
      </c>
      <c r="T35" s="6" t="n"/>
      <c r="U35" s="6" t="n"/>
    </row>
    <row r="36">
      <c r="A36" s="6" t="inlineStr">
        <is>
          <t>Net cash inflow/(outflow) on derivative financial instruments (FY2021 only - classified under Investing in later years' presentation, see ENTITY_NOTE)</t>
        </is>
      </c>
      <c r="B36" s="6" t="n"/>
      <c r="C36" s="6" t="n"/>
      <c r="D36" s="6" t="n"/>
      <c r="E36" s="6" t="n"/>
      <c r="F36" s="6" t="n">
        <v>44</v>
      </c>
      <c r="G36" s="6" t="n">
        <v>58</v>
      </c>
      <c r="H36" s="6" t="n">
        <v>63</v>
      </c>
      <c r="I36" s="6" t="n">
        <v>103</v>
      </c>
      <c r="J36" s="6" t="n">
        <v>32</v>
      </c>
      <c r="K36" s="6" t="n">
        <v>99</v>
      </c>
      <c r="L36" s="6" t="n">
        <v>33</v>
      </c>
      <c r="M36" s="6" t="n">
        <v>-31</v>
      </c>
      <c r="N36" s="6" t="n">
        <v>15</v>
      </c>
      <c r="O36" s="6" t="n">
        <v>6</v>
      </c>
      <c r="P36" s="6" t="n">
        <v>76</v>
      </c>
      <c r="Q36" s="6" t="n">
        <v>-117</v>
      </c>
      <c r="R36" s="6" t="n">
        <v>-46</v>
      </c>
      <c r="S36" s="6" t="n">
        <v>46</v>
      </c>
      <c r="T36" s="6" t="n">
        <v>-4</v>
      </c>
      <c r="U36" s="6" t="n"/>
    </row>
    <row r="37">
      <c r="A37" s="6" t="inlineStr">
        <is>
          <t>Increase in restricted cash (FY2021 only - classified under Investing in later years' presentation)</t>
        </is>
      </c>
      <c r="B37" s="6" t="n"/>
      <c r="C37" s="6" t="n"/>
      <c r="D37" s="6" t="n"/>
      <c r="E37" s="6" t="n"/>
      <c r="F37" s="6" t="n">
        <v>-97</v>
      </c>
      <c r="G37" s="6" t="n">
        <v>-410</v>
      </c>
      <c r="H37" s="6" t="n">
        <v>-119</v>
      </c>
      <c r="I37" s="6" t="n">
        <v>-97</v>
      </c>
      <c r="J37" s="6" t="n">
        <v>-67</v>
      </c>
      <c r="K37" s="6" t="n">
        <v>-97</v>
      </c>
      <c r="L37" s="6" t="n">
        <v>-55</v>
      </c>
      <c r="M37" s="6" t="n">
        <v>-97</v>
      </c>
      <c r="N37" s="6" t="n">
        <v>-154</v>
      </c>
      <c r="O37" s="6" t="n">
        <v>-92</v>
      </c>
      <c r="P37" s="6" t="n">
        <v>-89</v>
      </c>
      <c r="Q37" s="6" t="n">
        <v>-47</v>
      </c>
      <c r="R37" s="6" t="n">
        <v>-138</v>
      </c>
      <c r="S37" s="6" t="n">
        <v>-5</v>
      </c>
      <c r="T37" s="6" t="n">
        <v>-230</v>
      </c>
      <c r="U37" s="6" t="n"/>
    </row>
    <row r="38">
      <c r="A38" s="6" t="inlineStr">
        <is>
          <t>Decrease in restricted cash (FY2021 only - classified under Investing in later years' presentation)</t>
        </is>
      </c>
      <c r="B38" s="6" t="n"/>
      <c r="C38" s="6" t="n"/>
      <c r="D38" s="6" t="n"/>
      <c r="E38" s="6" t="n"/>
      <c r="F38" s="6" t="n">
        <v>463</v>
      </c>
      <c r="G38" s="6" t="n">
        <v>47</v>
      </c>
      <c r="H38" s="6" t="n">
        <v>120</v>
      </c>
      <c r="I38" s="6" t="n">
        <v>85</v>
      </c>
      <c r="J38" s="6" t="n">
        <v>66</v>
      </c>
      <c r="K38" s="6" t="n">
        <v>49</v>
      </c>
      <c r="L38" s="6" t="n">
        <v>89</v>
      </c>
      <c r="M38" s="6" t="n">
        <v>104</v>
      </c>
      <c r="N38" s="6" t="n">
        <v>144</v>
      </c>
      <c r="O38" s="6" t="n">
        <v>92</v>
      </c>
      <c r="P38" s="6" t="n">
        <v>185</v>
      </c>
      <c r="Q38" s="6" t="n">
        <v>57</v>
      </c>
      <c r="R38" s="6" t="n">
        <v>235</v>
      </c>
      <c r="S38" s="6" t="n"/>
      <c r="T38" s="6" t="n"/>
      <c r="U38" s="6" t="n"/>
    </row>
    <row r="39">
      <c r="A39" s="6" t="inlineStr">
        <is>
          <t>(Increase)/decrease in cash associated with securitisation transactions (FY2007-FY2009 only)</t>
        </is>
      </c>
      <c r="B39" s="6" t="n"/>
      <c r="C39" s="6" t="n"/>
      <c r="D39" s="6" t="n"/>
      <c r="E39" s="6" t="n"/>
      <c r="F39" s="6" t="n"/>
      <c r="G39" s="6" t="n"/>
      <c r="H39" s="6" t="n"/>
      <c r="I39" s="6" t="n"/>
      <c r="J39" s="6" t="n"/>
      <c r="K39" s="6" t="n"/>
      <c r="L39" s="6" t="n"/>
      <c r="M39" s="6" t="n"/>
      <c r="N39" s="6" t="n"/>
      <c r="O39" s="6" t="n"/>
      <c r="P39" s="6" t="n"/>
      <c r="Q39" s="6" t="n"/>
      <c r="R39" s="6" t="n">
        <v>114</v>
      </c>
      <c r="S39" s="6" t="n">
        <v>53</v>
      </c>
      <c r="T39" s="6" t="n">
        <v>-259</v>
      </c>
      <c r="U39" s="6" t="n"/>
    </row>
    <row r="40">
      <c r="A40" s="6" t="inlineStr">
        <is>
          <t>Capital contribution from parent undertaking (FY2006-FY2007 only)</t>
        </is>
      </c>
      <c r="B40" s="6" t="n"/>
      <c r="C40" s="6" t="n"/>
      <c r="D40" s="6" t="n"/>
      <c r="E40" s="6" t="n"/>
      <c r="F40" s="6" t="n"/>
      <c r="G40" s="6" t="n"/>
      <c r="H40" s="6" t="n"/>
      <c r="I40" s="6" t="n"/>
      <c r="J40" s="6" t="n"/>
      <c r="K40" s="6" t="n"/>
      <c r="L40" s="6" t="n"/>
      <c r="M40" s="6" t="n"/>
      <c r="N40" s="6" t="n"/>
      <c r="O40" s="6" t="n"/>
      <c r="P40" s="6" t="n"/>
      <c r="Q40" s="6" t="n"/>
      <c r="R40" s="6" t="n"/>
      <c r="S40" s="6" t="n"/>
      <c r="T40" s="6" t="n"/>
      <c r="U40" s="6" t="n">
        <v>38</v>
      </c>
    </row>
    <row r="41">
      <c r="A41" s="6" t="inlineStr">
        <is>
          <t>Dividend paid</t>
        </is>
      </c>
      <c r="B41" s="6" t="n">
        <v>-500</v>
      </c>
      <c r="C41" s="6" t="n">
        <v>0</v>
      </c>
      <c r="D41" s="6" t="n">
        <v>0</v>
      </c>
      <c r="E41" s="6" t="n">
        <v>-600</v>
      </c>
      <c r="F41" s="6" t="n">
        <v>-300</v>
      </c>
      <c r="G41" s="6" t="n"/>
      <c r="H41" s="6" t="n"/>
      <c r="I41" s="6" t="n"/>
      <c r="J41" s="6" t="n"/>
      <c r="K41" s="6" t="n"/>
      <c r="L41" s="6" t="n"/>
      <c r="M41" s="6" t="n"/>
      <c r="N41" s="6" t="n"/>
      <c r="O41" s="6" t="n">
        <v>-315</v>
      </c>
      <c r="P41" s="6" t="n">
        <v>-370</v>
      </c>
      <c r="Q41" s="6" t="n">
        <v>-390</v>
      </c>
      <c r="R41" s="6" t="n">
        <v>-85</v>
      </c>
      <c r="S41" s="6" t="n">
        <v>-190</v>
      </c>
      <c r="T41" s="6" t="n">
        <v>-250</v>
      </c>
      <c r="U41" s="6" t="n"/>
    </row>
    <row r="42">
      <c r="A42" s="5" t="inlineStr">
        <is>
          <t>Net cash (used in)/generated from financing activities</t>
        </is>
      </c>
      <c r="B42" s="5" t="n">
        <v>-1111</v>
      </c>
      <c r="C42" s="5" t="n">
        <v>441</v>
      </c>
      <c r="D42" s="5" t="n">
        <v>1041</v>
      </c>
      <c r="E42" s="5" t="n">
        <v>1946</v>
      </c>
      <c r="F42" s="5" t="n">
        <v>-3447</v>
      </c>
      <c r="G42" s="5" t="n">
        <v>-2125</v>
      </c>
      <c r="H42" s="5" t="n">
        <v>-514</v>
      </c>
      <c r="I42" s="5" t="n">
        <v>1773</v>
      </c>
      <c r="J42" s="5" t="n">
        <v>1388</v>
      </c>
      <c r="K42" s="5" t="n">
        <v>855</v>
      </c>
      <c r="L42" s="5" t="n">
        <v>2054</v>
      </c>
      <c r="M42" s="5" t="n">
        <v>1099</v>
      </c>
      <c r="N42" s="5" t="n">
        <v>-128</v>
      </c>
      <c r="O42" s="5" t="n">
        <v>-1057</v>
      </c>
      <c r="P42" s="5" t="n">
        <v>-171</v>
      </c>
      <c r="Q42" s="5" t="n">
        <v>-1806</v>
      </c>
      <c r="R42" s="5" t="n">
        <v>-4209</v>
      </c>
      <c r="S42" s="5" t="n">
        <v>101</v>
      </c>
      <c r="T42" s="5" t="n">
        <v>193</v>
      </c>
      <c r="U42" s="5" t="n">
        <v>-698</v>
      </c>
    </row>
    <row r="43">
      <c r="A43" s="5" t="inlineStr">
        <is>
          <t>Net (decrease)/increase in cash and cash equivalents</t>
        </is>
      </c>
      <c r="B43" s="5" t="n">
        <v>-162</v>
      </c>
      <c r="C43" s="5" t="n">
        <v>-381</v>
      </c>
      <c r="D43" s="5" t="n">
        <v>47</v>
      </c>
      <c r="E43" s="5" t="n">
        <v>658</v>
      </c>
      <c r="F43" s="5" t="n">
        <v>-161</v>
      </c>
      <c r="G43" s="5" t="n">
        <v>555</v>
      </c>
      <c r="H43" s="5" t="n">
        <v>-372</v>
      </c>
      <c r="I43" s="5" t="n">
        <v>331</v>
      </c>
      <c r="J43" s="5" t="n">
        <v>-124</v>
      </c>
      <c r="K43" s="5" t="n">
        <v>-173</v>
      </c>
      <c r="L43" s="5" t="n">
        <v>69</v>
      </c>
      <c r="M43" s="5" t="n">
        <v>-514</v>
      </c>
      <c r="N43" s="5" t="n">
        <v>-290</v>
      </c>
      <c r="O43" s="5" t="n">
        <v>-216</v>
      </c>
      <c r="P43" s="5" t="n">
        <v>846</v>
      </c>
      <c r="Q43" s="5" t="n">
        <v>-393</v>
      </c>
      <c r="R43" s="5" t="n">
        <v>262</v>
      </c>
      <c r="S43" s="5" t="n">
        <v>757</v>
      </c>
      <c r="T43" s="5" t="n">
        <v>-15</v>
      </c>
      <c r="U43" s="5" t="n">
        <v>86</v>
      </c>
    </row>
    <row r="44">
      <c r="A44" s="6" t="inlineStr">
        <is>
          <t>Cash and cash equivalents at beginning of year</t>
        </is>
      </c>
      <c r="B44" s="6" t="n">
        <v>1253</v>
      </c>
      <c r="C44" s="6" t="n">
        <v>2557</v>
      </c>
      <c r="D44" s="6" t="n">
        <v>2536</v>
      </c>
      <c r="E44" s="6" t="n">
        <v>1822</v>
      </c>
      <c r="F44" s="6" t="n">
        <v>2048</v>
      </c>
      <c r="G44" s="6" t="n">
        <v>1453</v>
      </c>
      <c r="H44" s="6" t="n">
        <v>1879</v>
      </c>
      <c r="I44" s="6" t="n">
        <v>1544</v>
      </c>
      <c r="J44" s="6" t="n">
        <v>1654</v>
      </c>
      <c r="K44" s="6" t="n">
        <v>1669</v>
      </c>
      <c r="L44" s="6" t="n">
        <v>1625</v>
      </c>
      <c r="M44" s="6" t="n">
        <v>2209</v>
      </c>
      <c r="N44" s="6" t="n">
        <v>2475</v>
      </c>
      <c r="O44" s="6" t="n">
        <v>2689</v>
      </c>
      <c r="P44" s="6" t="n">
        <v>1926</v>
      </c>
      <c r="Q44" s="6" t="n">
        <v>2352</v>
      </c>
      <c r="R44" s="6" t="n">
        <v>987</v>
      </c>
      <c r="S44" s="6" t="n">
        <v>277</v>
      </c>
      <c r="T44" s="6" t="n">
        <v>257</v>
      </c>
      <c r="U44" s="6" t="n">
        <v>897</v>
      </c>
    </row>
    <row r="45">
      <c r="A45" s="6" t="inlineStr">
        <is>
          <t>Effect of exchange rate changes on cash and cash equivalents</t>
        </is>
      </c>
      <c r="B45" s="6" t="n">
        <v>20</v>
      </c>
      <c r="C45" s="6" t="n">
        <v>-50</v>
      </c>
      <c r="D45" s="6" t="n">
        <v>-26</v>
      </c>
      <c r="E45" s="6" t="n">
        <v>56</v>
      </c>
      <c r="F45" s="6" t="n">
        <v>-65</v>
      </c>
      <c r="G45" s="6" t="n">
        <v>40</v>
      </c>
      <c r="H45" s="6" t="n">
        <v>-54</v>
      </c>
      <c r="I45" s="6" t="n">
        <v>4</v>
      </c>
      <c r="J45" s="6" t="n">
        <v>14</v>
      </c>
      <c r="K45" s="6" t="n">
        <v>158</v>
      </c>
      <c r="L45" s="6" t="n">
        <v>-25</v>
      </c>
      <c r="M45" s="6" t="n">
        <v>-70</v>
      </c>
      <c r="N45" s="6" t="n">
        <v>24</v>
      </c>
      <c r="O45" s="6" t="n">
        <v>2</v>
      </c>
      <c r="P45" s="6" t="n">
        <v>-83</v>
      </c>
      <c r="Q45" s="6" t="n">
        <v>-33</v>
      </c>
      <c r="R45" s="6" t="n">
        <v>-6</v>
      </c>
      <c r="S45" s="6" t="n">
        <v>-47</v>
      </c>
      <c r="T45" s="6" t="n">
        <v>-12</v>
      </c>
      <c r="U45" s="6" t="n">
        <v>17</v>
      </c>
    </row>
    <row r="46">
      <c r="A46" s="6" t="inlineStr">
        <is>
          <t>Cash and cash equivalents in respect of discontinued operations</t>
        </is>
      </c>
      <c r="B46" s="6" t="n"/>
      <c r="C46" s="6" t="n">
        <v>-873</v>
      </c>
      <c r="D46" s="6" t="n"/>
      <c r="E46" s="6" t="n"/>
      <c r="F46" s="6" t="n"/>
      <c r="G46" s="6" t="n"/>
      <c r="H46" s="6" t="n"/>
      <c r="I46" s="6" t="n"/>
      <c r="J46" s="6" t="n"/>
      <c r="K46" s="6" t="n"/>
      <c r="L46" s="6" t="n"/>
      <c r="M46" s="6" t="n"/>
      <c r="N46" s="6" t="n"/>
      <c r="O46" s="6" t="n"/>
      <c r="P46" s="6" t="n"/>
      <c r="Q46" s="6" t="n"/>
      <c r="R46" s="6" t="n"/>
      <c r="S46" s="6" t="n"/>
      <c r="T46" s="6" t="n"/>
      <c r="U46" s="6" t="n"/>
    </row>
    <row r="47">
      <c r="A47" s="5" t="inlineStr">
        <is>
          <t>Cash and cash equivalents at end of year</t>
        </is>
      </c>
      <c r="B47" s="5" t="n">
        <v>1111</v>
      </c>
      <c r="C47" s="5" t="n">
        <v>1253</v>
      </c>
      <c r="D47" s="5" t="n">
        <v>2557</v>
      </c>
      <c r="E47" s="5" t="n">
        <v>2536</v>
      </c>
      <c r="F47" s="5" t="n">
        <v>1822</v>
      </c>
      <c r="G47" s="5" t="n">
        <v>2048</v>
      </c>
      <c r="H47" s="5" t="n">
        <v>1453</v>
      </c>
      <c r="I47" s="5" t="n">
        <v>1879</v>
      </c>
      <c r="J47" s="5" t="n">
        <v>1544</v>
      </c>
      <c r="K47" s="5" t="n">
        <v>1654</v>
      </c>
      <c r="L47" s="5" t="n">
        <v>1669</v>
      </c>
      <c r="M47" s="5" t="n">
        <v>1625</v>
      </c>
      <c r="N47" s="5" t="n">
        <v>2209</v>
      </c>
      <c r="O47" s="5" t="n">
        <v>2475</v>
      </c>
      <c r="P47" s="5" t="n">
        <v>2689</v>
      </c>
      <c r="Q47" s="5" t="n">
        <v>1926</v>
      </c>
      <c r="R47" s="5" t="n">
        <v>1243</v>
      </c>
      <c r="S47" s="5" t="n">
        <v>987</v>
      </c>
      <c r="T47" s="5" t="n">
        <v>230</v>
      </c>
      <c r="U47" s="5" t="n">
        <v>1000</v>
      </c>
    </row>
    <row r="49" ht="340" customHeight="1">
      <c r="A49" s="8" t="inlineStr">
        <is>
          <t>Sources - all figures are FCE Bank Plc's own consolidated (Group) Statement of Cash Flows, each year's own originally-published figures (not a later year's restated comparative):
FY2025: Annual Report 2025, p.53 (Statements of Cash Flows) - https://find-and-update.company-information.service.gov.uk/company/00772784/filing-history/MzUxMTcwMTU1NGFkaXF6a2N4/document?format=pdf&amp;download=0
FY2024: Annual Report 2024, p.58 (Statements of Cash Flows) - https://find-and-update.company-information.service.gov.uk/company/00772784/filing-history/MzQ2MTUzNDU1OGFkaXF6a2N4/document?format=pdf&amp;download=0
FY2023: Annual Report 2023, p.55 (Statements of Cash Flows) - https://find-and-update.company-information.service.gov.uk/company/00772784/filing-history/MzQxNTY0NTE3NGFkaXF6a2N4/document?format=pdf&amp;download=0
FY2022: Annual Report 2022 (AMENDED filing, 30 Oct 2023), p.53 (Statements of Cash Flows) - https://find-and-update.company-information.service.gov.uk/company/00772784/filing-history/MzM5ODE1MjYzNmFkaXF6a2N4/document?format=pdf&amp;download=0
FY2021: Annual Report 2021, p.49 (Statements of Cash Flow) - https://find-and-update.company-information.service.gov.uk/company/00772784/filing-history/MzMzMzk0NjU4NWFkaXF6a2N4/document?format=pdf&amp;download=0
FY2020: Annual Report 2020, p.52 (Statements of Cash Flows, Group column) - https://web.archive.org/web/20220615085358/https://www.fcebank.com/pdf/investor_center/2020_Annual_Report.pdf
FY2019: Annual Report 2019, p.46 (Statements of Cash Flows, Group column) - https://web.archive.org/web/20220615085141/https://www.fcebank.com/pdf/investor_center/2019_Annual_Report.pdf
FY2018: Annual Report 2018, p.40 (Statements of Cash Flows, Group column) - https://web.archive.org/web/20220615085110/https://www.fcebank.com/pdf/investor_center/2018_Annual_Report.pdf
FY2017: Annual Report 2017, p.32 (Statements of Cash Flows, Group column) - https://web.archive.org/web/20220615085008/https://www.fcebank.com/pdf/investor_center/2017_Annual_Report.pdf
FY2016: Annual Report 2016, p.61 (Statements of Cash Flows, Group column) - https://web.archive.org/web/20220615085027/https://www.fcebank.com/pdf/investor_center/2016_annual_report.pdf
FY2015: Annual Report 2015, p.61 (Statements of Cash Flows, Group column) - https://web.archive.org/web/20220615085018/https://www.fcebank.com/pdf/investor_center/2015_annual_report.pdf
FY2014: Annual Report and Accounts 2014, p.40 (Statements of cash flows, Group column) - https://web.archive.org/web/20220615085021/https://www.fcebank.com/pdf/investor_center/2014_annual_accts.pdf
FY2013: Annual Report and Accounts 2013, p.42 (Statements of cash flows, Group column) - https://web.archive.org/web/20220615085139/https://www.fcebank.com/pdf/investor_center/2013_annual_accts.pdf
FY2012: Annual Report and Accounts 2012, p.42 (Statements of cash flows, Group column) - https://web.archive.org/web/20220620211159/https://www.fcebank.com/pdf/investor_center/2012_annual_report_account.pdf
FY2011: Annual Report and Accounts 2011, p.41-42 (Statements of cash flows, Group column) - https://web.archive.org/web/20220615085005/https://www.fcebank.com/pdf/investor_center/2011_Annual_FCEReport.pdf
FY2010: Annual Report and Accounts 2010, p.39-40 (Statements of cash flows, Group column) - https://web.archive.org/web/20220615085039/https://www.fcebank.com/pdf/investor_center/2010_Annual_FCEReport.pdf
FY2009: Annual Report and Accounts 2009, p.42-43 (Statements of Cash Flows, Group column) - https://web.archive.org/web/20220615085056/https://www.fcebank.com/pdf/investor_center/2009_Annual_FCEReport.pdf
FY2008: Annual Report and Accounts 2008, p.49 (Cash flow statements, Group column) - https://web.archive.org/web/20220615085100/https://www.fcebank.com/pdf/investor_center/2008_Annual_FCEReport.pdf
FY2007: Annual Report and Accounts 2007, p.40-41 (Cash flow statements, Group column) - https://web.archive.org/web/20220615085155/https://www.fcebank.com/pdf/investor_center/2007_Annual_FCEReport.pdf
FY2006: Annual Report and Accounts 2006, p.2 (own PDF's local page numbering restarts here - Cash flow statements, Group column) - https://web.archive.org/web/20220615085046/https://www.fcebank.com/pdf/investor_center/2006_Annual_FCEReport.pdf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HD-076 (FY2006-FY2013): every year's own Cash Flow Statement was used directly (not a later year's restated comparative), per project convention - but this repeatedly exposes a genuine, confirmed DISCONTINUITY in FCE's own reported cash-and-cash-equivalents figure at three year boundaries, each independently verified against both years' own primary source (not a transcription error): (1) FY2006/FY2007 - FY2006's own report states its own 31 Dec 2006 closing balance as £1,000m (Group), but FY2007's own report states the SAME date's opening balance as £257m; (2) FY2007/FY2008 - £230m closing (FY2007's own report) vs £277m opening (FY2008's own report); (3) FY2009/FY2010 - £1,243m closing (FY2009's own report, plain 'Cash and cash equivalents') vs £2,352m opening (FY2010's own report, newly relabelled 'Cash and cash equivalents LESS OVERDRAFTS' - the explicit definitional change, coinciding with FY2010's first-ever 'Marketable securities' balance sheet line, £223m that year, plausibly reclassified into the cash-equivalents scope). FY2008/FY2009, FY2010/FY2011, FY2011/FY2012, FY2012/FY2013 and FY2013/FY2014 all reconcile exactly with no gap. Each year's own beginning/ending balance is used regardless, per project convention (never a later year's restated figure) - the reader should not expect FY2006-FY2013's ending/opening cash figures to chain smoothly across all 8 years the way FY2013-FY2025 do.</t>
        </is>
      </c>
    </row>
  </sheetData>
  <mergeCells count="1">
    <mergeCell ref="A49:U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Asset Quality</t>
        </is>
      </c>
    </row>
    <row r="2">
      <c r="A2" s="2" t="inlineStr">
        <is>
          <t>Group/Consolidated basis, £m (ratios as calculated). Retail, finance leases and wholesale receivables combined - see source note at bottom for the Retail/Wholesale portfolio split disclosed in the same note, and for the IAS 39-to-IFRS 9 methodology change at FY2018.</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Carrying Amount (GCA) by IFRS 9 stage, closing balance (FY2018 onward - IFRS 9 adopted 1 Jan 2018; FY2014-FY2017 used the IAS 39 incurred-loss model, see below)</t>
        </is>
      </c>
      <c r="B4" s="6" t="n"/>
      <c r="C4" s="6" t="n"/>
      <c r="D4" s="6" t="n"/>
      <c r="E4" s="6" t="n"/>
      <c r="F4" s="6" t="n"/>
      <c r="G4" s="6" t="n"/>
      <c r="H4" s="6" t="n"/>
      <c r="I4" s="6" t="n"/>
      <c r="J4" s="6" t="n"/>
      <c r="K4" s="6" t="n"/>
      <c r="L4" s="6" t="n"/>
      <c r="M4" s="6" t="n"/>
    </row>
    <row r="5">
      <c r="A5" s="6" t="inlineStr">
        <is>
          <t>Stage 1 GCA</t>
        </is>
      </c>
      <c r="B5" s="6" t="n">
        <v>11363</v>
      </c>
      <c r="C5" s="6" t="n">
        <v>11731</v>
      </c>
      <c r="D5" s="6" t="n">
        <v>14782</v>
      </c>
      <c r="E5" s="6" t="n">
        <v>12290</v>
      </c>
      <c r="F5" s="6" t="n">
        <v>12355</v>
      </c>
      <c r="G5" s="6" t="n">
        <v>14504</v>
      </c>
      <c r="H5" s="6" t="n">
        <v>10693</v>
      </c>
      <c r="I5" s="6" t="n">
        <v>11004</v>
      </c>
      <c r="J5" s="6" t="n"/>
      <c r="K5" s="6" t="n"/>
      <c r="L5" s="6" t="n"/>
      <c r="M5" s="6" t="n"/>
    </row>
    <row r="6">
      <c r="A6" s="6" t="inlineStr">
        <is>
          <t>Stage 2 GCA</t>
        </is>
      </c>
      <c r="B6" s="6" t="n">
        <v>127</v>
      </c>
      <c r="C6" s="6" t="n">
        <v>269</v>
      </c>
      <c r="D6" s="6" t="n">
        <v>242</v>
      </c>
      <c r="E6" s="6" t="n">
        <v>1959</v>
      </c>
      <c r="F6" s="6" t="n">
        <v>153</v>
      </c>
      <c r="G6" s="6" t="n">
        <v>1084</v>
      </c>
      <c r="H6" s="6" t="n">
        <v>7006</v>
      </c>
      <c r="I6" s="6" t="n">
        <v>7265</v>
      </c>
      <c r="J6" s="6" t="n"/>
      <c r="K6" s="6" t="n"/>
      <c r="L6" s="6" t="n"/>
      <c r="M6" s="6" t="n"/>
    </row>
    <row r="7">
      <c r="A7" s="6" t="inlineStr">
        <is>
          <t>Stage 3 GCA</t>
        </is>
      </c>
      <c r="B7" s="6" t="n">
        <v>22</v>
      </c>
      <c r="C7" s="6" t="n">
        <v>34</v>
      </c>
      <c r="D7" s="6" t="n">
        <v>108</v>
      </c>
      <c r="E7" s="6" t="n">
        <v>72</v>
      </c>
      <c r="F7" s="6" t="n">
        <v>127</v>
      </c>
      <c r="G7" s="6" t="n">
        <v>262</v>
      </c>
      <c r="H7" s="6" t="n">
        <v>188</v>
      </c>
      <c r="I7" s="6" t="n">
        <v>280</v>
      </c>
      <c r="J7" s="6" t="n"/>
      <c r="K7" s="6" t="n"/>
      <c r="L7" s="6" t="n"/>
      <c r="M7" s="6" t="n"/>
    </row>
    <row r="8">
      <c r="A8" s="5" t="inlineStr">
        <is>
          <t>Total GCA</t>
        </is>
      </c>
      <c r="B8" s="5" t="n">
        <v>11512</v>
      </c>
      <c r="C8" s="5" t="n">
        <v>12034</v>
      </c>
      <c r="D8" s="5" t="n">
        <v>15132</v>
      </c>
      <c r="E8" s="5" t="n">
        <v>14321</v>
      </c>
      <c r="F8" s="5" t="n">
        <v>12635</v>
      </c>
      <c r="G8" s="5" t="n">
        <v>15850</v>
      </c>
      <c r="H8" s="5" t="n">
        <v>17887</v>
      </c>
      <c r="I8" s="5" t="n">
        <v>18549</v>
      </c>
      <c r="J8" s="5" t="n"/>
      <c r="K8" s="5" t="n"/>
      <c r="L8" s="5" t="n"/>
      <c r="M8" s="5" t="n"/>
    </row>
    <row r="9">
      <c r="A9" s="5" t="inlineStr">
        <is>
          <t>Expected Credit Loss (ECL) allowance by IFRS 9 stage, closing balance</t>
        </is>
      </c>
      <c r="B9" s="6" t="n"/>
      <c r="C9" s="6" t="n"/>
      <c r="D9" s="6" t="n"/>
      <c r="E9" s="6" t="n"/>
      <c r="F9" s="6" t="n"/>
      <c r="G9" s="6" t="n"/>
      <c r="H9" s="6" t="n"/>
      <c r="I9" s="6" t="n"/>
      <c r="J9" s="6" t="n"/>
      <c r="K9" s="6" t="n"/>
      <c r="L9" s="6" t="n"/>
      <c r="M9" s="6" t="n"/>
    </row>
    <row r="10">
      <c r="A10" s="6" t="inlineStr">
        <is>
          <t>Stage 1 ECL</t>
        </is>
      </c>
      <c r="B10" s="6" t="n">
        <v>-20</v>
      </c>
      <c r="C10" s="6" t="n">
        <v>-12</v>
      </c>
      <c r="D10" s="6" t="n">
        <v>-16</v>
      </c>
      <c r="E10" s="6" t="n">
        <v>-16</v>
      </c>
      <c r="F10" s="6" t="n">
        <v>-30</v>
      </c>
      <c r="G10" s="6" t="n">
        <v>-34</v>
      </c>
      <c r="H10" s="6" t="n">
        <v>-20</v>
      </c>
      <c r="I10" s="6" t="n">
        <v>-21</v>
      </c>
      <c r="J10" s="6" t="n"/>
      <c r="K10" s="6" t="n"/>
      <c r="L10" s="6" t="n"/>
      <c r="M10" s="6" t="n"/>
    </row>
    <row r="11">
      <c r="A11" s="6" t="inlineStr">
        <is>
          <t>Stage 2 ECL</t>
        </is>
      </c>
      <c r="B11" s="6" t="n">
        <v>0</v>
      </c>
      <c r="C11" s="6" t="n">
        <v>-1</v>
      </c>
      <c r="D11" s="6" t="n">
        <v>-1</v>
      </c>
      <c r="E11" s="6" t="n">
        <v>-8</v>
      </c>
      <c r="F11" s="6" t="n">
        <v>-1</v>
      </c>
      <c r="G11" s="6" t="n">
        <v>-9</v>
      </c>
      <c r="H11" s="6" t="n">
        <v>-1</v>
      </c>
      <c r="I11" s="6" t="n">
        <v>-2</v>
      </c>
      <c r="J11" s="6" t="n"/>
      <c r="K11" s="6" t="n"/>
      <c r="L11" s="6" t="n"/>
      <c r="M11" s="6" t="n"/>
    </row>
    <row r="12">
      <c r="A12" s="6" t="inlineStr">
        <is>
          <t>Stage 3 ECL</t>
        </is>
      </c>
      <c r="B12" s="6" t="n">
        <v>-2</v>
      </c>
      <c r="C12" s="6" t="n">
        <v>0</v>
      </c>
      <c r="D12" s="6" t="n">
        <v>0</v>
      </c>
      <c r="E12" s="6" t="n">
        <v>0</v>
      </c>
      <c r="F12" s="6" t="n">
        <v>-2</v>
      </c>
      <c r="G12" s="6" t="n">
        <v>-3</v>
      </c>
      <c r="H12" s="6" t="n">
        <v>0</v>
      </c>
      <c r="I12" s="6" t="n">
        <v>0</v>
      </c>
      <c r="J12" s="6" t="n"/>
      <c r="K12" s="6" t="n"/>
      <c r="L12" s="6" t="n"/>
      <c r="M12" s="6" t="n"/>
    </row>
    <row r="13">
      <c r="A13" s="5" t="inlineStr">
        <is>
          <t>Total ECL</t>
        </is>
      </c>
      <c r="B13" s="5" t="n">
        <v>-22</v>
      </c>
      <c r="C13" s="5" t="n">
        <v>-13</v>
      </c>
      <c r="D13" s="5" t="n">
        <v>-17</v>
      </c>
      <c r="E13" s="5" t="n">
        <v>-24</v>
      </c>
      <c r="F13" s="5" t="n">
        <v>-33</v>
      </c>
      <c r="G13" s="5" t="n">
        <v>-46</v>
      </c>
      <c r="H13" s="5" t="n">
        <v>-21</v>
      </c>
      <c r="I13" s="5" t="n">
        <v>-23</v>
      </c>
      <c r="J13" s="5" t="n"/>
      <c r="K13" s="5" t="n"/>
      <c r="L13" s="5" t="n"/>
      <c r="M13" s="5" t="n"/>
    </row>
    <row r="14">
      <c r="A14" s="5" t="inlineStr">
        <is>
          <t>IAS 39 incurred-loss model, Retail/Wholesale impairment allowance closing balance (FY2014-FY2017 only - superseded by IFRS 9 above from FY2018)</t>
        </is>
      </c>
      <c r="B14" s="6" t="n"/>
      <c r="C14" s="6" t="n"/>
      <c r="D14" s="6" t="n"/>
      <c r="E14" s="6" t="n"/>
      <c r="F14" s="6" t="n"/>
      <c r="G14" s="6" t="n"/>
      <c r="H14" s="6" t="n"/>
      <c r="I14" s="6" t="n"/>
      <c r="J14" s="6" t="n"/>
      <c r="K14" s="6" t="n"/>
      <c r="L14" s="6" t="n"/>
      <c r="M14" s="6" t="n"/>
    </row>
    <row r="15">
      <c r="A15" s="6" t="inlineStr">
        <is>
          <t>Retail impairment allowance</t>
        </is>
      </c>
      <c r="B15" s="6" t="n"/>
      <c r="C15" s="6" t="n"/>
      <c r="D15" s="6" t="n"/>
      <c r="E15" s="6" t="n"/>
      <c r="F15" s="6" t="n"/>
      <c r="G15" s="6" t="n"/>
      <c r="H15" s="6" t="n"/>
      <c r="I15" s="6" t="n"/>
      <c r="J15" s="6" t="n">
        <v>41</v>
      </c>
      <c r="K15" s="6" t="n">
        <v>38</v>
      </c>
      <c r="L15" s="6" t="n">
        <v>30</v>
      </c>
      <c r="M15" s="6" t="n">
        <v>29</v>
      </c>
    </row>
    <row r="16">
      <c r="A16" s="6" t="inlineStr">
        <is>
          <t>Wholesale impairment allowance</t>
        </is>
      </c>
      <c r="B16" s="6" t="n"/>
      <c r="C16" s="6" t="n"/>
      <c r="D16" s="6" t="n"/>
      <c r="E16" s="6" t="n"/>
      <c r="F16" s="6" t="n"/>
      <c r="G16" s="6" t="n"/>
      <c r="H16" s="6" t="n"/>
      <c r="I16" s="6" t="n"/>
      <c r="J16" s="6" t="n">
        <v>3</v>
      </c>
      <c r="K16" s="6" t="n">
        <v>4</v>
      </c>
      <c r="L16" s="6" t="n">
        <v>2</v>
      </c>
      <c r="M16" s="6" t="n">
        <v>4</v>
      </c>
    </row>
    <row r="17">
      <c r="A17" s="5" t="inlineStr">
        <is>
          <t>Total impairment allowance (IAS 39 incurred-loss model)</t>
        </is>
      </c>
      <c r="B17" s="5" t="n"/>
      <c r="C17" s="5" t="n"/>
      <c r="D17" s="5" t="n"/>
      <c r="E17" s="5" t="n"/>
      <c r="F17" s="5" t="n"/>
      <c r="G17" s="5" t="n"/>
      <c r="H17" s="5" t="n"/>
      <c r="I17" s="5" t="n"/>
      <c r="J17" s="5" t="n">
        <v>44</v>
      </c>
      <c r="K17" s="5" t="n">
        <v>42</v>
      </c>
      <c r="L17" s="5" t="n">
        <v>32</v>
      </c>
      <c r="M17" s="5" t="n">
        <v>33</v>
      </c>
    </row>
    <row r="18">
      <c r="A18" s="5" t="inlineStr">
        <is>
          <t>Derived ratios</t>
        </is>
      </c>
      <c r="B18" s="6" t="n"/>
      <c r="C18" s="6" t="n"/>
      <c r="D18" s="6" t="n"/>
      <c r="E18" s="6" t="n"/>
      <c r="F18" s="6" t="n"/>
      <c r="G18" s="6" t="n"/>
      <c r="H18" s="6" t="n"/>
      <c r="I18" s="6" t="n"/>
      <c r="J18" s="6" t="n"/>
      <c r="K18" s="6" t="n"/>
      <c r="L18" s="6" t="n"/>
      <c r="M18" s="6" t="n"/>
    </row>
    <row r="19">
      <c r="A19" s="6" t="inlineStr">
        <is>
          <t>Stage 3 / Total GCA</t>
        </is>
      </c>
      <c r="B19" s="6" t="inlineStr">
        <is>
          <t>0.19%</t>
        </is>
      </c>
      <c r="C19" s="6" t="inlineStr">
        <is>
          <t>0.28%</t>
        </is>
      </c>
      <c r="D19" s="6" t="inlineStr">
        <is>
          <t>0.71%</t>
        </is>
      </c>
      <c r="E19" s="6" t="inlineStr">
        <is>
          <t>0.50%</t>
        </is>
      </c>
      <c r="F19" s="6" t="inlineStr">
        <is>
          <t>1.01%</t>
        </is>
      </c>
      <c r="G19" s="6" t="inlineStr">
        <is>
          <t>1.65%</t>
        </is>
      </c>
      <c r="H19" s="6" t="inlineStr">
        <is>
          <t>1.05%</t>
        </is>
      </c>
      <c r="I19" s="6" t="inlineStr">
        <is>
          <t>1.51%</t>
        </is>
      </c>
      <c r="J19" s="6" t="n"/>
      <c r="K19" s="6" t="n"/>
      <c r="L19" s="6" t="n"/>
      <c r="M19" s="6" t="n"/>
    </row>
    <row r="20">
      <c r="A20" s="6" t="inlineStr">
        <is>
          <t>Total ECL / Total GCA (overall coverage)</t>
        </is>
      </c>
      <c r="B20" s="6" t="inlineStr">
        <is>
          <t>0.19%</t>
        </is>
      </c>
      <c r="C20" s="6" t="inlineStr">
        <is>
          <t>0.11%</t>
        </is>
      </c>
      <c r="D20" s="6" t="inlineStr">
        <is>
          <t>0.11%</t>
        </is>
      </c>
      <c r="E20" s="6" t="inlineStr">
        <is>
          <t>0.17%</t>
        </is>
      </c>
      <c r="F20" s="6" t="inlineStr">
        <is>
          <t>0.26%</t>
        </is>
      </c>
      <c r="G20" s="6" t="inlineStr">
        <is>
          <t>0.29%</t>
        </is>
      </c>
      <c r="H20" s="6" t="inlineStr">
        <is>
          <t>0.12%</t>
        </is>
      </c>
      <c r="I20" s="6" t="inlineStr">
        <is>
          <t>0.12%</t>
        </is>
      </c>
      <c r="J20" s="6" t="n"/>
      <c r="K20" s="6" t="n"/>
      <c r="L20" s="6" t="n"/>
      <c r="M20" s="6" t="n"/>
    </row>
    <row r="22" ht="460" customHeight="1">
      <c r="A22" s="8" t="inlineStr">
        <is>
          <t>Sources - FCE Bank Plc's own Note 13 'Allowance for Expected Credit Losses' (IFRS 9, FY2018 onward) or Note 14/15 'Provision for Incurred Losses' (IAS 39, FY2014-FY2017), Group basis (retail, finance leases and wholesale receivables), closing balances each year:
FY2025/FY2024: Annual Report 2025, p.83 (Note 13, Group table) - https://find-and-update.company-information.service.gov.uk/company/00772784/filing-history/MzUxMTcwMTU1NGFkaXF6a2N4/document?format=pdf&amp;download=0
FY2023/FY2022: Annual Report 2023, p.83 (Note 13, Group table) - https://find-and-update.company-information.service.gov.uk/company/00772784/filing-history/MzQxNTY0NTE3NGFkaXF6a2N4/document?format=pdf&amp;download=0
FY2021: Annual Report 2021, p.78 (Note 13, Group table) - https://find-and-update.company-information.service.gov.uk/company/00772784/filing-history/MzMzMzk0NjU4NWFkaXF6a2N4/document?format=pdf&amp;download=0
FY2020: Annual Report 2020, p.83 (Note 13 GCA/ECL by stage, Group table) - https://web.archive.org/web/20220615085358/https://www.fcebank.com/pdf/investor_center/2020_Annual_Report.pdf
FY2019: Annual Report 2019, p.80 (Note 13 GCA/ECL by stage, Group table) - https://web.archive.org/web/20220615085141/https://www.fcebank.com/pdf/investor_center/2019_Annual_Report.pdf
FY2018: Annual Report 2018, p.67 (Note 14 ECL roll-forward, Group table; GCA-by-stage not separately tabulated for FY2018 itself, only recovered as FY2018 comparatives in the FY2019 report's own Note 13) - https://web.archive.org/web/20220615085110/https://www.fcebank.com/pdf/investor_center/2018_Annual_Report.pdf
FY2017: Annual Report 2017, p.59 (Note 14 'Provision for Incurred Losses', Group table, Retail/Wholesale/Total, IAS 39 - not stage-split) - https://web.archive.org/web/20220615085008/https://www.fcebank.com/pdf/investor_center/2017_Annual_Report.pdf
FY2016: Annual Report 2016, p.87 (Note 14, Group table, IAS 39) - https://web.archive.org/web/20220615085027/https://www.fcebank.com/pdf/investor_center/2016_annual_report.pdf
FY2015: Annual Report 2015, p.88 (Note 14, Group table, IAS 39) - https://web.archive.org/web/20220615085018/https://www.fcebank.com/pdf/investor_center/2015_annual_report.pdf
FY2014: Annual Report and Accounts 2014, p.68 (Note 15, Group table, IAS 39) - https://web.archive.org/web/20220615085021/https://www.fcebank.com/pdf/investor_center/2014_annual_accts.pdf
Each year's own closing balance ties exactly to the next year's own opening balance in the same note (confirmed chained across FY2014-FY2025, including across the FY2017/FY2018 IAS39-to-IFRS9 transition: FY2017's own £44m Total impairment allowance is the same figure FY2018's own Note 14 restates as its 1 Jan 2018 £27m 'Loss allowance at January 1, 2018' after IFRS 9 remeasurement on transition - a genuine one-off transition adjustment, not a data error). Portfolio Split (Retail and Finance Leases vs Wholesale) is also disclosed each year but not reproduced here for brevity - see the note itself for that breakdown.
METHODOLOGY NOTE: FY2014-FY2017 used the IAS 39 'incurred loss' model - a single Retail/Wholesale impairment allowance with no IFRS 9-style Stage 1/2/3 split, so the Stage GCA/ECL rows below are left blank for these 4 years (not comparable, not force-fit) and a separate 'Total impairment allowance (IAS 39 incurred-loss model)' row is shown instead. IFRS 9's three-stage ECL model was adopted 1 Jan 2018 - FY2018-FY2025 all use the Stage 1/2/3 GCA and ECL rows.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t>
        </is>
      </c>
    </row>
  </sheetData>
  <mergeCells count="1">
    <mergeCell ref="A22:M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 (= Tier 1 Capital, no AT1 instruments held)</t>
        </is>
      </c>
      <c r="B4" s="6" t="n">
        <v>1600</v>
      </c>
      <c r="C4" s="6" t="n">
        <v>1800</v>
      </c>
      <c r="D4" s="6" t="n">
        <v>2400</v>
      </c>
      <c r="E4" s="6" t="n">
        <v>2100</v>
      </c>
      <c r="F4" s="6" t="n">
        <v>2684</v>
      </c>
      <c r="G4" s="6" t="n">
        <v>2948</v>
      </c>
      <c r="H4" s="6" t="n">
        <v>2727</v>
      </c>
      <c r="I4" s="6" t="n">
        <v>2597</v>
      </c>
      <c r="J4" s="6" t="n">
        <v>2369</v>
      </c>
      <c r="K4" s="6" t="n">
        <v>2145</v>
      </c>
      <c r="L4" s="6" t="n">
        <v>1869</v>
      </c>
      <c r="M4" s="6" t="n">
        <v>1756</v>
      </c>
    </row>
    <row r="5" ht="60" customHeight="1">
      <c r="A5" s="7" t="inlineStr">
        <is>
          <t>Note: CALCULATED, not directly disclosed for FY2022-FY2025 (only the rounded nearest-£0.1bn chart value is published) - see the sheet's own source note for the exact FY2021 and FY2014-FY2020 figures and full methodology.</t>
        </is>
      </c>
    </row>
    <row r="7" ht="26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 Tier 1 Ratio, calculated as CET1 Capital / Total RWAs)</t>
        </is>
      </c>
      <c r="B4" s="6" t="inlineStr">
        <is>
          <t>16.59%</t>
        </is>
      </c>
      <c r="C4" s="6" t="inlineStr">
        <is>
          <t>17.61%</t>
        </is>
      </c>
      <c r="D4" s="6" t="inlineStr">
        <is>
          <t>17.16%</t>
        </is>
      </c>
      <c r="E4" s="6" t="inlineStr">
        <is>
          <t>16.65%</t>
        </is>
      </c>
      <c r="F4" s="6" t="inlineStr">
        <is>
          <t>23.58%</t>
        </is>
      </c>
      <c r="G4" s="6" t="inlineStr">
        <is>
          <t>19.54%</t>
        </is>
      </c>
      <c r="H4" s="6" t="inlineStr">
        <is>
          <t>16.54%</t>
        </is>
      </c>
      <c r="I4" s="6" t="inlineStr">
        <is>
          <t>14.84%</t>
        </is>
      </c>
      <c r="J4" s="6" t="inlineStr">
        <is>
          <t>14.67%</t>
        </is>
      </c>
      <c r="K4" s="6" t="inlineStr">
        <is>
          <t>14.53%</t>
        </is>
      </c>
      <c r="L4" s="6" t="inlineStr">
        <is>
          <t>15.27%</t>
        </is>
      </c>
      <c r="M4" s="6" t="inlineStr">
        <is>
          <t>16.30%</t>
        </is>
      </c>
    </row>
    <row r="5" ht="60" customHeight="1">
      <c r="A5" s="7" t="inlineStr">
        <is>
          <t>Note: CALCULATED, not directly disclosed for FY2022-FY2025 (only the rounded nearest-£0.1bn chart value is published) - see the sheet's own source note for the exact FY2021 and FY2014-FY2020 figures and full methodology. FY2021 and FY2014-FY2020 also independently cross-checked against the exact Pillar 3 Own Funds table each year.</t>
        </is>
      </c>
    </row>
    <row r="7" ht="26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 CET1, no AT1 instruments held)</t>
        </is>
      </c>
      <c r="B4" s="6" t="n">
        <v>1600</v>
      </c>
      <c r="C4" s="6" t="n">
        <v>1800</v>
      </c>
      <c r="D4" s="6" t="n">
        <v>2400</v>
      </c>
      <c r="E4" s="6" t="n">
        <v>2100</v>
      </c>
      <c r="F4" s="6" t="n">
        <v>2684</v>
      </c>
      <c r="G4" s="6" t="n">
        <v>2948</v>
      </c>
      <c r="H4" s="6" t="n">
        <v>2727</v>
      </c>
      <c r="I4" s="6" t="n">
        <v>2597</v>
      </c>
      <c r="J4" s="6" t="n">
        <v>2369</v>
      </c>
      <c r="K4" s="6" t="n">
        <v>2145</v>
      </c>
      <c r="L4" s="6" t="n">
        <v>1869</v>
      </c>
      <c r="M4" s="6" t="n">
        <v>1756</v>
      </c>
    </row>
    <row r="5" ht="60" customHeight="1">
      <c r="A5" s="7" t="inlineStr">
        <is>
          <t>Note: CALCULATED, not directly disclosed for FY2022-FY2025 (only the rounded nearest-£0.1bn chart value is published) - see the sheet's own source note for the exact FY2021 and FY2014-FY2020 figures and full methodology.</t>
        </is>
      </c>
    </row>
    <row r="7" ht="26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no AT1 instruments held)</t>
        </is>
      </c>
      <c r="B4" s="6" t="inlineStr">
        <is>
          <t>16.59%</t>
        </is>
      </c>
      <c r="C4" s="6" t="inlineStr">
        <is>
          <t>17.61%</t>
        </is>
      </c>
      <c r="D4" s="6" t="inlineStr">
        <is>
          <t>17.16%</t>
        </is>
      </c>
      <c r="E4" s="6" t="inlineStr">
        <is>
          <t>16.65%</t>
        </is>
      </c>
      <c r="F4" s="6" t="inlineStr">
        <is>
          <t>23.58%</t>
        </is>
      </c>
      <c r="G4" s="6" t="inlineStr">
        <is>
          <t>19.54%</t>
        </is>
      </c>
      <c r="H4" s="6" t="inlineStr">
        <is>
          <t>16.54%</t>
        </is>
      </c>
      <c r="I4" s="6" t="inlineStr">
        <is>
          <t>14.84%</t>
        </is>
      </c>
      <c r="J4" s="6" t="inlineStr">
        <is>
          <t>14.67%</t>
        </is>
      </c>
      <c r="K4" s="6" t="inlineStr">
        <is>
          <t>14.53%</t>
        </is>
      </c>
      <c r="L4" s="6" t="inlineStr">
        <is>
          <t>15.27%</t>
        </is>
      </c>
      <c r="M4" s="6" t="inlineStr">
        <is>
          <t>16.30%</t>
        </is>
      </c>
    </row>
    <row r="5" ht="60" customHeight="1">
      <c r="A5" s="7" t="inlineStr">
        <is>
          <t>Note: CALCULATED, not directly disclosed for FY2022-FY2025 (only the rounded nearest-£0.1bn chart value is published) - see the sheet's own source note for the exact FY2021 and FY2014-FY2020 figures and full methodology.</t>
        </is>
      </c>
    </row>
    <row r="7" ht="26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(Tier 1 + Tier 2)</t>
        </is>
      </c>
      <c r="B4" s="6" t="n">
        <v>1800</v>
      </c>
      <c r="C4" s="6" t="n">
        <v>2000</v>
      </c>
      <c r="D4" s="6" t="n">
        <v>2700</v>
      </c>
      <c r="E4" s="6" t="n">
        <v>2400</v>
      </c>
      <c r="F4" s="6" t="n">
        <v>2994</v>
      </c>
      <c r="G4" s="6" t="n">
        <v>3287</v>
      </c>
      <c r="H4" s="6" t="n">
        <v>3073</v>
      </c>
      <c r="I4" s="6" t="n">
        <v>2915</v>
      </c>
      <c r="J4" s="6" t="n">
        <v>2746</v>
      </c>
      <c r="K4" s="6" t="n">
        <v>2493</v>
      </c>
      <c r="L4" s="6" t="n">
        <v>2118</v>
      </c>
      <c r="M4" s="6" t="n">
        <v>2003</v>
      </c>
    </row>
    <row r="5" ht="60" customHeight="1">
      <c r="A5" s="7" t="inlineStr">
        <is>
          <t>Note: FY2022-FY2025 summed from the Annual Report's own rounded (nearest £0.1bn) Tier 1/Tier 2 chart. FY2021 and FY2014-FY2020 exact from each year's own Pillar 3 Own Funds table.</t>
        </is>
      </c>
    </row>
    <row r="7" ht="26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 Total Risk-Weighted Exposure Amounts</t>
        </is>
      </c>
      <c r="B4" s="6" t="inlineStr">
        <is>
          <t>18.66%</t>
        </is>
      </c>
      <c r="C4" s="6" t="inlineStr">
        <is>
          <t>19.57%</t>
        </is>
      </c>
      <c r="D4" s="6" t="inlineStr">
        <is>
          <t>19.30%</t>
        </is>
      </c>
      <c r="E4" s="6" t="inlineStr">
        <is>
          <t>19.03%</t>
        </is>
      </c>
      <c r="F4" s="6" t="inlineStr">
        <is>
          <t>26.20%</t>
        </is>
      </c>
      <c r="G4" s="6" t="inlineStr">
        <is>
          <t>21.79%</t>
        </is>
      </c>
      <c r="H4" s="6" t="inlineStr">
        <is>
          <t>18.64%</t>
        </is>
      </c>
      <c r="I4" s="6" t="inlineStr">
        <is>
          <t>16.66%</t>
        </is>
      </c>
      <c r="J4" s="6" t="inlineStr">
        <is>
          <t>17.00%</t>
        </is>
      </c>
      <c r="K4" s="6" t="inlineStr">
        <is>
          <t>16.89%</t>
        </is>
      </c>
      <c r="L4" s="6" t="inlineStr">
        <is>
          <t>17.31%</t>
        </is>
      </c>
      <c r="M4" s="6" t="inlineStr">
        <is>
          <t>18.6%</t>
        </is>
      </c>
    </row>
    <row r="5" ht="60" customHeight="1">
      <c r="A5" s="7" t="inlineStr">
        <is>
          <t>Note: Directly disclosed every year - either in the Annual Report's own 'Business Performance' - 'Total Capital' chart (FY2022-FY2025), or in that year's own exact Pillar 3 Own Funds table (FY2021 and FY2014-FY2020).</t>
        </is>
      </c>
    </row>
    <row r="7" ht="26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Amounts</t>
        </is>
      </c>
      <c r="B4" s="6" t="n">
        <v>9646</v>
      </c>
      <c r="C4" s="6" t="n">
        <v>10220</v>
      </c>
      <c r="D4" s="6" t="n">
        <v>13990</v>
      </c>
      <c r="E4" s="6" t="n">
        <v>12612</v>
      </c>
      <c r="F4" s="6" t="n">
        <v>11427</v>
      </c>
      <c r="G4" s="6" t="n">
        <v>15089</v>
      </c>
      <c r="H4" s="6" t="n">
        <v>16483</v>
      </c>
      <c r="I4" s="6" t="n">
        <v>17501</v>
      </c>
      <c r="J4" s="6" t="n">
        <v>16148</v>
      </c>
      <c r="K4" s="6" t="n">
        <v>14760</v>
      </c>
      <c r="L4" s="6" t="n">
        <v>12239</v>
      </c>
      <c r="M4" s="6" t="n">
        <v>10775</v>
      </c>
    </row>
    <row r="5" ht="60" customHeight="1">
      <c r="A5" s="7" t="inlineStr">
        <is>
          <t>Note: FY2021 and FY2014-FY2020 directly disclosed each year ('Total all risk types' / 'Total risk weighted assets', Pillar 3 Own Funds/RWA-split tables) - see the RWA Breakdown sheet immediately following for the full risk-category split every one of these 8 years. FY2022-FY2025 CALCULATED (Total Capital / Total Capital Ratio) - not directly disclosed in any of those years (no Pillar 3 chapter exists after FY2021).</t>
        </is>
      </c>
    </row>
    <row r="7" ht="26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RWA Breakdown</t>
        </is>
      </c>
    </row>
    <row r="2">
      <c r="A2" s="2" t="inlineStr">
        <is>
          <t>FY2014-FY2021 (Consolidated), £m. See source note at bottom for why FY2022-FY2025 are not publicly disclosed.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Credit risk</t>
        </is>
      </c>
      <c r="B4" s="6" t="n"/>
      <c r="C4" s="6" t="n"/>
      <c r="D4" s="6" t="n"/>
      <c r="E4" s="6" t="n"/>
      <c r="F4" s="6" t="n"/>
      <c r="G4" s="6" t="n"/>
      <c r="H4" s="6" t="n"/>
      <c r="I4" s="6" t="n"/>
      <c r="J4" s="6" t="n"/>
      <c r="K4" s="6" t="n"/>
      <c r="L4" s="6" t="n"/>
      <c r="M4" s="6" t="n"/>
    </row>
    <row r="5">
      <c r="A5" s="6" t="inlineStr">
        <is>
          <t>Credit risk (excl. counterparty credit risk)</t>
        </is>
      </c>
      <c r="B5" s="6" t="n"/>
      <c r="C5" s="6" t="n"/>
      <c r="D5" s="6" t="n"/>
      <c r="E5" s="6" t="n"/>
      <c r="F5" s="6" t="n">
        <v>10238</v>
      </c>
      <c r="G5" s="6" t="n">
        <v>13491</v>
      </c>
      <c r="H5" s="6" t="n">
        <v>15083</v>
      </c>
      <c r="I5" s="6" t="n">
        <v>15907</v>
      </c>
      <c r="J5" s="6" t="n">
        <v>14818</v>
      </c>
      <c r="K5" s="6" t="n">
        <v>13163</v>
      </c>
      <c r="L5" s="6" t="n">
        <v>10973</v>
      </c>
      <c r="M5" s="6" t="n">
        <v>9580</v>
      </c>
    </row>
    <row r="6">
      <c r="A6" s="6" t="inlineStr">
        <is>
          <t>Counterparty credit risk</t>
        </is>
      </c>
      <c r="B6" s="6" t="n"/>
      <c r="C6" s="6" t="n"/>
      <c r="D6" s="6" t="n"/>
      <c r="E6" s="6" t="n"/>
      <c r="F6" s="6" t="n">
        <v>56</v>
      </c>
      <c r="G6" s="6" t="n">
        <v>92</v>
      </c>
      <c r="H6" s="6" t="n">
        <v>117</v>
      </c>
      <c r="I6" s="6" t="n">
        <v>201</v>
      </c>
      <c r="J6" s="6" t="n">
        <v>253</v>
      </c>
      <c r="K6" s="6" t="n">
        <v>280</v>
      </c>
      <c r="L6" s="6" t="n">
        <v>179</v>
      </c>
      <c r="M6" s="6" t="n">
        <v>161</v>
      </c>
    </row>
    <row r="7">
      <c r="A7" s="5" t="inlineStr">
        <is>
          <t>Total credit risk</t>
        </is>
      </c>
      <c r="B7" s="5" t="n"/>
      <c r="C7" s="5" t="n"/>
      <c r="D7" s="5" t="n"/>
      <c r="E7" s="5" t="n"/>
      <c r="F7" s="5" t="n">
        <v>10294</v>
      </c>
      <c r="G7" s="5" t="n">
        <v>13583</v>
      </c>
      <c r="H7" s="5" t="n">
        <v>15200</v>
      </c>
      <c r="I7" s="5" t="n">
        <v>16108</v>
      </c>
      <c r="J7" s="5" t="n">
        <v>15071</v>
      </c>
      <c r="K7" s="5" t="n">
        <v>13443</v>
      </c>
      <c r="L7" s="5" t="n">
        <v>11152</v>
      </c>
      <c r="M7" s="5" t="n">
        <v>9741</v>
      </c>
    </row>
    <row r="8">
      <c r="A8" s="5" t="inlineStr">
        <is>
          <t>Other risk types</t>
        </is>
      </c>
      <c r="B8" s="6" t="n"/>
      <c r="C8" s="6" t="n"/>
      <c r="D8" s="6" t="n"/>
      <c r="E8" s="6" t="n"/>
      <c r="F8" s="6" t="n"/>
      <c r="G8" s="6" t="n"/>
      <c r="H8" s="6" t="n"/>
      <c r="I8" s="6" t="n"/>
      <c r="J8" s="6" t="n"/>
      <c r="K8" s="6" t="n"/>
      <c r="L8" s="6" t="n"/>
      <c r="M8" s="6" t="n"/>
    </row>
    <row r="9">
      <c r="A9" s="6" t="inlineStr">
        <is>
          <t>Credit valuation adjustment (CVA) risk</t>
        </is>
      </c>
      <c r="B9" s="6" t="n"/>
      <c r="C9" s="6" t="n"/>
      <c r="D9" s="6" t="n"/>
      <c r="E9" s="6" t="n"/>
      <c r="F9" s="6" t="n">
        <v>33</v>
      </c>
      <c r="G9" s="6" t="n">
        <v>82</v>
      </c>
      <c r="H9" s="6" t="n">
        <v>82</v>
      </c>
      <c r="I9" s="6" t="n">
        <v>140</v>
      </c>
      <c r="J9" s="6" t="n">
        <v>181</v>
      </c>
      <c r="K9" s="6" t="n">
        <v>233</v>
      </c>
      <c r="L9" s="6" t="n">
        <v>162</v>
      </c>
      <c r="M9" s="6" t="n">
        <v>158</v>
      </c>
    </row>
    <row r="10">
      <c r="A10" s="6" t="inlineStr">
        <is>
          <t>Market risk (foreign exchange risk)</t>
        </is>
      </c>
      <c r="B10" s="6" t="n"/>
      <c r="C10" s="6" t="n"/>
      <c r="D10" s="6" t="n"/>
      <c r="E10" s="6" t="n"/>
      <c r="F10" s="6" t="n">
        <v>170</v>
      </c>
      <c r="G10" s="6" t="n">
        <v>491</v>
      </c>
      <c r="H10" s="6" t="n">
        <v>268</v>
      </c>
      <c r="I10" s="6" t="n">
        <v>371</v>
      </c>
      <c r="J10" s="6" t="n">
        <v>95</v>
      </c>
      <c r="K10" s="6" t="n">
        <v>327</v>
      </c>
      <c r="L10" s="6" t="n">
        <v>192</v>
      </c>
      <c r="M10" s="6" t="n">
        <v>182</v>
      </c>
    </row>
    <row r="11">
      <c r="A11" s="6" t="inlineStr">
        <is>
          <t>Operational risk</t>
        </is>
      </c>
      <c r="B11" s="6" t="n"/>
      <c r="C11" s="6" t="n"/>
      <c r="D11" s="6" t="n"/>
      <c r="E11" s="6" t="n"/>
      <c r="F11" s="6" t="n">
        <v>930</v>
      </c>
      <c r="G11" s="6" t="n">
        <v>933</v>
      </c>
      <c r="H11" s="6" t="n">
        <v>933</v>
      </c>
      <c r="I11" s="6" t="n">
        <v>882</v>
      </c>
      <c r="J11" s="6" t="n">
        <v>801</v>
      </c>
      <c r="K11" s="6" t="n">
        <v>757</v>
      </c>
      <c r="L11" s="6" t="n">
        <v>733</v>
      </c>
      <c r="M11" s="6" t="n">
        <v>694</v>
      </c>
    </row>
    <row r="12">
      <c r="A12" s="5" t="inlineStr">
        <is>
          <t>Total all risk types (Total RWAs)</t>
        </is>
      </c>
      <c r="B12" s="5" t="n"/>
      <c r="C12" s="5" t="n"/>
      <c r="D12" s="5" t="n"/>
      <c r="E12" s="5" t="n"/>
      <c r="F12" s="5" t="n">
        <v>11427</v>
      </c>
      <c r="G12" s="5" t="n">
        <v>15089</v>
      </c>
      <c r="H12" s="5" t="n">
        <v>16483</v>
      </c>
      <c r="I12" s="5" t="n">
        <v>17501</v>
      </c>
      <c r="J12" s="5" t="n">
        <v>16148</v>
      </c>
      <c r="K12" s="5" t="n">
        <v>14760</v>
      </c>
      <c r="L12" s="5" t="n">
        <v>12239</v>
      </c>
      <c r="M12" s="5" t="n">
        <v>10775</v>
      </c>
    </row>
    <row r="14" ht="460" customHeight="1">
      <c r="A14" s="8" t="inlineStr">
        <is>
          <t>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FY2014-FY2021: directly disclosed every year, either in the standalone 2014 Pillar 3 document (Note 5 'Pillar 1 Capital Requirement: Total - Split by Risk Type', p.21) or in that year's own Annual Report's 'Pillar 3 Disclosures' chapter (Table 5 'Capital Requirement Split by Risk Type', FY2015-FY2021) - see p3_sources() above for the exact page per year. FY2022-FY2025: Not publicly disclosed - no Pillar 3 chapter exists in these years' Annual Reports (confirmed by reading each report's own contents page - no 'Pillar 3 Disclosures' section listed for FY2022 onward).</t>
        </is>
      </c>
    </row>
  </sheetData>
  <mergeCells count="1">
    <mergeCell ref="A14:M1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n"/>
      <c r="C4" s="6" t="n"/>
      <c r="D4" s="6" t="n"/>
      <c r="E4" s="6" t="n"/>
      <c r="F4" s="6" t="inlineStr">
        <is>
          <t>16.95%</t>
        </is>
      </c>
      <c r="G4" s="6" t="inlineStr">
        <is>
          <t>14.59%</t>
        </is>
      </c>
      <c r="H4" s="6" t="inlineStr">
        <is>
          <t>13.02%</t>
        </is>
      </c>
      <c r="I4" s="6" t="inlineStr">
        <is>
          <t>11.74%</t>
        </is>
      </c>
      <c r="J4" s="6" t="inlineStr">
        <is>
          <t>11.82%</t>
        </is>
      </c>
      <c r="K4" s="6" t="inlineStr">
        <is>
          <t>11.86%</t>
        </is>
      </c>
      <c r="L4" s="6" t="inlineStr">
        <is>
          <t>12.28%</t>
        </is>
      </c>
      <c r="M4" s="6" t="inlineStr">
        <is>
          <t>12.91%</t>
        </is>
      </c>
    </row>
    <row r="5" ht="60" customHeight="1">
      <c r="A5" s="7" t="inlineStr">
        <is>
          <t>Note: Directly disclosed for FY2021 and FY2014-FY2020, from each year's own dedicated 'Pillar 3 Disclosures' chapter (or, for FY2014, the standalone Pillar 3 document) - this chapter was dropped from FY2022 onward, and no leverage ratio was found anywhere in the FY2022-FY2025 reports. Not calculated for those years since no leverage exposure measure is disclosed either.</t>
        </is>
      </c>
    </row>
    <row r="7" ht="26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for any of FY2014-FY2025 - no numeric LCR value found in any of the 11 Annual Reports or the standalone 2014 Pillar 3 document reviewed, including the FY2015-FY2021 Pillar 3 Disclosures chapters' own index of every CRR disclosure article they cover (no liquidity-ratio article listed at all) and the FY2018-FY2020 narrative LCR paragraph (describes the regulation but never states FCE's own ratio). Plausibly reflects FCE Bank's captive auto-finance/wholesale-funded business model.</t>
        </is>
      </c>
    </row>
    <row r="7" ht="15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for any of FY2014-FY2025 - no NSFR reference found in any of the 11 Annual Reports or the standalone 2014 Pillar 3 document reviewed, including the FY2015-FY2021 Pillar 3 Disclosures chapters' own index of every CRR disclosure article they cover (no liquidity-ratio article listed at all).</t>
        </is>
      </c>
    </row>
    <row r="7" ht="15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for any of FY2014-FY2025 - no MREL reference found in any of the 11 Annual Reports or the standalone 2014 Pillar 3 document reviewed.</t>
        </is>
      </c>
    </row>
    <row r="7" ht="15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2026-09-07T10:52:33Z</dcterms:created>
  <dcterms:modified xmlns:dcterms="http://purl.org/dc/terms/" xmlns:xsi="http://www.w3.org/2001/XMLSchema-instance" xsi:type="dcterms:W3CDTF">2026-09-07T10:52:33Z</dcterms:modified>
</cp:coreProperties>
</file>