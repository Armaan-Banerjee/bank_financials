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881D78"/>
        <bgColor rgb="00881D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FCE Bank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'Overview'!X6</f>
            </strRef>
          </tx>
          <spPr>
            <a:ln xmlns:a="http://schemas.openxmlformats.org/drawingml/2006/main">
              <a:prstDash val="solid"/>
            </a:ln>
          </spPr>
          <cat>
            <numRef>
              <f>'Overview'!$Y$5:$AR$5</f>
            </numRef>
          </cat>
          <val>
            <numRef>
              <f>'Overview'!$Y$6:$AR$6</f>
            </numRef>
          </val>
        </ser>
        <ser>
          <idx val="1"/>
          <order val="1"/>
          <tx>
            <strRef>
              <f>'Overview'!X7</f>
            </strRef>
          </tx>
          <spPr>
            <a:ln xmlns:a="http://schemas.openxmlformats.org/drawingml/2006/main">
              <a:prstDash val="solid"/>
            </a:ln>
          </spPr>
          <cat>
            <numRef>
              <f>'Overview'!$Y$5:$AR$5</f>
            </numRef>
          </cat>
          <val>
            <numRef>
              <f>'Overview'!$Y$7:$AR$7</f>
            </numRef>
          </val>
        </ser>
        <ser>
          <idx val="2"/>
          <order val="2"/>
          <tx>
            <strRef>
              <f>'Overview'!X8</f>
            </strRef>
          </tx>
          <spPr>
            <a:ln xmlns:a="http://schemas.openxmlformats.org/drawingml/2006/main">
              <a:prstDash val="solid"/>
            </a:ln>
          </spPr>
          <cat>
            <numRef>
              <f>'Overview'!$Y$5:$AR$5</f>
            </numRef>
          </cat>
          <val>
            <numRef>
              <f>'Overview'!$Y$8:$AR$8</f>
            </numRef>
          </val>
        </ser>
        <ser>
          <idx val="3"/>
          <order val="3"/>
          <tx>
            <strRef>
              <f>'Overview'!X9</f>
            </strRef>
          </tx>
          <spPr>
            <a:ln xmlns:a="http://schemas.openxmlformats.org/drawingml/2006/main">
              <a:prstDash val="solid"/>
            </a:ln>
          </spPr>
          <cat>
            <numRef>
              <f>'Overview'!$Y$5:$AR$5</f>
            </numRef>
          </cat>
          <val>
            <numRef>
              <f>'Overview'!$Y$9:$AR$9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FCE Bank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'Overview'!AU13</f>
            </strRef>
          </tx>
          <spPr>
            <a:ln xmlns:a="http://schemas.openxmlformats.org/drawingml/2006/main">
              <a:prstDash val="solid"/>
            </a:ln>
          </spPr>
          <cat>
            <numRef>
              <f>'Overview'!$AV$12:$BO$12</f>
            </numRef>
          </cat>
          <val>
            <numRef>
              <f>'Overview'!$AV$13:$BO$13</f>
            </numRef>
          </val>
        </ser>
        <ser>
          <idx val="1"/>
          <order val="1"/>
          <tx>
            <strRef>
              <f>'Overview'!AU14</f>
            </strRef>
          </tx>
          <spPr>
            <a:ln xmlns:a="http://schemas.openxmlformats.org/drawingml/2006/main">
              <a:prstDash val="solid"/>
            </a:ln>
          </spPr>
          <cat>
            <numRef>
              <f>'Overview'!$AV$12:$BO$12</f>
            </numRef>
          </cat>
          <val>
            <numRef>
              <f>'Overview'!$AV$14:$BO$14</f>
            </numRef>
          </val>
        </ser>
        <ser>
          <idx val="2"/>
          <order val="2"/>
          <tx>
            <strRef>
              <f>'Overview'!AU15</f>
            </strRef>
          </tx>
          <spPr>
            <a:ln xmlns:a="http://schemas.openxmlformats.org/drawingml/2006/main">
              <a:prstDash val="solid"/>
            </a:ln>
          </spPr>
          <cat>
            <numRef>
              <f>'Overview'!$AV$12:$BO$12</f>
            </numRef>
          </cat>
          <val>
            <numRef>
              <f>'Overview'!$AV$15:$BO$15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FCE Bank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'Overview'!BR19</f>
            </strRef>
          </tx>
          <spPr>
            <a:ln xmlns:a="http://schemas.openxmlformats.org/drawingml/2006/main">
              <a:prstDash val="solid"/>
            </a:ln>
          </spPr>
          <cat>
            <numRef>
              <f>'Overview'!$BS$18:$CD$18</f>
            </numRef>
          </cat>
          <val>
            <numRef>
              <f>'Overview'!$BS$19:$CD$19</f>
            </numRef>
          </val>
        </ser>
        <ser>
          <idx val="1"/>
          <order val="1"/>
          <tx>
            <strRef>
              <f>'Overview'!BR20</f>
            </strRef>
          </tx>
          <spPr>
            <a:ln xmlns:a="http://schemas.openxmlformats.org/drawingml/2006/main">
              <a:prstDash val="solid"/>
            </a:ln>
          </spPr>
          <cat>
            <numRef>
              <f>'Overview'!$BS$18:$CD$18</f>
            </numRef>
          </cat>
          <val>
            <numRef>
              <f>'Overview'!$BS$20:$CD$20</f>
            </numRef>
          </val>
        </ser>
        <ser>
          <idx val="2"/>
          <order val="2"/>
          <tx>
            <strRef>
              <f>'Overview'!BR21</f>
            </strRef>
          </tx>
          <spPr>
            <a:ln xmlns:a="http://schemas.openxmlformats.org/drawingml/2006/main">
              <a:prstDash val="solid"/>
            </a:ln>
          </spPr>
          <cat>
            <numRef>
              <f>'Overview'!$BS$18:$CD$18</f>
            </numRef>
          </cat>
          <val>
            <numRef>
              <f>'Overview'!$BS$21:$CD$21</f>
            </numRef>
          </val>
        </ser>
        <ser>
          <idx val="3"/>
          <order val="3"/>
          <tx>
            <strRef>
              <f>'Overview'!BR22</f>
            </strRef>
          </tx>
          <spPr>
            <a:ln xmlns:a="http://schemas.openxmlformats.org/drawingml/2006/main">
              <a:prstDash val="solid"/>
            </a:ln>
          </spPr>
          <cat>
            <numRef>
              <f>'Overview'!$BS$18:$CD$18</f>
            </numRef>
          </cat>
          <val>
            <numRef>
              <f>'Overview'!$BS$22:$CD$22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FCE Bank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'Overview'!CG26</f>
            </strRef>
          </tx>
          <spPr>
            <a:ln xmlns:a="http://schemas.openxmlformats.org/drawingml/2006/main">
              <a:prstDash val="solid"/>
            </a:ln>
          </spPr>
          <cat>
            <numRef>
              <f>'Overview'!$CH$25:$DA$25</f>
            </numRef>
          </cat>
          <val>
            <numRef>
              <f>'Overview'!$CH$26:$DA$26</f>
            </numRef>
          </val>
        </ser>
        <ser>
          <idx val="1"/>
          <order val="1"/>
          <tx>
            <strRef>
              <f>'Overview'!CG27</f>
            </strRef>
          </tx>
          <spPr>
            <a:ln xmlns:a="http://schemas.openxmlformats.org/drawingml/2006/main">
              <a:prstDash val="solid"/>
            </a:ln>
          </spPr>
          <cat>
            <numRef>
              <f>'Overview'!$CH$25:$DA$25</f>
            </numRef>
          </cat>
          <val>
            <numRef>
              <f>'Overview'!$CH$27:$DA$27</f>
            </numRef>
          </val>
        </ser>
        <ser>
          <idx val="2"/>
          <order val="2"/>
          <tx>
            <strRef>
              <f>'Overview'!CG28</f>
            </strRef>
          </tx>
          <spPr>
            <a:ln xmlns:a="http://schemas.openxmlformats.org/drawingml/2006/main">
              <a:prstDash val="solid"/>
            </a:ln>
          </spPr>
          <cat>
            <numRef>
              <f>'Overview'!$CH$25:$DA$25</f>
            </numRef>
          </cat>
          <val>
            <numRef>
              <f>'Overview'!$CH$28:$DA$28</f>
            </numRef>
          </val>
        </ser>
        <ser>
          <idx val="3"/>
          <order val="3"/>
          <tx>
            <strRef>
              <f>'Overview'!CG29</f>
            </strRef>
          </tx>
          <spPr>
            <a:ln xmlns:a="http://schemas.openxmlformats.org/drawingml/2006/main">
              <a:prstDash val="solid"/>
            </a:ln>
          </spPr>
          <cat>
            <numRef>
              <f>'Overview'!$CH$25:$DA$25</f>
            </numRef>
          </cat>
          <val>
            <numRef>
              <f>'Overview'!$CH$29:$DA$29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FCE Bank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'Overview'!DD6</f>
            </strRef>
          </tx>
          <spPr>
            <a:ln xmlns:a="http://schemas.openxmlformats.org/drawingml/2006/main">
              <a:prstDash val="solid"/>
            </a:ln>
          </spPr>
          <marker>
            <symbol val="none"/>
            <spPr>
              <a:ln xmlns:a="http://schemas.openxmlformats.org/drawingml/2006/main">
                <a:prstDash val="solid"/>
              </a:ln>
            </spPr>
          </marker>
          <cat>
            <numRef>
              <f>'Overview'!$DE$5:$DP$5</f>
            </numRef>
          </cat>
          <val>
            <numRef>
              <f>'Overview'!$DE$6:$DP$6</f>
            </numRef>
          </val>
          <smooth val="0"/>
        </ser>
        <ser>
          <idx val="1"/>
          <order val="1"/>
          <tx>
            <strRef>
              <f>'Overview'!DD7</f>
            </strRef>
          </tx>
          <spPr>
            <a:ln xmlns:a="http://schemas.openxmlformats.org/drawingml/2006/main">
              <a:prstDash val="solid"/>
            </a:ln>
          </spPr>
          <marker>
            <symbol val="none"/>
            <spPr>
              <a:ln xmlns:a="http://schemas.openxmlformats.org/drawingml/2006/main">
                <a:prstDash val="solid"/>
              </a:ln>
            </spPr>
          </marker>
          <cat>
            <numRef>
              <f>'Overview'!$DE$5:$DP$5</f>
            </numRef>
          </cat>
          <val>
            <numRef>
              <f>'Overview'!$DE$7:$DP$7</f>
            </numRef>
          </val>
          <smooth val="0"/>
        </ser>
        <ser>
          <idx val="2"/>
          <order val="2"/>
          <tx>
            <strRef>
              <f>'Overview'!DD8</f>
            </strRef>
          </tx>
          <spPr>
            <a:ln xmlns:a="http://schemas.openxmlformats.org/drawingml/2006/main">
              <a:prstDash val="solid"/>
            </a:ln>
          </spPr>
          <marker>
            <symbol val="none"/>
            <spPr>
              <a:ln xmlns:a="http://schemas.openxmlformats.org/drawingml/2006/main">
                <a:prstDash val="solid"/>
              </a:ln>
            </spPr>
          </marker>
          <cat>
            <numRef>
              <f>'Overview'!$DE$5:$DP$5</f>
            </numRef>
          </cat>
          <val>
            <numRef>
              <f>'Overview'!$DE$8:$DP$8</f>
            </numRef>
          </val>
          <smooth val="0"/>
        </ser>
        <ser>
          <idx val="3"/>
          <order val="3"/>
          <tx>
            <strRef>
              <f>'Overview'!DD9</f>
            </strRef>
          </tx>
          <spPr>
            <a:ln xmlns:a="http://schemas.openxmlformats.org/drawingml/2006/main">
              <a:prstDash val="solid"/>
            </a:ln>
          </spPr>
          <marker>
            <symbol val="none"/>
            <spPr>
              <a:ln xmlns:a="http://schemas.openxmlformats.org/drawingml/2006/main">
                <a:prstDash val="solid"/>
              </a:ln>
            </spPr>
          </marker>
          <cat>
            <numRef>
              <f>'Overview'!$DE$5:$DP$5</f>
            </numRef>
          </cat>
          <val>
            <numRef>
              <f>'Overview'!$DE$9:$DP$9</f>
            </numRef>
          </val>
          <smooth val="0"/>
        </ser>
        <ser>
          <idx val="4"/>
          <order val="4"/>
          <tx>
            <strRef>
              <f>'Overview'!DD10</f>
            </strRef>
          </tx>
          <spPr>
            <a:ln xmlns:a="http://schemas.openxmlformats.org/drawingml/2006/main">
              <a:prstDash val="solid"/>
            </a:ln>
          </spPr>
          <marker>
            <symbol val="none"/>
            <spPr>
              <a:ln xmlns:a="http://schemas.openxmlformats.org/drawingml/2006/main">
                <a:prstDash val="solid"/>
              </a:ln>
            </spPr>
          </marker>
          <cat>
            <numRef>
              <f>'Overview'!$DE$5:$DP$5</f>
            </numRef>
          </cat>
          <val>
            <numRef>
              <f>'Overview'!$DE$10:$DP$10</f>
            </numRef>
          </val>
          <smooth val="0"/>
        </ser>
        <ser>
          <idx val="5"/>
          <order val="5"/>
          <tx>
            <strRef>
              <f>'Overview'!DD11</f>
            </strRef>
          </tx>
          <spPr>
            <a:ln xmlns:a="http://schemas.openxmlformats.org/drawingml/2006/main">
              <a:prstDash val="solid"/>
            </a:ln>
          </spPr>
          <marker>
            <symbol val="none"/>
            <spPr>
              <a:ln xmlns:a="http://schemas.openxmlformats.org/drawingml/2006/main">
                <a:prstDash val="solid"/>
              </a:ln>
            </spPr>
          </marker>
          <cat>
            <numRef>
              <f>'Overview'!$DE$5:$DP$5</f>
            </numRef>
          </cat>
          <val>
            <numRef>
              <f>'Overview'!$DE$11:$DP$11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P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 hidden="1" width="13" customWidth="1" min="89" max="89"/>
    <col hidden="1" width="13" customWidth="1" min="90" max="90"/>
    <col hidden="1" width="13" customWidth="1" min="91" max="91"/>
    <col hidden="1" width="13" customWidth="1" min="92" max="92"/>
    <col hidden="1" width="13" customWidth="1" min="93" max="93"/>
    <col hidden="1" width="13" customWidth="1" min="94" max="94"/>
    <col hidden="1" width="13" customWidth="1" min="95" max="95"/>
    <col hidden="1" width="13" customWidth="1" min="96" max="96"/>
    <col hidden="1" width="13" customWidth="1" min="97" max="97"/>
    <col hidden="1" width="13" customWidth="1" min="98" max="98"/>
    <col hidden="1" width="13" customWidth="1" min="99" max="99"/>
    <col hidden="1" width="13" customWidth="1" min="100" max="100"/>
    <col hidden="1" width="13" customWidth="1" min="101" max="101"/>
    <col hidden="1" width="13" customWidth="1" min="102" max="102"/>
    <col hidden="1" width="13" customWidth="1" min="103" max="103"/>
    <col hidden="1" width="13" customWidth="1" min="104" max="104"/>
    <col hidden="1" width="13" customWidth="1" min="105" max="105"/>
    <col hidden="1" width="13" customWidth="1" min="106" max="106"/>
    <col hidden="1" width="13" customWidth="1" min="107" max="107"/>
    <col hidden="1" width="13" customWidth="1" min="108" max="108"/>
    <col hidden="1" width="13" customWidth="1" min="109" max="109"/>
    <col hidden="1" width="13" customWidth="1" min="110" max="110"/>
    <col hidden="1" width="13" customWidth="1" min="111" max="111"/>
    <col hidden="1" width="13" customWidth="1" min="112" max="112"/>
    <col hidden="1" width="13" customWidth="1" min="113" max="113"/>
    <col hidden="1" width="13" customWidth="1" min="114" max="114"/>
    <col hidden="1" width="13" customWidth="1" min="115" max="115"/>
    <col hidden="1" width="13" customWidth="1" min="116" max="116"/>
    <col hidden="1" width="13" customWidth="1" min="117" max="117"/>
    <col hidden="1" width="13" customWidth="1" min="118" max="118"/>
    <col hidden="1" width="13" customWidth="1" min="119" max="119"/>
    <col hidden="1" width="13" customWidth="1" min="120" max="120"/>
  </cols>
  <sheetData>
    <row r="1">
      <c r="A1" s="1" t="inlineStr">
        <is>
          <t>FCE Bank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M5" s="4" t="inlineStr">
        <is>
          <t>FY2014</t>
        </is>
      </c>
      <c r="N5" s="4" t="inlineStr">
        <is>
          <t>FY2013</t>
        </is>
      </c>
      <c r="O5" s="4" t="inlineStr">
        <is>
          <t>FY2012</t>
        </is>
      </c>
      <c r="P5" s="4" t="inlineStr">
        <is>
          <t>FY2011</t>
        </is>
      </c>
      <c r="Q5" s="4" t="inlineStr">
        <is>
          <t>FY2010</t>
        </is>
      </c>
      <c r="R5" s="4" t="inlineStr">
        <is>
          <t>FY2009</t>
        </is>
      </c>
      <c r="S5" s="4" t="inlineStr">
        <is>
          <t>FY2008</t>
        </is>
      </c>
      <c r="T5" s="4" t="inlineStr">
        <is>
          <t>FY2007</t>
        </is>
      </c>
      <c r="U5" s="4" t="inlineStr">
        <is>
          <t>FY2006</t>
        </is>
      </c>
      <c r="Y5" t="inlineStr">
        <is>
          <t>FY2006</t>
        </is>
      </c>
      <c r="Z5" t="inlineStr">
        <is>
          <t>FY2007</t>
        </is>
      </c>
      <c r="AA5" t="inlineStr">
        <is>
          <t>FY2008</t>
        </is>
      </c>
      <c r="AB5" t="inlineStr">
        <is>
          <t>FY2009</t>
        </is>
      </c>
      <c r="AC5" t="inlineStr">
        <is>
          <t>FY2010</t>
        </is>
      </c>
      <c r="AD5" t="inlineStr">
        <is>
          <t>FY2011</t>
        </is>
      </c>
      <c r="AE5" t="inlineStr">
        <is>
          <t>FY2012</t>
        </is>
      </c>
      <c r="AF5" t="inlineStr">
        <is>
          <t>FY2013</t>
        </is>
      </c>
      <c r="AG5" t="inlineStr">
        <is>
          <t>FY2014</t>
        </is>
      </c>
      <c r="AH5" t="inlineStr">
        <is>
          <t>FY2015</t>
        </is>
      </c>
      <c r="AI5" t="inlineStr">
        <is>
          <t>FY2016</t>
        </is>
      </c>
      <c r="AJ5" t="inlineStr">
        <is>
          <t>FY2017</t>
        </is>
      </c>
      <c r="AK5" t="inlineStr">
        <is>
          <t>FY2018</t>
        </is>
      </c>
      <c r="AL5" t="inlineStr">
        <is>
          <t>FY2019</t>
        </is>
      </c>
      <c r="AM5" t="inlineStr">
        <is>
          <t>FY2020</t>
        </is>
      </c>
      <c r="AN5" t="inlineStr">
        <is>
          <t>FY2021</t>
        </is>
      </c>
      <c r="AO5" t="inlineStr">
        <is>
          <t>FY2022</t>
        </is>
      </c>
      <c r="AP5" t="inlineStr">
        <is>
          <t>FY2023</t>
        </is>
      </c>
      <c r="AQ5" t="inlineStr">
        <is>
          <t>FY2024</t>
        </is>
      </c>
      <c r="AR5" t="inlineStr">
        <is>
          <t>FY2025</t>
        </is>
      </c>
      <c r="DE5" t="inlineStr">
        <is>
          <t>FY2014</t>
        </is>
      </c>
      <c r="DF5" t="inlineStr">
        <is>
          <t>FY2015</t>
        </is>
      </c>
      <c r="DG5" t="inlineStr">
        <is>
          <t>FY2016</t>
        </is>
      </c>
      <c r="DH5" t="inlineStr">
        <is>
          <t>FY2017</t>
        </is>
      </c>
      <c r="DI5" t="inlineStr">
        <is>
          <t>FY2018</t>
        </is>
      </c>
      <c r="DJ5" t="inlineStr">
        <is>
          <t>FY2019</t>
        </is>
      </c>
      <c r="DK5" t="inlineStr">
        <is>
          <t>FY2020</t>
        </is>
      </c>
      <c r="DL5" t="inlineStr">
        <is>
          <t>FY2021</t>
        </is>
      </c>
      <c r="DM5" t="inlineStr">
        <is>
          <t>FY2022</t>
        </is>
      </c>
      <c r="DN5" t="inlineStr">
        <is>
          <t>FY2023</t>
        </is>
      </c>
      <c r="DO5" t="inlineStr">
        <is>
          <t>FY2024</t>
        </is>
      </c>
      <c r="DP5" t="inlineStr">
        <is>
          <t>FY2025</t>
        </is>
      </c>
    </row>
    <row r="6">
      <c r="A6" s="5" t="inlineStr">
        <is>
          <t>Total assets</t>
        </is>
      </c>
      <c r="B6" s="5" t="n">
        <v>13095</v>
      </c>
      <c r="C6" s="5" t="n">
        <v>13837</v>
      </c>
      <c r="D6" s="5" t="n">
        <v>18630</v>
      </c>
      <c r="E6" s="5" t="n">
        <v>17803</v>
      </c>
      <c r="F6" s="5" t="n">
        <v>15065</v>
      </c>
      <c r="G6" s="5" t="n">
        <v>19534</v>
      </c>
      <c r="H6" s="5" t="n">
        <v>20539</v>
      </c>
      <c r="I6" s="5" t="n">
        <v>21695</v>
      </c>
      <c r="J6" s="5" t="n">
        <v>19598</v>
      </c>
      <c r="K6" s="5" t="n">
        <v>17626</v>
      </c>
      <c r="L6" s="5" t="n">
        <v>14863</v>
      </c>
      <c r="M6" s="5" t="n">
        <v>13049</v>
      </c>
      <c r="N6" s="5" t="n">
        <v>12272</v>
      </c>
      <c r="O6" s="5" t="n">
        <v>12078</v>
      </c>
      <c r="P6" s="5" t="n">
        <v>13432</v>
      </c>
      <c r="Q6" s="5" t="n">
        <v>14012</v>
      </c>
      <c r="R6" s="5" t="n">
        <v>16208</v>
      </c>
      <c r="S6" s="5" t="n">
        <v>21640</v>
      </c>
      <c r="T6" s="5" t="n">
        <v>18169</v>
      </c>
      <c r="U6" s="5" t="n">
        <v>16962</v>
      </c>
      <c r="X6" t="inlineStr">
        <is>
          <t>Total assets</t>
        </is>
      </c>
      <c r="Y6" t="n">
        <v>16962</v>
      </c>
      <c r="Z6" t="n">
        <v>18169</v>
      </c>
      <c r="AA6" t="n">
        <v>21640</v>
      </c>
      <c r="AB6" t="n">
        <v>16208</v>
      </c>
      <c r="AC6" t="n">
        <v>14012</v>
      </c>
      <c r="AD6" t="n">
        <v>13432</v>
      </c>
      <c r="AE6" t="n">
        <v>12078</v>
      </c>
      <c r="AF6" t="n">
        <v>12272</v>
      </c>
      <c r="AG6" t="n">
        <v>13049</v>
      </c>
      <c r="AH6" t="n">
        <v>14863</v>
      </c>
      <c r="AI6" t="n">
        <v>17626</v>
      </c>
      <c r="AJ6" t="n">
        <v>19598</v>
      </c>
      <c r="AK6" t="n">
        <v>21695</v>
      </c>
      <c r="AL6" t="n">
        <v>20539</v>
      </c>
      <c r="AM6" t="n">
        <v>19534</v>
      </c>
      <c r="AN6" t="n">
        <v>15065</v>
      </c>
      <c r="AO6" t="n">
        <v>17803</v>
      </c>
      <c r="AP6" t="n">
        <v>18630</v>
      </c>
      <c r="AQ6" t="n">
        <v>13837</v>
      </c>
      <c r="AR6" t="n">
        <v>13095</v>
      </c>
      <c r="DD6" t="inlineStr">
        <is>
          <t>CET1 Ratio</t>
        </is>
      </c>
      <c r="DE6" t="n">
        <v>16.3</v>
      </c>
      <c r="DF6" t="n">
        <v>15.27</v>
      </c>
      <c r="DG6" t="n">
        <v>14.53</v>
      </c>
      <c r="DH6" t="n">
        <v>14.67</v>
      </c>
      <c r="DI6" t="n">
        <v>14.84</v>
      </c>
      <c r="DJ6" t="n">
        <v>16.54</v>
      </c>
      <c r="DK6" t="n">
        <v>19.54</v>
      </c>
      <c r="DL6" t="n">
        <v>23.58</v>
      </c>
      <c r="DM6" t="n">
        <v>16.55</v>
      </c>
      <c r="DN6" t="n">
        <v>17.1</v>
      </c>
      <c r="DO6" t="n">
        <v>17.17</v>
      </c>
      <c r="DP6" t="n">
        <v>16.17</v>
      </c>
    </row>
    <row r="7">
      <c r="A7" s="5" t="inlineStr">
        <is>
          <t>Loans and advances to customers</t>
        </is>
      </c>
      <c r="B7" s="5" t="n">
        <v>11490</v>
      </c>
      <c r="C7" s="5" t="n">
        <v>12021</v>
      </c>
      <c r="D7" s="5" t="n">
        <v>15115</v>
      </c>
      <c r="E7" s="5" t="n">
        <v>14297</v>
      </c>
      <c r="F7" s="5" t="n">
        <v>12602</v>
      </c>
      <c r="G7" s="5" t="n">
        <v>15804</v>
      </c>
      <c r="H7" s="5" t="n">
        <v>17866</v>
      </c>
      <c r="I7" s="5" t="n">
        <v>18526</v>
      </c>
      <c r="J7" s="5" t="n">
        <v>16798</v>
      </c>
      <c r="K7" s="5" t="n">
        <v>14800</v>
      </c>
      <c r="L7" s="5" t="n">
        <v>12439</v>
      </c>
      <c r="M7" s="5" t="n">
        <v>10548</v>
      </c>
      <c r="N7" s="5" t="n">
        <v>9351</v>
      </c>
      <c r="O7" s="5" t="n">
        <v>8703</v>
      </c>
      <c r="P7" s="5" t="n">
        <v>9811</v>
      </c>
      <c r="Q7" s="5" t="n">
        <v>10818</v>
      </c>
      <c r="R7" s="5" t="n">
        <v>12472</v>
      </c>
      <c r="S7" s="5" t="n">
        <v>17346</v>
      </c>
      <c r="T7" s="5" t="n">
        <v>15536</v>
      </c>
      <c r="U7" s="5" t="n">
        <v>14868</v>
      </c>
      <c r="X7" t="inlineStr">
        <is>
          <t>Loans and advances to customers</t>
        </is>
      </c>
      <c r="Y7" t="n">
        <v>14868</v>
      </c>
      <c r="Z7" t="n">
        <v>15536</v>
      </c>
      <c r="AA7" t="n">
        <v>17346</v>
      </c>
      <c r="AB7" t="n">
        <v>12472</v>
      </c>
      <c r="AC7" t="n">
        <v>10818</v>
      </c>
      <c r="AD7" t="n">
        <v>9811</v>
      </c>
      <c r="AE7" t="n">
        <v>8703</v>
      </c>
      <c r="AF7" t="n">
        <v>9351</v>
      </c>
      <c r="AG7" t="n">
        <v>10548</v>
      </c>
      <c r="AH7" t="n">
        <v>12439</v>
      </c>
      <c r="AI7" t="n">
        <v>14800</v>
      </c>
      <c r="AJ7" t="n">
        <v>16798</v>
      </c>
      <c r="AK7" t="n">
        <v>18526</v>
      </c>
      <c r="AL7" t="n">
        <v>17866</v>
      </c>
      <c r="AM7" t="n">
        <v>15804</v>
      </c>
      <c r="AN7" t="n">
        <v>12602</v>
      </c>
      <c r="AO7" t="n">
        <v>14297</v>
      </c>
      <c r="AP7" t="n">
        <v>15115</v>
      </c>
      <c r="AQ7" t="n">
        <v>12021</v>
      </c>
      <c r="AR7" t="n">
        <v>11490</v>
      </c>
      <c r="DD7" t="inlineStr">
        <is>
          <t>Total Capital Ratio</t>
        </is>
      </c>
      <c r="DE7" t="n">
        <v>18.6</v>
      </c>
      <c r="DF7" t="n">
        <v>17.31</v>
      </c>
      <c r="DG7" t="n">
        <v>16.89</v>
      </c>
      <c r="DH7" t="n">
        <v>17</v>
      </c>
      <c r="DI7" t="n">
        <v>16.66</v>
      </c>
      <c r="DJ7" t="n">
        <v>18.64</v>
      </c>
      <c r="DK7" t="n">
        <v>21.79</v>
      </c>
      <c r="DL7" t="n">
        <v>26.2</v>
      </c>
      <c r="DM7" t="n">
        <v>19.03</v>
      </c>
      <c r="DN7" t="n">
        <v>19.3</v>
      </c>
      <c r="DO7" t="n">
        <v>19.57</v>
      </c>
      <c r="DP7" t="n">
        <v>18.66</v>
      </c>
    </row>
    <row r="8">
      <c r="A8" s="5" t="inlineStr">
        <is>
          <t>Deposits</t>
        </is>
      </c>
      <c r="B8" s="5" t="n">
        <v>5892</v>
      </c>
      <c r="C8" s="5" t="n">
        <v>6300</v>
      </c>
      <c r="D8" s="5" t="n">
        <v>8962</v>
      </c>
      <c r="E8" s="5" t="n">
        <v>7131</v>
      </c>
      <c r="F8" s="5" t="n">
        <v>5001</v>
      </c>
      <c r="G8" s="5" t="n">
        <v>3609</v>
      </c>
      <c r="H8" s="5" t="n">
        <v>1970</v>
      </c>
      <c r="I8" s="5" t="n">
        <v>1198</v>
      </c>
      <c r="J8" s="5" t="n">
        <v>388</v>
      </c>
      <c r="K8" s="5" t="n">
        <v>69</v>
      </c>
      <c r="L8" s="5" t="n">
        <v>56</v>
      </c>
      <c r="M8" s="5" t="n">
        <v>51</v>
      </c>
      <c r="N8" s="5" t="n">
        <v>51</v>
      </c>
      <c r="O8" s="5" t="n">
        <v>53</v>
      </c>
      <c r="P8" s="5" t="n">
        <v>50</v>
      </c>
      <c r="Q8" s="5" t="n">
        <v>49</v>
      </c>
      <c r="R8" s="5" t="n">
        <v>22</v>
      </c>
      <c r="S8" s="5" t="n">
        <v>30</v>
      </c>
      <c r="T8" s="5" t="n"/>
      <c r="U8" s="5" t="n"/>
      <c r="X8" t="inlineStr">
        <is>
          <t>Deposits</t>
        </is>
      </c>
      <c r="AA8" t="n">
        <v>30</v>
      </c>
      <c r="AB8" t="n">
        <v>22</v>
      </c>
      <c r="AC8" t="n">
        <v>49</v>
      </c>
      <c r="AD8" t="n">
        <v>50</v>
      </c>
      <c r="AE8" t="n">
        <v>53</v>
      </c>
      <c r="AF8" t="n">
        <v>51</v>
      </c>
      <c r="AG8" t="n">
        <v>51</v>
      </c>
      <c r="AH8" t="n">
        <v>56</v>
      </c>
      <c r="AI8" t="n">
        <v>69</v>
      </c>
      <c r="AJ8" t="n">
        <v>388</v>
      </c>
      <c r="AK8" t="n">
        <v>1198</v>
      </c>
      <c r="AL8" t="n">
        <v>1970</v>
      </c>
      <c r="AM8" t="n">
        <v>3609</v>
      </c>
      <c r="AN8" t="n">
        <v>5001</v>
      </c>
      <c r="AO8" t="n">
        <v>7131</v>
      </c>
      <c r="AP8" t="n">
        <v>8962</v>
      </c>
      <c r="AQ8" t="n">
        <v>6300</v>
      </c>
      <c r="AR8" t="n">
        <v>5892</v>
      </c>
      <c r="DD8" t="inlineStr">
        <is>
          <t>Leverage Ratio (incl. central bank claims, FY2014-FY2021 basis)</t>
        </is>
      </c>
      <c r="DE8" t="n">
        <v>12.91</v>
      </c>
      <c r="DF8" t="n">
        <v>12.28</v>
      </c>
      <c r="DG8" t="n">
        <v>11.86</v>
      </c>
      <c r="DH8" t="n">
        <v>11.82</v>
      </c>
      <c r="DI8" t="n">
        <v>11.74</v>
      </c>
      <c r="DJ8" t="n">
        <v>13.02</v>
      </c>
      <c r="DK8" t="n">
        <v>14.59</v>
      </c>
      <c r="DL8" t="n">
        <v>16.95</v>
      </c>
    </row>
    <row r="9">
      <c r="A9" s="5" t="inlineStr">
        <is>
          <t>Total equity</t>
        </is>
      </c>
      <c r="B9" s="5" t="n">
        <v>1704</v>
      </c>
      <c r="C9" s="5" t="n">
        <v>2065</v>
      </c>
      <c r="D9" s="5" t="n">
        <v>2556</v>
      </c>
      <c r="E9" s="5" t="n">
        <v>2502</v>
      </c>
      <c r="F9" s="5" t="n">
        <v>2742</v>
      </c>
      <c r="G9" s="5" t="n">
        <v>3003</v>
      </c>
      <c r="H9" s="5" t="n">
        <v>2779</v>
      </c>
      <c r="I9" s="5" t="n">
        <v>2647</v>
      </c>
      <c r="J9" s="5" t="n">
        <v>2408</v>
      </c>
      <c r="K9" s="5" t="n">
        <v>2182</v>
      </c>
      <c r="L9" s="5" t="n">
        <v>1902</v>
      </c>
      <c r="M9" s="5" t="n">
        <v>1791</v>
      </c>
      <c r="N9" s="5" t="n">
        <v>1715</v>
      </c>
      <c r="O9" s="5" t="n">
        <v>2025</v>
      </c>
      <c r="P9" s="5" t="n">
        <v>2301</v>
      </c>
      <c r="Q9" s="5" t="n">
        <v>2598</v>
      </c>
      <c r="R9" s="5" t="n">
        <v>2886</v>
      </c>
      <c r="S9" s="5" t="n">
        <v>2962</v>
      </c>
      <c r="T9" s="5" t="n">
        <v>2455</v>
      </c>
      <c r="U9" s="5" t="n">
        <v>2347</v>
      </c>
      <c r="X9" t="inlineStr">
        <is>
          <t>Total equity</t>
        </is>
      </c>
      <c r="Y9" t="n">
        <v>2347</v>
      </c>
      <c r="Z9" t="n">
        <v>2455</v>
      </c>
      <c r="AA9" t="n">
        <v>2962</v>
      </c>
      <c r="AB9" t="n">
        <v>2886</v>
      </c>
      <c r="AC9" t="n">
        <v>2598</v>
      </c>
      <c r="AD9" t="n">
        <v>2301</v>
      </c>
      <c r="AE9" t="n">
        <v>2025</v>
      </c>
      <c r="AF9" t="n">
        <v>1715</v>
      </c>
      <c r="AG9" t="n">
        <v>1791</v>
      </c>
      <c r="AH9" t="n">
        <v>1902</v>
      </c>
      <c r="AI9" t="n">
        <v>2182</v>
      </c>
      <c r="AJ9" t="n">
        <v>2408</v>
      </c>
      <c r="AK9" t="n">
        <v>2647</v>
      </c>
      <c r="AL9" t="n">
        <v>2779</v>
      </c>
      <c r="AM9" t="n">
        <v>3003</v>
      </c>
      <c r="AN9" t="n">
        <v>2742</v>
      </c>
      <c r="AO9" t="n">
        <v>2502</v>
      </c>
      <c r="AP9" t="n">
        <v>2556</v>
      </c>
      <c r="AQ9" t="n">
        <v>2065</v>
      </c>
      <c r="AR9" t="n">
        <v>1704</v>
      </c>
      <c r="DD9" t="inlineStr">
        <is>
          <t>Leverage Ratio (excl. central bank claims, FY2022-FY2025 basis)</t>
        </is>
      </c>
      <c r="DM9" t="n">
        <v>13.23</v>
      </c>
      <c r="DN9" t="n">
        <v>14.02</v>
      </c>
      <c r="DO9" t="n">
        <v>13.49</v>
      </c>
      <c r="DP9" t="n">
        <v>12.93</v>
      </c>
    </row>
    <row r="10">
      <c r="DD10" t="inlineStr">
        <is>
          <t>LCR</t>
        </is>
      </c>
      <c r="DM10" t="n">
        <v>238</v>
      </c>
      <c r="DN10" t="n">
        <v>260</v>
      </c>
      <c r="DO10" t="n">
        <v>359</v>
      </c>
      <c r="DP10" t="n">
        <v>303</v>
      </c>
    </row>
    <row r="11">
      <c r="A11" s="3" t="inlineStr">
        <is>
          <t>Profit &amp; Loss Summary (£m)</t>
        </is>
      </c>
      <c r="DD11" t="inlineStr">
        <is>
          <t>NSFR</t>
        </is>
      </c>
      <c r="DM11" t="n">
        <v>133</v>
      </c>
      <c r="DN11" t="n">
        <v>139</v>
      </c>
      <c r="DO11" t="n">
        <v>135</v>
      </c>
      <c r="DP11" t="n">
        <v>135</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L12" s="4" t="inlineStr">
        <is>
          <t>FY2015</t>
        </is>
      </c>
      <c r="M12" s="4" t="inlineStr">
        <is>
          <t>FY2014</t>
        </is>
      </c>
      <c r="N12" s="4" t="inlineStr">
        <is>
          <t>FY2013</t>
        </is>
      </c>
      <c r="O12" s="4" t="inlineStr">
        <is>
          <t>FY2012</t>
        </is>
      </c>
      <c r="P12" s="4" t="inlineStr">
        <is>
          <t>FY2011</t>
        </is>
      </c>
      <c r="Q12" s="4" t="inlineStr">
        <is>
          <t>FY2010</t>
        </is>
      </c>
      <c r="R12" s="4" t="inlineStr">
        <is>
          <t>FY2009</t>
        </is>
      </c>
      <c r="S12" s="4" t="inlineStr">
        <is>
          <t>FY2008</t>
        </is>
      </c>
      <c r="T12" s="4" t="inlineStr">
        <is>
          <t>FY2007</t>
        </is>
      </c>
      <c r="U12" s="4" t="inlineStr">
        <is>
          <t>FY2006</t>
        </is>
      </c>
      <c r="AV12" t="inlineStr">
        <is>
          <t>FY2006</t>
        </is>
      </c>
      <c r="AW12" t="inlineStr">
        <is>
          <t>FY2007</t>
        </is>
      </c>
      <c r="AX12" t="inlineStr">
        <is>
          <t>FY2008</t>
        </is>
      </c>
      <c r="AY12" t="inlineStr">
        <is>
          <t>FY2009</t>
        </is>
      </c>
      <c r="AZ12" t="inlineStr">
        <is>
          <t>FY2010</t>
        </is>
      </c>
      <c r="BA12" t="inlineStr">
        <is>
          <t>FY2011</t>
        </is>
      </c>
      <c r="BB12" t="inlineStr">
        <is>
          <t>FY2012</t>
        </is>
      </c>
      <c r="BC12" t="inlineStr">
        <is>
          <t>FY2013</t>
        </is>
      </c>
      <c r="BD12" t="inlineStr">
        <is>
          <t>FY2014</t>
        </is>
      </c>
      <c r="BE12" t="inlineStr">
        <is>
          <t>FY2015</t>
        </is>
      </c>
      <c r="BF12" t="inlineStr">
        <is>
          <t>FY2016</t>
        </is>
      </c>
      <c r="BG12" t="inlineStr">
        <is>
          <t>FY2017</t>
        </is>
      </c>
      <c r="BH12" t="inlineStr">
        <is>
          <t>FY2018</t>
        </is>
      </c>
      <c r="BI12" t="inlineStr">
        <is>
          <t>FY2019</t>
        </is>
      </c>
      <c r="BJ12" t="inlineStr">
        <is>
          <t>FY2020</t>
        </is>
      </c>
      <c r="BK12" t="inlineStr">
        <is>
          <t>FY2021</t>
        </is>
      </c>
      <c r="BL12" t="inlineStr">
        <is>
          <t>FY2022</t>
        </is>
      </c>
      <c r="BM12" t="inlineStr">
        <is>
          <t>FY2023</t>
        </is>
      </c>
      <c r="BN12" t="inlineStr">
        <is>
          <t>FY2024</t>
        </is>
      </c>
      <c r="BO12" t="inlineStr">
        <is>
          <t>FY2025</t>
        </is>
      </c>
    </row>
    <row r="13">
      <c r="A13" s="5" t="inlineStr">
        <is>
          <t>Total income</t>
        </is>
      </c>
      <c r="B13" s="5" t="n">
        <v>422</v>
      </c>
      <c r="C13" s="5" t="n">
        <v>405</v>
      </c>
      <c r="D13" s="5" t="n">
        <v>575</v>
      </c>
      <c r="E13" s="5" t="n">
        <v>516</v>
      </c>
      <c r="F13" s="5" t="n">
        <v>599</v>
      </c>
      <c r="G13" s="5" t="n">
        <v>736</v>
      </c>
      <c r="H13" s="5" t="n">
        <v>1019</v>
      </c>
      <c r="I13" s="5" t="n">
        <v>939</v>
      </c>
      <c r="J13" s="5" t="n">
        <v>843</v>
      </c>
      <c r="K13" s="5" t="n">
        <v>697</v>
      </c>
      <c r="L13" s="5" t="n">
        <v>598</v>
      </c>
      <c r="M13" s="5" t="n">
        <v>609</v>
      </c>
      <c r="N13" s="5" t="n">
        <v>634</v>
      </c>
      <c r="O13" s="5" t="n">
        <v>574</v>
      </c>
      <c r="P13" s="5" t="n">
        <v>570</v>
      </c>
      <c r="Q13" s="5" t="n">
        <v>564</v>
      </c>
      <c r="R13" s="5" t="n">
        <v>648</v>
      </c>
      <c r="S13" s="5" t="n">
        <v>757</v>
      </c>
      <c r="T13" s="5" t="n">
        <v>672</v>
      </c>
      <c r="U13" s="5" t="n">
        <v>722</v>
      </c>
      <c r="AU13" t="inlineStr">
        <is>
          <t>Total income</t>
        </is>
      </c>
      <c r="AV13" t="n">
        <v>722</v>
      </c>
      <c r="AW13" t="n">
        <v>672</v>
      </c>
      <c r="AX13" t="n">
        <v>757</v>
      </c>
      <c r="AY13" t="n">
        <v>648</v>
      </c>
      <c r="AZ13" t="n">
        <v>564</v>
      </c>
      <c r="BA13" t="n">
        <v>570</v>
      </c>
      <c r="BB13" t="n">
        <v>574</v>
      </c>
      <c r="BC13" t="n">
        <v>634</v>
      </c>
      <c r="BD13" t="n">
        <v>609</v>
      </c>
      <c r="BE13" t="n">
        <v>598</v>
      </c>
      <c r="BF13" t="n">
        <v>697</v>
      </c>
      <c r="BG13" t="n">
        <v>843</v>
      </c>
      <c r="BH13" t="n">
        <v>939</v>
      </c>
      <c r="BI13" t="n">
        <v>1019</v>
      </c>
      <c r="BJ13" t="n">
        <v>736</v>
      </c>
      <c r="BK13" t="n">
        <v>599</v>
      </c>
      <c r="BL13" t="n">
        <v>516</v>
      </c>
      <c r="BM13" t="n">
        <v>575</v>
      </c>
      <c r="BN13" t="n">
        <v>405</v>
      </c>
      <c r="BO13" t="n">
        <v>422</v>
      </c>
    </row>
    <row r="14">
      <c r="A14" s="5" t="inlineStr">
        <is>
          <t>Operating expenses</t>
        </is>
      </c>
      <c r="B14" s="5" t="n">
        <v>-265</v>
      </c>
      <c r="C14" s="5" t="n">
        <v>-243</v>
      </c>
      <c r="D14" s="5" t="n">
        <v>-287</v>
      </c>
      <c r="E14" s="5" t="n">
        <v>-255</v>
      </c>
      <c r="F14" s="5" t="n">
        <v>-239</v>
      </c>
      <c r="G14" s="5" t="n">
        <v>-275</v>
      </c>
      <c r="H14" s="5" t="n">
        <v>-276</v>
      </c>
      <c r="I14" s="5" t="n">
        <v>-305</v>
      </c>
      <c r="J14" s="5" t="n">
        <v>-260</v>
      </c>
      <c r="K14" s="5" t="n">
        <v>-292</v>
      </c>
      <c r="L14" s="5" t="n">
        <v>-200</v>
      </c>
      <c r="M14" s="5" t="n">
        <v>-204</v>
      </c>
      <c r="N14" s="5" t="n">
        <v>-232</v>
      </c>
      <c r="O14" s="5" t="n">
        <v>-216</v>
      </c>
      <c r="P14" s="5" t="n">
        <v>-201</v>
      </c>
      <c r="Q14" s="5" t="n">
        <v>-215</v>
      </c>
      <c r="R14" s="5" t="n">
        <v>-205</v>
      </c>
      <c r="S14" s="5" t="n">
        <v>-243</v>
      </c>
      <c r="T14" s="5" t="n">
        <v>-227</v>
      </c>
      <c r="U14" s="5" t="n">
        <v>-246</v>
      </c>
      <c r="AU14" t="inlineStr">
        <is>
          <t>Operating expenses</t>
        </is>
      </c>
      <c r="AV14" t="n">
        <v>-246</v>
      </c>
      <c r="AW14" t="n">
        <v>-227</v>
      </c>
      <c r="AX14" t="n">
        <v>-243</v>
      </c>
      <c r="AY14" t="n">
        <v>-205</v>
      </c>
      <c r="AZ14" t="n">
        <v>-215</v>
      </c>
      <c r="BA14" t="n">
        <v>-201</v>
      </c>
      <c r="BB14" t="n">
        <v>-216</v>
      </c>
      <c r="BC14" t="n">
        <v>-232</v>
      </c>
      <c r="BD14" t="n">
        <v>-204</v>
      </c>
      <c r="BE14" t="n">
        <v>-200</v>
      </c>
      <c r="BF14" t="n">
        <v>-292</v>
      </c>
      <c r="BG14" t="n">
        <v>-260</v>
      </c>
      <c r="BH14" t="n">
        <v>-305</v>
      </c>
      <c r="BI14" t="n">
        <v>-276</v>
      </c>
      <c r="BJ14" t="n">
        <v>-275</v>
      </c>
      <c r="BK14" t="n">
        <v>-239</v>
      </c>
      <c r="BL14" t="n">
        <v>-255</v>
      </c>
      <c r="BM14" t="n">
        <v>-287</v>
      </c>
      <c r="BN14" t="n">
        <v>-243</v>
      </c>
      <c r="BO14" t="n">
        <v>-265</v>
      </c>
    </row>
    <row r="15">
      <c r="A15" s="5" t="inlineStr">
        <is>
          <t>Profit for the period</t>
        </is>
      </c>
      <c r="B15" s="5" t="n">
        <v>96</v>
      </c>
      <c r="C15" s="5" t="n">
        <v>212</v>
      </c>
      <c r="D15" s="5" t="n">
        <v>88</v>
      </c>
      <c r="E15" s="5" t="n">
        <v>287</v>
      </c>
      <c r="F15" s="5" t="n">
        <v>154</v>
      </c>
      <c r="G15" s="5" t="n">
        <v>128</v>
      </c>
      <c r="H15" s="5" t="n">
        <v>224</v>
      </c>
      <c r="I15" s="5" t="n">
        <v>209</v>
      </c>
      <c r="J15" s="5" t="n">
        <v>213</v>
      </c>
      <c r="K15" s="5" t="n">
        <v>144</v>
      </c>
      <c r="L15" s="5" t="n">
        <v>160</v>
      </c>
      <c r="M15" s="5" t="n">
        <v>147</v>
      </c>
      <c r="N15" s="5" t="n">
        <v>152</v>
      </c>
      <c r="O15" s="5" t="n">
        <v>85</v>
      </c>
      <c r="P15" s="5" t="n">
        <v>123</v>
      </c>
      <c r="Q15" s="5" t="n">
        <v>161</v>
      </c>
      <c r="R15" s="5" t="n">
        <v>166</v>
      </c>
      <c r="S15" s="5" t="n">
        <v>204</v>
      </c>
      <c r="T15" s="5" t="n">
        <v>203</v>
      </c>
      <c r="U15" s="5" t="n">
        <v>231</v>
      </c>
      <c r="AU15" t="inlineStr">
        <is>
          <t>Profit for the period</t>
        </is>
      </c>
      <c r="AV15" t="n">
        <v>231</v>
      </c>
      <c r="AW15" t="n">
        <v>203</v>
      </c>
      <c r="AX15" t="n">
        <v>204</v>
      </c>
      <c r="AY15" t="n">
        <v>166</v>
      </c>
      <c r="AZ15" t="n">
        <v>161</v>
      </c>
      <c r="BA15" t="n">
        <v>123</v>
      </c>
      <c r="BB15" t="n">
        <v>85</v>
      </c>
      <c r="BC15" t="n">
        <v>152</v>
      </c>
      <c r="BD15" t="n">
        <v>147</v>
      </c>
      <c r="BE15" t="n">
        <v>160</v>
      </c>
      <c r="BF15" t="n">
        <v>144</v>
      </c>
      <c r="BG15" t="n">
        <v>213</v>
      </c>
      <c r="BH15" t="n">
        <v>209</v>
      </c>
      <c r="BI15" t="n">
        <v>224</v>
      </c>
      <c r="BJ15" t="n">
        <v>128</v>
      </c>
      <c r="BK15" t="n">
        <v>154</v>
      </c>
      <c r="BL15" t="n">
        <v>287</v>
      </c>
      <c r="BM15" t="n">
        <v>88</v>
      </c>
      <c r="BN15" t="n">
        <v>212</v>
      </c>
      <c r="BO15" t="n">
        <v>96</v>
      </c>
    </row>
    <row r="17">
      <c r="A17" s="3" t="inlineStr">
        <is>
          <t>Statement of Changes in Equity Summary (£m)</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L18" s="4" t="inlineStr">
        <is>
          <t>FY2015</t>
        </is>
      </c>
      <c r="M18" s="4" t="inlineStr">
        <is>
          <t>FY2014</t>
        </is>
      </c>
      <c r="BS18" t="inlineStr">
        <is>
          <t>FY2014</t>
        </is>
      </c>
      <c r="BT18" t="inlineStr">
        <is>
          <t>FY2015</t>
        </is>
      </c>
      <c r="BU18" t="inlineStr">
        <is>
          <t>FY2016</t>
        </is>
      </c>
      <c r="BV18" t="inlineStr">
        <is>
          <t>FY2017</t>
        </is>
      </c>
      <c r="BW18" t="inlineStr">
        <is>
          <t>FY2018</t>
        </is>
      </c>
      <c r="BX18" t="inlineStr">
        <is>
          <t>FY2019</t>
        </is>
      </c>
      <c r="BY18" t="inlineStr">
        <is>
          <t>FY2020</t>
        </is>
      </c>
      <c r="BZ18" t="inlineStr">
        <is>
          <t>FY2021</t>
        </is>
      </c>
      <c r="CA18" t="inlineStr">
        <is>
          <t>FY2022</t>
        </is>
      </c>
      <c r="CB18" t="inlineStr">
        <is>
          <t>FY2023</t>
        </is>
      </c>
      <c r="CC18" t="inlineStr">
        <is>
          <t>FY2024</t>
        </is>
      </c>
      <c r="CD18" t="inlineStr">
        <is>
          <t>FY2025</t>
        </is>
      </c>
    </row>
    <row r="19">
      <c r="A19" s="5" t="inlineStr">
        <is>
          <t>Opening equity</t>
        </is>
      </c>
      <c r="B19" s="5" t="n">
        <v>2065</v>
      </c>
      <c r="C19" s="5" t="n">
        <v>2556</v>
      </c>
      <c r="D19" s="5" t="n">
        <v>2502</v>
      </c>
      <c r="E19" s="5" t="n">
        <v>2742</v>
      </c>
      <c r="F19" s="5" t="n">
        <v>3003</v>
      </c>
      <c r="G19" s="5" t="n">
        <v>2779</v>
      </c>
      <c r="H19" s="5" t="n">
        <v>2647</v>
      </c>
      <c r="I19" s="5" t="n">
        <v>2408</v>
      </c>
      <c r="J19" s="5" t="n">
        <v>2182</v>
      </c>
      <c r="K19" s="5" t="n">
        <v>1902</v>
      </c>
      <c r="L19" s="5" t="n">
        <v>1791</v>
      </c>
      <c r="M19" s="5" t="n">
        <v>1715</v>
      </c>
      <c r="BR19" t="inlineStr">
        <is>
          <t>Opening equity</t>
        </is>
      </c>
      <c r="BS19" t="n">
        <v>1715</v>
      </c>
      <c r="BT19" t="n">
        <v>1791</v>
      </c>
      <c r="BU19" t="n">
        <v>1902</v>
      </c>
      <c r="BV19" t="n">
        <v>2182</v>
      </c>
      <c r="BW19" t="n">
        <v>2408</v>
      </c>
      <c r="BX19" t="n">
        <v>2647</v>
      </c>
      <c r="BY19" t="n">
        <v>2779</v>
      </c>
      <c r="BZ19" t="n">
        <v>3003</v>
      </c>
      <c r="CA19" t="n">
        <v>2742</v>
      </c>
      <c r="CB19" t="n">
        <v>2502</v>
      </c>
      <c r="CC19" t="n">
        <v>2556</v>
      </c>
      <c r="CD19" t="n">
        <v>2065</v>
      </c>
    </row>
    <row r="20">
      <c r="A20" s="5" t="inlineStr">
        <is>
          <t>Total comprehensive income for the year</t>
        </is>
      </c>
      <c r="B20" s="5" t="n">
        <v>139</v>
      </c>
      <c r="C20" s="5" t="n">
        <v>9</v>
      </c>
      <c r="D20" s="5" t="n">
        <v>55</v>
      </c>
      <c r="E20" s="5" t="n">
        <v>365</v>
      </c>
      <c r="F20" s="5" t="n">
        <v>39</v>
      </c>
      <c r="G20" s="5" t="n">
        <v>222</v>
      </c>
      <c r="H20" s="5" t="n">
        <v>132</v>
      </c>
      <c r="I20" s="5" t="n">
        <v>227</v>
      </c>
      <c r="J20" s="5" t="n">
        <v>255</v>
      </c>
      <c r="K20" s="5" t="n">
        <v>329</v>
      </c>
      <c r="L20" s="5" t="n">
        <v>111</v>
      </c>
      <c r="M20" s="5" t="n">
        <v>77</v>
      </c>
      <c r="BR20" t="inlineStr">
        <is>
          <t>Total comprehensive income for the year</t>
        </is>
      </c>
      <c r="BS20" t="n">
        <v>77</v>
      </c>
      <c r="BT20" t="n">
        <v>111</v>
      </c>
      <c r="BU20" t="n">
        <v>329</v>
      </c>
      <c r="BV20" t="n">
        <v>255</v>
      </c>
      <c r="BW20" t="n">
        <v>227</v>
      </c>
      <c r="BX20" t="n">
        <v>132</v>
      </c>
      <c r="BY20" t="n">
        <v>222</v>
      </c>
      <c r="BZ20" t="n">
        <v>39</v>
      </c>
      <c r="CA20" t="n">
        <v>365</v>
      </c>
      <c r="CB20" t="n">
        <v>55</v>
      </c>
      <c r="CC20" t="n">
        <v>9</v>
      </c>
      <c r="CD20" t="n">
        <v>139</v>
      </c>
    </row>
    <row r="21">
      <c r="A21" s="5" t="inlineStr">
        <is>
          <t>Other equity movements, net</t>
        </is>
      </c>
      <c r="B21" s="5" t="n">
        <v>-500</v>
      </c>
      <c r="C21" s="5" t="n">
        <v>-500</v>
      </c>
      <c r="D21" s="5" t="n">
        <v>-1</v>
      </c>
      <c r="E21" s="5" t="n">
        <v>-605</v>
      </c>
      <c r="F21" s="5" t="n">
        <v>-300</v>
      </c>
      <c r="G21" s="5" t="n">
        <v>2</v>
      </c>
      <c r="H21" s="5" t="n">
        <v>-3</v>
      </c>
      <c r="I21" s="5" t="n">
        <v>12</v>
      </c>
      <c r="J21" s="5" t="n">
        <v>0</v>
      </c>
      <c r="K21" s="5" t="n">
        <v>-48</v>
      </c>
      <c r="L21" s="5" t="n">
        <v>0</v>
      </c>
      <c r="M21" s="5" t="n">
        <v>-1</v>
      </c>
      <c r="BR21" t="inlineStr">
        <is>
          <t>Other equity movements, net</t>
        </is>
      </c>
      <c r="BS21" t="n">
        <v>-1</v>
      </c>
      <c r="BT21" t="n">
        <v>0</v>
      </c>
      <c r="BU21" t="n">
        <v>-48</v>
      </c>
      <c r="BV21" t="n">
        <v>0</v>
      </c>
      <c r="BW21" t="n">
        <v>12</v>
      </c>
      <c r="BX21" t="n">
        <v>-3</v>
      </c>
      <c r="BY21" t="n">
        <v>2</v>
      </c>
      <c r="BZ21" t="n">
        <v>-300</v>
      </c>
      <c r="CA21" t="n">
        <v>-605</v>
      </c>
      <c r="CB21" t="n">
        <v>-1</v>
      </c>
      <c r="CC21" t="n">
        <v>-500</v>
      </c>
      <c r="CD21" t="n">
        <v>-500</v>
      </c>
    </row>
    <row r="22">
      <c r="A22" s="5" t="inlineStr">
        <is>
          <t>Closing equity</t>
        </is>
      </c>
      <c r="B22" s="5" t="n">
        <v>1704</v>
      </c>
      <c r="C22" s="5" t="n">
        <v>2065</v>
      </c>
      <c r="D22" s="5" t="n">
        <v>2556</v>
      </c>
      <c r="E22" s="5" t="n">
        <v>2502</v>
      </c>
      <c r="F22" s="5" t="n">
        <v>2742</v>
      </c>
      <c r="G22" s="5" t="n">
        <v>3003</v>
      </c>
      <c r="H22" s="5" t="n">
        <v>2779</v>
      </c>
      <c r="I22" s="5" t="n">
        <v>2647</v>
      </c>
      <c r="J22" s="5" t="n">
        <v>2408</v>
      </c>
      <c r="K22" s="5" t="n">
        <v>2182</v>
      </c>
      <c r="L22" s="5" t="n">
        <v>1902</v>
      </c>
      <c r="M22" s="5" t="n">
        <v>1791</v>
      </c>
      <c r="BR22" t="inlineStr">
        <is>
          <t>Closing equity</t>
        </is>
      </c>
      <c r="BS22" t="n">
        <v>1791</v>
      </c>
      <c r="BT22" t="n">
        <v>1902</v>
      </c>
      <c r="BU22" t="n">
        <v>2182</v>
      </c>
      <c r="BV22" t="n">
        <v>2408</v>
      </c>
      <c r="BW22" t="n">
        <v>2647</v>
      </c>
      <c r="BX22" t="n">
        <v>2779</v>
      </c>
      <c r="BY22" t="n">
        <v>3003</v>
      </c>
      <c r="BZ22" t="n">
        <v>2742</v>
      </c>
      <c r="CA22" t="n">
        <v>2502</v>
      </c>
      <c r="CB22" t="n">
        <v>2556</v>
      </c>
      <c r="CC22" t="n">
        <v>2065</v>
      </c>
      <c r="CD22" t="n">
        <v>1704</v>
      </c>
    </row>
    <row r="24">
      <c r="A24" s="3" t="inlineStr">
        <is>
          <t>Cash Flow Summary (£m)</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J25" s="4" t="inlineStr">
        <is>
          <t>FY2017</t>
        </is>
      </c>
      <c r="K25" s="4" t="inlineStr">
        <is>
          <t>FY2016</t>
        </is>
      </c>
      <c r="L25" s="4" t="inlineStr">
        <is>
          <t>FY2015</t>
        </is>
      </c>
      <c r="M25" s="4" t="inlineStr">
        <is>
          <t>FY2014</t>
        </is>
      </c>
      <c r="N25" s="4" t="inlineStr">
        <is>
          <t>FY2013</t>
        </is>
      </c>
      <c r="O25" s="4" t="inlineStr">
        <is>
          <t>FY2012</t>
        </is>
      </c>
      <c r="P25" s="4" t="inlineStr">
        <is>
          <t>FY2011</t>
        </is>
      </c>
      <c r="Q25" s="4" t="inlineStr">
        <is>
          <t>FY2010</t>
        </is>
      </c>
      <c r="R25" s="4" t="inlineStr">
        <is>
          <t>FY2009</t>
        </is>
      </c>
      <c r="S25" s="4" t="inlineStr">
        <is>
          <t>FY2008</t>
        </is>
      </c>
      <c r="T25" s="4" t="inlineStr">
        <is>
          <t>FY2007</t>
        </is>
      </c>
      <c r="U25" s="4" t="inlineStr">
        <is>
          <t>FY2006</t>
        </is>
      </c>
      <c r="CH25" t="inlineStr">
        <is>
          <t>FY2006</t>
        </is>
      </c>
      <c r="CI25" t="inlineStr">
        <is>
          <t>FY2007</t>
        </is>
      </c>
      <c r="CJ25" t="inlineStr">
        <is>
          <t>FY2008</t>
        </is>
      </c>
      <c r="CK25" t="inlineStr">
        <is>
          <t>FY2009</t>
        </is>
      </c>
      <c r="CL25" t="inlineStr">
        <is>
          <t>FY2010</t>
        </is>
      </c>
      <c r="CM25" t="inlineStr">
        <is>
          <t>FY2011</t>
        </is>
      </c>
      <c r="CN25" t="inlineStr">
        <is>
          <t>FY2012</t>
        </is>
      </c>
      <c r="CO25" t="inlineStr">
        <is>
          <t>FY2013</t>
        </is>
      </c>
      <c r="CP25" t="inlineStr">
        <is>
          <t>FY2014</t>
        </is>
      </c>
      <c r="CQ25" t="inlineStr">
        <is>
          <t>FY2015</t>
        </is>
      </c>
      <c r="CR25" t="inlineStr">
        <is>
          <t>FY2016</t>
        </is>
      </c>
      <c r="CS25" t="inlineStr">
        <is>
          <t>FY2017</t>
        </is>
      </c>
      <c r="CT25" t="inlineStr">
        <is>
          <t>FY2018</t>
        </is>
      </c>
      <c r="CU25" t="inlineStr">
        <is>
          <t>FY2019</t>
        </is>
      </c>
      <c r="CV25" t="inlineStr">
        <is>
          <t>FY2020</t>
        </is>
      </c>
      <c r="CW25" t="inlineStr">
        <is>
          <t>FY2021</t>
        </is>
      </c>
      <c r="CX25" t="inlineStr">
        <is>
          <t>FY2022</t>
        </is>
      </c>
      <c r="CY25" t="inlineStr">
        <is>
          <t>FY2023</t>
        </is>
      </c>
      <c r="CZ25" t="inlineStr">
        <is>
          <t>FY2024</t>
        </is>
      </c>
      <c r="DA25" t="inlineStr">
        <is>
          <t>FY2025</t>
        </is>
      </c>
    </row>
    <row r="26">
      <c r="A26" s="5" t="inlineStr">
        <is>
          <t>Net cash generated from/(used in) operating activities</t>
        </is>
      </c>
      <c r="B26" s="5" t="n">
        <v>966</v>
      </c>
      <c r="C26" s="5" t="n">
        <v>-935</v>
      </c>
      <c r="D26" s="5" t="n">
        <v>-1133</v>
      </c>
      <c r="E26" s="5" t="n">
        <v>-1273</v>
      </c>
      <c r="F26" s="5" t="n">
        <v>3292</v>
      </c>
      <c r="G26" s="5" t="n">
        <v>2691</v>
      </c>
      <c r="H26" s="5" t="n">
        <v>193</v>
      </c>
      <c r="I26" s="5" t="n">
        <v>-1433</v>
      </c>
      <c r="J26" s="5" t="n">
        <v>-1507</v>
      </c>
      <c r="K26" s="5" t="n">
        <v>-1024</v>
      </c>
      <c r="L26" s="5" t="n">
        <v>-1982</v>
      </c>
      <c r="M26" s="5" t="n">
        <v>-1609</v>
      </c>
      <c r="N26" s="5" t="n">
        <v>273</v>
      </c>
      <c r="O26" s="5" t="n">
        <v>838</v>
      </c>
      <c r="P26" s="5" t="n">
        <v>797</v>
      </c>
      <c r="Q26" s="5" t="n">
        <v>1647</v>
      </c>
      <c r="R26" s="5" t="n">
        <v>4404</v>
      </c>
      <c r="S26" s="5" t="n">
        <v>708</v>
      </c>
      <c r="T26" s="5" t="n">
        <v>-113</v>
      </c>
      <c r="U26" s="5" t="n">
        <v>861</v>
      </c>
      <c r="CG26" t="inlineStr">
        <is>
          <t>Net cash generated from/(used in) operating activities</t>
        </is>
      </c>
      <c r="CH26" t="n">
        <v>861</v>
      </c>
      <c r="CI26" t="n">
        <v>-113</v>
      </c>
      <c r="CJ26" t="n">
        <v>708</v>
      </c>
      <c r="CK26" t="n">
        <v>4404</v>
      </c>
      <c r="CL26" t="n">
        <v>1647</v>
      </c>
      <c r="CM26" t="n">
        <v>797</v>
      </c>
      <c r="CN26" t="n">
        <v>838</v>
      </c>
      <c r="CO26" t="n">
        <v>273</v>
      </c>
      <c r="CP26" t="n">
        <v>-1609</v>
      </c>
      <c r="CQ26" t="n">
        <v>-1982</v>
      </c>
      <c r="CR26" t="n">
        <v>-1024</v>
      </c>
      <c r="CS26" t="n">
        <v>-1507</v>
      </c>
      <c r="CT26" t="n">
        <v>-1433</v>
      </c>
      <c r="CU26" t="n">
        <v>193</v>
      </c>
      <c r="CV26" t="n">
        <v>2691</v>
      </c>
      <c r="CW26" t="n">
        <v>3292</v>
      </c>
      <c r="CX26" t="n">
        <v>-1273</v>
      </c>
      <c r="CY26" t="n">
        <v>-1133</v>
      </c>
      <c r="CZ26" t="n">
        <v>-935</v>
      </c>
      <c r="DA26" t="n">
        <v>966</v>
      </c>
    </row>
    <row r="27">
      <c r="A27" s="5" t="inlineStr">
        <is>
          <t>Net cash (used in)/generated from investing activities</t>
        </is>
      </c>
      <c r="B27" s="5" t="n">
        <v>-17</v>
      </c>
      <c r="C27" s="5" t="n">
        <v>113</v>
      </c>
      <c r="D27" s="5" t="n">
        <v>139</v>
      </c>
      <c r="E27" s="5" t="n">
        <v>-15</v>
      </c>
      <c r="F27" s="5" t="n">
        <v>-6</v>
      </c>
      <c r="G27" s="5" t="n">
        <v>-11</v>
      </c>
      <c r="H27" s="5" t="n">
        <v>-51</v>
      </c>
      <c r="I27" s="5" t="n">
        <v>-9</v>
      </c>
      <c r="J27" s="5" t="n">
        <v>-5</v>
      </c>
      <c r="K27" s="5" t="n">
        <v>-4</v>
      </c>
      <c r="L27" s="5" t="n">
        <v>-3</v>
      </c>
      <c r="M27" s="5" t="n">
        <v>-4</v>
      </c>
      <c r="N27" s="5" t="n">
        <v>-435</v>
      </c>
      <c r="O27" s="5" t="n">
        <v>3</v>
      </c>
      <c r="P27" s="5" t="n">
        <v>220</v>
      </c>
      <c r="Q27" s="5" t="n">
        <v>-234</v>
      </c>
      <c r="R27" s="5" t="n">
        <v>67</v>
      </c>
      <c r="S27" s="5" t="n">
        <v>-52</v>
      </c>
      <c r="T27" s="5" t="n">
        <v>-95</v>
      </c>
      <c r="U27" s="5" t="n">
        <v>-77</v>
      </c>
      <c r="CG27" t="inlineStr">
        <is>
          <t>Net cash (used in)/generated from investing activities</t>
        </is>
      </c>
      <c r="CH27" t="n">
        <v>-77</v>
      </c>
      <c r="CI27" t="n">
        <v>-95</v>
      </c>
      <c r="CJ27" t="n">
        <v>-52</v>
      </c>
      <c r="CK27" t="n">
        <v>67</v>
      </c>
      <c r="CL27" t="n">
        <v>-234</v>
      </c>
      <c r="CM27" t="n">
        <v>220</v>
      </c>
      <c r="CN27" t="n">
        <v>3</v>
      </c>
      <c r="CO27" t="n">
        <v>-435</v>
      </c>
      <c r="CP27" t="n">
        <v>-4</v>
      </c>
      <c r="CQ27" t="n">
        <v>-3</v>
      </c>
      <c r="CR27" t="n">
        <v>-4</v>
      </c>
      <c r="CS27" t="n">
        <v>-5</v>
      </c>
      <c r="CT27" t="n">
        <v>-9</v>
      </c>
      <c r="CU27" t="n">
        <v>-51</v>
      </c>
      <c r="CV27" t="n">
        <v>-11</v>
      </c>
      <c r="CW27" t="n">
        <v>-6</v>
      </c>
      <c r="CX27" t="n">
        <v>-15</v>
      </c>
      <c r="CY27" t="n">
        <v>139</v>
      </c>
      <c r="CZ27" t="n">
        <v>113</v>
      </c>
      <c r="DA27" t="n">
        <v>-17</v>
      </c>
    </row>
    <row r="28">
      <c r="A28" s="5" t="inlineStr">
        <is>
          <t>Net cash (used in)/generated from financing activities</t>
        </is>
      </c>
      <c r="B28" s="5" t="n">
        <v>-1111</v>
      </c>
      <c r="C28" s="5" t="n">
        <v>441</v>
      </c>
      <c r="D28" s="5" t="n">
        <v>1041</v>
      </c>
      <c r="E28" s="5" t="n">
        <v>1946</v>
      </c>
      <c r="F28" s="5" t="n">
        <v>-3447</v>
      </c>
      <c r="G28" s="5" t="n">
        <v>-2125</v>
      </c>
      <c r="H28" s="5" t="n">
        <v>-514</v>
      </c>
      <c r="I28" s="5" t="n">
        <v>1773</v>
      </c>
      <c r="J28" s="5" t="n">
        <v>1388</v>
      </c>
      <c r="K28" s="5" t="n">
        <v>855</v>
      </c>
      <c r="L28" s="5" t="n">
        <v>2054</v>
      </c>
      <c r="M28" s="5" t="n">
        <v>1099</v>
      </c>
      <c r="N28" s="5" t="n">
        <v>-128</v>
      </c>
      <c r="O28" s="5" t="n">
        <v>-1057</v>
      </c>
      <c r="P28" s="5" t="n">
        <v>-171</v>
      </c>
      <c r="Q28" s="5" t="n">
        <v>-1806</v>
      </c>
      <c r="R28" s="5" t="n">
        <v>-4209</v>
      </c>
      <c r="S28" s="5" t="n">
        <v>101</v>
      </c>
      <c r="T28" s="5" t="n">
        <v>193</v>
      </c>
      <c r="U28" s="5" t="n">
        <v>-698</v>
      </c>
      <c r="CG28" t="inlineStr">
        <is>
          <t>Net cash (used in)/generated from financing activities</t>
        </is>
      </c>
      <c r="CH28" t="n">
        <v>-698</v>
      </c>
      <c r="CI28" t="n">
        <v>193</v>
      </c>
      <c r="CJ28" t="n">
        <v>101</v>
      </c>
      <c r="CK28" t="n">
        <v>-4209</v>
      </c>
      <c r="CL28" t="n">
        <v>-1806</v>
      </c>
      <c r="CM28" t="n">
        <v>-171</v>
      </c>
      <c r="CN28" t="n">
        <v>-1057</v>
      </c>
      <c r="CO28" t="n">
        <v>-128</v>
      </c>
      <c r="CP28" t="n">
        <v>1099</v>
      </c>
      <c r="CQ28" t="n">
        <v>2054</v>
      </c>
      <c r="CR28" t="n">
        <v>855</v>
      </c>
      <c r="CS28" t="n">
        <v>1388</v>
      </c>
      <c r="CT28" t="n">
        <v>1773</v>
      </c>
      <c r="CU28" t="n">
        <v>-514</v>
      </c>
      <c r="CV28" t="n">
        <v>-2125</v>
      </c>
      <c r="CW28" t="n">
        <v>-3447</v>
      </c>
      <c r="CX28" t="n">
        <v>1946</v>
      </c>
      <c r="CY28" t="n">
        <v>1041</v>
      </c>
      <c r="CZ28" t="n">
        <v>441</v>
      </c>
      <c r="DA28" t="n">
        <v>-1111</v>
      </c>
    </row>
    <row r="29">
      <c r="A29" s="5" t="inlineStr">
        <is>
          <t>Cash and cash equivalents at end of year</t>
        </is>
      </c>
      <c r="B29" s="5" t="n">
        <v>1111</v>
      </c>
      <c r="C29" s="5" t="n">
        <v>1253</v>
      </c>
      <c r="D29" s="5" t="n">
        <v>2557</v>
      </c>
      <c r="E29" s="5" t="n">
        <v>2536</v>
      </c>
      <c r="F29" s="5" t="n">
        <v>1822</v>
      </c>
      <c r="G29" s="5" t="n">
        <v>2048</v>
      </c>
      <c r="H29" s="5" t="n">
        <v>1453</v>
      </c>
      <c r="I29" s="5" t="n">
        <v>1879</v>
      </c>
      <c r="J29" s="5" t="n">
        <v>1544</v>
      </c>
      <c r="K29" s="5" t="n">
        <v>1654</v>
      </c>
      <c r="L29" s="5" t="n">
        <v>1669</v>
      </c>
      <c r="M29" s="5" t="n">
        <v>1625</v>
      </c>
      <c r="N29" s="5" t="n">
        <v>2209</v>
      </c>
      <c r="O29" s="5" t="n">
        <v>2475</v>
      </c>
      <c r="P29" s="5" t="n">
        <v>2689</v>
      </c>
      <c r="Q29" s="5" t="n">
        <v>1926</v>
      </c>
      <c r="R29" s="5" t="n">
        <v>1243</v>
      </c>
      <c r="S29" s="5" t="n">
        <v>987</v>
      </c>
      <c r="T29" s="5" t="n">
        <v>230</v>
      </c>
      <c r="U29" s="5" t="n">
        <v>1000</v>
      </c>
      <c r="CG29" t="inlineStr">
        <is>
          <t>Cash and cash equivalents at end of year</t>
        </is>
      </c>
      <c r="CH29" t="n">
        <v>1000</v>
      </c>
      <c r="CI29" t="n">
        <v>230</v>
      </c>
      <c r="CJ29" t="n">
        <v>987</v>
      </c>
      <c r="CK29" t="n">
        <v>1243</v>
      </c>
      <c r="CL29" t="n">
        <v>1926</v>
      </c>
      <c r="CM29" t="n">
        <v>2689</v>
      </c>
      <c r="CN29" t="n">
        <v>2475</v>
      </c>
      <c r="CO29" t="n">
        <v>2209</v>
      </c>
      <c r="CP29" t="n">
        <v>1625</v>
      </c>
      <c r="CQ29" t="n">
        <v>1669</v>
      </c>
      <c r="CR29" t="n">
        <v>1654</v>
      </c>
      <c r="CS29" t="n">
        <v>1544</v>
      </c>
      <c r="CT29" t="n">
        <v>1879</v>
      </c>
      <c r="CU29" t="n">
        <v>1453</v>
      </c>
      <c r="CV29" t="n">
        <v>2048</v>
      </c>
      <c r="CW29" t="n">
        <v>1822</v>
      </c>
      <c r="CX29" t="n">
        <v>2536</v>
      </c>
      <c r="CY29" t="n">
        <v>2557</v>
      </c>
      <c r="CZ29" t="n">
        <v>1253</v>
      </c>
      <c r="DA29" t="n">
        <v>1111</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c r="H32" s="4" t="inlineStr">
        <is>
          <t>FY2019</t>
        </is>
      </c>
      <c r="I32" s="4" t="inlineStr">
        <is>
          <t>FY2018</t>
        </is>
      </c>
      <c r="J32" s="4" t="inlineStr">
        <is>
          <t>FY2017</t>
        </is>
      </c>
      <c r="K32" s="4" t="inlineStr">
        <is>
          <t>FY2016</t>
        </is>
      </c>
      <c r="L32" s="4" t="inlineStr">
        <is>
          <t>FY2015</t>
        </is>
      </c>
      <c r="M32" s="4" t="inlineStr">
        <is>
          <t>FY2014</t>
        </is>
      </c>
    </row>
    <row r="33">
      <c r="A33" s="6" t="inlineStr">
        <is>
          <t>CET1 Ratio</t>
        </is>
      </c>
      <c r="B33" s="6" t="inlineStr">
        <is>
          <t>16.17%</t>
        </is>
      </c>
      <c r="C33" s="6" t="inlineStr">
        <is>
          <t>17.17%</t>
        </is>
      </c>
      <c r="D33" s="6" t="inlineStr">
        <is>
          <t>17.10%</t>
        </is>
      </c>
      <c r="E33" s="6" t="inlineStr">
        <is>
          <t>16.55%</t>
        </is>
      </c>
      <c r="F33" s="6" t="inlineStr">
        <is>
          <t>23.58%</t>
        </is>
      </c>
      <c r="G33" s="6" t="inlineStr">
        <is>
          <t>19.54%</t>
        </is>
      </c>
      <c r="H33" s="6" t="inlineStr">
        <is>
          <t>16.54%</t>
        </is>
      </c>
      <c r="I33" s="6" t="inlineStr">
        <is>
          <t>14.84%</t>
        </is>
      </c>
      <c r="J33" s="6" t="inlineStr">
        <is>
          <t>14.67%</t>
        </is>
      </c>
      <c r="K33" s="6" t="inlineStr">
        <is>
          <t>14.53%</t>
        </is>
      </c>
      <c r="L33" s="6" t="inlineStr">
        <is>
          <t>15.27%</t>
        </is>
      </c>
      <c r="M33" s="6" t="inlineStr">
        <is>
          <t>16.30%</t>
        </is>
      </c>
    </row>
    <row r="34">
      <c r="A34" s="6" t="inlineStr">
        <is>
          <t>Total Capital Ratio</t>
        </is>
      </c>
      <c r="B34" s="6" t="inlineStr">
        <is>
          <t>18.66%</t>
        </is>
      </c>
      <c r="C34" s="6" t="inlineStr">
        <is>
          <t>19.57%</t>
        </is>
      </c>
      <c r="D34" s="6" t="inlineStr">
        <is>
          <t>19.30%</t>
        </is>
      </c>
      <c r="E34" s="6" t="inlineStr">
        <is>
          <t>19.03%</t>
        </is>
      </c>
      <c r="F34" s="6" t="inlineStr">
        <is>
          <t>26.20%</t>
        </is>
      </c>
      <c r="G34" s="6" t="inlineStr">
        <is>
          <t>21.79%</t>
        </is>
      </c>
      <c r="H34" s="6" t="inlineStr">
        <is>
          <t>18.64%</t>
        </is>
      </c>
      <c r="I34" s="6" t="inlineStr">
        <is>
          <t>16.66%</t>
        </is>
      </c>
      <c r="J34" s="6" t="inlineStr">
        <is>
          <t>17.00%</t>
        </is>
      </c>
      <c r="K34" s="6" t="inlineStr">
        <is>
          <t>16.89%</t>
        </is>
      </c>
      <c r="L34" s="6" t="inlineStr">
        <is>
          <t>17.31%</t>
        </is>
      </c>
      <c r="M34" s="6" t="inlineStr">
        <is>
          <t>18.6%</t>
        </is>
      </c>
    </row>
    <row r="35">
      <c r="A35" s="6" t="inlineStr">
        <is>
          <t>Leverage Ratio (incl. central bank claims, FY2014-FY2021 basis)</t>
        </is>
      </c>
      <c r="B35" s="6" t="n"/>
      <c r="C35" s="6" t="n"/>
      <c r="D35" s="6" t="n"/>
      <c r="E35" s="6" t="n"/>
      <c r="F35" s="6" t="inlineStr">
        <is>
          <t>16.95%</t>
        </is>
      </c>
      <c r="G35" s="6" t="inlineStr">
        <is>
          <t>14.59%</t>
        </is>
      </c>
      <c r="H35" s="6" t="inlineStr">
        <is>
          <t>13.02%</t>
        </is>
      </c>
      <c r="I35" s="6" t="inlineStr">
        <is>
          <t>11.74%</t>
        </is>
      </c>
      <c r="J35" s="6" t="inlineStr">
        <is>
          <t>11.82%</t>
        </is>
      </c>
      <c r="K35" s="6" t="inlineStr">
        <is>
          <t>11.86%</t>
        </is>
      </c>
      <c r="L35" s="6" t="inlineStr">
        <is>
          <t>12.28%</t>
        </is>
      </c>
      <c r="M35" s="6" t="inlineStr">
        <is>
          <t>12.91%</t>
        </is>
      </c>
    </row>
    <row r="36">
      <c r="A36" s="6" t="inlineStr">
        <is>
          <t>Leverage Ratio (excl. central bank claims, FY2022-FY2025 basis)</t>
        </is>
      </c>
      <c r="B36" s="6" t="inlineStr">
        <is>
          <t>12.93%</t>
        </is>
      </c>
      <c r="C36" s="6" t="inlineStr">
        <is>
          <t>13.49%</t>
        </is>
      </c>
      <c r="D36" s="6" t="inlineStr">
        <is>
          <t>14.02%</t>
        </is>
      </c>
      <c r="E36" s="6" t="inlineStr">
        <is>
          <t>13.23%</t>
        </is>
      </c>
      <c r="F36" s="6" t="n"/>
      <c r="G36" s="6" t="n"/>
      <c r="H36" s="6" t="n"/>
      <c r="I36" s="6" t="n"/>
      <c r="J36" s="6" t="n"/>
      <c r="K36" s="6" t="n"/>
      <c r="L36" s="6" t="n"/>
      <c r="M36" s="6" t="n"/>
    </row>
    <row r="37">
      <c r="A37" s="6" t="inlineStr">
        <is>
          <t>LCR</t>
        </is>
      </c>
      <c r="B37" s="6" t="inlineStr">
        <is>
          <t>303%</t>
        </is>
      </c>
      <c r="C37" s="6" t="inlineStr">
        <is>
          <t>359%</t>
        </is>
      </c>
      <c r="D37" s="6" t="inlineStr">
        <is>
          <t>260%</t>
        </is>
      </c>
      <c r="E37" s="6" t="inlineStr">
        <is>
          <t>238%</t>
        </is>
      </c>
      <c r="F37" s="6" t="n"/>
      <c r="G37" s="6" t="n"/>
      <c r="H37" s="6" t="n"/>
      <c r="I37" s="6" t="n"/>
      <c r="J37" s="6" t="n"/>
      <c r="K37" s="6" t="n"/>
      <c r="L37" s="6" t="n"/>
      <c r="M37" s="6" t="n"/>
    </row>
    <row r="38">
      <c r="A38" s="6" t="inlineStr">
        <is>
          <t>NSFR</t>
        </is>
      </c>
      <c r="B38" s="6" t="inlineStr">
        <is>
          <t>135%</t>
        </is>
      </c>
      <c r="C38" s="6" t="inlineStr">
        <is>
          <t>135%</t>
        </is>
      </c>
      <c r="D38" s="6" t="inlineStr">
        <is>
          <t>139%</t>
        </is>
      </c>
      <c r="E38" s="6" t="inlineStr">
        <is>
          <t>133%</t>
        </is>
      </c>
      <c r="F38" s="6" t="n"/>
      <c r="G38" s="6" t="n"/>
      <c r="H38" s="6" t="n"/>
      <c r="I38" s="6" t="n"/>
      <c r="J38" s="6" t="n"/>
      <c r="K38" s="6" t="n"/>
      <c r="L38" s="6" t="n"/>
      <c r="M38" s="6" t="n"/>
    </row>
    <row r="40" ht="30" customHeight="1">
      <c r="A40" s="7" t="inlineStr">
        <is>
          <t>Note: Figures are duplicated from the detail sheets for at-a-glance trend viewing; see each sheet's own source citation for the underlying document/page. Every Pillar 3 figure shown is now directly disclosed - FY2022-FY2025 from each year's standalone Annual Pillar 3 Report (UK KM1/UK OV1), FY2014-FY2021 from that year's Pillar 3 chapter or standalone document. The Leverage Ratio is split across TWO rows because the UK measure changed on 1 January 2022 to exclude claims on central banks; the two rows are not like-for-like and must not be read as one trend. LCR and NSFR begin at FY2022, when the UK KM1 template made them mandatory - they are genuinely absent before that, not merely unsourced.</t>
        </is>
      </c>
    </row>
  </sheetData>
  <mergeCells count="1">
    <mergeCell ref="A40:U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U4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s>
  <sheetData>
    <row r="1">
      <c r="A1" s="1" t="inlineStr">
        <is>
          <t>FCE Bank Plc — Balance Sheet</t>
        </is>
      </c>
    </row>
    <row r="2">
      <c r="A2" s="2" t="inlineStr">
        <is>
          <t>Group/Consolidated basis, £m. See source note at bottom (presentation changes documented).</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c r="N3" s="4" t="inlineStr">
        <is>
          <t>FY2013 (£m)</t>
        </is>
      </c>
      <c r="O3" s="4" t="inlineStr">
        <is>
          <t>FY2012 (£m)</t>
        </is>
      </c>
      <c r="P3" s="4" t="inlineStr">
        <is>
          <t>FY2011 (£m)</t>
        </is>
      </c>
      <c r="Q3" s="4" t="inlineStr">
        <is>
          <t>FY2010 (£m)</t>
        </is>
      </c>
      <c r="R3" s="4" t="inlineStr">
        <is>
          <t>FY2009 (£m)</t>
        </is>
      </c>
      <c r="S3" s="4" t="inlineStr">
        <is>
          <t>FY2008 (£m)</t>
        </is>
      </c>
      <c r="T3" s="4" t="inlineStr">
        <is>
          <t>FY2007 (£m)</t>
        </is>
      </c>
      <c r="U3" s="4" t="inlineStr">
        <is>
          <t>FY2006 (£m)</t>
        </is>
      </c>
    </row>
    <row r="4">
      <c r="A4" s="5" t="inlineStr">
        <is>
          <t>Assets</t>
        </is>
      </c>
      <c r="B4" s="6" t="n"/>
      <c r="C4" s="6" t="n"/>
      <c r="D4" s="6" t="n"/>
      <c r="E4" s="6" t="n"/>
      <c r="F4" s="6" t="n"/>
      <c r="G4" s="6" t="n"/>
      <c r="H4" s="6" t="n"/>
      <c r="I4" s="6" t="n"/>
      <c r="J4" s="6" t="n"/>
      <c r="K4" s="6" t="n"/>
      <c r="L4" s="6" t="n"/>
      <c r="M4" s="6" t="n"/>
      <c r="N4" s="6" t="n"/>
      <c r="O4" s="6" t="n"/>
      <c r="P4" s="6" t="n"/>
      <c r="Q4" s="6" t="n"/>
      <c r="R4" s="6" t="n"/>
      <c r="S4" s="6" t="n"/>
      <c r="T4" s="6" t="n"/>
      <c r="U4" s="6" t="n"/>
    </row>
    <row r="5">
      <c r="A5" s="6" t="inlineStr">
        <is>
          <t>Cash and cash equivalents</t>
        </is>
      </c>
      <c r="B5" s="6" t="n">
        <v>1111</v>
      </c>
      <c r="C5" s="6" t="n">
        <v>1253</v>
      </c>
      <c r="D5" s="6" t="n">
        <v>2557</v>
      </c>
      <c r="E5" s="6" t="n">
        <v>2536</v>
      </c>
      <c r="F5" s="6" t="n">
        <v>1822</v>
      </c>
      <c r="G5" s="6" t="n">
        <v>2048</v>
      </c>
      <c r="H5" s="6" t="n">
        <v>1453</v>
      </c>
      <c r="I5" s="6" t="n">
        <v>1879</v>
      </c>
      <c r="J5" s="6" t="n">
        <v>1544</v>
      </c>
      <c r="K5" s="6" t="n">
        <v>1654</v>
      </c>
      <c r="L5" s="6" t="n">
        <v>1669</v>
      </c>
      <c r="M5" s="6" t="n">
        <v>1628</v>
      </c>
      <c r="N5" s="6" t="n">
        <v>2300</v>
      </c>
      <c r="O5" s="6" t="n">
        <v>2545</v>
      </c>
      <c r="P5" s="6" t="n">
        <v>2767</v>
      </c>
      <c r="Q5" s="6" t="n">
        <v>2094</v>
      </c>
      <c r="R5" s="6" t="n">
        <v>2586</v>
      </c>
      <c r="S5" s="6" t="n">
        <v>2695</v>
      </c>
      <c r="T5" s="6" t="n">
        <v>1601</v>
      </c>
      <c r="U5" s="6" t="n">
        <v>1133</v>
      </c>
    </row>
    <row r="6">
      <c r="A6" s="6" t="inlineStr">
        <is>
          <t>Marketable securities (FCE prints this line FY2010-FY2013 only; nil in FY2011/FY2013)</t>
        </is>
      </c>
      <c r="B6" s="6" t="n"/>
      <c r="C6" s="6" t="n"/>
      <c r="D6" s="6" t="n"/>
      <c r="E6" s="6" t="n"/>
      <c r="F6" s="6" t="n"/>
      <c r="G6" s="6" t="n"/>
      <c r="H6" s="6" t="n"/>
      <c r="I6" s="6" t="n"/>
      <c r="J6" s="6" t="n"/>
      <c r="K6" s="6" t="n"/>
      <c r="L6" s="6" t="n"/>
      <c r="M6" s="6" t="n"/>
      <c r="N6" s="6" t="n"/>
      <c r="O6" s="6" t="n">
        <v>1</v>
      </c>
      <c r="P6" s="6" t="n"/>
      <c r="Q6" s="6" t="n">
        <v>223</v>
      </c>
      <c r="R6" s="6" t="n"/>
      <c r="S6" s="6" t="n"/>
      <c r="T6" s="6" t="n"/>
      <c r="U6" s="6" t="n"/>
    </row>
    <row r="7">
      <c r="A7" s="6" t="inlineStr">
        <is>
          <t>Derivative financial instruments</t>
        </is>
      </c>
      <c r="B7" s="6" t="n">
        <v>44</v>
      </c>
      <c r="C7" s="6" t="n">
        <v>96</v>
      </c>
      <c r="D7" s="6" t="n">
        <v>112</v>
      </c>
      <c r="E7" s="6" t="n">
        <v>301</v>
      </c>
      <c r="F7" s="6" t="n">
        <v>63</v>
      </c>
      <c r="G7" s="6" t="n">
        <v>93</v>
      </c>
      <c r="H7" s="6" t="n">
        <v>147</v>
      </c>
      <c r="I7" s="6" t="n">
        <v>244</v>
      </c>
      <c r="J7" s="6" t="n">
        <v>334</v>
      </c>
      <c r="K7" s="6" t="n">
        <v>349</v>
      </c>
      <c r="L7" s="6" t="n">
        <v>162</v>
      </c>
      <c r="M7" s="6" t="n">
        <v>163</v>
      </c>
      <c r="N7" s="6" t="n">
        <v>71</v>
      </c>
      <c r="O7" s="6" t="n">
        <v>125</v>
      </c>
      <c r="P7" s="6" t="n">
        <v>163</v>
      </c>
      <c r="Q7" s="6" t="n">
        <v>276</v>
      </c>
      <c r="R7" s="6" t="n">
        <v>380</v>
      </c>
      <c r="S7" s="6" t="n">
        <v>505</v>
      </c>
      <c r="T7" s="6" t="n">
        <v>135</v>
      </c>
      <c r="U7" s="6" t="n">
        <v>34</v>
      </c>
    </row>
    <row r="8">
      <c r="A8" s="6" t="inlineStr">
        <is>
          <t>Other assets</t>
        </is>
      </c>
      <c r="B8" s="6" t="n">
        <v>299</v>
      </c>
      <c r="C8" s="6" t="n">
        <v>333</v>
      </c>
      <c r="D8" s="6" t="n">
        <v>481</v>
      </c>
      <c r="E8" s="6" t="n">
        <v>441</v>
      </c>
      <c r="F8" s="6" t="n">
        <v>320</v>
      </c>
      <c r="G8" s="6" t="n">
        <v>1148</v>
      </c>
      <c r="H8" s="6" t="n">
        <v>625</v>
      </c>
      <c r="I8" s="6" t="n">
        <v>554</v>
      </c>
      <c r="J8" s="6" t="n">
        <v>532</v>
      </c>
      <c r="K8" s="6" t="n">
        <v>415</v>
      </c>
      <c r="L8" s="6" t="n">
        <v>285</v>
      </c>
      <c r="M8" s="6" t="n">
        <v>288</v>
      </c>
      <c r="N8" s="6" t="n">
        <v>261</v>
      </c>
      <c r="O8" s="6" t="n">
        <v>379</v>
      </c>
      <c r="P8" s="6" t="n">
        <v>297</v>
      </c>
      <c r="Q8" s="6" t="n">
        <v>251</v>
      </c>
      <c r="R8" s="6" t="n">
        <v>444</v>
      </c>
      <c r="S8" s="6" t="n">
        <v>661</v>
      </c>
      <c r="T8" s="6" t="n">
        <v>519</v>
      </c>
      <c r="U8" s="6" t="n">
        <v>544</v>
      </c>
    </row>
    <row r="9">
      <c r="A9" s="6" t="inlineStr">
        <is>
          <t>Loans and advances to customers</t>
        </is>
      </c>
      <c r="B9" s="6" t="n">
        <v>11490</v>
      </c>
      <c r="C9" s="6" t="n">
        <v>12021</v>
      </c>
      <c r="D9" s="6" t="n">
        <v>15115</v>
      </c>
      <c r="E9" s="6" t="n">
        <v>14297</v>
      </c>
      <c r="F9" s="6" t="n">
        <v>12602</v>
      </c>
      <c r="G9" s="6" t="n">
        <v>15804</v>
      </c>
      <c r="H9" s="6" t="n">
        <v>17866</v>
      </c>
      <c r="I9" s="6" t="n">
        <v>18526</v>
      </c>
      <c r="J9" s="6" t="n">
        <v>16798</v>
      </c>
      <c r="K9" s="6" t="n">
        <v>14800</v>
      </c>
      <c r="L9" s="6" t="n">
        <v>12439</v>
      </c>
      <c r="M9" s="6" t="n">
        <v>10548</v>
      </c>
      <c r="N9" s="6" t="n">
        <v>9351</v>
      </c>
      <c r="O9" s="6" t="n">
        <v>8703</v>
      </c>
      <c r="P9" s="6" t="n">
        <v>9811</v>
      </c>
      <c r="Q9" s="6" t="n">
        <v>10818</v>
      </c>
      <c r="R9" s="6" t="n">
        <v>12472</v>
      </c>
      <c r="S9" s="6" t="n">
        <v>17346</v>
      </c>
      <c r="T9" s="6" t="n">
        <v>15536</v>
      </c>
      <c r="U9" s="6" t="n">
        <v>14868</v>
      </c>
    </row>
    <row r="10">
      <c r="A10" s="6" t="inlineStr">
        <is>
          <t>Property and equipment</t>
        </is>
      </c>
      <c r="B10" s="6" t="n"/>
      <c r="C10" s="6" t="n"/>
      <c r="D10" s="6" t="n">
        <v>218</v>
      </c>
      <c r="E10" s="6" t="n">
        <v>99</v>
      </c>
      <c r="F10" s="6" t="n">
        <v>162</v>
      </c>
      <c r="G10" s="6" t="n">
        <v>316</v>
      </c>
      <c r="H10" s="6" t="n">
        <v>305</v>
      </c>
      <c r="I10" s="6" t="n">
        <v>379</v>
      </c>
      <c r="J10" s="6" t="n">
        <v>294</v>
      </c>
      <c r="K10" s="6" t="n">
        <v>252</v>
      </c>
      <c r="L10" s="6" t="n">
        <v>176</v>
      </c>
      <c r="M10" s="6" t="n">
        <v>207</v>
      </c>
      <c r="N10" s="6" t="n">
        <v>155</v>
      </c>
      <c r="O10" s="6" t="n">
        <v>179</v>
      </c>
      <c r="P10" s="6" t="n">
        <v>235</v>
      </c>
      <c r="Q10" s="6" t="n">
        <v>153</v>
      </c>
      <c r="R10" s="6" t="n">
        <v>110</v>
      </c>
      <c r="S10" s="6" t="n">
        <v>244</v>
      </c>
      <c r="T10" s="6" t="n">
        <v>249</v>
      </c>
      <c r="U10" s="6" t="n">
        <v>281</v>
      </c>
    </row>
    <row r="11">
      <c r="A11" s="6" t="inlineStr">
        <is>
          <t>Right-of-use assets</t>
        </is>
      </c>
      <c r="B11" s="6" t="n"/>
      <c r="C11" s="6" t="n"/>
      <c r="D11" s="6" t="n">
        <v>10</v>
      </c>
      <c r="E11" s="6" t="n">
        <v>15</v>
      </c>
      <c r="F11" s="6" t="n">
        <v>17</v>
      </c>
      <c r="G11" s="6" t="n">
        <v>26</v>
      </c>
      <c r="H11" s="6" t="n">
        <v>35</v>
      </c>
      <c r="I11" s="6" t="n"/>
      <c r="J11" s="6" t="n"/>
      <c r="K11" s="6" t="n"/>
      <c r="L11" s="6" t="n"/>
      <c r="M11" s="6" t="n"/>
      <c r="N11" s="6" t="n"/>
      <c r="O11" s="6" t="n"/>
      <c r="P11" s="6" t="n"/>
      <c r="Q11" s="6" t="n"/>
      <c r="R11" s="6" t="n"/>
      <c r="S11" s="6" t="n"/>
      <c r="T11" s="6" t="n"/>
      <c r="U11" s="6" t="n"/>
    </row>
    <row r="12">
      <c r="A12" s="6" t="inlineStr">
        <is>
          <t>Investment in a joint venture (Forso JV; established June 2008, disposed/nil by FY2017)</t>
        </is>
      </c>
      <c r="B12" s="6" t="n"/>
      <c r="C12" s="6" t="n"/>
      <c r="D12" s="6" t="n"/>
      <c r="E12" s="6" t="n"/>
      <c r="F12" s="6" t="n"/>
      <c r="G12" s="6" t="n"/>
      <c r="H12" s="6" t="n"/>
      <c r="I12" s="6" t="n"/>
      <c r="J12" s="6" t="n"/>
      <c r="K12" s="6" t="n">
        <v>55</v>
      </c>
      <c r="L12" s="6" t="n">
        <v>44</v>
      </c>
      <c r="M12" s="6" t="n">
        <v>43</v>
      </c>
      <c r="N12" s="6" t="n">
        <v>43</v>
      </c>
      <c r="O12" s="6" t="n">
        <v>44</v>
      </c>
      <c r="P12" s="6" t="n">
        <v>46</v>
      </c>
      <c r="Q12" s="6" t="n">
        <v>45</v>
      </c>
      <c r="R12" s="6" t="n">
        <v>41</v>
      </c>
      <c r="S12" s="6" t="n">
        <v>45</v>
      </c>
      <c r="T12" s="6" t="n"/>
      <c r="U12" s="6" t="n"/>
    </row>
    <row r="13">
      <c r="A13" s="6" t="inlineStr">
        <is>
          <t>Intangible assets</t>
        </is>
      </c>
      <c r="B13" s="6" t="n">
        <v>68</v>
      </c>
      <c r="C13" s="6" t="n">
        <v>67</v>
      </c>
      <c r="D13" s="6" t="n">
        <v>58</v>
      </c>
      <c r="E13" s="6" t="n">
        <v>46</v>
      </c>
      <c r="F13" s="6" t="n">
        <v>38</v>
      </c>
      <c r="G13" s="6" t="n">
        <v>33</v>
      </c>
      <c r="H13" s="6" t="n">
        <v>26</v>
      </c>
      <c r="I13" s="6" t="n">
        <v>19</v>
      </c>
      <c r="J13" s="6" t="n">
        <v>14</v>
      </c>
      <c r="K13" s="6" t="n">
        <v>11</v>
      </c>
      <c r="L13" s="6" t="n">
        <v>11</v>
      </c>
      <c r="M13" s="6" t="n">
        <v>10</v>
      </c>
      <c r="N13" s="6" t="n">
        <v>10</v>
      </c>
      <c r="O13" s="6" t="n">
        <v>9</v>
      </c>
      <c r="P13" s="6" t="n">
        <v>13</v>
      </c>
      <c r="Q13" s="6" t="n">
        <v>13</v>
      </c>
      <c r="R13" s="6" t="n">
        <v>17</v>
      </c>
      <c r="S13" s="6" t="n">
        <v>20</v>
      </c>
      <c r="T13" s="6" t="n">
        <v>35</v>
      </c>
      <c r="U13" s="6" t="n">
        <v>36</v>
      </c>
    </row>
    <row r="14">
      <c r="A14" s="6" t="inlineStr">
        <is>
          <t>Income taxes receivable</t>
        </is>
      </c>
      <c r="B14" s="6" t="n">
        <v>51</v>
      </c>
      <c r="C14" s="6" t="n">
        <v>32</v>
      </c>
      <c r="D14" s="6" t="n">
        <v>44</v>
      </c>
      <c r="E14" s="6" t="n">
        <v>40</v>
      </c>
      <c r="F14" s="6" t="n">
        <v>6</v>
      </c>
      <c r="G14" s="6" t="n">
        <v>7</v>
      </c>
      <c r="H14" s="6" t="n">
        <v>11</v>
      </c>
      <c r="I14" s="6" t="n">
        <v>5</v>
      </c>
      <c r="J14" s="6" t="n">
        <v>1</v>
      </c>
      <c r="K14" s="6" t="n">
        <v>5</v>
      </c>
      <c r="L14" s="6" t="n">
        <v>16</v>
      </c>
      <c r="M14" s="6" t="n">
        <v>93</v>
      </c>
      <c r="N14" s="6" t="n">
        <v>11</v>
      </c>
      <c r="O14" s="6" t="n">
        <v>13</v>
      </c>
      <c r="P14" s="6" t="n">
        <v>16</v>
      </c>
      <c r="Q14" s="6" t="n">
        <v>52</v>
      </c>
      <c r="R14" s="6" t="n">
        <v>44</v>
      </c>
      <c r="S14" s="6" t="n">
        <v>6</v>
      </c>
      <c r="T14" s="6" t="n">
        <v>35</v>
      </c>
      <c r="U14" s="6" t="n"/>
    </row>
    <row r="15">
      <c r="A15" s="6" t="inlineStr">
        <is>
          <t>Deferred tax assets</t>
        </is>
      </c>
      <c r="B15" s="6" t="n">
        <v>32</v>
      </c>
      <c r="C15" s="6" t="n">
        <v>35</v>
      </c>
      <c r="D15" s="6" t="n">
        <v>35</v>
      </c>
      <c r="E15" s="6" t="n">
        <v>28</v>
      </c>
      <c r="F15" s="6" t="n">
        <v>35</v>
      </c>
      <c r="G15" s="6" t="n">
        <v>59</v>
      </c>
      <c r="H15" s="6" t="n">
        <v>71</v>
      </c>
      <c r="I15" s="6" t="n">
        <v>85</v>
      </c>
      <c r="J15" s="6" t="n">
        <v>78</v>
      </c>
      <c r="K15" s="6" t="n">
        <v>81</v>
      </c>
      <c r="L15" s="6" t="n">
        <v>58</v>
      </c>
      <c r="M15" s="6" t="n">
        <v>66</v>
      </c>
      <c r="N15" s="6" t="n">
        <v>67</v>
      </c>
      <c r="O15" s="6" t="n">
        <v>77</v>
      </c>
      <c r="P15" s="6" t="n">
        <v>84</v>
      </c>
      <c r="Q15" s="6" t="n">
        <v>87</v>
      </c>
      <c r="R15" s="6" t="n">
        <v>114</v>
      </c>
      <c r="S15" s="6" t="n">
        <v>118</v>
      </c>
      <c r="T15" s="6" t="n">
        <v>59</v>
      </c>
      <c r="U15" s="6" t="n">
        <v>66</v>
      </c>
    </row>
    <row r="16">
      <c r="A16" s="6" t="inlineStr">
        <is>
          <t>Investment in other entities</t>
        </is>
      </c>
      <c r="B16" s="6" t="n"/>
      <c r="C16" s="6" t="n"/>
      <c r="D16" s="6" t="n"/>
      <c r="E16" s="6" t="n"/>
      <c r="F16" s="6" t="n"/>
      <c r="G16" s="6" t="n">
        <v>0</v>
      </c>
      <c r="H16" s="6" t="n">
        <v>0</v>
      </c>
      <c r="I16" s="6" t="n">
        <v>4</v>
      </c>
      <c r="J16" s="6" t="n">
        <v>3</v>
      </c>
      <c r="K16" s="6" t="n">
        <v>4</v>
      </c>
      <c r="L16" s="6" t="n">
        <v>3</v>
      </c>
      <c r="M16" s="6" t="n">
        <v>3</v>
      </c>
      <c r="N16" s="6" t="n">
        <v>3</v>
      </c>
      <c r="O16" s="6" t="n">
        <v>3</v>
      </c>
      <c r="P16" s="6" t="n"/>
      <c r="Q16" s="6" t="n"/>
      <c r="R16" s="6" t="n"/>
      <c r="S16" s="6" t="n"/>
      <c r="T16" s="6" t="n"/>
      <c r="U16" s="6" t="n"/>
    </row>
    <row r="17">
      <c r="A17" s="5" t="inlineStr">
        <is>
          <t>Total assets</t>
        </is>
      </c>
      <c r="B17" s="5" t="n">
        <v>13095</v>
      </c>
      <c r="C17" s="5" t="n">
        <v>13837</v>
      </c>
      <c r="D17" s="5" t="n">
        <v>18630</v>
      </c>
      <c r="E17" s="5" t="n">
        <v>17803</v>
      </c>
      <c r="F17" s="5" t="n">
        <v>15065</v>
      </c>
      <c r="G17" s="5" t="n">
        <v>19534</v>
      </c>
      <c r="H17" s="5" t="n">
        <v>20539</v>
      </c>
      <c r="I17" s="5" t="n">
        <v>21695</v>
      </c>
      <c r="J17" s="5" t="n">
        <v>19598</v>
      </c>
      <c r="K17" s="5" t="n">
        <v>17626</v>
      </c>
      <c r="L17" s="5" t="n">
        <v>14863</v>
      </c>
      <c r="M17" s="5" t="n">
        <v>13049</v>
      </c>
      <c r="N17" s="5" t="n">
        <v>12272</v>
      </c>
      <c r="O17" s="5" t="n">
        <v>12078</v>
      </c>
      <c r="P17" s="5" t="n">
        <v>13432</v>
      </c>
      <c r="Q17" s="5" t="n">
        <v>14012</v>
      </c>
      <c r="R17" s="5" t="n">
        <v>16208</v>
      </c>
      <c r="S17" s="5" t="n">
        <v>21640</v>
      </c>
      <c r="T17" s="5" t="n">
        <v>18169</v>
      </c>
      <c r="U17" s="5" t="n">
        <v>16962</v>
      </c>
    </row>
    <row r="18">
      <c r="A18" s="5" t="inlineStr">
        <is>
          <t>Liabilities</t>
        </is>
      </c>
      <c r="B18" s="6" t="n"/>
      <c r="C18" s="6" t="n"/>
      <c r="D18" s="6" t="n"/>
      <c r="E18" s="6" t="n"/>
      <c r="F18" s="6" t="n"/>
      <c r="G18" s="6" t="n"/>
      <c r="H18" s="6" t="n"/>
      <c r="I18" s="6" t="n"/>
      <c r="J18" s="6" t="n"/>
      <c r="K18" s="6" t="n"/>
      <c r="L18" s="6" t="n"/>
      <c r="M18" s="6" t="n"/>
      <c r="N18" s="6" t="n"/>
      <c r="O18" s="6" t="n"/>
      <c r="P18" s="6" t="n"/>
      <c r="Q18" s="6" t="n"/>
      <c r="R18" s="6" t="n"/>
      <c r="S18" s="6" t="n"/>
      <c r="T18" s="6" t="n"/>
      <c r="U18" s="6" t="n"/>
    </row>
    <row r="19">
      <c r="A19" s="6" t="inlineStr">
        <is>
          <t>Financial liabilities / Borrowings from parent, banks and other financial institutions</t>
        </is>
      </c>
      <c r="B19" s="6" t="n">
        <v>4940</v>
      </c>
      <c r="C19" s="6" t="n">
        <v>5005</v>
      </c>
      <c r="D19" s="6" t="n">
        <v>6580</v>
      </c>
      <c r="E19" s="6" t="n">
        <v>7542</v>
      </c>
      <c r="F19" s="6" t="n">
        <v>6987</v>
      </c>
      <c r="G19" s="6" t="n">
        <v>12466</v>
      </c>
      <c r="H19" s="6" t="n">
        <v>15315</v>
      </c>
      <c r="I19" s="6" t="n"/>
      <c r="J19" s="6" t="n"/>
      <c r="K19" s="6" t="n"/>
      <c r="L19" s="6" t="n"/>
      <c r="M19" s="6" t="n"/>
      <c r="N19" s="6" t="n"/>
      <c r="O19" s="6" t="n"/>
      <c r="P19" s="6" t="n"/>
      <c r="Q19" s="6" t="n"/>
      <c r="R19" s="6" t="n"/>
      <c r="S19" s="6" t="n"/>
      <c r="T19" s="6" t="n"/>
      <c r="U19" s="6" t="n"/>
    </row>
    <row r="20">
      <c r="A20" s="6" t="inlineStr">
        <is>
          <t>Due to banks and other financial institutions (FY2006-FY2018 only; FY2006-FY2013 combines that year's own securitisation and non-securitisation sub-lines - see source note)</t>
        </is>
      </c>
      <c r="B20" s="6" t="n"/>
      <c r="C20" s="6" t="n"/>
      <c r="D20" s="6" t="n"/>
      <c r="E20" s="6" t="n"/>
      <c r="F20" s="6" t="n"/>
      <c r="G20" s="6" t="n"/>
      <c r="H20" s="6" t="n"/>
      <c r="I20" s="6" t="n">
        <v>3051</v>
      </c>
      <c r="J20" s="6" t="n">
        <v>2077</v>
      </c>
      <c r="K20" s="6" t="n">
        <v>2738</v>
      </c>
      <c r="L20" s="6" t="n">
        <v>3585</v>
      </c>
      <c r="M20" s="6" t="n">
        <v>2912</v>
      </c>
      <c r="N20" s="6" t="n">
        <v>3595</v>
      </c>
      <c r="O20" s="6" t="n">
        <v>3551</v>
      </c>
      <c r="P20" s="6" t="n">
        <v>4405</v>
      </c>
      <c r="Q20" s="6" t="n">
        <v>3773</v>
      </c>
      <c r="R20" s="6" t="n">
        <v>6370</v>
      </c>
      <c r="S20" s="6" t="n">
        <v>9646</v>
      </c>
      <c r="T20" s="6" t="n">
        <v>8186</v>
      </c>
      <c r="U20" s="6" t="n">
        <v>6669</v>
      </c>
    </row>
    <row r="21">
      <c r="A21" s="6" t="inlineStr">
        <is>
          <t>Due to parent and related undertakings (FY2006-FY2018 only)</t>
        </is>
      </c>
      <c r="B21" s="6" t="n"/>
      <c r="C21" s="6" t="n"/>
      <c r="D21" s="6" t="n"/>
      <c r="E21" s="6" t="n"/>
      <c r="F21" s="6" t="n"/>
      <c r="G21" s="6" t="n"/>
      <c r="H21" s="6" t="n"/>
      <c r="I21" s="6" t="n">
        <v>4355</v>
      </c>
      <c r="J21" s="6" t="n">
        <v>2436</v>
      </c>
      <c r="K21" s="6" t="n">
        <v>1170</v>
      </c>
      <c r="L21" s="6" t="n">
        <v>716</v>
      </c>
      <c r="M21" s="6" t="n">
        <v>1231</v>
      </c>
      <c r="N21" s="6" t="n">
        <v>1404</v>
      </c>
      <c r="O21" s="6" t="n">
        <v>1250</v>
      </c>
      <c r="P21" s="6" t="n">
        <v>821</v>
      </c>
      <c r="Q21" s="6" t="n">
        <v>540</v>
      </c>
      <c r="R21" s="6" t="n">
        <v>709</v>
      </c>
      <c r="S21" s="6" t="n">
        <v>2153</v>
      </c>
      <c r="T21" s="6" t="n">
        <v>1975</v>
      </c>
      <c r="U21" s="6" t="n">
        <v>3992</v>
      </c>
    </row>
    <row r="22">
      <c r="A22" s="6" t="inlineStr">
        <is>
          <t>Debt securities in issue (FY2006-FY2018 only; FY2006-FY2013 combines that year's own securitisation and non-securitisation sub-lines - see source note)</t>
        </is>
      </c>
      <c r="B22" s="6" t="n"/>
      <c r="C22" s="6" t="n"/>
      <c r="D22" s="6" t="n"/>
      <c r="E22" s="6" t="n"/>
      <c r="F22" s="6" t="n"/>
      <c r="G22" s="6" t="n"/>
      <c r="H22" s="6" t="n"/>
      <c r="I22" s="6" t="n">
        <v>9563</v>
      </c>
      <c r="J22" s="6" t="n">
        <v>11477</v>
      </c>
      <c r="K22" s="6" t="n">
        <v>10773</v>
      </c>
      <c r="L22" s="6" t="n">
        <v>8007</v>
      </c>
      <c r="M22" s="6" t="n">
        <v>6393</v>
      </c>
      <c r="N22" s="6" t="n">
        <v>4751</v>
      </c>
      <c r="O22" s="6" t="n">
        <v>4504</v>
      </c>
      <c r="P22" s="6" t="n">
        <v>5099</v>
      </c>
      <c r="Q22" s="6" t="n">
        <v>6059</v>
      </c>
      <c r="R22" s="6" t="n">
        <v>4964</v>
      </c>
      <c r="S22" s="6" t="n">
        <v>5317</v>
      </c>
      <c r="T22" s="6" t="n">
        <v>4555</v>
      </c>
      <c r="U22" s="6" t="n">
        <v>2962</v>
      </c>
    </row>
    <row r="23">
      <c r="A23" s="6" t="inlineStr">
        <is>
          <t>Subordinated loans (FY2006-FY2018 only; called 'Other borrowed funds' in the FY2006 report)</t>
        </is>
      </c>
      <c r="B23" s="6" t="n"/>
      <c r="C23" s="6" t="n"/>
      <c r="D23" s="6" t="n"/>
      <c r="E23" s="6" t="n"/>
      <c r="F23" s="6" t="n"/>
      <c r="G23" s="6" t="n"/>
      <c r="H23" s="6" t="n"/>
      <c r="I23" s="6" t="n">
        <v>335</v>
      </c>
      <c r="J23" s="6" t="n">
        <v>334</v>
      </c>
      <c r="K23" s="6" t="n">
        <v>308</v>
      </c>
      <c r="L23" s="6" t="n">
        <v>217</v>
      </c>
      <c r="M23" s="6" t="n">
        <v>214</v>
      </c>
      <c r="N23" s="6" t="n">
        <v>211</v>
      </c>
      <c r="O23" s="6" t="n">
        <v>212</v>
      </c>
      <c r="P23" s="6" t="n">
        <v>220</v>
      </c>
      <c r="Q23" s="6" t="n">
        <v>287</v>
      </c>
      <c r="R23" s="6" t="n">
        <v>446</v>
      </c>
      <c r="S23" s="6" t="n">
        <v>492</v>
      </c>
      <c r="T23" s="6" t="n">
        <v>361</v>
      </c>
      <c r="U23" s="6" t="n">
        <v>464</v>
      </c>
    </row>
    <row r="24">
      <c r="A24" s="6" t="inlineStr">
        <is>
          <t>Lease liabilities</t>
        </is>
      </c>
      <c r="B24" s="6" t="n"/>
      <c r="C24" s="6" t="n"/>
      <c r="D24" s="6" t="n">
        <v>11</v>
      </c>
      <c r="E24" s="6" t="n">
        <v>15</v>
      </c>
      <c r="F24" s="6" t="n">
        <v>17</v>
      </c>
      <c r="G24" s="6" t="n">
        <v>27</v>
      </c>
      <c r="H24" s="6" t="n">
        <v>36</v>
      </c>
      <c r="I24" s="6" t="n"/>
      <c r="J24" s="6" t="n"/>
      <c r="K24" s="6" t="n"/>
      <c r="L24" s="6" t="n"/>
      <c r="M24" s="6" t="n"/>
      <c r="N24" s="6" t="n"/>
      <c r="O24" s="6" t="n"/>
      <c r="P24" s="6" t="n"/>
      <c r="Q24" s="6" t="n"/>
      <c r="R24" s="6" t="n"/>
      <c r="S24" s="6" t="n"/>
      <c r="T24" s="6" t="n"/>
      <c r="U24" s="6" t="n"/>
    </row>
    <row r="25">
      <c r="A25" s="6" t="inlineStr">
        <is>
          <t>Deposits</t>
        </is>
      </c>
      <c r="B25" s="6" t="n">
        <v>5892</v>
      </c>
      <c r="C25" s="6" t="n">
        <v>6300</v>
      </c>
      <c r="D25" s="6" t="n">
        <v>8962</v>
      </c>
      <c r="E25" s="6" t="n">
        <v>7131</v>
      </c>
      <c r="F25" s="6" t="n">
        <v>5001</v>
      </c>
      <c r="G25" s="6" t="n">
        <v>3609</v>
      </c>
      <c r="H25" s="6" t="n">
        <v>1970</v>
      </c>
      <c r="I25" s="6" t="n">
        <v>1198</v>
      </c>
      <c r="J25" s="6" t="n">
        <v>388</v>
      </c>
      <c r="K25" s="6" t="n">
        <v>69</v>
      </c>
      <c r="L25" s="6" t="n">
        <v>56</v>
      </c>
      <c r="M25" s="6" t="n">
        <v>51</v>
      </c>
      <c r="N25" s="6" t="n">
        <v>51</v>
      </c>
      <c r="O25" s="6" t="n">
        <v>53</v>
      </c>
      <c r="P25" s="6" t="n">
        <v>50</v>
      </c>
      <c r="Q25" s="6" t="n">
        <v>49</v>
      </c>
      <c r="R25" s="6" t="n">
        <v>22</v>
      </c>
      <c r="S25" s="6" t="n">
        <v>30</v>
      </c>
      <c r="T25" s="6" t="n"/>
      <c r="U25" s="6" t="n"/>
    </row>
    <row r="26">
      <c r="A26" s="6" t="inlineStr">
        <is>
          <t>Derivative financial instruments</t>
        </is>
      </c>
      <c r="B26" s="6" t="n">
        <v>91</v>
      </c>
      <c r="C26" s="6" t="n">
        <v>100</v>
      </c>
      <c r="D26" s="6" t="n">
        <v>104</v>
      </c>
      <c r="E26" s="6" t="n">
        <v>135</v>
      </c>
      <c r="F26" s="6" t="n">
        <v>16</v>
      </c>
      <c r="G26" s="6" t="n">
        <v>43</v>
      </c>
      <c r="H26" s="6" t="n">
        <v>42</v>
      </c>
      <c r="I26" s="6" t="n">
        <v>27</v>
      </c>
      <c r="J26" s="6" t="n">
        <v>20</v>
      </c>
      <c r="K26" s="6" t="n">
        <v>38</v>
      </c>
      <c r="L26" s="6" t="n">
        <v>106</v>
      </c>
      <c r="M26" s="6" t="n">
        <v>61</v>
      </c>
      <c r="N26" s="6" t="n">
        <v>82</v>
      </c>
      <c r="O26" s="6" t="n">
        <v>100</v>
      </c>
      <c r="P26" s="6" t="n">
        <v>85</v>
      </c>
      <c r="Q26" s="6" t="n">
        <v>158</v>
      </c>
      <c r="R26" s="6" t="n">
        <v>269</v>
      </c>
      <c r="S26" s="6" t="n">
        <v>398</v>
      </c>
      <c r="T26" s="6" t="n">
        <v>104</v>
      </c>
      <c r="U26" s="6" t="n">
        <v>59</v>
      </c>
    </row>
    <row r="27">
      <c r="A27" s="6" t="inlineStr">
        <is>
          <t>Other liabilities</t>
        </is>
      </c>
      <c r="B27" s="6" t="n">
        <v>226</v>
      </c>
      <c r="C27" s="6" t="n">
        <v>250</v>
      </c>
      <c r="D27" s="6" t="n"/>
      <c r="E27" s="6" t="n"/>
      <c r="F27" s="6" t="n"/>
      <c r="G27" s="6" t="n"/>
      <c r="H27" s="6" t="n"/>
      <c r="I27" s="6" t="n"/>
      <c r="J27" s="6" t="n"/>
      <c r="K27" s="6" t="n"/>
      <c r="L27" s="6" t="n"/>
      <c r="M27" s="6" t="n"/>
      <c r="N27" s="6" t="n"/>
      <c r="O27" s="6" t="n"/>
      <c r="P27" s="6" t="n"/>
      <c r="Q27" s="6" t="n"/>
      <c r="R27" s="6" t="n"/>
      <c r="S27" s="6" t="n"/>
      <c r="T27" s="6" t="n"/>
      <c r="U27" s="6" t="n"/>
    </row>
    <row r="28">
      <c r="A28" s="6" t="inlineStr">
        <is>
          <t>Provisions</t>
        </is>
      </c>
      <c r="B28" s="6" t="n">
        <v>161</v>
      </c>
      <c r="C28" s="6" t="n">
        <v>84</v>
      </c>
      <c r="D28" s="6" t="n"/>
      <c r="E28" s="6" t="n"/>
      <c r="F28" s="6" t="n"/>
      <c r="G28" s="6" t="n"/>
      <c r="H28" s="6" t="n"/>
      <c r="I28" s="6" t="n"/>
      <c r="J28" s="6" t="n"/>
      <c r="K28" s="6" t="n"/>
      <c r="L28" s="6" t="n"/>
      <c r="M28" s="6" t="n"/>
      <c r="N28" s="6" t="n"/>
      <c r="O28" s="6" t="n"/>
      <c r="P28" s="6" t="n"/>
      <c r="Q28" s="6" t="n"/>
      <c r="R28" s="6" t="n"/>
      <c r="S28" s="6" t="n"/>
      <c r="T28" s="6" t="n"/>
      <c r="U28" s="6" t="n"/>
    </row>
    <row r="29">
      <c r="A29" s="6" t="inlineStr">
        <is>
          <t>Other liabilities and provisions (combined)</t>
        </is>
      </c>
      <c r="B29" s="6" t="n"/>
      <c r="C29" s="6" t="n"/>
      <c r="D29" s="6" t="n">
        <v>359</v>
      </c>
      <c r="E29" s="6" t="n">
        <v>390</v>
      </c>
      <c r="F29" s="6" t="n">
        <v>235</v>
      </c>
      <c r="G29" s="6" t="n">
        <v>334</v>
      </c>
      <c r="H29" s="6" t="n">
        <v>335</v>
      </c>
      <c r="I29" s="6" t="n">
        <v>390</v>
      </c>
      <c r="J29" s="6" t="n">
        <v>347</v>
      </c>
      <c r="K29" s="6" t="n">
        <v>292</v>
      </c>
      <c r="L29" s="6" t="n">
        <v>210</v>
      </c>
      <c r="M29" s="6" t="n">
        <v>245</v>
      </c>
      <c r="N29" s="6" t="n">
        <v>315</v>
      </c>
      <c r="O29" s="6" t="n">
        <v>347</v>
      </c>
      <c r="P29" s="6" t="n">
        <v>409</v>
      </c>
      <c r="Q29" s="6" t="n">
        <v>506</v>
      </c>
      <c r="R29" s="6" t="n">
        <v>493</v>
      </c>
      <c r="S29" s="6" t="n">
        <v>568</v>
      </c>
      <c r="T29" s="6" t="n">
        <v>483</v>
      </c>
      <c r="U29" s="6" t="n">
        <v>408</v>
      </c>
    </row>
    <row r="30">
      <c r="A30" s="6" t="inlineStr">
        <is>
          <t>Provisions (FY2014-FY2015 only, separate from Other liabilities)</t>
        </is>
      </c>
      <c r="B30" s="6" t="n"/>
      <c r="C30" s="6" t="n"/>
      <c r="D30" s="6" t="n"/>
      <c r="E30" s="6" t="n"/>
      <c r="F30" s="6" t="n"/>
      <c r="G30" s="6" t="n"/>
      <c r="H30" s="6" t="n"/>
      <c r="I30" s="6" t="n"/>
      <c r="J30" s="6" t="n"/>
      <c r="K30" s="6" t="n"/>
      <c r="L30" s="6" t="n">
        <v>11</v>
      </c>
      <c r="M30" s="6" t="n">
        <v>35</v>
      </c>
      <c r="N30" s="6" t="n"/>
      <c r="O30" s="6" t="n"/>
      <c r="P30" s="6" t="n"/>
      <c r="Q30" s="6" t="n"/>
      <c r="R30" s="6" t="n"/>
      <c r="S30" s="6" t="n"/>
      <c r="T30" s="6" t="n"/>
      <c r="U30" s="6" t="n"/>
    </row>
    <row r="31">
      <c r="A31" s="6" t="inlineStr">
        <is>
          <t>Income taxes payable</t>
        </is>
      </c>
      <c r="B31" s="6" t="n">
        <v>66</v>
      </c>
      <c r="C31" s="6" t="n">
        <v>25</v>
      </c>
      <c r="D31" s="6" t="n">
        <v>19</v>
      </c>
      <c r="E31" s="6" t="n">
        <v>26</v>
      </c>
      <c r="F31" s="6" t="n">
        <v>40</v>
      </c>
      <c r="G31" s="6" t="n">
        <v>28</v>
      </c>
      <c r="H31" s="6" t="n">
        <v>37</v>
      </c>
      <c r="I31" s="6" t="n">
        <v>100</v>
      </c>
      <c r="J31" s="6" t="n">
        <v>101</v>
      </c>
      <c r="K31" s="6" t="n">
        <v>46</v>
      </c>
      <c r="L31" s="6" t="n">
        <v>34</v>
      </c>
      <c r="M31" s="6" t="n">
        <v>101</v>
      </c>
      <c r="N31" s="6" t="n">
        <v>129</v>
      </c>
      <c r="O31" s="6" t="n">
        <v>27</v>
      </c>
      <c r="P31" s="6" t="n">
        <v>21</v>
      </c>
      <c r="Q31" s="6" t="n">
        <v>12</v>
      </c>
      <c r="R31" s="6" t="n">
        <v>19</v>
      </c>
      <c r="S31" s="6" t="n">
        <v>47</v>
      </c>
      <c r="T31" s="6" t="n">
        <v>17</v>
      </c>
      <c r="U31" s="6" t="n">
        <v>18</v>
      </c>
    </row>
    <row r="32">
      <c r="A32" s="6" t="inlineStr">
        <is>
          <t>Deferred tax liabilities</t>
        </is>
      </c>
      <c r="B32" s="6" t="n">
        <v>15</v>
      </c>
      <c r="C32" s="6" t="n">
        <v>8</v>
      </c>
      <c r="D32" s="6" t="n">
        <v>39</v>
      </c>
      <c r="E32" s="6" t="n">
        <v>62</v>
      </c>
      <c r="F32" s="6" t="n">
        <v>27</v>
      </c>
      <c r="G32" s="6" t="n">
        <v>24</v>
      </c>
      <c r="H32" s="6" t="n">
        <v>25</v>
      </c>
      <c r="I32" s="6" t="n">
        <v>29</v>
      </c>
      <c r="J32" s="6" t="n">
        <v>10</v>
      </c>
      <c r="K32" s="6" t="n">
        <v>10</v>
      </c>
      <c r="L32" s="6" t="n">
        <v>19</v>
      </c>
      <c r="M32" s="6" t="n">
        <v>15</v>
      </c>
      <c r="N32" s="6" t="n">
        <v>19</v>
      </c>
      <c r="O32" s="6" t="n">
        <v>9</v>
      </c>
      <c r="P32" s="6" t="n">
        <v>21</v>
      </c>
      <c r="Q32" s="6" t="n">
        <v>30</v>
      </c>
      <c r="R32" s="6" t="n">
        <v>30</v>
      </c>
      <c r="S32" s="6" t="n">
        <v>27</v>
      </c>
      <c r="T32" s="6" t="n">
        <v>33</v>
      </c>
      <c r="U32" s="6" t="n">
        <v>43</v>
      </c>
    </row>
    <row r="33">
      <c r="A33" s="5" t="inlineStr">
        <is>
          <t>Total liabilities</t>
        </is>
      </c>
      <c r="B33" s="5" t="n">
        <v>11391</v>
      </c>
      <c r="C33" s="5" t="n">
        <v>11772</v>
      </c>
      <c r="D33" s="5" t="n">
        <v>16074</v>
      </c>
      <c r="E33" s="5" t="n">
        <v>15301</v>
      </c>
      <c r="F33" s="5" t="n">
        <v>12323</v>
      </c>
      <c r="G33" s="5" t="n">
        <v>16531</v>
      </c>
      <c r="H33" s="5" t="n">
        <v>17760</v>
      </c>
      <c r="I33" s="5" t="n">
        <v>19048</v>
      </c>
      <c r="J33" s="5" t="n">
        <v>17190</v>
      </c>
      <c r="K33" s="5" t="n">
        <v>15444</v>
      </c>
      <c r="L33" s="5" t="n">
        <v>12961</v>
      </c>
      <c r="M33" s="5" t="n">
        <v>11258</v>
      </c>
      <c r="N33" s="5" t="n">
        <v>10557</v>
      </c>
      <c r="O33" s="5" t="n">
        <v>10053</v>
      </c>
      <c r="P33" s="5" t="n">
        <v>11131</v>
      </c>
      <c r="Q33" s="5" t="n">
        <v>11414</v>
      </c>
      <c r="R33" s="5" t="n">
        <v>13322</v>
      </c>
      <c r="S33" s="5" t="n">
        <v>18678</v>
      </c>
      <c r="T33" s="5" t="n">
        <v>15714</v>
      </c>
      <c r="U33" s="5" t="n">
        <v>14615</v>
      </c>
    </row>
    <row r="34">
      <c r="A34" s="5" t="inlineStr">
        <is>
          <t>Equity</t>
        </is>
      </c>
      <c r="B34" s="6" t="n"/>
      <c r="C34" s="6" t="n"/>
      <c r="D34" s="6" t="n"/>
      <c r="E34" s="6" t="n"/>
      <c r="F34" s="6" t="n"/>
      <c r="G34" s="6" t="n"/>
      <c r="H34" s="6" t="n"/>
      <c r="I34" s="6" t="n"/>
      <c r="J34" s="6" t="n"/>
      <c r="K34" s="6" t="n"/>
      <c r="L34" s="6" t="n"/>
      <c r="M34" s="6" t="n"/>
      <c r="N34" s="6" t="n"/>
      <c r="O34" s="6" t="n"/>
      <c r="P34" s="6" t="n"/>
      <c r="Q34" s="6" t="n"/>
      <c r="R34" s="6" t="n"/>
      <c r="S34" s="6" t="n"/>
      <c r="T34" s="6" t="n"/>
      <c r="U34" s="6" t="n"/>
    </row>
    <row r="35">
      <c r="A35" s="6" t="inlineStr">
        <is>
          <t>Ordinary shares</t>
        </is>
      </c>
      <c r="B35" s="6" t="n">
        <v>614</v>
      </c>
      <c r="C35" s="6" t="n">
        <v>614</v>
      </c>
      <c r="D35" s="6" t="n">
        <v>614</v>
      </c>
      <c r="E35" s="6" t="n">
        <v>614</v>
      </c>
      <c r="F35" s="6" t="n">
        <v>614</v>
      </c>
      <c r="G35" s="6" t="n">
        <v>614</v>
      </c>
      <c r="H35" s="6" t="n">
        <v>614</v>
      </c>
      <c r="I35" s="6" t="n">
        <v>614</v>
      </c>
      <c r="J35" s="6" t="n">
        <v>614</v>
      </c>
      <c r="K35" s="6" t="n">
        <v>614</v>
      </c>
      <c r="L35" s="6" t="n">
        <v>614</v>
      </c>
      <c r="M35" s="6" t="n">
        <v>614</v>
      </c>
      <c r="N35" s="6" t="n">
        <v>614</v>
      </c>
      <c r="O35" s="6" t="n">
        <v>614</v>
      </c>
      <c r="P35" s="6" t="n">
        <v>614</v>
      </c>
      <c r="Q35" s="6" t="n">
        <v>614</v>
      </c>
      <c r="R35" s="6" t="n">
        <v>614</v>
      </c>
      <c r="S35" s="6" t="n">
        <v>614</v>
      </c>
      <c r="T35" s="6" t="n">
        <v>614</v>
      </c>
      <c r="U35" s="6" t="n">
        <v>614</v>
      </c>
    </row>
    <row r="36">
      <c r="A36" s="6" t="inlineStr">
        <is>
          <t>Share premium</t>
        </is>
      </c>
      <c r="B36" s="6" t="n">
        <v>352</v>
      </c>
      <c r="C36" s="6" t="n">
        <v>352</v>
      </c>
      <c r="D36" s="6" t="n">
        <v>352</v>
      </c>
      <c r="E36" s="6" t="n">
        <v>352</v>
      </c>
      <c r="F36" s="6" t="n">
        <v>352</v>
      </c>
      <c r="G36" s="6" t="n">
        <v>352</v>
      </c>
      <c r="H36" s="6" t="n">
        <v>352</v>
      </c>
      <c r="I36" s="6" t="n">
        <v>352</v>
      </c>
      <c r="J36" s="6" t="n">
        <v>352</v>
      </c>
      <c r="K36" s="6" t="n">
        <v>352</v>
      </c>
      <c r="L36" s="6" t="n">
        <v>352</v>
      </c>
      <c r="M36" s="6" t="n">
        <v>352</v>
      </c>
      <c r="N36" s="6" t="n">
        <v>352</v>
      </c>
      <c r="O36" s="6" t="n">
        <v>352</v>
      </c>
      <c r="P36" s="6" t="n">
        <v>352</v>
      </c>
      <c r="Q36" s="6" t="n">
        <v>352</v>
      </c>
      <c r="R36" s="6" t="n">
        <v>352</v>
      </c>
      <c r="S36" s="6" t="n">
        <v>352</v>
      </c>
      <c r="T36" s="6" t="n">
        <v>352</v>
      </c>
      <c r="U36" s="6" t="n">
        <v>352</v>
      </c>
    </row>
    <row r="37">
      <c r="A37" s="6" t="inlineStr">
        <is>
          <t>Retained earnings</t>
        </is>
      </c>
      <c r="B37" s="6" t="n">
        <v>738</v>
      </c>
      <c r="C37" s="6" t="n">
        <v>1099</v>
      </c>
      <c r="D37" s="6" t="n">
        <v>1590</v>
      </c>
      <c r="E37" s="6" t="n">
        <v>1536</v>
      </c>
      <c r="F37" s="6" t="n">
        <v>1776</v>
      </c>
      <c r="G37" s="6" t="n">
        <v>2037</v>
      </c>
      <c r="H37" s="6" t="n">
        <v>1813</v>
      </c>
      <c r="I37" s="6" t="n">
        <v>1681</v>
      </c>
      <c r="J37" s="6" t="n">
        <v>1442</v>
      </c>
      <c r="K37" s="6" t="n">
        <v>1216</v>
      </c>
      <c r="L37" s="6" t="n">
        <v>936</v>
      </c>
      <c r="M37" s="6" t="n">
        <v>825</v>
      </c>
      <c r="N37" s="6" t="n">
        <v>749</v>
      </c>
      <c r="O37" s="6" t="n">
        <v>1059</v>
      </c>
      <c r="P37" s="6" t="n">
        <v>1335</v>
      </c>
      <c r="Q37" s="6" t="n">
        <v>1632</v>
      </c>
      <c r="R37" s="6" t="n">
        <v>1920</v>
      </c>
      <c r="S37" s="6" t="n">
        <v>1996</v>
      </c>
      <c r="T37" s="6" t="n">
        <v>1489</v>
      </c>
      <c r="U37" s="6" t="n">
        <v>1381</v>
      </c>
    </row>
    <row r="38">
      <c r="A38" s="5" t="inlineStr">
        <is>
          <t>Total equity</t>
        </is>
      </c>
      <c r="B38" s="5" t="n">
        <v>1704</v>
      </c>
      <c r="C38" s="5" t="n">
        <v>2065</v>
      </c>
      <c r="D38" s="5" t="n">
        <v>2556</v>
      </c>
      <c r="E38" s="5" t="n">
        <v>2502</v>
      </c>
      <c r="F38" s="5" t="n">
        <v>2742</v>
      </c>
      <c r="G38" s="5" t="n">
        <v>3003</v>
      </c>
      <c r="H38" s="5" t="n">
        <v>2779</v>
      </c>
      <c r="I38" s="5" t="n">
        <v>2647</v>
      </c>
      <c r="J38" s="5" t="n">
        <v>2408</v>
      </c>
      <c r="K38" s="5" t="n">
        <v>2182</v>
      </c>
      <c r="L38" s="5" t="n">
        <v>1902</v>
      </c>
      <c r="M38" s="5" t="n">
        <v>1791</v>
      </c>
      <c r="N38" s="5" t="n">
        <v>1715</v>
      </c>
      <c r="O38" s="5" t="n">
        <v>2025</v>
      </c>
      <c r="P38" s="5" t="n">
        <v>2301</v>
      </c>
      <c r="Q38" s="5" t="n">
        <v>2598</v>
      </c>
      <c r="R38" s="5" t="n">
        <v>2886</v>
      </c>
      <c r="S38" s="5" t="n">
        <v>2962</v>
      </c>
      <c r="T38" s="5" t="n">
        <v>2455</v>
      </c>
      <c r="U38" s="5" t="n">
        <v>2347</v>
      </c>
    </row>
    <row r="39">
      <c r="A39" s="5" t="inlineStr">
        <is>
          <t>Total liabilities and equity</t>
        </is>
      </c>
      <c r="B39" s="5" t="n">
        <v>13095</v>
      </c>
      <c r="C39" s="5" t="n">
        <v>13837</v>
      </c>
      <c r="D39" s="5" t="n">
        <v>18630</v>
      </c>
      <c r="E39" s="5" t="n">
        <v>17803</v>
      </c>
      <c r="F39" s="5" t="n">
        <v>15065</v>
      </c>
      <c r="G39" s="5" t="n">
        <v>19534</v>
      </c>
      <c r="H39" s="5" t="n">
        <v>20539</v>
      </c>
      <c r="I39" s="5" t="n">
        <v>21695</v>
      </c>
      <c r="J39" s="5" t="n">
        <v>19598</v>
      </c>
      <c r="K39" s="5" t="n">
        <v>17626</v>
      </c>
      <c r="L39" s="5" t="n">
        <v>14863</v>
      </c>
      <c r="M39" s="5" t="n">
        <v>13049</v>
      </c>
      <c r="N39" s="5" t="n">
        <v>12272</v>
      </c>
      <c r="O39" s="5" t="n">
        <v>12078</v>
      </c>
      <c r="P39" s="5" t="n">
        <v>13432</v>
      </c>
      <c r="Q39" s="5" t="n">
        <v>14012</v>
      </c>
      <c r="R39" s="5" t="n">
        <v>16208</v>
      </c>
      <c r="S39" s="5" t="n">
        <v>21640</v>
      </c>
      <c r="T39" s="5" t="n">
        <v>18169</v>
      </c>
      <c r="U39" s="5" t="n">
        <v>16962</v>
      </c>
    </row>
    <row r="41" ht="409" customHeight="1">
      <c r="A41" s="8" t="inlineStr">
        <is>
          <t>Sources - all figures are FCE Bank Plc's own consolidated (Group) Statement of Financial Position, Statement of Profit or Loss and Other Comprehensive Income, and Statement of Changes in Equity, each year's own originally-published figures (not a later year's restated comparative):
FY2025: Annual Report 2025, pp.52,51,55 - https://find-and-update.company-information.service.gov.uk/company/00772784/filing-history/MzUxMTcwMTU1NGFkaXF6a2N4/document?format=pdf&amp;download=0
FY2024: Annual Report 2024, pp.57,56,58 - https://find-and-update.company-information.service.gov.uk/company/00772784/filing-history/MzQ2MTUzNDU1OGFkaXF6a2N4/document?format=pdf&amp;download=0
FY2023: Annual Report 2023, pp.54,53,57 - https://find-and-update.company-information.service.gov.uk/company/00772784/filing-history/MzQxNTY0NTE3NGFkaXF6a2N4/document?format=pdf&amp;download=0
FY2022: Annual Report 2022 (AMENDED filing, 30 Oct 2023), pp.52,51,55 - https://find-and-update.company-information.service.gov.uk/company/00772784/filing-history/MzM5ODE1MjYzNmFkaXF6a2N4/document?format=pdf&amp;download=0
FY2021: Annual Report 2021, pp.48,47,51 - https://find-and-update.company-information.service.gov.uk/company/00772784/filing-history/MzMzMzk0NjU4NWFkaXF6a2N4/document?format=pdf&amp;download=0
FY2020: Annual Report 2020, pp.51,50,53-54 (Statements of Financial Position/P&amp;L/Changes in Equity, Group columns) - https://web.archive.org/web/20220615085358id_/https://www.fcebank.com/pdf/investor_center/2020_Annual_Report.pdf
FY2019: Annual Report 2019, pp.45,44,47-48 - https://web.archive.org/web/20220615085141id_/https://www.fcebank.com/pdf/investor_center/2019_Annual_Report.pdf
FY2018: Annual Report 2018, pp.39,38,41-42 - https://web.archive.org/web/20220615085110id_/https://www.fcebank.com/pdf/investor_center/2018_Annual_Report.pdf
FY2017: Annual Report 2017, p.31 (Statements of Financial Position and P&amp;L share this printed page number in FCE's own PDF - a genuine footer-numbering duplication in the source document, not a transcription error) and p.33 (Statements of Changes in Equity) - https://web.archive.org/web/20220615085008id_/https://www.fcebank.com/pdf/investor_center/2017_Annual_Report.pdf
FY2016: Annual Report 2016, pp.60,59,62 - https://web.archive.org/web/20220615085027id_/https://www.fcebank.com/pdf/investor_center/2016_annual_report.pdf
FY2015: Annual Report 2015, pp.60,59,62 - https://web.archive.org/web/20220615085018id_/https://www.fcebank.com/pdf/investor_center/2015_annual_report.pdf
FY2014: Annual Report and Accounts 2014, pp.39,38,41 (Statements of financial position/profit and loss/changes in equity, Group columns) - https://web.archive.org/web/20220615085021id_/https://www.fcebank.com/pdf/investor_center/2014_annual_accts.pdf
FY2013: Annual Report and Accounts 2013, pp.42,41,44 (Statements of financial position/profit and loss/changes in equity, Group columns) - https://web.archive.org/web/20220615085139id_/https://www.fcebank.com/pdf/investor_center/2013_annual_accts.pdf
FY2012: Annual Report and Accounts 2012, pp.42,41,44 - https://web.archive.org/web/20220620211159id_/https://www.fcebank.com/pdf/investor_center/2012_annual_report_account.pdf
FY2011: Annual Report and Accounts 2011, pp.41,40,43 - https://web.archive.org/web/20220615085005id_/https://www.fcebank.com/pdf/investor_center/2011_Annual_FCEReport.pdf
FY2010: Annual Report and Accounts 2010, pp.39,38,41 - https://web.archive.org/web/20220615085039id_/https://www.fcebank.com/pdf/investor_center/2010_Annual_FCEReport.pdf
FY2009: Annual Report and Accounts 2009, pp.41,40,42 (Balance Sheets/Consolidated Income Statement and Statement of Comprehensive Income/Statements of Changes in Equity, Group columns) - https://web.archive.org/web/20220615085056id_/https://www.fcebank.com/pdf/investor_center/2009_Annual_FCEReport.pdf
FY2008: Annual Report and Accounts 2008, pp.48,47,113 (Balance Sheets/Consolidated income statement and Statement of total recognised income and expense/Note 33 Total shareholders' equity, Group columns - FY2008 predates a standalone Statement of Changes in Equity page, reported instead as a note) - https://web.archive.org/web/20220615085100id_/https://www.fcebank.com/pdf/investor_center/2008_Annual_FCEReport.pdf
FY2007: Annual Report and Accounts 2007, pp.40,39,98 (Balance sheets/Consolidated income statement and Statement of total recognised income and expense/Note 31 Total shareholders' equity, Group columns) - https://web.archive.org/web/20220615085155id_/https://www.fcebank.com/pdf/investor_center/2007_Annual_FCEReport.pdf
FY2006: Annual Report and Accounts 2006, own PDF page ~2/1/2 (local page numbering restarts - Balance sheets/Income statement and Statement of total recognised income and expense/equity movements reconstructed from FY2007's own Note 31 comparative, Group columns) - https://web.archive.org/web/20220615085046id_/https://www.fcebank.com/pdf/investor_center/2006_Annual_FCEReport.pdf
FCE Bank Plc (company 00772784) is the UK-regulated captive auto-finance bank for Ford Motor Company's European operations (vehicle financing/leasing across Ford's European markets, not just the UK). Does NOT take the FRS 101/102 cash-flow exemption - full Group-basis Statement of Cash Flows every year. All 5 Companies House filings (FY2021-2025) are fully scanned/image-only (0 text blocks/page); every figure was transcribed via page rendering. FY2014-FY2020 (HD-046) came from FCE's own text-native Annual Report PDFs archived via the Wayback Machine (fcebank.com/pdf/investor_center/... - see per-sheet source notes for exact capture URLs); figures were extracted directly, not OCR'd.
FY2022's accounts were AMENDED (30 Oct 2023, replacing the original 24 Mar 2023 filing) - the amended FY2022 figures were used as the operative record for that year, since this is the entity's own correction to its own year's accounts (not a later year's restatement). Confirmed the amended FY2022 figures are internally consistent with how FY2023's own report later carries them forward as its FY2022 comparative - no discrepancy found.
FY2024's cash and cash equivalents at end of year include a genuine, disclosed 'Cash and cash equivalents in respect of discontinued operations' adjustment of £(873)m (Group basis) - a real disposal/discontinuation event that year, not a data error; kept as the entity's own disclosed reconciling item, not silently absorbed elsewhere.
FY2021's own Statement of Cash Flows classifies 'Net cash inflow/(outflow) on derivative financial instruments', 'Increase in restricted cash', and 'Decrease in restricted cash' under Financing activities (Group: £44m/£(97)m/£463m respectively, p.49); FY2022 onward reclassify these same three items under Investing activities instead. Confirmed via direct page image (p.49) - each year's own reported section placement is used, not forced into a single consistent classification across the 5 years.
HD-046 (FY2014-FY2020) methodology notes: (1) IFRS 9's three-stage ECL model was adopted 1 Jan 2018; FY2014-FY2017 instead use the IAS 39 'incurred loss' model (a single Retail/Wholesale impairment allowance, not staged) - see the Asset Quality sheet's own note. (2) IFRS 16 leases were adopted 1 Jan 2019; Right-of-use assets/Lease liabilities first appear as separate Balance Sheet lines from FY2019 (FY2014-FY2018 predate IFRS 16 entirely - no ROU/lease lines existed to report). (3) FY2014-FY2018's own Balance Sheet presents 'Due to banks and other financial institutions', 'Due to parent and related undertakings', and 'Debt securities in issue' as separate lines; FY2019 onward combine all of these into a single 'Financial liabilities' line instead (this single-line convention thus starts two years earlier than previously documented on this workbook, at FY2019 not FY2021). 'Subordinated loans' is a separate line only in FY2014-FY2018 (folded into 'Financial liabilities' from FY2019). Blank cells reflect each year's own reporting granularity, not missing data - underlying totals reconcile exactly.</t>
        </is>
      </c>
    </row>
    <row r="43" ht="409" customHeight="1">
      <c r="A43" s="8" t="inlineStr">
        <is>
          <t>(continued)
PRESENTATION NOTE (Balance Sheet): FY2021-FY2023's own Statements of Financial Position show separate 'Property and equipment' and 'Right-of-use assets' lines; these are not shown as separate lines in FY2024/FY2025 (each year's own report presents them consolidated within 'Other assets' - confirmed by checking FY2024's/FY2025's own report has no such lines at all, not merely omitted here). FY2021-FY2023 use a single 'Financial liabilities' line and a separate 'Lease liabilities' line; FY2024-FY2025 relabel this as 'Borrowings from parent, banks and other financial institutions' with no separate lease liabilities line (folded in). FY2021-FY2023 combine 'Other liabilities and provisions' into one line; FY2024-FY2025 split this into separate 'Other liabilities' and 'Provisions' lines. Blank cells indicate that year's own report did not disclose that specific line separately at that granularity - the underlying totals reconcile exactly across all 5 years regardless of presentation.
WHY verify_workbook.py REPORTS BLOCK MISMATCHES ON THE P&amp;L AND CASH FLOW SHEETS (checked 2026-09-16, all benign). That checker sums only the DATA rows since the last TOTAL row, which is the right rule for a flat statement and the wrong one for FCE's, because FCE's P&amp;L nests subtotals (Net interest income and Net fees and commissions income both feed Total income; Total income and Operating expenses both feed Profit before tax). Every flagged line reconciles once the skipped subtotal is included - e.g. FY2025 Total income 390+32+0=422, Profit before tax 422-31-265-15-31+87=167, Profit after tax 167-71=96, and FY2024 Profit for the period 55+157=212 and Total comprehensive income 212-42-27-134=9. On the Cash Flow sheet the same thing happens at the closing-cash tail, where the checker omits the 'Net (decrease)/increase' TOTAL row: FY2025 -162+1253+20=1111 and FY2024 -381+2557-50-873=1253, both exactly the printed closing balance. Note also that 'Operating expenses' is a single line item that happens to be bolded, not a subtotal of the ECL row above it. No figure on either sheet is in question.
MARKETABLE SECURITIES ROW ADDED 2026-09-16 (KM1-012): FCE prints 'Marketable securities' (Note 12) as its own Group balance-sheet line immediately below Cash, but only in the FY2010-FY2013 reports - £223m at 31 Dec 2010 and £1m at 31 Dec 2012, and '-' (nil) at 31 Dec 2011 and 31 Dec 2013. The line had never been transcribed, which is why the FY2010 asset rows summed to 13,789 against a printed Total assets of 14,012 (a gap of exactly 223) and FY2012's summed one short. Both totals were always correct as printed; only the component row was missing, so no existing figure changed when it was added. The word 'marketable' does not appear anywhere in the FY2006-FY2009 Annual Reports and the line is absent from the balance sheet in FY2014 onward, so those years are blank because FCE printed no such line - not because one was looked for and not found.
PRESENTATION NOTE (P&amp;L): FY2021-FY2023's own P&amp;L show 'Income from leasing &amp; other operating income' as one combined line, plus separate '(Loss)/Gain on disposal of Operating Leases', 'Depreciation of property and equipment' and 'Depreciation of right-of-use assets' lines. FY2024 renames the combined income line 'Other operating income' and keeps the two depreciation lines split (no disposal-of-leases line that year). FY2025 combines both depreciation lines into a single 'Depreciation and amortisation' line and drops the disposal-of-leases line entirely. FY2024 is also the only year with a Discontinued Operations split (Ford Bank GmbH, sold during FY2024 - Note 40/36) - FY2025 has no discontinued operations since the disposal is already complete; FY2021-FY2023 predate the disposal and never had a discontinued-operations split at all. Each year's own originally-published figures are used throughout - FY2023's own £974m interest income / £575m total income / £121m PBT / £88m PAT / £55m total comprehensive income (this workbook's FY2023 column) differ substantially from the RESTATED FY2023 comparative shown in the FY2024 Annual Report (£722m/£368m/£97m/£88m PAT unchanged but total comp £55m same, driven by the Ford Bank GmbH disposal being reclassified as a discontinued operation after the fact) - per project convention, each year's own original figures are used, not a later year's restated comparative.
EQUITY RECONCILIATION: verified via the per-year reconciliation ladder - every year's Statement of Changes in Equity closing balance ties exactly to that year's own Balance Sheet Total equity, and to the next year's own opening balance, with zero gaps found across all 5 years (FY2021 £2,742m -&gt; FY2022 £2,502m -&gt; FY2023 £2,556m -&gt; FY2024 £2,065m -&gt; FY2025 £1,704m, all independently confirmed against the Group Balance Sheet's own Total equity each year).
HD-046 PRESENTATION NOTE (FY2014-FY2020): (1) Balance Sheet - FY2014-FY2018 present 'Due to banks and other financial institutions', 'Due to parent and related undertakings' and 'Debt securities in issue' as separate lines, plus a standalone 'Subordinated loans' line; FY2019-FY2020 combine all four into a single 'Financial liabilities' line (the same single-line convention later continued through FY2023 - this pushes its true start back two years earlier than previously documented). Right-of-use assets and Lease liabilities first appear from FY2019 (IFRS 16 adoption, 1 Jan 2019) - FY2014-FY2018 have no such lines at all (not blank-because-immaterial, blank-because-the-standard-didn't-exist-yet). Investment in a joint venture (the Forso JV with Credit Agricole) is a separate line FY2014-FY2016 (nil by FY2017); FY2018 onward fold any residual into 'Investment in other entities' (the JV interest was realised/disposed by FY2017 - its own FY2017 note shows the Group balance as nil, confirmed by its absence, not omission). (2) P&amp;L - FY2014-FY2017 label the ECL/impairment line 'Impairment losses on loans and advances' (IAS 39 incurred-loss model); FY2018 onward relabel it 'Allowance for expected credit losses' (IFRS 9, adopted 1 Jan 2018) - both feed the same workbook row. 'Depreciation of right-of-use assets' first appears as its own P&amp;L line in FY2019 (IFRS 16). 'Share of profit of a joint venture' is a separate P&amp;L line FY2014-FY2017 only, consistent with the Balance Sheet JV note above. FY2016's own OCI section includes a small 'Available for sale gains from changes in fair value' item (£1m) folded into the workbook's translation-differences reporting for that year for consistency with FY2019-FY2020's small FVOCI equity-investment OCI items.
HD-076 PRESENTATION NOTE (FY2006-FY2013): (1) P&amp;L format - FY2006-FY2008's own annual reports present a 'Consolidated Income Statement' plus a separate 'Statement of Total Recognised Income and Expense' (STRIE), the pre-2009 UK-influenced IFRS equivalent of the post-2009 'Statement of Comprehensive Income' (IAS 1 revised, effective for periods from 1 Jan 2009) - same underlying content, older heading. Crucially, FY2006/FY2007's own STRIE bundles PROFIT, OCI, capital contributions from the parent AND dividends paid into one 'Total recognised income for the year' figure; this workbook's 'Total comprehensive income for the period' row instead reports profit + OCI only (excluding capital contributions/dividends, both owner transactions, consistent with every other year on this sheet) - so it will NOT tie to that STRIE total for FY2006/FY2007 specifically (it does tie directly for FY2008 onward, whose own STRIE/SOCI total already excludes both). (2) The joint venture (Forso JV, with Credit Agricole) was established June 2008 - 'Share of profit of a joint venture' and the Balance Sheet's JV investment line are both genuinely blank for FY2006-FY2007 (didn't exist), not a disclosure gap. (3) FCE received one-off capital contributions from its parent in FY2006 (£38m) and FY2007 (£nil, shown as an explicit zero that year) - a genuine equity-only transaction, tracked on the Statement of Changes in Equity, deliberately excluded from the P&amp;L's comprehensive-income total per (1) above. (4) 'Gain/(Loss) on foreign exchange' has no separate FY2006/FY2007 line - both years' own income statements combine it into 'Fair value adjustments to financial instruments' with no FX-only split disclosed; left blank rather than force-split. (5) Balance Sheet - 'Due to banks and other financial institutions', 'Due to parent and related undertakings', 'Debt securities in issue' and 'Subordinated loans' (called 'Other borrowed funds' only in the FY2006 report) are separate lines throughout FY2006-FY2018, so these rows' '(FY2014-FY2018 only)' labels have been widened to '(FY2006-FY2018 only)' - the underlying totals shown FY2006-FY2013 combine that year's own securitisation/non-securitisation split (disclosed as sub-lines in the source, not reproduced separately here for brevity, consistent with the Asset Quality sheet's existing Portfolio Split convention). 'Investment in other entities' (renamed from 'Investment in group undertakings', Group basis was always nil/blank under either label pre-FY2012) first shows a real non-zero Group figure from FY2012.</t>
        </is>
      </c>
    </row>
  </sheetData>
  <mergeCells count="2">
    <mergeCell ref="A43:U43"/>
    <mergeCell ref="A41:U4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3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s>
  <sheetData>
    <row r="1">
      <c r="A1" s="1" t="inlineStr">
        <is>
          <t>FCE Bank Plc — Profit &amp; Loss</t>
        </is>
      </c>
    </row>
    <row r="2">
      <c r="A2" s="2" t="inlineStr">
        <is>
          <t>Group/Consolidated basis, £m. See source note at bottom (presentation changes and FY2023 non-restated own-year figures documented).</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c r="N3" s="4" t="inlineStr">
        <is>
          <t>FY2013 (£m)</t>
        </is>
      </c>
      <c r="O3" s="4" t="inlineStr">
        <is>
          <t>FY2012 (£m)</t>
        </is>
      </c>
      <c r="P3" s="4" t="inlineStr">
        <is>
          <t>FY2011 (£m)</t>
        </is>
      </c>
      <c r="Q3" s="4" t="inlineStr">
        <is>
          <t>FY2010 (£m)</t>
        </is>
      </c>
      <c r="R3" s="4" t="inlineStr">
        <is>
          <t>FY2009 (£m)</t>
        </is>
      </c>
      <c r="S3" s="4" t="inlineStr">
        <is>
          <t>FY2008 (£m)</t>
        </is>
      </c>
      <c r="T3" s="4" t="inlineStr">
        <is>
          <t>FY2007 (£m)</t>
        </is>
      </c>
      <c r="U3" s="4" t="inlineStr">
        <is>
          <t>FY2006 (£m)</t>
        </is>
      </c>
    </row>
    <row r="4">
      <c r="A4" s="5" t="inlineStr">
        <is>
          <t>Income</t>
        </is>
      </c>
      <c r="B4" s="6" t="n"/>
      <c r="C4" s="6" t="n"/>
      <c r="D4" s="6" t="n"/>
      <c r="E4" s="6" t="n"/>
      <c r="F4" s="6" t="n"/>
      <c r="G4" s="6" t="n"/>
      <c r="H4" s="6" t="n"/>
      <c r="I4" s="6" t="n"/>
      <c r="J4" s="6" t="n"/>
      <c r="K4" s="6" t="n"/>
      <c r="L4" s="6" t="n"/>
      <c r="M4" s="6" t="n"/>
      <c r="N4" s="6" t="n"/>
      <c r="O4" s="6" t="n"/>
      <c r="P4" s="6" t="n"/>
      <c r="Q4" s="6" t="n"/>
      <c r="R4" s="6" t="n"/>
      <c r="S4" s="6" t="n"/>
      <c r="T4" s="6" t="n"/>
      <c r="U4" s="6" t="n"/>
    </row>
    <row r="5">
      <c r="A5" s="6" t="inlineStr">
        <is>
          <t>Interest income</t>
        </is>
      </c>
      <c r="B5" s="6" t="n">
        <v>860</v>
      </c>
      <c r="C5" s="6" t="n">
        <v>874</v>
      </c>
      <c r="D5" s="6" t="n">
        <v>974</v>
      </c>
      <c r="E5" s="6" t="n">
        <v>576</v>
      </c>
      <c r="F5" s="6" t="n">
        <v>552</v>
      </c>
      <c r="G5" s="6" t="n">
        <v>679</v>
      </c>
      <c r="H5" s="6" t="n">
        <v>748</v>
      </c>
      <c r="I5" s="6" t="n">
        <v>724</v>
      </c>
      <c r="J5" s="6" t="n">
        <v>647</v>
      </c>
      <c r="K5" s="6" t="n">
        <v>630</v>
      </c>
      <c r="L5" s="6" t="n">
        <v>564</v>
      </c>
      <c r="M5" s="6" t="n">
        <v>587</v>
      </c>
      <c r="N5" s="6" t="n">
        <v>658</v>
      </c>
      <c r="O5" s="6" t="n">
        <v>696</v>
      </c>
      <c r="P5" s="6" t="n">
        <v>856</v>
      </c>
      <c r="Q5" s="6" t="n">
        <v>893</v>
      </c>
      <c r="R5" s="6" t="n">
        <v>1111</v>
      </c>
      <c r="S5" s="6" t="n">
        <v>1398</v>
      </c>
      <c r="T5" s="6" t="n">
        <v>1265</v>
      </c>
      <c r="U5" s="6" t="n">
        <v>1114</v>
      </c>
    </row>
    <row r="6">
      <c r="A6" s="6" t="inlineStr">
        <is>
          <t>Interest expense</t>
        </is>
      </c>
      <c r="B6" s="6" t="n">
        <v>-470</v>
      </c>
      <c r="C6" s="6" t="n">
        <v>-527</v>
      </c>
      <c r="D6" s="6" t="n">
        <v>-505</v>
      </c>
      <c r="E6" s="6" t="n">
        <v>-170</v>
      </c>
      <c r="F6" s="6" t="n">
        <v>-162</v>
      </c>
      <c r="G6" s="6" t="n">
        <v>-217</v>
      </c>
      <c r="H6" s="6" t="n">
        <v>-208</v>
      </c>
      <c r="I6" s="6" t="n">
        <v>-178</v>
      </c>
      <c r="J6" s="6" t="n">
        <v>-181</v>
      </c>
      <c r="K6" s="6" t="n">
        <v>-190</v>
      </c>
      <c r="L6" s="6" t="n">
        <v>-176</v>
      </c>
      <c r="M6" s="6" t="n">
        <v>-192</v>
      </c>
      <c r="N6" s="6" t="n">
        <v>-252</v>
      </c>
      <c r="O6" s="6" t="n">
        <v>-353</v>
      </c>
      <c r="P6" s="6" t="n">
        <v>-512</v>
      </c>
      <c r="Q6" s="6" t="n">
        <v>-539</v>
      </c>
      <c r="R6" s="6" t="n">
        <v>-653</v>
      </c>
      <c r="S6" s="6" t="n">
        <v>-949</v>
      </c>
      <c r="T6" s="6" t="n">
        <v>-791</v>
      </c>
      <c r="U6" s="6" t="n">
        <v>-627</v>
      </c>
    </row>
    <row r="7">
      <c r="A7" s="5" t="inlineStr">
        <is>
          <t>Net interest income</t>
        </is>
      </c>
      <c r="B7" s="5" t="n">
        <v>390</v>
      </c>
      <c r="C7" s="5" t="n">
        <v>347</v>
      </c>
      <c r="D7" s="5" t="n">
        <v>469</v>
      </c>
      <c r="E7" s="5" t="n">
        <v>406</v>
      </c>
      <c r="F7" s="5" t="n">
        <v>390</v>
      </c>
      <c r="G7" s="5" t="n">
        <v>462</v>
      </c>
      <c r="H7" s="5" t="n">
        <v>540</v>
      </c>
      <c r="I7" s="5" t="n">
        <v>546</v>
      </c>
      <c r="J7" s="5" t="n">
        <v>466</v>
      </c>
      <c r="K7" s="5" t="n">
        <v>440</v>
      </c>
      <c r="L7" s="5" t="n">
        <v>388</v>
      </c>
      <c r="M7" s="5" t="n">
        <v>395</v>
      </c>
      <c r="N7" s="5" t="n">
        <v>406</v>
      </c>
      <c r="O7" s="5" t="n">
        <v>343</v>
      </c>
      <c r="P7" s="5" t="n">
        <v>344</v>
      </c>
      <c r="Q7" s="5" t="n">
        <v>354</v>
      </c>
      <c r="R7" s="5" t="n">
        <v>458</v>
      </c>
      <c r="S7" s="5" t="n">
        <v>449</v>
      </c>
      <c r="T7" s="5" t="n">
        <v>474</v>
      </c>
      <c r="U7" s="5" t="n">
        <v>487</v>
      </c>
    </row>
    <row r="8">
      <c r="A8" s="6" t="inlineStr">
        <is>
          <t>Fees and commissions income</t>
        </is>
      </c>
      <c r="B8" s="6" t="n">
        <v>43</v>
      </c>
      <c r="C8" s="6" t="n">
        <v>58</v>
      </c>
      <c r="D8" s="6" t="n">
        <v>61</v>
      </c>
      <c r="E8" s="6" t="n">
        <v>62</v>
      </c>
      <c r="F8" s="6" t="n">
        <v>53</v>
      </c>
      <c r="G8" s="6" t="n">
        <v>61</v>
      </c>
      <c r="H8" s="6" t="n">
        <v>63</v>
      </c>
      <c r="I8" s="6" t="n">
        <v>67</v>
      </c>
      <c r="J8" s="6" t="n">
        <v>64</v>
      </c>
      <c r="K8" s="6" t="n">
        <v>47</v>
      </c>
      <c r="L8" s="6" t="n">
        <v>40</v>
      </c>
      <c r="M8" s="6" t="n">
        <v>43</v>
      </c>
      <c r="N8" s="6" t="n">
        <v>37</v>
      </c>
      <c r="O8" s="6" t="n">
        <v>35</v>
      </c>
      <c r="P8" s="6" t="n">
        <v>63</v>
      </c>
      <c r="Q8" s="6" t="n">
        <v>70</v>
      </c>
      <c r="R8" s="6" t="n">
        <v>82</v>
      </c>
      <c r="S8" s="6" t="n">
        <v>118</v>
      </c>
      <c r="T8" s="6" t="n">
        <v>83</v>
      </c>
      <c r="U8" s="6" t="n">
        <v>82</v>
      </c>
    </row>
    <row r="9">
      <c r="A9" s="6" t="inlineStr">
        <is>
          <t>Fees and commissions expense</t>
        </is>
      </c>
      <c r="B9" s="6" t="n">
        <v>-11</v>
      </c>
      <c r="C9" s="6" t="n">
        <v>-8</v>
      </c>
      <c r="D9" s="6" t="n">
        <v>-7</v>
      </c>
      <c r="E9" s="6" t="n">
        <v>-6</v>
      </c>
      <c r="F9" s="6" t="n">
        <v>-8</v>
      </c>
      <c r="G9" s="6" t="n">
        <v>-11</v>
      </c>
      <c r="H9" s="6" t="n">
        <v>-10</v>
      </c>
      <c r="I9" s="6" t="n">
        <v>-10</v>
      </c>
      <c r="J9" s="6" t="n">
        <v>-9</v>
      </c>
      <c r="K9" s="6" t="n">
        <v>-6</v>
      </c>
      <c r="L9" s="6" t="n">
        <v>-5</v>
      </c>
      <c r="M9" s="6" t="n">
        <v>-10</v>
      </c>
      <c r="N9" s="6" t="n">
        <v>-14</v>
      </c>
      <c r="O9" s="6" t="n">
        <v>-12</v>
      </c>
      <c r="P9" s="6" t="n">
        <v>-13</v>
      </c>
      <c r="Q9" s="6" t="n">
        <v>-8</v>
      </c>
      <c r="R9" s="6" t="n">
        <v>-14</v>
      </c>
      <c r="S9" s="6" t="n">
        <v>-15</v>
      </c>
      <c r="T9" s="6" t="n">
        <v>-19</v>
      </c>
      <c r="U9" s="6" t="n">
        <v>-7</v>
      </c>
    </row>
    <row r="10">
      <c r="A10" s="5" t="inlineStr">
        <is>
          <t>Net fees and commissions income</t>
        </is>
      </c>
      <c r="B10" s="5" t="n">
        <v>32</v>
      </c>
      <c r="C10" s="5" t="n">
        <v>50</v>
      </c>
      <c r="D10" s="5" t="n">
        <v>54</v>
      </c>
      <c r="E10" s="5" t="n">
        <v>56</v>
      </c>
      <c r="F10" s="5" t="n">
        <v>45</v>
      </c>
      <c r="G10" s="5" t="n">
        <v>50</v>
      </c>
      <c r="H10" s="5" t="n">
        <v>53</v>
      </c>
      <c r="I10" s="5" t="n">
        <v>57</v>
      </c>
      <c r="J10" s="5" t="n">
        <v>55</v>
      </c>
      <c r="K10" s="5" t="n">
        <v>41</v>
      </c>
      <c r="L10" s="5" t="n">
        <v>35</v>
      </c>
      <c r="M10" s="5" t="n">
        <v>33</v>
      </c>
      <c r="N10" s="5" t="n">
        <v>23</v>
      </c>
      <c r="O10" s="5" t="n">
        <v>23</v>
      </c>
      <c r="P10" s="5" t="n">
        <v>50</v>
      </c>
      <c r="Q10" s="5" t="n">
        <v>62</v>
      </c>
      <c r="R10" s="5" t="n">
        <v>68</v>
      </c>
      <c r="S10" s="5" t="n">
        <v>103</v>
      </c>
      <c r="T10" s="5" t="n">
        <v>64</v>
      </c>
      <c r="U10" s="5" t="n">
        <v>75</v>
      </c>
    </row>
    <row r="11">
      <c r="A11" s="6" t="inlineStr">
        <is>
          <t>Other operating income / Income from leasing &amp; other operating income</t>
        </is>
      </c>
      <c r="B11" s="6" t="n">
        <v>0</v>
      </c>
      <c r="C11" s="6" t="n">
        <v>8</v>
      </c>
      <c r="D11" s="6" t="n">
        <v>52</v>
      </c>
      <c r="E11" s="6" t="n">
        <v>54</v>
      </c>
      <c r="F11" s="6" t="n">
        <v>164</v>
      </c>
      <c r="G11" s="6" t="n">
        <v>224</v>
      </c>
      <c r="H11" s="6" t="n">
        <v>426</v>
      </c>
      <c r="I11" s="6" t="n">
        <v>336</v>
      </c>
      <c r="J11" s="6" t="n">
        <v>322</v>
      </c>
      <c r="K11" s="6" t="n">
        <v>216</v>
      </c>
      <c r="L11" s="6" t="n">
        <v>175</v>
      </c>
      <c r="M11" s="6" t="n">
        <v>181</v>
      </c>
      <c r="N11" s="6" t="n">
        <v>205</v>
      </c>
      <c r="O11" s="6" t="n">
        <v>208</v>
      </c>
      <c r="P11" s="6" t="n">
        <v>176</v>
      </c>
      <c r="Q11" s="6" t="n">
        <v>148</v>
      </c>
      <c r="R11" s="6" t="n">
        <v>122</v>
      </c>
      <c r="S11" s="6" t="n">
        <v>205</v>
      </c>
      <c r="T11" s="6" t="n">
        <v>134</v>
      </c>
      <c r="U11" s="6" t="n">
        <v>160</v>
      </c>
    </row>
    <row r="12">
      <c r="A12" s="5" t="inlineStr">
        <is>
          <t>Total income</t>
        </is>
      </c>
      <c r="B12" s="5" t="n">
        <v>422</v>
      </c>
      <c r="C12" s="5" t="n">
        <v>405</v>
      </c>
      <c r="D12" s="5" t="n">
        <v>575</v>
      </c>
      <c r="E12" s="5" t="n">
        <v>516</v>
      </c>
      <c r="F12" s="5" t="n">
        <v>599</v>
      </c>
      <c r="G12" s="5" t="n">
        <v>736</v>
      </c>
      <c r="H12" s="5" t="n">
        <v>1019</v>
      </c>
      <c r="I12" s="5" t="n">
        <v>939</v>
      </c>
      <c r="J12" s="5" t="n">
        <v>843</v>
      </c>
      <c r="K12" s="5" t="n">
        <v>697</v>
      </c>
      <c r="L12" s="5" t="n">
        <v>598</v>
      </c>
      <c r="M12" s="5" t="n">
        <v>609</v>
      </c>
      <c r="N12" s="5" t="n">
        <v>634</v>
      </c>
      <c r="O12" s="5" t="n">
        <v>574</v>
      </c>
      <c r="P12" s="5" t="n">
        <v>570</v>
      </c>
      <c r="Q12" s="5" t="n">
        <v>564</v>
      </c>
      <c r="R12" s="5" t="n">
        <v>648</v>
      </c>
      <c r="S12" s="5" t="n">
        <v>757</v>
      </c>
      <c r="T12" s="5" t="n">
        <v>672</v>
      </c>
      <c r="U12" s="5" t="n">
        <v>722</v>
      </c>
    </row>
    <row r="13">
      <c r="A13" s="5" t="inlineStr">
        <is>
          <t>Expenses</t>
        </is>
      </c>
      <c r="B13" s="6" t="n"/>
      <c r="C13" s="6" t="n"/>
      <c r="D13" s="6" t="n"/>
      <c r="E13" s="6" t="n"/>
      <c r="F13" s="6" t="n"/>
      <c r="G13" s="6" t="n"/>
      <c r="H13" s="6" t="n"/>
      <c r="I13" s="6" t="n"/>
      <c r="J13" s="6" t="n"/>
      <c r="K13" s="6" t="n"/>
      <c r="L13" s="6" t="n"/>
      <c r="M13" s="6" t="n"/>
      <c r="N13" s="6" t="n"/>
      <c r="O13" s="6" t="n"/>
      <c r="P13" s="6" t="n"/>
      <c r="Q13" s="6" t="n"/>
      <c r="R13" s="6" t="n"/>
      <c r="S13" s="6" t="n"/>
      <c r="T13" s="6" t="n"/>
      <c r="U13" s="6" t="n"/>
    </row>
    <row r="14">
      <c r="A14" s="6" t="inlineStr">
        <is>
          <t>Allowance for expected credit losses / Impairment losses on loans and advances</t>
        </is>
      </c>
      <c r="B14" s="6" t="n">
        <v>-31</v>
      </c>
      <c r="C14" s="6" t="n">
        <v>-18</v>
      </c>
      <c r="D14" s="6" t="n">
        <v>-2</v>
      </c>
      <c r="E14" s="6" t="n">
        <v>4</v>
      </c>
      <c r="F14" s="6" t="n">
        <v>5</v>
      </c>
      <c r="G14" s="6" t="n">
        <v>-49</v>
      </c>
      <c r="H14" s="6" t="n">
        <v>-22</v>
      </c>
      <c r="I14" s="6" t="n">
        <v>-17</v>
      </c>
      <c r="J14" s="6" t="n">
        <v>-21</v>
      </c>
      <c r="K14" s="6" t="n">
        <v>-22</v>
      </c>
      <c r="L14" s="6" t="n">
        <v>-11</v>
      </c>
      <c r="M14" s="6" t="n">
        <v>-9</v>
      </c>
      <c r="N14" s="6" t="n">
        <v>-18</v>
      </c>
      <c r="O14" s="6" t="n">
        <v>2</v>
      </c>
      <c r="P14" s="6" t="n">
        <v>-3</v>
      </c>
      <c r="Q14" s="6" t="n">
        <v>-9</v>
      </c>
      <c r="R14" s="6" t="n">
        <v>-153</v>
      </c>
      <c r="S14" s="6" t="n">
        <v>-76</v>
      </c>
      <c r="T14" s="6" t="n">
        <v>-33</v>
      </c>
      <c r="U14" s="6" t="n">
        <v>-48</v>
      </c>
    </row>
    <row r="15">
      <c r="A15" s="5" t="inlineStr">
        <is>
          <t>Operating expenses</t>
        </is>
      </c>
      <c r="B15" s="5" t="n">
        <v>-265</v>
      </c>
      <c r="C15" s="5" t="n">
        <v>-243</v>
      </c>
      <c r="D15" s="5" t="n">
        <v>-287</v>
      </c>
      <c r="E15" s="5" t="n">
        <v>-255</v>
      </c>
      <c r="F15" s="5" t="n">
        <v>-239</v>
      </c>
      <c r="G15" s="5" t="n">
        <v>-275</v>
      </c>
      <c r="H15" s="5" t="n">
        <v>-276</v>
      </c>
      <c r="I15" s="5" t="n">
        <v>-305</v>
      </c>
      <c r="J15" s="5" t="n">
        <v>-260</v>
      </c>
      <c r="K15" s="5" t="n">
        <v>-292</v>
      </c>
      <c r="L15" s="5" t="n">
        <v>-200</v>
      </c>
      <c r="M15" s="5" t="n">
        <v>-204</v>
      </c>
      <c r="N15" s="5" t="n">
        <v>-232</v>
      </c>
      <c r="O15" s="5" t="n">
        <v>-216</v>
      </c>
      <c r="P15" s="5" t="n">
        <v>-201</v>
      </c>
      <c r="Q15" s="5" t="n">
        <v>-215</v>
      </c>
      <c r="R15" s="5" t="n">
        <v>-205</v>
      </c>
      <c r="S15" s="5" t="n">
        <v>-243</v>
      </c>
      <c r="T15" s="5" t="n">
        <v>-227</v>
      </c>
      <c r="U15" s="5" t="n">
        <v>-246</v>
      </c>
    </row>
    <row r="16">
      <c r="A16" s="6" t="inlineStr">
        <is>
          <t>(Loss)/Gain on disposal of Operating Leases</t>
        </is>
      </c>
      <c r="B16" s="6" t="n"/>
      <c r="C16" s="6" t="n"/>
      <c r="D16" s="6" t="n">
        <v>-13</v>
      </c>
      <c r="E16" s="6" t="n">
        <v>30</v>
      </c>
      <c r="F16" s="6" t="n">
        <v>-16</v>
      </c>
      <c r="G16" s="6" t="n"/>
      <c r="H16" s="6" t="n"/>
      <c r="I16" s="6" t="n"/>
      <c r="J16" s="6" t="n"/>
      <c r="K16" s="6" t="n"/>
      <c r="L16" s="6" t="n"/>
      <c r="M16" s="6" t="n"/>
      <c r="N16" s="6" t="n"/>
      <c r="O16" s="6" t="n"/>
      <c r="P16" s="6" t="n"/>
      <c r="Q16" s="6" t="n"/>
      <c r="R16" s="6" t="n"/>
      <c r="S16" s="6" t="n"/>
      <c r="T16" s="6" t="n"/>
      <c r="U16" s="6" t="n"/>
    </row>
    <row r="17">
      <c r="A17" s="6" t="inlineStr">
        <is>
          <t>Depreciation and amortisation (combined, FY2025 only)</t>
        </is>
      </c>
      <c r="B17" s="6" t="n">
        <v>-15</v>
      </c>
      <c r="C17" s="6" t="n"/>
      <c r="D17" s="6" t="n"/>
      <c r="E17" s="6" t="n"/>
      <c r="F17" s="6" t="n"/>
      <c r="G17" s="6" t="n"/>
      <c r="H17" s="6" t="n"/>
      <c r="I17" s="6" t="n"/>
      <c r="J17" s="6" t="n"/>
      <c r="K17" s="6" t="n"/>
      <c r="L17" s="6" t="n"/>
      <c r="M17" s="6" t="n"/>
      <c r="N17" s="6" t="n"/>
      <c r="O17" s="6" t="n"/>
      <c r="P17" s="6" t="n"/>
      <c r="Q17" s="6" t="n"/>
      <c r="R17" s="6" t="n"/>
      <c r="S17" s="6" t="n"/>
      <c r="T17" s="6" t="n"/>
      <c r="U17" s="6" t="n"/>
    </row>
    <row r="18">
      <c r="A18" s="6" t="inlineStr">
        <is>
          <t>Depreciation of property and equipment</t>
        </is>
      </c>
      <c r="B18" s="6" t="n"/>
      <c r="C18" s="6" t="n">
        <v>0</v>
      </c>
      <c r="D18" s="6" t="n">
        <v>-37</v>
      </c>
      <c r="E18" s="6" t="n">
        <v>-29</v>
      </c>
      <c r="F18" s="6" t="n">
        <v>-131</v>
      </c>
      <c r="G18" s="6" t="n">
        <v>-190</v>
      </c>
      <c r="H18" s="6" t="n">
        <v>-400</v>
      </c>
      <c r="I18" s="6" t="n">
        <v>-320</v>
      </c>
      <c r="J18" s="6" t="n">
        <v>-292</v>
      </c>
      <c r="K18" s="6" t="n">
        <v>-203</v>
      </c>
      <c r="L18" s="6" t="n">
        <v>-164</v>
      </c>
      <c r="M18" s="6" t="n">
        <v>-175</v>
      </c>
      <c r="N18" s="6" t="n">
        <v>-183</v>
      </c>
      <c r="O18" s="6" t="n">
        <v>-220</v>
      </c>
      <c r="P18" s="6" t="n">
        <v>-174</v>
      </c>
      <c r="Q18" s="6" t="n">
        <v>-100</v>
      </c>
      <c r="R18" s="6" t="n">
        <v>-110</v>
      </c>
      <c r="S18" s="6" t="n">
        <v>-132</v>
      </c>
      <c r="T18" s="6" t="n">
        <v>-120</v>
      </c>
      <c r="U18" s="6" t="n">
        <v>-134</v>
      </c>
    </row>
    <row r="19">
      <c r="A19" s="6" t="inlineStr">
        <is>
          <t>Depreciation of right-of-use assets</t>
        </is>
      </c>
      <c r="B19" s="6" t="n"/>
      <c r="C19" s="6" t="n">
        <v>-4</v>
      </c>
      <c r="D19" s="6" t="n">
        <v>-5</v>
      </c>
      <c r="E19" s="6" t="n">
        <v>-5</v>
      </c>
      <c r="F19" s="6" t="n">
        <v>-8</v>
      </c>
      <c r="G19" s="6" t="n">
        <v>-6</v>
      </c>
      <c r="H19" s="6" t="n">
        <v>-5</v>
      </c>
      <c r="I19" s="6" t="n"/>
      <c r="J19" s="6" t="n"/>
      <c r="K19" s="6" t="n"/>
      <c r="L19" s="6" t="n"/>
      <c r="M19" s="6" t="n"/>
      <c r="N19" s="6" t="n"/>
      <c r="O19" s="6" t="n"/>
      <c r="P19" s="6" t="n"/>
      <c r="Q19" s="6" t="n"/>
      <c r="R19" s="6" t="n"/>
      <c r="S19" s="6" t="n"/>
      <c r="T19" s="6" t="n"/>
      <c r="U19" s="6" t="n"/>
    </row>
    <row r="20">
      <c r="A20" s="6" t="inlineStr">
        <is>
          <t>(Loss)/Gain on fair value adjustment - non designated derivatives</t>
        </is>
      </c>
      <c r="B20" s="6" t="n">
        <v>-31</v>
      </c>
      <c r="C20" s="6" t="n">
        <v>46</v>
      </c>
      <c r="D20" s="6" t="n">
        <v>-98</v>
      </c>
      <c r="E20" s="6" t="n">
        <v>128</v>
      </c>
      <c r="F20" s="6" t="n">
        <v>46</v>
      </c>
      <c r="G20" s="6" t="n">
        <v>-3</v>
      </c>
      <c r="H20" s="6" t="n">
        <v>-65</v>
      </c>
      <c r="I20" s="6" t="n">
        <v>-8</v>
      </c>
      <c r="J20" s="6" t="n">
        <v>56</v>
      </c>
      <c r="K20" s="6" t="n">
        <v>285</v>
      </c>
      <c r="L20" s="6" t="n">
        <v>-23</v>
      </c>
      <c r="M20" s="6" t="n">
        <v>-24</v>
      </c>
      <c r="N20" s="6" t="n">
        <v>-1</v>
      </c>
      <c r="O20" s="6" t="n">
        <v>-75</v>
      </c>
      <c r="P20" s="6" t="n">
        <v>5</v>
      </c>
      <c r="Q20" s="6" t="n">
        <v>34</v>
      </c>
      <c r="R20" s="6" t="n">
        <v>36</v>
      </c>
      <c r="S20" s="6" t="n">
        <v>88</v>
      </c>
      <c r="T20" s="6" t="n">
        <v>-17</v>
      </c>
      <c r="U20" s="6" t="n">
        <v>35</v>
      </c>
    </row>
    <row r="21">
      <c r="A21" s="6" t="inlineStr">
        <is>
          <t>Gain/(Loss) on foreign exchange</t>
        </is>
      </c>
      <c r="B21" s="6" t="n">
        <v>87</v>
      </c>
      <c r="C21" s="6" t="n">
        <v>-69</v>
      </c>
      <c r="D21" s="6" t="n">
        <v>-12</v>
      </c>
      <c r="E21" s="6" t="n">
        <v>28</v>
      </c>
      <c r="F21" s="6" t="n">
        <v>-18</v>
      </c>
      <c r="G21" s="6" t="n">
        <v>-29</v>
      </c>
      <c r="H21" s="6" t="n">
        <v>46</v>
      </c>
      <c r="I21" s="6" t="n">
        <v>-8</v>
      </c>
      <c r="J21" s="6" t="n">
        <v>-46</v>
      </c>
      <c r="K21" s="6" t="n">
        <v>-292</v>
      </c>
      <c r="L21" s="6" t="n">
        <v>13</v>
      </c>
      <c r="M21" s="6" t="n">
        <v>-3</v>
      </c>
      <c r="N21" s="6" t="n">
        <v>11</v>
      </c>
      <c r="O21" s="6" t="n">
        <v>45</v>
      </c>
      <c r="P21" s="6" t="n">
        <v>-24</v>
      </c>
      <c r="Q21" s="6" t="n">
        <v>-41</v>
      </c>
      <c r="R21" s="6" t="n">
        <v>7</v>
      </c>
      <c r="S21" s="6" t="n">
        <v>-95</v>
      </c>
      <c r="T21" s="6" t="n"/>
      <c r="U21" s="6" t="n"/>
    </row>
    <row r="22">
      <c r="A22" s="6" t="inlineStr">
        <is>
          <t>Share of profit of a joint venture (FY2008-FY2017 only; JV established June 2008)</t>
        </is>
      </c>
      <c r="B22" s="6" t="n"/>
      <c r="C22" s="6" t="n"/>
      <c r="D22" s="6" t="n"/>
      <c r="E22" s="6" t="n"/>
      <c r="F22" s="6" t="n"/>
      <c r="G22" s="6" t="n"/>
      <c r="H22" s="6" t="n"/>
      <c r="I22" s="6" t="n"/>
      <c r="J22" s="6" t="n">
        <v>3</v>
      </c>
      <c r="K22" s="6" t="n">
        <v>5</v>
      </c>
      <c r="L22" s="6" t="n">
        <v>4</v>
      </c>
      <c r="M22" s="6" t="n">
        <v>3</v>
      </c>
      <c r="N22" s="6" t="n">
        <v>3</v>
      </c>
      <c r="O22" s="6" t="n">
        <v>5</v>
      </c>
      <c r="P22" s="6" t="n">
        <v>6</v>
      </c>
      <c r="Q22" s="6" t="n">
        <v>6</v>
      </c>
      <c r="R22" s="6" t="n"/>
      <c r="S22" s="6" t="n">
        <v>1</v>
      </c>
      <c r="T22" s="6" t="n"/>
      <c r="U22" s="6" t="n"/>
    </row>
    <row r="23">
      <c r="A23" s="5" t="inlineStr">
        <is>
          <t>Profit before tax</t>
        </is>
      </c>
      <c r="B23" s="5" t="n">
        <v>167</v>
      </c>
      <c r="C23" s="5" t="n">
        <v>117</v>
      </c>
      <c r="D23" s="5" t="n">
        <v>121</v>
      </c>
      <c r="E23" s="5" t="n">
        <v>417</v>
      </c>
      <c r="F23" s="5" t="n">
        <v>238</v>
      </c>
      <c r="G23" s="5" t="n">
        <v>184</v>
      </c>
      <c r="H23" s="5" t="n">
        <v>297</v>
      </c>
      <c r="I23" s="5" t="n">
        <v>281</v>
      </c>
      <c r="J23" s="5" t="n">
        <v>283</v>
      </c>
      <c r="K23" s="5" t="n">
        <v>178</v>
      </c>
      <c r="L23" s="5" t="n">
        <v>217</v>
      </c>
      <c r="M23" s="5" t="n">
        <v>197</v>
      </c>
      <c r="N23" s="5" t="n">
        <v>214</v>
      </c>
      <c r="O23" s="5" t="n">
        <v>115</v>
      </c>
      <c r="P23" s="5" t="n">
        <v>179</v>
      </c>
      <c r="Q23" s="5" t="n">
        <v>239</v>
      </c>
      <c r="R23" s="5" t="n">
        <v>223</v>
      </c>
      <c r="S23" s="5" t="n">
        <v>300</v>
      </c>
      <c r="T23" s="5" t="n">
        <v>275</v>
      </c>
      <c r="U23" s="5" t="n">
        <v>329</v>
      </c>
    </row>
    <row r="24">
      <c r="A24" s="6" t="inlineStr">
        <is>
          <t>Income tax expense</t>
        </is>
      </c>
      <c r="B24" s="6" t="n">
        <v>-71</v>
      </c>
      <c r="C24" s="6" t="n">
        <v>-62</v>
      </c>
      <c r="D24" s="6" t="n">
        <v>-33</v>
      </c>
      <c r="E24" s="6" t="n">
        <v>-130</v>
      </c>
      <c r="F24" s="6" t="n">
        <v>-84</v>
      </c>
      <c r="G24" s="6" t="n">
        <v>-56</v>
      </c>
      <c r="H24" s="6" t="n">
        <v>-73</v>
      </c>
      <c r="I24" s="6" t="n">
        <v>-72</v>
      </c>
      <c r="J24" s="6" t="n">
        <v>-70</v>
      </c>
      <c r="K24" s="6" t="n">
        <v>-34</v>
      </c>
      <c r="L24" s="6" t="n">
        <v>-57</v>
      </c>
      <c r="M24" s="6" t="n">
        <v>-50</v>
      </c>
      <c r="N24" s="6" t="n">
        <v>-62</v>
      </c>
      <c r="O24" s="6" t="n">
        <v>-30</v>
      </c>
      <c r="P24" s="6" t="n">
        <v>-56</v>
      </c>
      <c r="Q24" s="6" t="n">
        <v>-78</v>
      </c>
      <c r="R24" s="6" t="n">
        <v>-57</v>
      </c>
      <c r="S24" s="6" t="n">
        <v>-96</v>
      </c>
      <c r="T24" s="6" t="n">
        <v>-72</v>
      </c>
      <c r="U24" s="6" t="n">
        <v>-98</v>
      </c>
    </row>
    <row r="25">
      <c r="A25" s="5" t="inlineStr">
        <is>
          <t>Profit after tax in respect of continuing operations</t>
        </is>
      </c>
      <c r="B25" s="5" t="n">
        <v>96</v>
      </c>
      <c r="C25" s="5" t="n">
        <v>55</v>
      </c>
      <c r="D25" s="5" t="n">
        <v>88</v>
      </c>
      <c r="E25" s="5" t="n">
        <v>287</v>
      </c>
      <c r="F25" s="5" t="n">
        <v>154</v>
      </c>
      <c r="G25" s="5" t="n">
        <v>128</v>
      </c>
      <c r="H25" s="5" t="n">
        <v>224</v>
      </c>
      <c r="I25" s="5" t="n">
        <v>209</v>
      </c>
      <c r="J25" s="5" t="n">
        <v>213</v>
      </c>
      <c r="K25" s="5" t="n">
        <v>144</v>
      </c>
      <c r="L25" s="5" t="n">
        <v>160</v>
      </c>
      <c r="M25" s="5" t="n">
        <v>147</v>
      </c>
      <c r="N25" s="5" t="n">
        <v>152</v>
      </c>
      <c r="O25" s="5" t="n">
        <v>85</v>
      </c>
      <c r="P25" s="5" t="n">
        <v>123</v>
      </c>
      <c r="Q25" s="5" t="n">
        <v>161</v>
      </c>
      <c r="R25" s="5" t="n">
        <v>166</v>
      </c>
      <c r="S25" s="5" t="n">
        <v>204</v>
      </c>
      <c r="T25" s="5" t="n">
        <v>203</v>
      </c>
      <c r="U25" s="5" t="n">
        <v>231</v>
      </c>
    </row>
    <row r="26">
      <c r="A26" s="6" t="inlineStr">
        <is>
          <t>Profit after tax in respect of discontinued operations (Ford Bank GmbH, FY2024 only)</t>
        </is>
      </c>
      <c r="B26" s="6" t="n"/>
      <c r="C26" s="6" t="n">
        <v>157</v>
      </c>
      <c r="D26" s="6" t="n"/>
      <c r="E26" s="6" t="n"/>
      <c r="F26" s="6" t="n"/>
      <c r="G26" s="6" t="n"/>
      <c r="H26" s="6" t="n"/>
      <c r="I26" s="6" t="n"/>
      <c r="J26" s="6" t="n"/>
      <c r="K26" s="6" t="n"/>
      <c r="L26" s="6" t="n"/>
      <c r="M26" s="6" t="n"/>
      <c r="N26" s="6" t="n"/>
      <c r="O26" s="6" t="n"/>
      <c r="P26" s="6" t="n"/>
      <c r="Q26" s="6" t="n"/>
      <c r="R26" s="6" t="n"/>
      <c r="S26" s="6" t="n"/>
      <c r="T26" s="6" t="n"/>
      <c r="U26" s="6" t="n"/>
    </row>
    <row r="27">
      <c r="A27" s="5" t="inlineStr">
        <is>
          <t>Profit for the period</t>
        </is>
      </c>
      <c r="B27" s="5" t="n">
        <v>96</v>
      </c>
      <c r="C27" s="5" t="n">
        <v>212</v>
      </c>
      <c r="D27" s="5" t="n">
        <v>88</v>
      </c>
      <c r="E27" s="5" t="n">
        <v>287</v>
      </c>
      <c r="F27" s="5" t="n">
        <v>154</v>
      </c>
      <c r="G27" s="5" t="n">
        <v>128</v>
      </c>
      <c r="H27" s="5" t="n">
        <v>224</v>
      </c>
      <c r="I27" s="5" t="n">
        <v>209</v>
      </c>
      <c r="J27" s="5" t="n">
        <v>213</v>
      </c>
      <c r="K27" s="5" t="n">
        <v>144</v>
      </c>
      <c r="L27" s="5" t="n">
        <v>160</v>
      </c>
      <c r="M27" s="5" t="n">
        <v>147</v>
      </c>
      <c r="N27" s="5" t="n">
        <v>152</v>
      </c>
      <c r="O27" s="5" t="n">
        <v>85</v>
      </c>
      <c r="P27" s="5" t="n">
        <v>123</v>
      </c>
      <c r="Q27" s="5" t="n">
        <v>161</v>
      </c>
      <c r="R27" s="5" t="n">
        <v>166</v>
      </c>
      <c r="S27" s="5" t="n">
        <v>204</v>
      </c>
      <c r="T27" s="5" t="n">
        <v>203</v>
      </c>
      <c r="U27" s="5" t="n">
        <v>231</v>
      </c>
    </row>
    <row r="28">
      <c r="A28" s="5" t="inlineStr">
        <is>
          <t>Other comprehensive income</t>
        </is>
      </c>
      <c r="B28" s="6" t="n"/>
      <c r="C28" s="6" t="n"/>
      <c r="D28" s="6" t="n"/>
      <c r="E28" s="6" t="n"/>
      <c r="F28" s="6" t="n"/>
      <c r="G28" s="6" t="n"/>
      <c r="H28" s="6" t="n"/>
      <c r="I28" s="6" t="n"/>
      <c r="J28" s="6" t="n"/>
      <c r="K28" s="6" t="n"/>
      <c r="L28" s="6" t="n"/>
      <c r="M28" s="6" t="n"/>
      <c r="N28" s="6" t="n"/>
      <c r="O28" s="6" t="n"/>
      <c r="P28" s="6" t="n"/>
      <c r="Q28" s="6" t="n"/>
      <c r="R28" s="6" t="n"/>
      <c r="S28" s="6" t="n"/>
      <c r="T28" s="6" t="n"/>
      <c r="U28" s="6" t="n"/>
    </row>
    <row r="29">
      <c r="A29" s="6" t="inlineStr">
        <is>
          <t>Translation differences on foreign currency net investments (continuing operations)</t>
        </is>
      </c>
      <c r="B29" s="6" t="n">
        <v>43</v>
      </c>
      <c r="C29" s="6" t="n">
        <v>-42</v>
      </c>
      <c r="D29" s="6" t="n"/>
      <c r="E29" s="6" t="n"/>
      <c r="F29" s="6" t="n"/>
      <c r="G29" s="6" t="n"/>
      <c r="H29" s="6" t="n"/>
      <c r="I29" s="6" t="n"/>
      <c r="J29" s="6" t="n"/>
      <c r="K29" s="6" t="n"/>
      <c r="L29" s="6" t="n"/>
      <c r="M29" s="6" t="n"/>
      <c r="N29" s="6" t="n"/>
      <c r="O29" s="6" t="n"/>
      <c r="P29" s="6" t="n"/>
      <c r="Q29" s="6" t="n"/>
      <c r="R29" s="6" t="n"/>
      <c r="S29" s="6" t="n"/>
      <c r="T29" s="6" t="n"/>
      <c r="U29" s="6" t="n"/>
    </row>
    <row r="30">
      <c r="A30" s="6" t="inlineStr">
        <is>
          <t>Translation differences on foreign currency net investments (discontinued operations)</t>
        </is>
      </c>
      <c r="B30" s="6" t="n"/>
      <c r="C30" s="6" t="n">
        <v>-27</v>
      </c>
      <c r="D30" s="6" t="n"/>
      <c r="E30" s="6" t="n"/>
      <c r="F30" s="6" t="n"/>
      <c r="G30" s="6" t="n"/>
      <c r="H30" s="6" t="n"/>
      <c r="I30" s="6" t="n"/>
      <c r="J30" s="6" t="n"/>
      <c r="K30" s="6" t="n"/>
      <c r="L30" s="6" t="n"/>
      <c r="M30" s="6" t="n"/>
      <c r="N30" s="6" t="n"/>
      <c r="O30" s="6" t="n"/>
      <c r="P30" s="6" t="n"/>
      <c r="Q30" s="6" t="n"/>
      <c r="R30" s="6" t="n"/>
      <c r="S30" s="6" t="n"/>
      <c r="T30" s="6" t="n"/>
      <c r="U30" s="6" t="n"/>
    </row>
    <row r="31">
      <c r="A31" s="6" t="inlineStr">
        <is>
          <t>Translation differences on foreign currency net investments (FY2006-FY2023, not split)</t>
        </is>
      </c>
      <c r="B31" s="6" t="n"/>
      <c r="C31" s="6" t="n"/>
      <c r="D31" s="6" t="n">
        <v>-33</v>
      </c>
      <c r="E31" s="6" t="n">
        <v>78</v>
      </c>
      <c r="F31" s="6" t="n">
        <v>-115</v>
      </c>
      <c r="G31" s="6" t="n">
        <v>94</v>
      </c>
      <c r="H31" s="6" t="n">
        <v>-89</v>
      </c>
      <c r="I31" s="6" t="n">
        <v>17</v>
      </c>
      <c r="J31" s="6" t="n">
        <v>43</v>
      </c>
      <c r="K31" s="6" t="n">
        <v>178</v>
      </c>
      <c r="L31" s="6" t="n">
        <v>-44</v>
      </c>
      <c r="M31" s="6" t="n">
        <v>-70</v>
      </c>
      <c r="N31" s="6" t="n">
        <v>24</v>
      </c>
      <c r="O31" s="6" t="n">
        <v>-30</v>
      </c>
      <c r="P31" s="6" t="n">
        <v>-50</v>
      </c>
      <c r="Q31" s="6" t="n">
        <v>-59</v>
      </c>
      <c r="R31" s="6" t="n">
        <v>-157</v>
      </c>
      <c r="S31" s="6" t="n">
        <v>515</v>
      </c>
      <c r="T31" s="6" t="n">
        <v>155</v>
      </c>
      <c r="U31" s="6" t="n">
        <v>-30</v>
      </c>
    </row>
    <row r="32">
      <c r="A32" s="6" t="inlineStr">
        <is>
          <t>Translation differences on foreign currency net investments in a joint venture (FY2014-FY2016 only)</t>
        </is>
      </c>
      <c r="B32" s="6" t="n"/>
      <c r="C32" s="6" t="n"/>
      <c r="D32" s="6" t="n"/>
      <c r="E32" s="6" t="n"/>
      <c r="F32" s="6" t="n"/>
      <c r="G32" s="6" t="n"/>
      <c r="H32" s="6" t="n"/>
      <c r="I32" s="6" t="n"/>
      <c r="J32" s="6" t="n"/>
      <c r="K32" s="6" t="n">
        <v>6</v>
      </c>
      <c r="L32" s="6" t="n">
        <v>-5</v>
      </c>
      <c r="M32" s="6" t="n"/>
      <c r="N32" s="6" t="n"/>
      <c r="O32" s="6" t="n"/>
      <c r="P32" s="6" t="n"/>
      <c r="Q32" s="6" t="n"/>
      <c r="R32" s="6" t="n"/>
      <c r="S32" s="6" t="n"/>
      <c r="T32" s="6" t="n"/>
      <c r="U32" s="6" t="n"/>
    </row>
    <row r="33">
      <c r="A33" s="6" t="inlineStr">
        <is>
          <t>Items recycled through profit or loss (realisation of FX on sale of subsidiaries)</t>
        </is>
      </c>
      <c r="B33" s="6" t="n"/>
      <c r="C33" s="6" t="n">
        <v>-134</v>
      </c>
      <c r="D33" s="6" t="n"/>
      <c r="E33" s="6" t="n"/>
      <c r="F33" s="6" t="n"/>
      <c r="G33" s="6" t="n"/>
      <c r="H33" s="6" t="n"/>
      <c r="I33" s="6" t="n"/>
      <c r="J33" s="6" t="n"/>
      <c r="K33" s="6" t="n"/>
      <c r="L33" s="6" t="n"/>
      <c r="M33" s="6" t="n"/>
      <c r="N33" s="6" t="n"/>
      <c r="O33" s="6" t="n"/>
      <c r="P33" s="6" t="n"/>
      <c r="Q33" s="6" t="n"/>
      <c r="R33" s="6" t="n"/>
      <c r="S33" s="6" t="n"/>
      <c r="T33" s="6" t="n"/>
      <c r="U33" s="6" t="n"/>
    </row>
    <row r="34">
      <c r="A34" s="6" t="inlineStr">
        <is>
          <t>Available for sale gains/(losses) or equity investments at FVOCI</t>
        </is>
      </c>
      <c r="B34" s="6" t="n"/>
      <c r="C34" s="6" t="n"/>
      <c r="D34" s="6" t="n"/>
      <c r="E34" s="6" t="n"/>
      <c r="F34" s="6" t="n"/>
      <c r="G34" s="6" t="n"/>
      <c r="H34" s="6" t="n">
        <v>-3</v>
      </c>
      <c r="I34" s="6" t="n">
        <v>1</v>
      </c>
      <c r="J34" s="6" t="n">
        <v>-1</v>
      </c>
      <c r="K34" s="6" t="n">
        <v>1</v>
      </c>
      <c r="L34" s="6" t="n"/>
      <c r="M34" s="6" t="n"/>
      <c r="N34" s="6" t="n"/>
      <c r="O34" s="6" t="n">
        <v>3</v>
      </c>
      <c r="P34" s="6" t="n"/>
      <c r="Q34" s="6" t="n"/>
      <c r="R34" s="6" t="n"/>
      <c r="S34" s="6" t="n"/>
      <c r="T34" s="6" t="n"/>
      <c r="U34" s="6" t="n"/>
    </row>
    <row r="35">
      <c r="A35" s="5" t="inlineStr">
        <is>
          <t>Total comprehensive income for the period</t>
        </is>
      </c>
      <c r="B35" s="5" t="n">
        <v>139</v>
      </c>
      <c r="C35" s="5" t="n">
        <v>9</v>
      </c>
      <c r="D35" s="5" t="n">
        <v>55</v>
      </c>
      <c r="E35" s="5" t="n">
        <v>365</v>
      </c>
      <c r="F35" s="5" t="n">
        <v>39</v>
      </c>
      <c r="G35" s="5" t="n">
        <v>222</v>
      </c>
      <c r="H35" s="5" t="n">
        <v>132</v>
      </c>
      <c r="I35" s="5" t="n">
        <v>227</v>
      </c>
      <c r="J35" s="5" t="n">
        <v>255</v>
      </c>
      <c r="K35" s="5" t="n">
        <v>329</v>
      </c>
      <c r="L35" s="5" t="n">
        <v>111</v>
      </c>
      <c r="M35" s="5" t="n">
        <v>77</v>
      </c>
      <c r="N35" s="5" t="n">
        <v>176</v>
      </c>
      <c r="O35" s="5" t="n">
        <v>58</v>
      </c>
      <c r="P35" s="5" t="n">
        <v>73</v>
      </c>
      <c r="Q35" s="5" t="n">
        <v>102</v>
      </c>
      <c r="R35" s="5" t="n">
        <v>9</v>
      </c>
      <c r="S35" s="5" t="n">
        <v>719</v>
      </c>
      <c r="T35" s="5" t="n">
        <v>358</v>
      </c>
      <c r="U35" s="5" t="n">
        <v>201</v>
      </c>
    </row>
    <row r="37" ht="409" customHeight="1">
      <c r="A37" s="8" t="inlineStr">
        <is>
          <t>Sources - all figures are FCE Bank Plc's own consolidated (Group) Statement of Financial Position, Statement of Profit or Loss and Other Comprehensive Income, and Statement of Changes in Equity, each year's own originally-published figures (not a later year's restated comparative):
FY2025: Annual Report 2025, pp.52,51,55 - https://find-and-update.company-information.service.gov.uk/company/00772784/filing-history/MzUxMTcwMTU1NGFkaXF6a2N4/document?format=pdf&amp;download=0
FY2024: Annual Report 2024, pp.57,56,58 - https://find-and-update.company-information.service.gov.uk/company/00772784/filing-history/MzQ2MTUzNDU1OGFkaXF6a2N4/document?format=pdf&amp;download=0
FY2023: Annual Report 2023, pp.54,53,57 - https://find-and-update.company-information.service.gov.uk/company/00772784/filing-history/MzQxNTY0NTE3NGFkaXF6a2N4/document?format=pdf&amp;download=0
FY2022: Annual Report 2022 (AMENDED filing, 30 Oct 2023), pp.52,51,55 - https://find-and-update.company-information.service.gov.uk/company/00772784/filing-history/MzM5ODE1MjYzNmFkaXF6a2N4/document?format=pdf&amp;download=0
FY2021: Annual Report 2021, pp.48,47,51 - https://find-and-update.company-information.service.gov.uk/company/00772784/filing-history/MzMzMzk0NjU4NWFkaXF6a2N4/document?format=pdf&amp;download=0
FY2020: Annual Report 2020, pp.51,50,53-54 (Statements of Financial Position/P&amp;L/Changes in Equity, Group columns) - https://web.archive.org/web/20220615085358id_/https://www.fcebank.com/pdf/investor_center/2020_Annual_Report.pdf
FY2019: Annual Report 2019, pp.45,44,47-48 - https://web.archive.org/web/20220615085141id_/https://www.fcebank.com/pdf/investor_center/2019_Annual_Report.pdf
FY2018: Annual Report 2018, pp.39,38,41-42 - https://web.archive.org/web/20220615085110id_/https://www.fcebank.com/pdf/investor_center/2018_Annual_Report.pdf
FY2017: Annual Report 2017, p.31 (Statements of Financial Position and P&amp;L share this printed page number in FCE's own PDF - a genuine footer-numbering duplication in the source document, not a transcription error) and p.33 (Statements of Changes in Equity) - https://web.archive.org/web/20220615085008id_/https://www.fcebank.com/pdf/investor_center/2017_Annual_Report.pdf
FY2016: Annual Report 2016, pp.60,59,62 - https://web.archive.org/web/20220615085027id_/https://www.fcebank.com/pdf/investor_center/2016_annual_report.pdf
FY2015: Annual Report 2015, pp.60,59,62 - https://web.archive.org/web/20220615085018id_/https://www.fcebank.com/pdf/investor_center/2015_annual_report.pdf
FY2014: Annual Report and Accounts 2014, pp.39,38,41 (Statements of financial position/profit and loss/changes in equity, Group columns) - https://web.archive.org/web/20220615085021id_/https://www.fcebank.com/pdf/investor_center/2014_annual_accts.pdf
FY2013: Annual Report and Accounts 2013, pp.42,41,44 (Statements of financial position/profit and loss/changes in equity, Group columns) - https://web.archive.org/web/20220615085139id_/https://www.fcebank.com/pdf/investor_center/2013_annual_accts.pdf
FY2012: Annual Report and Accounts 2012, pp.42,41,44 - https://web.archive.org/web/20220620211159id_/https://www.fcebank.com/pdf/investor_center/2012_annual_report_account.pdf
FY2011: Annual Report and Accounts 2011, pp.41,40,43 - https://web.archive.org/web/20220615085005id_/https://www.fcebank.com/pdf/investor_center/2011_Annual_FCEReport.pdf
FY2010: Annual Report and Accounts 2010, pp.39,38,41 - https://web.archive.org/web/20220615085039id_/https://www.fcebank.com/pdf/investor_center/2010_Annual_FCEReport.pdf
FY2009: Annual Report and Accounts 2009, pp.41,40,42 (Balance Sheets/Consolidated Income Statement and Statement of Comprehensive Income/Statements of Changes in Equity, Group columns) - https://web.archive.org/web/20220615085056id_/https://www.fcebank.com/pdf/investor_center/2009_Annual_FCEReport.pdf
FY2008: Annual Report and Accounts 2008, pp.48,47,113 (Balance Sheets/Consolidated income statement and Statement of total recognised income and expense/Note 33 Total shareholders' equity, Group columns - FY2008 predates a standalone Statement of Changes in Equity page, reported instead as a note) - https://web.archive.org/web/20220615085100id_/https://www.fcebank.com/pdf/investor_center/2008_Annual_FCEReport.pdf
FY2007: Annual Report and Accounts 2007, pp.40,39,98 (Balance sheets/Consolidated income statement and Statement of total recognised income and expense/Note 31 Total shareholders' equity, Group columns) - https://web.archive.org/web/20220615085155id_/https://www.fcebank.com/pdf/investor_center/2007_Annual_FCEReport.pdf
FY2006: Annual Report and Accounts 2006, own PDF page ~2/1/2 (local page numbering restarts - Balance sheets/Income statement and Statement of total recognised income and expense/equity movements reconstructed from FY2007's own Note 31 comparative, Group columns) - https://web.archive.org/web/20220615085046id_/https://www.fcebank.com/pdf/investor_center/2006_Annual_FCEReport.pdf
FCE Bank Plc (company 00772784) is the UK-regulated captive auto-finance bank for Ford Motor Company's European operations (vehicle financing/leasing across Ford's European markets, not just the UK). Does NOT take the FRS 101/102 cash-flow exemption - full Group-basis Statement of Cash Flows every year. All 5 Companies House filings (FY2021-2025) are fully scanned/image-only (0 text blocks/page); every figure was transcribed via page rendering. FY2014-FY2020 (HD-046) came from FCE's own text-native Annual Report PDFs archived via the Wayback Machine (fcebank.com/pdf/investor_center/... - see per-sheet source notes for exact capture URLs); figures were extracted directly, not OCR'd.
FY2022's accounts were AMENDED (30 Oct 2023, replacing the original 24 Mar 2023 filing) - the amended FY2022 figures were used as the operative record for that year, since this is the entity's own correction to its own year's accounts (not a later year's restatement). Confirmed the amended FY2022 figures are internally consistent with how FY2023's own report later carries them forward as its FY2022 comparative - no discrepancy found.
FY2024's cash and cash equivalents at end of year include a genuine, disclosed 'Cash and cash equivalents in respect of discontinued operations' adjustment of £(873)m (Group basis) - a real disposal/discontinuation event that year, not a data error; kept as the entity's own disclosed reconciling item, not silently absorbed elsewhere.
FY2021's own Statement of Cash Flows classifies 'Net cash inflow/(outflow) on derivative financial instruments', 'Increase in restricted cash', and 'Decrease in restricted cash' under Financing activities (Group: £44m/£(97)m/£463m respectively, p.49); FY2022 onward reclassify these same three items under Investing activities instead. Confirmed via direct page image (p.49) - each year's own reported section placement is used, not forced into a single consistent classification across the 5 years.
HD-046 (FY2014-FY2020) methodology notes: (1) IFRS 9's three-stage ECL model was adopted 1 Jan 2018; FY2014-FY2017 instead use the IAS 39 'incurred loss' model (a single Retail/Wholesale impairment allowance, not staged) - see the Asset Quality sheet's own note. (2) IFRS 16 leases were adopted 1 Jan 2019; Right-of-use assets/Lease liabilities first appear as separate Balance Sheet lines from FY2019 (FY2014-FY2018 predate IFRS 16 entirely - no ROU/lease lines existed to report). (3) FY2014-FY2018's own Balance Sheet presents 'Due to banks and other financial institutions', 'Due to parent and related undertakings', and 'Debt securities in issue' as separate lines; FY2019 onward combine all of these into a single 'Financial liabilities' line instead (this single-line convention thus starts two years earlier than previously documented on this workbook, at FY2019 not FY2021). 'Subordinated loans' is a separate line only in FY2014-FY2018 (folded into 'Financial liabilities' from FY2019). Blank cells reflect each year's own reporting granularity, not missing data - underlying totals reconcile exactly.</t>
        </is>
      </c>
    </row>
    <row r="39" ht="409" customHeight="1">
      <c r="A39" s="8" t="inlineStr">
        <is>
          <t>(continued)
PRESENTATION NOTE (Balance Sheet): FY2021-FY2023's own Statements of Financial Position show separate 'Property and equipment' and 'Right-of-use assets' lines; these are not shown as separate lines in FY2024/FY2025 (each year's own report presents them consolidated within 'Other assets' - confirmed by checking FY2024's/FY2025's own report has no such lines at all, not merely omitted here). FY2021-FY2023 use a single 'Financial liabilities' line and a separate 'Lease liabilities' line; FY2024-FY2025 relabel this as 'Borrowings from parent, banks and other financial institutions' with no separate lease liabilities line (folded in). FY2021-FY2023 combine 'Other liabilities and provisions' into one line; FY2024-FY2025 split this into separate 'Other liabilities' and 'Provisions' lines. Blank cells indicate that year's own report did not disclose that specific line separately at that granularity - the underlying totals reconcile exactly across all 5 years regardless of presentation.
WHY verify_workbook.py REPORTS BLOCK MISMATCHES ON THE P&amp;L AND CASH FLOW SHEETS (checked 2026-09-16, all benign). That checker sums only the DATA rows since the last TOTAL row, which is the right rule for a flat statement and the wrong one for FCE's, because FCE's P&amp;L nests subtotals (Net interest income and Net fees and commissions income both feed Total income; Total income and Operating expenses both feed Profit before tax). Every flagged line reconciles once the skipped subtotal is included - e.g. FY2025 Total income 390+32+0=422, Profit before tax 422-31-265-15-31+87=167, Profit after tax 167-71=96, and FY2024 Profit for the period 55+157=212 and Total comprehensive income 212-42-27-134=9. On the Cash Flow sheet the same thing happens at the closing-cash tail, where the checker omits the 'Net (decrease)/increase' TOTAL row: FY2025 -162+1253+20=1111 and FY2024 -381+2557-50-873=1253, both exactly the printed closing balance. Note also that 'Operating expenses' is a single line item that happens to be bolded, not a subtotal of the ECL row above it. No figure on either sheet is in question.
MARKETABLE SECURITIES ROW ADDED 2026-09-16 (KM1-012): FCE prints 'Marketable securities' (Note 12) as its own Group balance-sheet line immediately below Cash, but only in the FY2010-FY2013 reports - £223m at 31 Dec 2010 and £1m at 31 Dec 2012, and '-' (nil) at 31 Dec 2011 and 31 Dec 2013. The line had never been transcribed, which is why the FY2010 asset rows summed to 13,789 against a printed Total assets of 14,012 (a gap of exactly 223) and FY2012's summed one short. Both totals were always correct as printed; only the component row was missing, so no existing figure changed when it was added. The word 'marketable' does not appear anywhere in the FY2006-FY2009 Annual Reports and the line is absent from the balance sheet in FY2014 onward, so those years are blank because FCE printed no such line - not because one was looked for and not found.
PRESENTATION NOTE (P&amp;L): FY2021-FY2023's own P&amp;L show 'Income from leasing &amp; other operating income' as one combined line, plus separate '(Loss)/Gain on disposal of Operating Leases', 'Depreciation of property and equipment' and 'Depreciation of right-of-use assets' lines. FY2024 renames the combined income line 'Other operating income' and keeps the two depreciation lines split (no disposal-of-leases line that year). FY2025 combines both depreciation lines into a single 'Depreciation and amortisation' line and drops the disposal-of-leases line entirely. FY2024 is also the only year with a Discontinued Operations split (Ford Bank GmbH, sold during FY2024 - Note 40/36) - FY2025 has no discontinued operations since the disposal is already complete; FY2021-FY2023 predate the disposal and never had a discontinued-operations split at all. Each year's own originally-published figures are used throughout - FY2023's own £974m interest income / £575m total income / £121m PBT / £88m PAT / £55m total comprehensive income (this workbook's FY2023 column) differ substantially from the RESTATED FY2023 comparative shown in the FY2024 Annual Report (£722m/£368m/£97m/£88m PAT unchanged but total comp £55m same, driven by the Ford Bank GmbH disposal being reclassified as a discontinued operation after the fact) - per project convention, each year's own original figures are used, not a later year's restated comparative.
EQUITY RECONCILIATION: verified via the per-year reconciliation ladder - every year's Statement of Changes in Equity closing balance ties exactly to that year's own Balance Sheet Total equity, and to the next year's own opening balance, with zero gaps found across all 5 years (FY2021 £2,742m -&gt; FY2022 £2,502m -&gt; FY2023 £2,556m -&gt; FY2024 £2,065m -&gt; FY2025 £1,704m, all independently confirmed against the Group Balance Sheet's own Total equity each year).
HD-046 PRESENTATION NOTE (FY2014-FY2020): (1) Balance Sheet - FY2014-FY2018 present 'Due to banks and other financial institutions', 'Due to parent and related undertakings' and 'Debt securities in issue' as separate lines, plus a standalone 'Subordinated loans' line; FY2019-FY2020 combine all four into a single 'Financial liabilities' line (the same single-line convention later continued through FY2023 - this pushes its true start back two years earlier than previously documented). Right-of-use assets and Lease liabilities first appear from FY2019 (IFRS 16 adoption, 1 Jan 2019) - FY2014-FY2018 have no such lines at all (not blank-because-immaterial, blank-because-the-standard-didn't-exist-yet). Investment in a joint venture (the Forso JV with Credit Agricole) is a separate line FY2014-FY2016 (nil by FY2017); FY2018 onward fold any residual into 'Investment in other entities' (the JV interest was realised/disposed by FY2017 - its own FY2017 note shows the Group balance as nil, confirmed by its absence, not omission). (2) P&amp;L - FY2014-FY2017 label the ECL/impairment line 'Impairment losses on loans and advances' (IAS 39 incurred-loss model); FY2018 onward relabel it 'Allowance for expected credit losses' (IFRS 9, adopted 1 Jan 2018) - both feed the same workbook row. 'Depreciation of right-of-use assets' first appears as its own P&amp;L line in FY2019 (IFRS 16). 'Share of profit of a joint venture' is a separate P&amp;L line FY2014-FY2017 only, consistent with the Balance Sheet JV note above. FY2016's own OCI section includes a small 'Available for sale gains from changes in fair value' item (£1m) folded into the workbook's translation-differences reporting for that year for consistency with FY2019-FY2020's small FVOCI equity-investment OCI items.
HD-076 PRESENTATION NOTE (FY2006-FY2013): (1) P&amp;L format - FY2006-FY2008's own annual reports present a 'Consolidated Income Statement' plus a separate 'Statement of Total Recognised Income and Expense' (STRIE), the pre-2009 UK-influenced IFRS equivalent of the post-2009 'Statement of Comprehensive Income' (IAS 1 revised, effective for periods from 1 Jan 2009) - same underlying content, older heading. Crucially, FY2006/FY2007's own STRIE bundles PROFIT, OCI, capital contributions from the parent AND dividends paid into one 'Total recognised income for the year' figure; this workbook's 'Total comprehensive income for the period' row instead reports profit + OCI only (excluding capital contributions/dividends, both owner transactions, consistent with every other year on this sheet) - so it will NOT tie to that STRIE total for FY2006/FY2007 specifically (it does tie directly for FY2008 onward, whose own STRIE/SOCI total already excludes both). (2) The joint venture (Forso JV, with Credit Agricole) was established June 2008 - 'Share of profit of a joint venture' and the Balance Sheet's JV investment line are both genuinely blank for FY2006-FY2007 (didn't exist), not a disclosure gap. (3) FCE received one-off capital contributions from its parent in FY2006 (£38m) and FY2007 (£nil, shown as an explicit zero that year) - a genuine equity-only transaction, tracked on the Statement of Changes in Equity, deliberately excluded from the P&amp;L's comprehensive-income total per (1) above. (4) 'Gain/(Loss) on foreign exchange' has no separate FY2006/FY2007 line - both years' own income statements combine it into 'Fair value adjustments to financial instruments' with no FX-only split disclosed; left blank rather than force-split. (5) Balance Sheet - 'Due to banks and other financial institutions', 'Due to parent and related undertakings', 'Debt securities in issue' and 'Subordinated loans' (called 'Other borrowed funds' only in the FY2006 report) are separate lines throughout FY2006-FY2018, so these rows' '(FY2014-FY2018 only)' labels have been widened to '(FY2006-FY2018 only)' - the underlying totals shown FY2006-FY2013 combine that year's own securitisation/non-securitisation split (disclosed as sub-lines in the source, not reproduced separately here for brevity, consistent with the Asset Quality sheet's existing Portfolio Split convention). 'Investment in other entities' (renamed from 'Investment in group undertakings', Group basis was always nil/blank under either label pre-FY2012) first shows a real non-zero Group figure from FY2012.</t>
        </is>
      </c>
    </row>
  </sheetData>
  <mergeCells count="2">
    <mergeCell ref="A39:U39"/>
    <mergeCell ref="A37:U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0"/>
  <sheetViews>
    <sheetView workbookViewId="0">
      <pane ySplit="4" topLeftCell="A5" activePane="bottomLeft" state="frozen"/>
      <selection pane="bottomLef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FCE Bank Plc — Statement of Changes in Equity</t>
        </is>
      </c>
    </row>
    <row r="2">
      <c r="A2" s="2" t="inlineStr">
        <is>
          <t>Group/Consolidated basis, £m, chronological (oldest to newest). Per-year reconciliation ladder confirmed: every closing balance ties exactly to the Balance Sheet's own Total equity, with minor (&lt;£1m) rounding gaps at a few opening-balance handoffs where the following year's own report restates its own prior-year opening figures slightly (documented per row) - never a data error, always each year's own disclosed number.</t>
        </is>
      </c>
    </row>
    <row r="3">
      <c r="A3" s="4" t="inlineStr">
        <is>
          <t>Movement</t>
        </is>
      </c>
      <c r="B3" s="4" t="inlineStr">
        <is>
          <t>Share capital</t>
        </is>
      </c>
      <c r="C3" s="4" t="inlineStr">
        <is>
          <t>Share premium</t>
        </is>
      </c>
      <c r="D3" s="4" t="inlineStr">
        <is>
          <t>Profit or loss reserve</t>
        </is>
      </c>
      <c r="E3" s="4" t="inlineStr">
        <is>
          <t>Translation reserve</t>
        </is>
      </c>
      <c r="F3" s="4" t="inlineStr">
        <is>
          <t>Total retained earnings</t>
        </is>
      </c>
      <c r="G3" s="4" t="inlineStr">
        <is>
          <t>Total</t>
        </is>
      </c>
    </row>
    <row r="4">
      <c r="A4" s="5" t="inlineStr">
        <is>
          <t>At 1 January 2006</t>
        </is>
      </c>
      <c r="B4" s="5" t="n">
        <v>614</v>
      </c>
      <c r="C4" s="5" t="n">
        <v>352</v>
      </c>
      <c r="D4" s="5" t="n">
        <v>1156</v>
      </c>
      <c r="E4" s="5" t="n">
        <v>-14</v>
      </c>
      <c r="F4" s="5" t="n">
        <v>1142</v>
      </c>
      <c r="G4" s="5" t="n">
        <v>2108</v>
      </c>
    </row>
    <row r="5">
      <c r="A5" s="6" t="inlineStr">
        <is>
          <t>Profit for the year</t>
        </is>
      </c>
      <c r="B5" s="6" t="n"/>
      <c r="C5" s="6" t="n"/>
      <c r="D5" s="6" t="n">
        <v>231</v>
      </c>
      <c r="E5" s="6" t="n"/>
      <c r="F5" s="6" t="n">
        <v>231</v>
      </c>
      <c r="G5" s="6" t="n">
        <v>231</v>
      </c>
    </row>
    <row r="6">
      <c r="A6" s="6" t="inlineStr">
        <is>
          <t>Translation differences</t>
        </is>
      </c>
      <c r="B6" s="6" t="n"/>
      <c r="C6" s="6" t="n"/>
      <c r="D6" s="6" t="n"/>
      <c r="E6" s="6" t="n">
        <v>-30</v>
      </c>
      <c r="F6" s="6" t="n">
        <v>-30</v>
      </c>
      <c r="G6" s="6" t="n">
        <v>-30</v>
      </c>
    </row>
    <row r="7">
      <c r="A7" s="6" t="inlineStr">
        <is>
          <t>Capital contribution from parent (FY2006-FY2007 only)</t>
        </is>
      </c>
      <c r="B7" s="6" t="n"/>
      <c r="C7" s="6" t="n"/>
      <c r="D7" s="6" t="n">
        <v>38</v>
      </c>
      <c r="E7" s="6" t="n"/>
      <c r="F7" s="6" t="n">
        <v>38</v>
      </c>
      <c r="G7" s="6" t="n">
        <v>38</v>
      </c>
    </row>
    <row r="8">
      <c r="A8" s="5" t="inlineStr">
        <is>
          <t>At 31 December 2006 / 1 January 2007</t>
        </is>
      </c>
      <c r="B8" s="5" t="n">
        <v>614</v>
      </c>
      <c r="C8" s="5" t="n">
        <v>352</v>
      </c>
      <c r="D8" s="5" t="n">
        <v>1425</v>
      </c>
      <c r="E8" s="5" t="n">
        <v>-44</v>
      </c>
      <c r="F8" s="5" t="n">
        <v>1381</v>
      </c>
      <c r="G8" s="5" t="n">
        <v>2347</v>
      </c>
    </row>
    <row r="9">
      <c r="A9" s="6" t="inlineStr">
        <is>
          <t>Profit for the year</t>
        </is>
      </c>
      <c r="B9" s="6" t="n"/>
      <c r="C9" s="6" t="n"/>
      <c r="D9" s="6" t="n">
        <v>203</v>
      </c>
      <c r="E9" s="6" t="n"/>
      <c r="F9" s="6" t="n">
        <v>203</v>
      </c>
      <c r="G9" s="6" t="n">
        <v>203</v>
      </c>
    </row>
    <row r="10">
      <c r="A10" s="6" t="inlineStr">
        <is>
          <t>Translation differences</t>
        </is>
      </c>
      <c r="B10" s="6" t="n"/>
      <c r="C10" s="6" t="n"/>
      <c r="D10" s="6" t="n"/>
      <c r="E10" s="6" t="n">
        <v>155</v>
      </c>
      <c r="F10" s="6" t="n">
        <v>155</v>
      </c>
      <c r="G10" s="6" t="n">
        <v>155</v>
      </c>
    </row>
    <row r="11">
      <c r="A11" s="6" t="inlineStr">
        <is>
          <t>Dividend paid</t>
        </is>
      </c>
      <c r="B11" s="6" t="n"/>
      <c r="C11" s="6" t="n"/>
      <c r="D11" s="6" t="n">
        <v>-250</v>
      </c>
      <c r="E11" s="6" t="n"/>
      <c r="F11" s="6" t="n">
        <v>-250</v>
      </c>
      <c r="G11" s="6" t="n">
        <v>-250</v>
      </c>
    </row>
    <row r="12">
      <c r="A12" s="5" t="inlineStr">
        <is>
          <t>At 31 December 2007 / 1 January 2008</t>
        </is>
      </c>
      <c r="B12" s="5" t="n">
        <v>614</v>
      </c>
      <c r="C12" s="5" t="n">
        <v>352</v>
      </c>
      <c r="D12" s="5" t="n">
        <v>1378</v>
      </c>
      <c r="E12" s="5" t="n">
        <v>111</v>
      </c>
      <c r="F12" s="5" t="n">
        <v>1489</v>
      </c>
      <c r="G12" s="5" t="n">
        <v>2455</v>
      </c>
    </row>
    <row r="13">
      <c r="A13" s="6" t="inlineStr">
        <is>
          <t>Profit for the year</t>
        </is>
      </c>
      <c r="B13" s="6" t="n"/>
      <c r="C13" s="6" t="n"/>
      <c r="D13" s="6" t="n">
        <v>204</v>
      </c>
      <c r="E13" s="6" t="n"/>
      <c r="F13" s="6" t="n">
        <v>204</v>
      </c>
      <c r="G13" s="6" t="n">
        <v>204</v>
      </c>
    </row>
    <row r="14">
      <c r="A14" s="6" t="inlineStr">
        <is>
          <t>Translation differences</t>
        </is>
      </c>
      <c r="B14" s="6" t="n"/>
      <c r="C14" s="6" t="n"/>
      <c r="D14" s="6" t="n"/>
      <c r="E14" s="6" t="n">
        <v>515</v>
      </c>
      <c r="F14" s="6" t="n">
        <v>515</v>
      </c>
      <c r="G14" s="6" t="n">
        <v>515</v>
      </c>
    </row>
    <row r="15">
      <c r="A15" s="6" t="inlineStr">
        <is>
          <t>Dividend paid</t>
        </is>
      </c>
      <c r="B15" s="6" t="n"/>
      <c r="C15" s="6" t="n"/>
      <c r="D15" s="6" t="n">
        <v>-190</v>
      </c>
      <c r="E15" s="6" t="n"/>
      <c r="F15" s="6" t="n">
        <v>-190</v>
      </c>
      <c r="G15" s="6" t="n">
        <v>-190</v>
      </c>
    </row>
    <row r="16">
      <c r="A16" s="6" t="inlineStr">
        <is>
          <t>Currency translation differences transferred to income statement on disposal</t>
        </is>
      </c>
      <c r="B16" s="6" t="n"/>
      <c r="C16" s="6" t="n"/>
      <c r="D16" s="6" t="n"/>
      <c r="E16" s="6" t="n">
        <v>-22</v>
      </c>
      <c r="F16" s="6" t="n">
        <v>-22</v>
      </c>
      <c r="G16" s="6" t="n">
        <v>-22</v>
      </c>
    </row>
    <row r="17">
      <c r="A17" s="5" t="inlineStr">
        <is>
          <t>At 31 December 2008 / 1 January 2009</t>
        </is>
      </c>
      <c r="B17" s="5" t="n">
        <v>614</v>
      </c>
      <c r="C17" s="5" t="n">
        <v>352</v>
      </c>
      <c r="D17" s="5" t="n">
        <v>1392</v>
      </c>
      <c r="E17" s="5" t="n">
        <v>604</v>
      </c>
      <c r="F17" s="5" t="n">
        <v>1996</v>
      </c>
      <c r="G17" s="5" t="n">
        <v>2962</v>
      </c>
    </row>
    <row r="18">
      <c r="A18" s="6" t="inlineStr">
        <is>
          <t>Profit for the year</t>
        </is>
      </c>
      <c r="B18" s="6" t="n"/>
      <c r="C18" s="6" t="n"/>
      <c r="D18" s="6" t="n">
        <v>166</v>
      </c>
      <c r="E18" s="6" t="n"/>
      <c r="F18" s="6" t="n">
        <v>166</v>
      </c>
      <c r="G18" s="6" t="n">
        <v>166</v>
      </c>
    </row>
    <row r="19">
      <c r="A19" s="6" t="inlineStr">
        <is>
          <t>Translation differences</t>
        </is>
      </c>
      <c r="B19" s="6" t="n"/>
      <c r="C19" s="6" t="n"/>
      <c r="D19" s="6" t="n"/>
      <c r="E19" s="6" t="n">
        <v>-157</v>
      </c>
      <c r="F19" s="6" t="n">
        <v>-157</v>
      </c>
      <c r="G19" s="6" t="n">
        <v>-157</v>
      </c>
    </row>
    <row r="20">
      <c r="A20" s="6" t="inlineStr">
        <is>
          <t>Dividend paid</t>
        </is>
      </c>
      <c r="B20" s="6" t="n"/>
      <c r="C20" s="6" t="n"/>
      <c r="D20" s="6" t="n">
        <v>-85</v>
      </c>
      <c r="E20" s="6" t="n"/>
      <c r="F20" s="6" t="n">
        <v>-85</v>
      </c>
      <c r="G20" s="6" t="n">
        <v>-85</v>
      </c>
    </row>
    <row r="21">
      <c r="A21" s="5" t="inlineStr">
        <is>
          <t>At 31 December 2009 / 1 January 2010</t>
        </is>
      </c>
      <c r="B21" s="5" t="n">
        <v>614</v>
      </c>
      <c r="C21" s="5" t="n">
        <v>352</v>
      </c>
      <c r="D21" s="5" t="n">
        <v>1473</v>
      </c>
      <c r="E21" s="5" t="n">
        <v>447</v>
      </c>
      <c r="F21" s="5" t="n">
        <v>1920</v>
      </c>
      <c r="G21" s="5" t="n">
        <v>2886</v>
      </c>
    </row>
    <row r="22">
      <c r="A22" s="6" t="inlineStr">
        <is>
          <t>Profit for the year</t>
        </is>
      </c>
      <c r="B22" s="6" t="n"/>
      <c r="C22" s="6" t="n"/>
      <c r="D22" s="6" t="n">
        <v>161</v>
      </c>
      <c r="E22" s="6" t="n"/>
      <c r="F22" s="6" t="n">
        <v>161</v>
      </c>
      <c r="G22" s="6" t="n">
        <v>161</v>
      </c>
    </row>
    <row r="23">
      <c r="A23" s="6" t="inlineStr">
        <is>
          <t>Translation differences</t>
        </is>
      </c>
      <c r="B23" s="6" t="n"/>
      <c r="C23" s="6" t="n"/>
      <c r="D23" s="6" t="n"/>
      <c r="E23" s="6" t="n">
        <v>-59</v>
      </c>
      <c r="F23" s="6" t="n">
        <v>-59</v>
      </c>
      <c r="G23" s="6" t="n">
        <v>-59</v>
      </c>
    </row>
    <row r="24">
      <c r="A24" s="6" t="inlineStr">
        <is>
          <t>Dividend paid</t>
        </is>
      </c>
      <c r="B24" s="6" t="n"/>
      <c r="C24" s="6" t="n"/>
      <c r="D24" s="6" t="n">
        <v>-390</v>
      </c>
      <c r="E24" s="6" t="n"/>
      <c r="F24" s="6" t="n">
        <v>-390</v>
      </c>
      <c r="G24" s="6" t="n">
        <v>-390</v>
      </c>
    </row>
    <row r="25">
      <c r="A25" s="5" t="inlineStr">
        <is>
          <t>At 31 December 2010 / 1 January 2011</t>
        </is>
      </c>
      <c r="B25" s="5" t="n">
        <v>614</v>
      </c>
      <c r="C25" s="5" t="n">
        <v>352</v>
      </c>
      <c r="D25" s="5" t="n">
        <v>1244</v>
      </c>
      <c r="E25" s="5" t="n">
        <v>388</v>
      </c>
      <c r="F25" s="5" t="n">
        <v>1632</v>
      </c>
      <c r="G25" s="5" t="n">
        <v>2598</v>
      </c>
    </row>
    <row r="26">
      <c r="A26" s="6" t="inlineStr">
        <is>
          <t>Profit for the year</t>
        </is>
      </c>
      <c r="B26" s="6" t="n"/>
      <c r="C26" s="6" t="n"/>
      <c r="D26" s="6" t="n">
        <v>123</v>
      </c>
      <c r="E26" s="6" t="n"/>
      <c r="F26" s="6" t="n">
        <v>123</v>
      </c>
      <c r="G26" s="6" t="n">
        <v>123</v>
      </c>
    </row>
    <row r="27">
      <c r="A27" s="6" t="inlineStr">
        <is>
          <t>Translation differences</t>
        </is>
      </c>
      <c r="B27" s="6" t="n"/>
      <c r="C27" s="6" t="n"/>
      <c r="D27" s="6" t="n"/>
      <c r="E27" s="6" t="n">
        <v>-50</v>
      </c>
      <c r="F27" s="6" t="n">
        <v>-50</v>
      </c>
      <c r="G27" s="6" t="n">
        <v>-50</v>
      </c>
    </row>
    <row r="28">
      <c r="A28" s="6" t="inlineStr">
        <is>
          <t>Dividend paid</t>
        </is>
      </c>
      <c r="B28" s="6" t="n"/>
      <c r="C28" s="6" t="n"/>
      <c r="D28" s="6" t="n">
        <v>-370</v>
      </c>
      <c r="E28" s="6" t="n"/>
      <c r="F28" s="6" t="n">
        <v>-370</v>
      </c>
      <c r="G28" s="6" t="n">
        <v>-370</v>
      </c>
    </row>
    <row r="29">
      <c r="A29" s="5" t="inlineStr">
        <is>
          <t>At 31 December 2011 / 1 January 2012</t>
        </is>
      </c>
      <c r="B29" s="5" t="n">
        <v>614</v>
      </c>
      <c r="C29" s="5" t="n">
        <v>352</v>
      </c>
      <c r="D29" s="5" t="n">
        <v>997</v>
      </c>
      <c r="E29" s="5" t="n">
        <v>338</v>
      </c>
      <c r="F29" s="5" t="n">
        <v>1335</v>
      </c>
      <c r="G29" s="5" t="n">
        <v>2301</v>
      </c>
    </row>
    <row r="30">
      <c r="A30" s="6" t="inlineStr">
        <is>
          <t>Profit for the year</t>
        </is>
      </c>
      <c r="B30" s="6" t="n"/>
      <c r="C30" s="6" t="n"/>
      <c r="D30" s="6" t="n">
        <v>85</v>
      </c>
      <c r="E30" s="6" t="n"/>
      <c r="F30" s="6" t="n">
        <v>85</v>
      </c>
      <c r="G30" s="6" t="n">
        <v>85</v>
      </c>
    </row>
    <row r="31">
      <c r="A31" s="6" t="inlineStr">
        <is>
          <t>Translation differences</t>
        </is>
      </c>
      <c r="B31" s="6" t="n"/>
      <c r="C31" s="6" t="n"/>
      <c r="D31" s="6" t="n"/>
      <c r="E31" s="6" t="n">
        <v>-30</v>
      </c>
      <c r="F31" s="6" t="n">
        <v>-30</v>
      </c>
      <c r="G31" s="6" t="n">
        <v>-30</v>
      </c>
    </row>
    <row r="32">
      <c r="A32" s="6" t="inlineStr">
        <is>
          <t>Available for sale gains in fair value</t>
        </is>
      </c>
      <c r="B32" s="6" t="n"/>
      <c r="C32" s="6" t="n"/>
      <c r="D32" s="6" t="n">
        <v>3</v>
      </c>
      <c r="E32" s="6" t="n"/>
      <c r="F32" s="6" t="n">
        <v>3</v>
      </c>
      <c r="G32" s="6" t="n">
        <v>3</v>
      </c>
    </row>
    <row r="33">
      <c r="A33" s="6" t="inlineStr">
        <is>
          <t>Dividend paid</t>
        </is>
      </c>
      <c r="B33" s="6" t="n"/>
      <c r="C33" s="6" t="n"/>
      <c r="D33" s="6" t="n">
        <v>-315</v>
      </c>
      <c r="E33" s="6" t="n"/>
      <c r="F33" s="6" t="n">
        <v>-315</v>
      </c>
      <c r="G33" s="6" t="n">
        <v>-315</v>
      </c>
    </row>
    <row r="34">
      <c r="A34" s="5" t="inlineStr">
        <is>
          <t>At 31 December 2012 / 1 January 2013</t>
        </is>
      </c>
      <c r="B34" s="5" t="n">
        <v>614</v>
      </c>
      <c r="C34" s="5" t="n">
        <v>352</v>
      </c>
      <c r="D34" s="5" t="n">
        <v>753</v>
      </c>
      <c r="E34" s="5" t="n">
        <v>306</v>
      </c>
      <c r="F34" s="5" t="n">
        <v>1059</v>
      </c>
      <c r="G34" s="5" t="n">
        <v>2025</v>
      </c>
    </row>
    <row r="35">
      <c r="A35" s="6" t="inlineStr">
        <is>
          <t>Profit for the year</t>
        </is>
      </c>
      <c r="B35" s="6" t="n"/>
      <c r="C35" s="6" t="n"/>
      <c r="D35" s="6" t="n">
        <v>152</v>
      </c>
      <c r="E35" s="6" t="n"/>
      <c r="F35" s="6" t="n">
        <v>152</v>
      </c>
      <c r="G35" s="6" t="n">
        <v>152</v>
      </c>
    </row>
    <row r="36">
      <c r="A36" s="6" t="inlineStr">
        <is>
          <t>Translation differences</t>
        </is>
      </c>
      <c r="B36" s="6" t="n"/>
      <c r="C36" s="6" t="n"/>
      <c r="D36" s="6" t="n"/>
      <c r="E36" s="6" t="n">
        <v>24</v>
      </c>
      <c r="F36" s="6" t="n">
        <v>24</v>
      </c>
      <c r="G36" s="6" t="n">
        <v>24</v>
      </c>
    </row>
    <row r="37">
      <c r="A37" s="6" t="inlineStr">
        <is>
          <t>Dividend paid</t>
        </is>
      </c>
      <c r="B37" s="6" t="n"/>
      <c r="C37" s="6" t="n"/>
      <c r="D37" s="6" t="n">
        <v>-485</v>
      </c>
      <c r="E37" s="6" t="n"/>
      <c r="F37" s="6" t="n">
        <v>-485</v>
      </c>
      <c r="G37" s="6" t="n">
        <v>-485</v>
      </c>
    </row>
    <row r="38">
      <c r="A38" s="6" t="inlineStr">
        <is>
          <t>Other equity adjustments</t>
        </is>
      </c>
      <c r="B38" s="6" t="n"/>
      <c r="C38" s="6" t="n"/>
      <c r="D38" s="6" t="n">
        <v>-1</v>
      </c>
      <c r="E38" s="6" t="n"/>
      <c r="F38" s="6" t="n">
        <v>-1</v>
      </c>
      <c r="G38" s="6" t="n">
        <v>-1</v>
      </c>
    </row>
    <row r="39">
      <c r="A39" s="5" t="inlineStr">
        <is>
          <t>At 31 December 2013 / 1 January 2014</t>
        </is>
      </c>
      <c r="B39" s="5" t="n">
        <v>614</v>
      </c>
      <c r="C39" s="5" t="n">
        <v>352</v>
      </c>
      <c r="D39" s="5" t="n">
        <v>419</v>
      </c>
      <c r="E39" s="5" t="n">
        <v>330</v>
      </c>
      <c r="F39" s="5" t="n">
        <v>749</v>
      </c>
      <c r="G39" s="5" t="n">
        <v>1715</v>
      </c>
    </row>
    <row r="40">
      <c r="A40" s="6" t="inlineStr">
        <is>
          <t>Profit for the year</t>
        </is>
      </c>
      <c r="B40" s="6" t="n"/>
      <c r="C40" s="6" t="n"/>
      <c r="D40" s="6" t="n">
        <v>147</v>
      </c>
      <c r="E40" s="6" t="n"/>
      <c r="F40" s="6" t="n">
        <v>147</v>
      </c>
      <c r="G40" s="6" t="n">
        <v>147</v>
      </c>
    </row>
    <row r="41">
      <c r="A41" s="6" t="inlineStr">
        <is>
          <t>Translation differences</t>
        </is>
      </c>
      <c r="B41" s="6" t="n"/>
      <c r="C41" s="6" t="n"/>
      <c r="D41" s="6" t="n"/>
      <c r="E41" s="6" t="n">
        <v>-70</v>
      </c>
      <c r="F41" s="6" t="n">
        <v>-70</v>
      </c>
      <c r="G41" s="6" t="n">
        <v>-70</v>
      </c>
    </row>
    <row r="42">
      <c r="A42" s="6" t="inlineStr">
        <is>
          <t>Other equity adjustments</t>
        </is>
      </c>
      <c r="B42" s="6" t="n"/>
      <c r="C42" s="6" t="n"/>
      <c r="D42" s="6" t="n">
        <v>-1</v>
      </c>
      <c r="E42" s="6" t="n"/>
      <c r="F42" s="6" t="n">
        <v>-1</v>
      </c>
      <c r="G42" s="6" t="n">
        <v>-1</v>
      </c>
    </row>
    <row r="43">
      <c r="A43" s="5" t="inlineStr">
        <is>
          <t>At 31 December 2014</t>
        </is>
      </c>
      <c r="B43" s="5" t="n">
        <v>614</v>
      </c>
      <c r="C43" s="5" t="n">
        <v>352</v>
      </c>
      <c r="D43" s="5" t="n">
        <v>565</v>
      </c>
      <c r="E43" s="5" t="n">
        <v>260</v>
      </c>
      <c r="F43" s="5" t="n">
        <v>825</v>
      </c>
      <c r="G43" s="5" t="n">
        <v>1791</v>
      </c>
    </row>
    <row r="44">
      <c r="A44" s="5" t="inlineStr">
        <is>
          <t>At 1 January 2015</t>
        </is>
      </c>
      <c r="B44" s="5" t="n">
        <v>614</v>
      </c>
      <c r="C44" s="5" t="n">
        <v>352</v>
      </c>
      <c r="D44" s="5" t="n">
        <v>565</v>
      </c>
      <c r="E44" s="5" t="n">
        <v>260</v>
      </c>
      <c r="F44" s="5" t="n">
        <v>825</v>
      </c>
      <c r="G44" s="5" t="n">
        <v>1791</v>
      </c>
    </row>
    <row r="45">
      <c r="A45" s="6" t="inlineStr">
        <is>
          <t>Profit for the year</t>
        </is>
      </c>
      <c r="B45" s="6" t="n"/>
      <c r="C45" s="6" t="n"/>
      <c r="D45" s="6" t="n">
        <v>160</v>
      </c>
      <c r="E45" s="6" t="n"/>
      <c r="F45" s="6" t="n">
        <v>160</v>
      </c>
      <c r="G45" s="6" t="n">
        <v>160</v>
      </c>
    </row>
    <row r="46">
      <c r="A46" s="6" t="inlineStr">
        <is>
          <t>Translation differences</t>
        </is>
      </c>
      <c r="B46" s="6" t="n"/>
      <c r="C46" s="6" t="n"/>
      <c r="D46" s="6" t="n"/>
      <c r="E46" s="6" t="n">
        <v>-49</v>
      </c>
      <c r="F46" s="6" t="n">
        <v>-49</v>
      </c>
      <c r="G46" s="6" t="n">
        <v>-49</v>
      </c>
    </row>
    <row r="47">
      <c r="A47" s="5" t="inlineStr">
        <is>
          <t>At 31 December 2015</t>
        </is>
      </c>
      <c r="B47" s="5" t="n">
        <v>614</v>
      </c>
      <c r="C47" s="5" t="n">
        <v>352</v>
      </c>
      <c r="D47" s="5" t="n">
        <v>725</v>
      </c>
      <c r="E47" s="5" t="n">
        <v>211</v>
      </c>
      <c r="F47" s="5" t="n">
        <v>936</v>
      </c>
      <c r="G47" s="5" t="n">
        <v>1902</v>
      </c>
    </row>
    <row r="48">
      <c r="A48" s="5" t="inlineStr">
        <is>
          <t>At 1 January 2016</t>
        </is>
      </c>
      <c r="B48" s="5" t="n">
        <v>614</v>
      </c>
      <c r="C48" s="5" t="n">
        <v>352</v>
      </c>
      <c r="D48" s="5" t="n">
        <v>725</v>
      </c>
      <c r="E48" s="5" t="n">
        <v>211</v>
      </c>
      <c r="F48" s="5" t="n">
        <v>936</v>
      </c>
      <c r="G48" s="5" t="n">
        <v>1902</v>
      </c>
    </row>
    <row r="49">
      <c r="A49" s="6" t="inlineStr">
        <is>
          <t>Profit for the year</t>
        </is>
      </c>
      <c r="B49" s="6" t="n"/>
      <c r="C49" s="6" t="n"/>
      <c r="D49" s="6" t="n">
        <v>144</v>
      </c>
      <c r="E49" s="6" t="n"/>
      <c r="F49" s="6" t="n">
        <v>144</v>
      </c>
      <c r="G49" s="6" t="n">
        <v>144</v>
      </c>
    </row>
    <row r="50">
      <c r="A50" s="6" t="inlineStr">
        <is>
          <t>Translation differences</t>
        </is>
      </c>
      <c r="B50" s="6" t="n"/>
      <c r="C50" s="6" t="n"/>
      <c r="D50" s="6" t="n"/>
      <c r="E50" s="6" t="n">
        <v>184</v>
      </c>
      <c r="F50" s="6" t="n">
        <v>184</v>
      </c>
      <c r="G50" s="6" t="n">
        <v>184</v>
      </c>
    </row>
    <row r="51">
      <c r="A51" s="6" t="inlineStr">
        <is>
          <t>Available for sale gains in fair value</t>
        </is>
      </c>
      <c r="B51" s="6" t="n"/>
      <c r="C51" s="6" t="n"/>
      <c r="D51" s="6" t="n">
        <v>1</v>
      </c>
      <c r="E51" s="6" t="n"/>
      <c r="F51" s="6" t="n">
        <v>1</v>
      </c>
      <c r="G51" s="6" t="n">
        <v>1</v>
      </c>
    </row>
    <row r="52">
      <c r="A52" s="6" t="inlineStr">
        <is>
          <t>Dividend paid</t>
        </is>
      </c>
      <c r="B52" s="6" t="n"/>
      <c r="C52" s="6" t="n"/>
      <c r="D52" s="6" t="n">
        <v>-50</v>
      </c>
      <c r="E52" s="6" t="n"/>
      <c r="F52" s="6" t="n">
        <v>-50</v>
      </c>
      <c r="G52" s="6" t="n">
        <v>-50</v>
      </c>
    </row>
    <row r="53">
      <c r="A53" s="6" t="inlineStr">
        <is>
          <t>Other equity adjustments</t>
        </is>
      </c>
      <c r="B53" s="6" t="n"/>
      <c r="C53" s="6" t="n"/>
      <c r="D53" s="6" t="n">
        <v>1</v>
      </c>
      <c r="E53" s="6" t="n"/>
      <c r="F53" s="6" t="n">
        <v>1</v>
      </c>
      <c r="G53" s="6" t="n">
        <v>1</v>
      </c>
    </row>
    <row r="54">
      <c r="A54" s="5" t="inlineStr">
        <is>
          <t>At 31 December 2016 / 1 January 2017</t>
        </is>
      </c>
      <c r="B54" s="5" t="n">
        <v>614</v>
      </c>
      <c r="C54" s="5" t="n">
        <v>352</v>
      </c>
      <c r="D54" s="5" t="n">
        <v>821</v>
      </c>
      <c r="E54" s="5" t="n">
        <v>395</v>
      </c>
      <c r="F54" s="5" t="n">
        <v>1216</v>
      </c>
      <c r="G54" s="5" t="n">
        <v>2182</v>
      </c>
    </row>
    <row r="55">
      <c r="A55" s="6" t="inlineStr">
        <is>
          <t>Profit for the year</t>
        </is>
      </c>
      <c r="B55" s="6" t="n"/>
      <c r="C55" s="6" t="n"/>
      <c r="D55" s="6" t="n">
        <v>213</v>
      </c>
      <c r="E55" s="6" t="n"/>
      <c r="F55" s="6" t="n">
        <v>213</v>
      </c>
      <c r="G55" s="6" t="n">
        <v>213</v>
      </c>
    </row>
    <row r="56">
      <c r="A56" s="6" t="inlineStr">
        <is>
          <t>Translation differences</t>
        </is>
      </c>
      <c r="B56" s="6" t="n"/>
      <c r="C56" s="6" t="n"/>
      <c r="D56" s="6" t="n"/>
      <c r="E56" s="6" t="n">
        <v>43</v>
      </c>
      <c r="F56" s="6" t="n">
        <v>43</v>
      </c>
      <c r="G56" s="6" t="n">
        <v>43</v>
      </c>
    </row>
    <row r="57">
      <c r="A57" s="6" t="inlineStr">
        <is>
          <t>Available for sale loss in fair value</t>
        </is>
      </c>
      <c r="B57" s="6" t="n"/>
      <c r="C57" s="6" t="n"/>
      <c r="D57" s="6" t="n">
        <v>-1</v>
      </c>
      <c r="E57" s="6" t="n"/>
      <c r="F57" s="6" t="n">
        <v>-1</v>
      </c>
      <c r="G57" s="6" t="n">
        <v>-1</v>
      </c>
    </row>
    <row r="58">
      <c r="A58" s="6" t="inlineStr">
        <is>
          <t>Dividend paid</t>
        </is>
      </c>
      <c r="B58" s="6" t="n"/>
      <c r="C58" s="6" t="n"/>
      <c r="D58" s="6" t="n">
        <v>-35</v>
      </c>
      <c r="E58" s="6" t="n"/>
      <c r="F58" s="6" t="n">
        <v>-35</v>
      </c>
      <c r="G58" s="6" t="n">
        <v>-35</v>
      </c>
    </row>
    <row r="59">
      <c r="A59" s="6" t="inlineStr">
        <is>
          <t>Ret'd Earnings Adj IFRS 15 early adoption</t>
        </is>
      </c>
      <c r="B59" s="6" t="n"/>
      <c r="C59" s="6" t="n"/>
      <c r="D59" s="6" t="n">
        <v>6</v>
      </c>
      <c r="E59" s="6" t="n"/>
      <c r="F59" s="6" t="n">
        <v>6</v>
      </c>
      <c r="G59" s="6" t="n">
        <v>6</v>
      </c>
    </row>
    <row r="60">
      <c r="A60" s="5" t="inlineStr">
        <is>
          <t>At 31 December 2017</t>
        </is>
      </c>
      <c r="B60" s="5" t="n">
        <v>614</v>
      </c>
      <c r="C60" s="5" t="n">
        <v>352</v>
      </c>
      <c r="D60" s="5" t="n">
        <v>1005</v>
      </c>
      <c r="E60" s="5" t="n">
        <v>437</v>
      </c>
      <c r="F60" s="5" t="n">
        <v>1442</v>
      </c>
      <c r="G60" s="5" t="n">
        <v>2408</v>
      </c>
    </row>
    <row r="61">
      <c r="A61" s="5" t="inlineStr">
        <is>
          <t>At 1 January 2018</t>
        </is>
      </c>
      <c r="B61" s="5" t="n">
        <v>614</v>
      </c>
      <c r="C61" s="5" t="n">
        <v>352</v>
      </c>
      <c r="D61" s="5" t="n">
        <v>1005</v>
      </c>
      <c r="E61" s="5" t="n">
        <v>437</v>
      </c>
      <c r="F61" s="5" t="n">
        <v>1442</v>
      </c>
      <c r="G61" s="5" t="n">
        <v>2408</v>
      </c>
    </row>
    <row r="62">
      <c r="A62" s="6" t="inlineStr">
        <is>
          <t>Profit for the year</t>
        </is>
      </c>
      <c r="B62" s="6" t="n"/>
      <c r="C62" s="6" t="n"/>
      <c r="D62" s="6" t="n">
        <v>209</v>
      </c>
      <c r="E62" s="6" t="n"/>
      <c r="F62" s="6" t="n">
        <v>209</v>
      </c>
      <c r="G62" s="6" t="n">
        <v>209</v>
      </c>
    </row>
    <row r="63">
      <c r="A63" s="6" t="inlineStr">
        <is>
          <t>Translation differences</t>
        </is>
      </c>
      <c r="B63" s="6" t="n"/>
      <c r="C63" s="6" t="n"/>
      <c r="D63" s="6" t="n"/>
      <c r="E63" s="6" t="n">
        <v>17</v>
      </c>
      <c r="F63" s="6" t="n">
        <v>17</v>
      </c>
      <c r="G63" s="6" t="n">
        <v>17</v>
      </c>
    </row>
    <row r="64">
      <c r="A64" s="6" t="inlineStr">
        <is>
          <t>Equity Investment FVOCI/other equity adjustments</t>
        </is>
      </c>
      <c r="B64" s="6" t="n"/>
      <c r="C64" s="6" t="n"/>
      <c r="D64" s="6" t="n">
        <v>12</v>
      </c>
      <c r="E64" s="6" t="n">
        <v>1</v>
      </c>
      <c r="F64" s="6" t="n">
        <v>13</v>
      </c>
      <c r="G64" s="6" t="n">
        <v>13</v>
      </c>
    </row>
    <row r="65">
      <c r="A65" s="5" t="inlineStr">
        <is>
          <t>At 31 December 2018</t>
        </is>
      </c>
      <c r="B65" s="5" t="n">
        <v>614</v>
      </c>
      <c r="C65" s="5" t="n">
        <v>352</v>
      </c>
      <c r="D65" s="5" t="n">
        <v>1226</v>
      </c>
      <c r="E65" s="5" t="n">
        <v>455</v>
      </c>
      <c r="F65" s="5" t="n">
        <v>1681</v>
      </c>
      <c r="G65" s="5" t="n">
        <v>2647</v>
      </c>
    </row>
    <row r="66">
      <c r="A66" s="5" t="inlineStr">
        <is>
          <t>At 1 January 2019</t>
        </is>
      </c>
      <c r="B66" s="5" t="n">
        <v>614</v>
      </c>
      <c r="C66" s="5" t="n">
        <v>352</v>
      </c>
      <c r="D66" s="5" t="n">
        <v>1226</v>
      </c>
      <c r="E66" s="5" t="n">
        <v>455</v>
      </c>
      <c r="F66" s="5" t="n">
        <v>1681</v>
      </c>
      <c r="G66" s="5" t="n">
        <v>2647</v>
      </c>
    </row>
    <row r="67">
      <c r="A67" s="6" t="inlineStr">
        <is>
          <t>Profit for the year</t>
        </is>
      </c>
      <c r="B67" s="6" t="n"/>
      <c r="C67" s="6" t="n"/>
      <c r="D67" s="6" t="n">
        <v>224</v>
      </c>
      <c r="E67" s="6" t="n"/>
      <c r="F67" s="6" t="n">
        <v>224</v>
      </c>
      <c r="G67" s="6" t="n">
        <v>224</v>
      </c>
    </row>
    <row r="68">
      <c r="A68" s="6" t="inlineStr">
        <is>
          <t>Translation differences</t>
        </is>
      </c>
      <c r="B68" s="6" t="n"/>
      <c r="C68" s="6" t="n"/>
      <c r="D68" s="6" t="n"/>
      <c r="E68" s="6" t="n">
        <v>-89</v>
      </c>
      <c r="F68" s="6" t="n">
        <v>-89</v>
      </c>
      <c r="G68" s="6" t="n">
        <v>-89</v>
      </c>
    </row>
    <row r="69">
      <c r="A69" s="6" t="inlineStr">
        <is>
          <t>Equity Investment FVOCI</t>
        </is>
      </c>
      <c r="B69" s="6" t="n"/>
      <c r="C69" s="6" t="n"/>
      <c r="D69" s="6" t="n"/>
      <c r="E69" s="6" t="n">
        <v>-3</v>
      </c>
      <c r="F69" s="6" t="n">
        <v>-3</v>
      </c>
      <c r="G69" s="6" t="n">
        <v>-3</v>
      </c>
    </row>
    <row r="70">
      <c r="A70" s="5" t="inlineStr">
        <is>
          <t>At 31 December 2019</t>
        </is>
      </c>
      <c r="B70" s="5" t="n">
        <v>614</v>
      </c>
      <c r="C70" s="5" t="n">
        <v>352</v>
      </c>
      <c r="D70" s="5" t="n">
        <v>1450</v>
      </c>
      <c r="E70" s="5" t="n">
        <v>363</v>
      </c>
      <c r="F70" s="5" t="n">
        <v>1813</v>
      </c>
      <c r="G70" s="5" t="n">
        <v>2779</v>
      </c>
    </row>
    <row r="71">
      <c r="A71" s="5" t="inlineStr">
        <is>
          <t>At 1 January 2020</t>
        </is>
      </c>
      <c r="B71" s="5" t="n">
        <v>614</v>
      </c>
      <c r="C71" s="5" t="n">
        <v>352</v>
      </c>
      <c r="D71" s="5" t="n">
        <v>1447</v>
      </c>
      <c r="E71" s="5" t="n">
        <v>366</v>
      </c>
      <c r="F71" s="5" t="n">
        <v>1813</v>
      </c>
      <c r="G71" s="5" t="n">
        <v>2779</v>
      </c>
    </row>
    <row r="72">
      <c r="A72" s="6" t="inlineStr">
        <is>
          <t>Profit for the year</t>
        </is>
      </c>
      <c r="B72" s="6" t="n"/>
      <c r="C72" s="6" t="n"/>
      <c r="D72" s="6" t="n">
        <v>128</v>
      </c>
      <c r="E72" s="6" t="n"/>
      <c r="F72" s="6" t="n">
        <v>128</v>
      </c>
      <c r="G72" s="6" t="n">
        <v>128</v>
      </c>
    </row>
    <row r="73">
      <c r="A73" s="6" t="inlineStr">
        <is>
          <t>Translation differences</t>
        </is>
      </c>
      <c r="B73" s="6" t="n"/>
      <c r="C73" s="6" t="n"/>
      <c r="D73" s="6" t="n"/>
      <c r="E73" s="6" t="n">
        <v>94</v>
      </c>
      <c r="F73" s="6" t="n">
        <v>94</v>
      </c>
      <c r="G73" s="6" t="n">
        <v>94</v>
      </c>
    </row>
    <row r="74">
      <c r="A74" s="6" t="inlineStr">
        <is>
          <t>Other equity adjustments</t>
        </is>
      </c>
      <c r="B74" s="6" t="n"/>
      <c r="C74" s="6" t="n"/>
      <c r="D74" s="6" t="n">
        <v>2</v>
      </c>
      <c r="E74" s="6" t="n"/>
      <c r="F74" s="6" t="n">
        <v>2</v>
      </c>
      <c r="G74" s="6" t="n">
        <v>2</v>
      </c>
    </row>
    <row r="75">
      <c r="A75" s="5" t="inlineStr">
        <is>
          <t>At 31 December 2020</t>
        </is>
      </c>
      <c r="B75" s="5" t="n">
        <v>614</v>
      </c>
      <c r="C75" s="5" t="n">
        <v>352</v>
      </c>
      <c r="D75" s="5" t="n">
        <v>1577</v>
      </c>
      <c r="E75" s="5" t="n">
        <v>460</v>
      </c>
      <c r="F75" s="5" t="n">
        <v>2037</v>
      </c>
      <c r="G75" s="5" t="n">
        <v>3003</v>
      </c>
    </row>
    <row r="76">
      <c r="A76" s="5" t="inlineStr">
        <is>
          <t>At 1 January 2021</t>
        </is>
      </c>
      <c r="B76" s="5" t="n">
        <v>614</v>
      </c>
      <c r="C76" s="5" t="n">
        <v>352</v>
      </c>
      <c r="D76" s="5" t="n">
        <v>1577</v>
      </c>
      <c r="E76" s="5" t="n">
        <v>460</v>
      </c>
      <c r="F76" s="5" t="n">
        <v>2037</v>
      </c>
      <c r="G76" s="5" t="n">
        <v>3003</v>
      </c>
    </row>
    <row r="77">
      <c r="A77" s="6" t="inlineStr">
        <is>
          <t>Profit for the year</t>
        </is>
      </c>
      <c r="B77" s="6" t="n"/>
      <c r="C77" s="6" t="n"/>
      <c r="D77" s="6" t="n">
        <v>154</v>
      </c>
      <c r="E77" s="6" t="n"/>
      <c r="F77" s="6" t="n">
        <v>154</v>
      </c>
      <c r="G77" s="6" t="n">
        <v>154</v>
      </c>
    </row>
    <row r="78">
      <c r="A78" s="6" t="inlineStr">
        <is>
          <t>Translation differences</t>
        </is>
      </c>
      <c r="B78" s="6" t="n"/>
      <c r="C78" s="6" t="n"/>
      <c r="D78" s="6" t="n"/>
      <c r="E78" s="6" t="n">
        <v>-115</v>
      </c>
      <c r="F78" s="6" t="n">
        <v>-115</v>
      </c>
      <c r="G78" s="6" t="n">
        <v>-115</v>
      </c>
    </row>
    <row r="79">
      <c r="A79" s="6" t="inlineStr">
        <is>
          <t>Dividend paid</t>
        </is>
      </c>
      <c r="B79" s="6" t="n"/>
      <c r="C79" s="6" t="n"/>
      <c r="D79" s="6" t="n">
        <v>-300</v>
      </c>
      <c r="E79" s="6" t="n"/>
      <c r="F79" s="6" t="n">
        <v>-300</v>
      </c>
      <c r="G79" s="6" t="n">
        <v>-300</v>
      </c>
    </row>
    <row r="80">
      <c r="A80" s="5" t="inlineStr">
        <is>
          <t>At 31 December 2021</t>
        </is>
      </c>
      <c r="B80" s="5" t="n">
        <v>614</v>
      </c>
      <c r="C80" s="5" t="n">
        <v>352</v>
      </c>
      <c r="D80" s="5" t="n">
        <v>1431</v>
      </c>
      <c r="E80" s="5" t="n">
        <v>345</v>
      </c>
      <c r="F80" s="5" t="n">
        <v>1776</v>
      </c>
      <c r="G80" s="5" t="n">
        <v>2742</v>
      </c>
    </row>
    <row r="81">
      <c r="A81" s="5" t="inlineStr">
        <is>
          <t>At 1 January 2022</t>
        </is>
      </c>
      <c r="B81" s="5" t="n">
        <v>614</v>
      </c>
      <c r="C81" s="5" t="n">
        <v>352</v>
      </c>
      <c r="D81" s="5" t="n">
        <v>1431</v>
      </c>
      <c r="E81" s="5" t="n">
        <v>345</v>
      </c>
      <c r="F81" s="5" t="n">
        <v>1776</v>
      </c>
      <c r="G81" s="5" t="n">
        <v>2742</v>
      </c>
    </row>
    <row r="82">
      <c r="A82" s="6" t="inlineStr">
        <is>
          <t>Profit for the year</t>
        </is>
      </c>
      <c r="B82" s="6" t="n"/>
      <c r="C82" s="6" t="n"/>
      <c r="D82" s="6" t="n">
        <v>287</v>
      </c>
      <c r="E82" s="6" t="n"/>
      <c r="F82" s="6" t="n">
        <v>287</v>
      </c>
      <c r="G82" s="6" t="n">
        <v>287</v>
      </c>
    </row>
    <row r="83">
      <c r="A83" s="6" t="inlineStr">
        <is>
          <t>Translation differences</t>
        </is>
      </c>
      <c r="B83" s="6" t="n"/>
      <c r="C83" s="6" t="n"/>
      <c r="D83" s="6" t="n"/>
      <c r="E83" s="6" t="n">
        <v>89</v>
      </c>
      <c r="F83" s="6" t="n">
        <v>89</v>
      </c>
      <c r="G83" s="6" t="n">
        <v>89</v>
      </c>
    </row>
    <row r="84">
      <c r="A84" s="6" t="inlineStr">
        <is>
          <t>Reclassification of foreign exchange on transfer of subsidiaries</t>
        </is>
      </c>
      <c r="B84" s="6" t="n"/>
      <c r="C84" s="6" t="n"/>
      <c r="D84" s="6" t="n"/>
      <c r="E84" s="6" t="n">
        <v>-11</v>
      </c>
      <c r="F84" s="6" t="n">
        <v>-11</v>
      </c>
      <c r="G84" s="6" t="n">
        <v>-11</v>
      </c>
    </row>
    <row r="85">
      <c r="A85" s="6" t="inlineStr">
        <is>
          <t>Dividend paid</t>
        </is>
      </c>
      <c r="B85" s="6" t="n"/>
      <c r="C85" s="6" t="n"/>
      <c r="D85" s="6" t="n">
        <v>-600</v>
      </c>
      <c r="E85" s="6" t="n"/>
      <c r="F85" s="6" t="n">
        <v>-600</v>
      </c>
      <c r="G85" s="6" t="n">
        <v>-600</v>
      </c>
    </row>
    <row r="86">
      <c r="A86" s="6" t="inlineStr">
        <is>
          <t>Other equity adjustments</t>
        </is>
      </c>
      <c r="B86" s="6" t="n"/>
      <c r="C86" s="6" t="n"/>
      <c r="D86" s="6" t="n">
        <v>-5</v>
      </c>
      <c r="E86" s="6" t="n"/>
      <c r="F86" s="6" t="n">
        <v>-5</v>
      </c>
      <c r="G86" s="6" t="n">
        <v>-5</v>
      </c>
    </row>
    <row r="87">
      <c r="A87" s="5" t="inlineStr">
        <is>
          <t>At 31 December 2022</t>
        </is>
      </c>
      <c r="B87" s="5" t="n">
        <v>614</v>
      </c>
      <c r="C87" s="5" t="n">
        <v>352</v>
      </c>
      <c r="D87" s="5" t="n">
        <v>1113</v>
      </c>
      <c r="E87" s="5" t="n">
        <v>423</v>
      </c>
      <c r="F87" s="5" t="n">
        <v>1536</v>
      </c>
      <c r="G87" s="5" t="n">
        <v>2502</v>
      </c>
    </row>
    <row r="88">
      <c r="A88" s="5" t="inlineStr">
        <is>
          <t>At 1 January 2023</t>
        </is>
      </c>
      <c r="B88" s="5" t="n">
        <v>614</v>
      </c>
      <c r="C88" s="5" t="n">
        <v>352</v>
      </c>
      <c r="D88" s="5" t="n">
        <v>1113</v>
      </c>
      <c r="E88" s="5" t="n">
        <v>423</v>
      </c>
      <c r="F88" s="5" t="n">
        <v>1536</v>
      </c>
      <c r="G88" s="5" t="n">
        <v>2502</v>
      </c>
    </row>
    <row r="89">
      <c r="A89" s="6" t="inlineStr">
        <is>
          <t>Profit for the year</t>
        </is>
      </c>
      <c r="B89" s="6" t="n"/>
      <c r="C89" s="6" t="n"/>
      <c r="D89" s="6" t="n">
        <v>88</v>
      </c>
      <c r="E89" s="6" t="n"/>
      <c r="F89" s="6" t="n">
        <v>88</v>
      </c>
      <c r="G89" s="6" t="n">
        <v>88</v>
      </c>
    </row>
    <row r="90">
      <c r="A90" s="6" t="inlineStr">
        <is>
          <t>Translation differences</t>
        </is>
      </c>
      <c r="B90" s="6" t="n"/>
      <c r="C90" s="6" t="n"/>
      <c r="D90" s="6" t="n"/>
      <c r="E90" s="6" t="n">
        <v>-33</v>
      </c>
      <c r="F90" s="6" t="n">
        <v>-33</v>
      </c>
      <c r="G90" s="6" t="n">
        <v>-33</v>
      </c>
    </row>
    <row r="91">
      <c r="A91" s="6" t="inlineStr">
        <is>
          <t>Other equity adjustments</t>
        </is>
      </c>
      <c r="B91" s="6" t="n"/>
      <c r="C91" s="6" t="n"/>
      <c r="D91" s="6" t="n">
        <v>-1</v>
      </c>
      <c r="E91" s="6" t="n"/>
      <c r="F91" s="6" t="n">
        <v>-1</v>
      </c>
      <c r="G91" s="6" t="n">
        <v>-1</v>
      </c>
    </row>
    <row r="92">
      <c r="A92" s="5" t="inlineStr">
        <is>
          <t>At 31 December 2023</t>
        </is>
      </c>
      <c r="B92" s="5" t="n">
        <v>614</v>
      </c>
      <c r="C92" s="5" t="n">
        <v>352</v>
      </c>
      <c r="D92" s="5" t="n">
        <v>1200</v>
      </c>
      <c r="E92" s="5" t="n">
        <v>390</v>
      </c>
      <c r="F92" s="5" t="n">
        <v>1590</v>
      </c>
      <c r="G92" s="5" t="n">
        <v>2556</v>
      </c>
    </row>
    <row r="93">
      <c r="A93" s="5" t="inlineStr">
        <is>
          <t>At 1 January 2024</t>
        </is>
      </c>
      <c r="B93" s="5" t="n">
        <v>614</v>
      </c>
      <c r="C93" s="5" t="n">
        <v>352</v>
      </c>
      <c r="D93" s="5" t="n">
        <v>1214</v>
      </c>
      <c r="E93" s="5" t="n">
        <v>376</v>
      </c>
      <c r="F93" s="5" t="n">
        <v>1590</v>
      </c>
      <c r="G93" s="5" t="n">
        <v>2556</v>
      </c>
    </row>
    <row r="94">
      <c r="A94" s="6" t="inlineStr">
        <is>
          <t>Profit for the year</t>
        </is>
      </c>
      <c r="B94" s="6" t="n"/>
      <c r="C94" s="6" t="n"/>
      <c r="D94" s="6" t="n">
        <v>212</v>
      </c>
      <c r="E94" s="6" t="n"/>
      <c r="F94" s="6" t="n">
        <v>212</v>
      </c>
      <c r="G94" s="6" t="n">
        <v>212</v>
      </c>
    </row>
    <row r="95">
      <c r="A95" s="6" t="inlineStr">
        <is>
          <t>Translation differences</t>
        </is>
      </c>
      <c r="B95" s="6" t="n"/>
      <c r="C95" s="6" t="n"/>
      <c r="D95" s="6" t="n"/>
      <c r="E95" s="6" t="n">
        <v>-69</v>
      </c>
      <c r="F95" s="6" t="n">
        <v>-69</v>
      </c>
      <c r="G95" s="6" t="n">
        <v>-69</v>
      </c>
    </row>
    <row r="96">
      <c r="A96" s="6" t="inlineStr">
        <is>
          <t>Realisation of foreign exchange on sale of subsidiaries</t>
        </is>
      </c>
      <c r="B96" s="6" t="n"/>
      <c r="C96" s="6" t="n"/>
      <c r="D96" s="6" t="n"/>
      <c r="E96" s="6" t="n">
        <v>-134</v>
      </c>
      <c r="F96" s="6" t="n">
        <v>-134</v>
      </c>
      <c r="G96" s="6" t="n">
        <v>-134</v>
      </c>
    </row>
    <row r="97">
      <c r="A97" s="6" t="inlineStr">
        <is>
          <t>Dividend paid</t>
        </is>
      </c>
      <c r="B97" s="6" t="n"/>
      <c r="C97" s="6" t="n"/>
      <c r="D97" s="6" t="n">
        <v>-500</v>
      </c>
      <c r="E97" s="6" t="n"/>
      <c r="F97" s="6" t="n">
        <v>-500</v>
      </c>
      <c r="G97" s="6" t="n">
        <v>-500</v>
      </c>
    </row>
    <row r="98">
      <c r="A98" s="5" t="inlineStr">
        <is>
          <t>At 31 December 2024 / 1 January 2025</t>
        </is>
      </c>
      <c r="B98" s="5" t="n">
        <v>614</v>
      </c>
      <c r="C98" s="5" t="n">
        <v>352</v>
      </c>
      <c r="D98" s="5" t="n">
        <v>926</v>
      </c>
      <c r="E98" s="5" t="n">
        <v>173</v>
      </c>
      <c r="F98" s="5" t="n">
        <v>1099</v>
      </c>
      <c r="G98" s="5" t="n">
        <v>2065</v>
      </c>
    </row>
    <row r="99">
      <c r="A99" s="6" t="inlineStr">
        <is>
          <t>Profit for the year</t>
        </is>
      </c>
      <c r="B99" s="6" t="n"/>
      <c r="C99" s="6" t="n"/>
      <c r="D99" s="6" t="n">
        <v>96</v>
      </c>
      <c r="E99" s="6" t="n"/>
      <c r="F99" s="6" t="n">
        <v>96</v>
      </c>
      <c r="G99" s="6" t="n">
        <v>96</v>
      </c>
    </row>
    <row r="100">
      <c r="A100" s="6" t="inlineStr">
        <is>
          <t>Translation differences</t>
        </is>
      </c>
      <c r="B100" s="6" t="n"/>
      <c r="C100" s="6" t="n"/>
      <c r="D100" s="6" t="n"/>
      <c r="E100" s="6" t="n">
        <v>43</v>
      </c>
      <c r="F100" s="6" t="n">
        <v>43</v>
      </c>
      <c r="G100" s="6" t="n">
        <v>43</v>
      </c>
    </row>
    <row r="101">
      <c r="A101" s="6" t="inlineStr">
        <is>
          <t>Dividend paid</t>
        </is>
      </c>
      <c r="B101" s="6" t="n"/>
      <c r="C101" s="6" t="n"/>
      <c r="D101" s="6" t="n">
        <v>-500</v>
      </c>
      <c r="E101" s="6" t="n"/>
      <c r="F101" s="6" t="n">
        <v>-500</v>
      </c>
      <c r="G101" s="6" t="n">
        <v>-500</v>
      </c>
    </row>
    <row r="102">
      <c r="A102" s="5" t="inlineStr">
        <is>
          <t>At 31 December 2025</t>
        </is>
      </c>
      <c r="B102" s="5" t="n">
        <v>614</v>
      </c>
      <c r="C102" s="5" t="n">
        <v>352</v>
      </c>
      <c r="D102" s="5" t="n">
        <v>522</v>
      </c>
      <c r="E102" s="5" t="n">
        <v>216</v>
      </c>
      <c r="F102" s="5" t="n">
        <v>738</v>
      </c>
      <c r="G102" s="5" t="n">
        <v>1704</v>
      </c>
    </row>
    <row r="104" ht="409" customHeight="1">
      <c r="A104" s="8" t="inlineStr">
        <is>
          <t>Sources - all figures are FCE Bank Plc's own consolidated (Group) Statement of Financial Position, Statement of Profit or Loss and Other Comprehensive Income, and Statement of Changes in Equity, each year's own originally-published figures (not a later year's restated comparative):
FY2025: Annual Report 2025, pp.52,51,55 - https://find-and-update.company-information.service.gov.uk/company/00772784/filing-history/MzUxMTcwMTU1NGFkaXF6a2N4/document?format=pdf&amp;download=0
FY2024: Annual Report 2024, pp.57,56,58 - https://find-and-update.company-information.service.gov.uk/company/00772784/filing-history/MzQ2MTUzNDU1OGFkaXF6a2N4/document?format=pdf&amp;download=0
FY2023: Annual Report 2023, pp.54,53,57 - https://find-and-update.company-information.service.gov.uk/company/00772784/filing-history/MzQxNTY0NTE3NGFkaXF6a2N4/document?format=pdf&amp;download=0
FY2022: Annual Report 2022 (AMENDED filing, 30 Oct 2023), pp.52,51,55 - https://find-and-update.company-information.service.gov.uk/company/00772784/filing-history/MzM5ODE1MjYzNmFkaXF6a2N4/document?format=pdf&amp;download=0
FY2021: Annual Report 2021, pp.48,47,51 - https://find-and-update.company-information.service.gov.uk/company/00772784/filing-history/MzMzMzk0NjU4NWFkaXF6a2N4/document?format=pdf&amp;download=0
FY2020: Annual Report 2020, pp.51,50,53-54 (Statements of Financial Position/P&amp;L/Changes in Equity, Group columns) - https://web.archive.org/web/20220615085358id_/https://www.fcebank.com/pdf/investor_center/2020_Annual_Report.pdf
FY2019: Annual Report 2019, pp.45,44,47-48 - https://web.archive.org/web/20220615085141id_/https://www.fcebank.com/pdf/investor_center/2019_Annual_Report.pdf
FY2018: Annual Report 2018, pp.39,38,41-42 - https://web.archive.org/web/20220615085110id_/https://www.fcebank.com/pdf/investor_center/2018_Annual_Report.pdf
FY2017: Annual Report 2017, p.31 (Statements of Financial Position and P&amp;L share this printed page number in FCE's own PDF - a genuine footer-numbering duplication in the source document, not a transcription error) and p.33 (Statements of Changes in Equity) - https://web.archive.org/web/20220615085008id_/https://www.fcebank.com/pdf/investor_center/2017_Annual_Report.pdf
FY2016: Annual Report 2016, pp.60,59,62 - https://web.archive.org/web/20220615085027id_/https://www.fcebank.com/pdf/investor_center/2016_annual_report.pdf
FY2015: Annual Report 2015, pp.60,59,62 - https://web.archive.org/web/20220615085018id_/https://www.fcebank.com/pdf/investor_center/2015_annual_report.pdf
FY2014: Annual Report and Accounts 2014, pp.39,38,41 (Statements of financial position/profit and loss/changes in equity, Group columns) - https://web.archive.org/web/20220615085021id_/https://www.fcebank.com/pdf/investor_center/2014_annual_accts.pdf
FY2013: Annual Report and Accounts 2013, pp.42,41,44 (Statements of financial position/profit and loss/changes in equity, Group columns) - https://web.archive.org/web/20220615085139id_/https://www.fcebank.com/pdf/investor_center/2013_annual_accts.pdf
FY2012: Annual Report and Accounts 2012, pp.42,41,44 - https://web.archive.org/web/20220620211159id_/https://www.fcebank.com/pdf/investor_center/2012_annual_report_account.pdf
FY2011: Annual Report and Accounts 2011, pp.41,40,43 - https://web.archive.org/web/20220615085005id_/https://www.fcebank.com/pdf/investor_center/2011_Annual_FCEReport.pdf
FY2010: Annual Report and Accounts 2010, pp.39,38,41 - https://web.archive.org/web/20220615085039id_/https://www.fcebank.com/pdf/investor_center/2010_Annual_FCEReport.pdf
FY2009: Annual Report and Accounts 2009, pp.41,40,42 (Balance Sheets/Consolidated Income Statement and Statement of Comprehensive Income/Statements of Changes in Equity, Group columns) - https://web.archive.org/web/20220615085056id_/https://www.fcebank.com/pdf/investor_center/2009_Annual_FCEReport.pdf
FY2008: Annual Report and Accounts 2008, pp.48,47,113 (Balance Sheets/Consolidated income statement and Statement of total recognised income and expense/Note 33 Total shareholders' equity, Group columns - FY2008 predates a standalone Statement of Changes in Equity page, reported instead as a note) - https://web.archive.org/web/20220615085100id_/https://www.fcebank.com/pdf/investor_center/2008_Annual_FCEReport.pdf
FY2007: Annual Report and Accounts 2007, pp.40,39,98 (Balance sheets/Consolidated income statement and Statement of total recognised income and expense/Note 31 Total shareholders' equity, Group columns) - https://web.archive.org/web/20220615085155id_/https://www.fcebank.com/pdf/investor_center/2007_Annual_FCEReport.pdf</t>
        </is>
      </c>
    </row>
    <row r="106" ht="409" customHeight="1">
      <c r="A106" s="8" t="inlineStr">
        <is>
          <t>(continued)
FY2006: Annual Report and Accounts 2006, own PDF page ~2/1/2 (local page numbering restarts - Balance sheets/Income statement and Statement of total recognised income and expense/equity movements reconstructed from FY2007's own Note 31 comparative, Group columns) - https://web.archive.org/web/20220615085046id_/https://www.fcebank.com/pdf/investor_center/2006_Annual_FCEReport.pdf
FCE Bank Plc (company 00772784) is the UK-regulated captive auto-finance bank for Ford Motor Company's European operations (vehicle financing/leasing across Ford's European markets, not just the UK). Does NOT take the FRS 101/102 cash-flow exemption - full Group-basis Statement of Cash Flows every year. All 5 Companies House filings (FY2021-2025) are fully scanned/image-only (0 text blocks/page); every figure was transcribed via page rendering. FY2014-FY2020 (HD-046) came from FCE's own text-native Annual Report PDFs archived via the Wayback Machine (fcebank.com/pdf/investor_center/... - see per-sheet source notes for exact capture URLs); figures were extracted directly, not OCR'd.
FY2022's accounts were AMENDED (30 Oct 2023, replacing the original 24 Mar 2023 filing) - the amended FY2022 figures were used as the operative record for that year, since this is the entity's own correction to its own year's accounts (not a later year's restatement). Confirmed the amended FY2022 figures are internally consistent with how FY2023's own report later carries them forward as its FY2022 comparative - no discrepancy found.
FY2024's cash and cash equivalents at end of year include a genuine, disclosed 'Cash and cash equivalents in respect of discontinued operations' adjustment of £(873)m (Group basis) - a real disposal/discontinuation event that year, not a data error; kept as the entity's own disclosed reconciling item, not silently absorbed elsewhere.
FY2021's own Statement of Cash Flows classifies 'Net cash inflow/(outflow) on derivative financial instruments', 'Increase in restricted cash', and 'Decrease in restricted cash' under Financing activities (Group: £44m/£(97)m/£463m respectively, p.49); FY2022 onward reclassify these same three items under Investing activities instead. Confirmed via direct page image (p.49) - each year's own reported section placement is used, not forced into a single consistent classification across the 5 years.
HD-046 (FY2014-FY2020) methodology notes: (1) IFRS 9's three-stage ECL model was adopted 1 Jan 2018; FY2014-FY2017 instead use the IAS 39 'incurred loss' model (a single Retail/Wholesale impairment allowance, not staged) - see the Asset Quality sheet's own note. (2) IFRS 16 leases were adopted 1 Jan 2019; Right-of-use assets/Lease liabilities first appear as separate Balance Sheet lines from FY2019 (FY2014-FY2018 predate IFRS 16 entirely - no ROU/lease lines existed to report). (3) FY2014-FY2018's own Balance Sheet presents 'Due to banks and other financial institutions', 'Due to parent and related undertakings', and 'Debt securities in issue' as separate lines; FY2019 onward combine all of these into a single 'Financial liabilities' line instead (this single-line convention thus starts two years earlier than previously documented on this workbook, at FY2019 not FY2021). 'Subordinated loans' is a separate line only in FY2014-FY2018 (folded into 'Financial liabilities' from FY2019). Blank cells reflect each year's own reporting granularity, not missing data - underlying totals reconcile exactly.
PRESENTATION NOTE (Balance Sheet): FY2021-FY2023's own Statements of Financial Position show separate 'Property and equipment' and 'Right-of-use assets' lines; these are not shown as separate lines in FY2024/FY2025 (each year's own report presents them consolidated within 'Other assets' - confirmed by checking FY2024's/FY2025's own report has no such lines at all, not merely omitted here). FY2021-FY2023 use a single 'Financial liabilities' line and a separate 'Lease liabilities' line; FY2024-FY2025 relabel this as 'Borrowings from parent, banks and other financial institutions' with no separate lease liabilities line (folded in). FY2021-FY2023 combine 'Other liabilities and provisions' into one line; FY2024-FY2025 split this into separate 'Other liabilities' and 'Provisions' lines. Blank cells indicate that year's own report did not disclose that specific line separately at that granularity - the underlying totals reconcile exactly across all 5 years regardless of presentation.</t>
        </is>
      </c>
    </row>
    <row r="108" ht="409" customHeight="1">
      <c r="A108" s="8" t="inlineStr">
        <is>
          <t>(continued)
WHY verify_workbook.py REPORTS BLOCK MISMATCHES ON THE P&amp;L AND CASH FLOW SHEETS (checked 2026-09-16, all benign). That checker sums only the DATA rows since the last TOTAL row, which is the right rule for a flat statement and the wrong one for FCE's, because FCE's P&amp;L nests subtotals (Net interest income and Net fees and commissions income both feed Total income; Total income and Operating expenses both feed Profit before tax). Every flagged line reconciles once the skipped subtotal is included - e.g. FY2025 Total income 390+32+0=422, Profit before tax 422-31-265-15-31+87=167, Profit after tax 167-71=96, and FY2024 Profit for the period 55+157=212 and Total comprehensive income 212-42-27-134=9. On the Cash Flow sheet the same thing happens at the closing-cash tail, where the checker omits the 'Net (decrease)/increase' TOTAL row: FY2025 -162+1253+20=1111 and FY2024 -381+2557-50-873=1253, both exactly the printed closing balance. Note also that 'Operating expenses' is a single line item that happens to be bolded, not a subtotal of the ECL row above it. No figure on either sheet is in question.
MARKETABLE SECURITIES ROW ADDED 2026-09-16 (KM1-012): FCE prints 'Marketable securities' (Note 12) as its own Group balance-sheet line immediately below Cash, but only in the FY2010-FY2013 reports - £223m at 31 Dec 2010 and £1m at 31 Dec 2012, and '-' (nil) at 31 Dec 2011 and 31 Dec 2013. The line had never been transcribed, which is why the FY2010 asset rows summed to 13,789 against a printed Total assets of 14,012 (a gap of exactly 223) and FY2012's summed one short. Both totals were always correct as printed; only the component row was missing, so no existing figure changed when it was added. The word 'marketable' does not appear anywhere in the FY2006-FY2009 Annual Reports and the line is absent from the balance sheet in FY2014 onward, so those years are blank because FCE printed no such line - not because one was looked for and not found.
PRESENTATION NOTE (P&amp;L): FY2021-FY2023's own P&amp;L show 'Income from leasing &amp; other operating income' as one combined line, plus separate '(Loss)/Gain on disposal of Operating Leases', 'Depreciation of property and equipment' and 'Depreciation of right-of-use assets' lines. FY2024 renames the combined income line 'Other operating income' and keeps the two depreciation lines split (no disposal-of-leases line that year). FY2025 combines both depreciation lines into a single 'Depreciation and amortisation' line and drops the disposal-of-leases line entirely. FY2024 is also the only year with a Discontinued Operations split (Ford Bank GmbH, sold during FY2024 - Note 40/36) - FY2025 has no discontinued operations since the disposal is already complete; FY2021-FY2023 predate the disposal and never had a discontinued-operations split at all. Each year's own originally-published figures are used throughout - FY2023's own £974m interest income / £575m total income / £121m PBT / £88m PAT / £55m total comprehensive income (this workbook's FY2023 column) differ substantially from the RESTATED FY2023 comparative shown in the FY2024 Annual Report (£722m/£368m/£97m/£88m PAT unchanged but total comp £55m same, driven by the Ford Bank GmbH disposal being reclassified as a discontinued operation after the fact) - per project convention, each year's own original figures are used, not a later year's restated comparative.
EQUITY RECONCILIATION: verified via the per-year reconciliation ladder - every year's Statement of Changes in Equity closing balance ties exactly to that year's own Balance Sheet Total equity, and to the next year's own opening balance, with zero gaps found across all 5 years (FY2021 £2,742m -&gt; FY2022 £2,502m -&gt; FY2023 £2,556m -&gt; FY2024 £2,065m -&gt; FY2025 £1,704m, all independently confirmed against the Group Balance Sheet's own Total equity each year).</t>
        </is>
      </c>
    </row>
    <row r="110" ht="409" customHeight="1">
      <c r="A110" s="8" t="inlineStr">
        <is>
          <t>(continued)
HD-046 PRESENTATION NOTE (FY2014-FY2020): (1) Balance Sheet - FY2014-FY2018 present 'Due to banks and other financial institutions', 'Due to parent and related undertakings' and 'Debt securities in issue' as separate lines, plus a standalone 'Subordinated loans' line; FY2019-FY2020 combine all four into a single 'Financial liabilities' line (the same single-line convention later continued through FY2023 - this pushes its true start back two years earlier than previously documented). Right-of-use assets and Lease liabilities first appear from FY2019 (IFRS 16 adoption, 1 Jan 2019) - FY2014-FY2018 have no such lines at all (not blank-because-immaterial, blank-because-the-standard-didn't-exist-yet). Investment in a joint venture (the Forso JV with Credit Agricole) is a separate line FY2014-FY2016 (nil by FY2017); FY2018 onward fold any residual into 'Investment in other entities' (the JV interest was realised/disposed by FY2017 - its own FY2017 note shows the Group balance as nil, confirmed by its absence, not omission). (2) P&amp;L - FY2014-FY2017 label the ECL/impairment line 'Impairment losses on loans and advances' (IAS 39 incurred-loss model); FY2018 onward relabel it 'Allowance for expected credit losses' (IFRS 9, adopted 1 Jan 2018) - both feed the same workbook row. 'Depreciation of right-of-use assets' first appears as its own P&amp;L line in FY2019 (IFRS 16). 'Share of profit of a joint venture' is a separate P&amp;L line FY2014-FY2017 only, consistent with the Balance Sheet JV note above. FY2016's own OCI section includes a small 'Available for sale gains from changes in fair value' item (£1m) folded into the workbook's translation-differences reporting for that year for consistency with FY2019-FY2020's small FVOCI equity-investment OCI items.
HD-076 PRESENTATION NOTE (FY2006-FY2013): (1) P&amp;L format - FY2006-FY2008's own annual reports present a 'Consolidated Income Statement' plus a separate 'Statement of Total Recognised Income and Expense' (STRIE), the pre-2009 UK-influenced IFRS equivalent of the post-2009 'Statement of Comprehensive Income' (IAS 1 revised, effective for periods from 1 Jan 2009) - same underlying content, older heading. Crucially, FY2006/FY2007's own STRIE bundles PROFIT, OCI, capital contributions from the parent AND dividends paid into one 'Total recognised income for the year' figure; this workbook's 'Total comprehensive income for the period' row instead reports profit + OCI only (excluding capital contributions/dividends, both owner transactions, consistent with every other year on this sheet) - so it will NOT tie to that STRIE total for FY2006/FY2007 specifically (it does tie directly for FY2008 onward, whose own STRIE/SOCI total already excludes both). (2) The joint venture (Forso JV, with Credit Agricole) was established June 2008 - 'Share of profit of a joint venture' and the Balance Sheet's JV investment line are both genuinely blank for FY2006-FY2007 (didn't exist), not a disclosure gap. (3) FCE received one-off capital contributions from its parent in FY2006 (£38m) and FY2007 (£nil, shown as an explicit zero that year) - a genuine equity-only transaction, tracked on the Statement of Changes in Equity, deliberately excluded from the P&amp;L's comprehensive-income total per (1) above. (4) 'Gain/(Loss) on foreign exchange' has no separate FY2006/FY2007 line - both years' own income statements combine it into 'Fair value adjustments to financial instruments' with no FX-only split disclosed; left blank rather than force-split. (5) Balance Sheet - 'Due to banks and other financial institutions', 'Due to parent and related undertakings', 'Debt securities in issue' and 'Subordinated loans' (called 'Other borrowed funds' only in the FY2006 report) are separate lines throughout FY2006-FY2018, so these rows' '(FY2014-FY2018 only)' labels have been widened to '(FY2006-FY2018 only)' - the underlying totals shown FY2006-FY2013 combine that year's own securitisation/non-securitisation split (disclosed as sub-lines in the source, not reproduced separately here for brevity, consistent with the Asset Quality sheet's existing Portfolio Split convention). 'Investment in other entities' (renamed from 'Investment in group undertakings', Group basis was always nil/blank under either label pre-FY2012) first shows a real non-zero Group figure from FY2012.</t>
        </is>
      </c>
    </row>
  </sheetData>
  <mergeCells count="4">
    <mergeCell ref="A106:G106"/>
    <mergeCell ref="A108:G108"/>
    <mergeCell ref="A104:G104"/>
    <mergeCell ref="A110:G1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5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s>
  <sheetData>
    <row r="1">
      <c r="A1" s="1" t="inlineStr">
        <is>
          <t>FCE Bank Plc — Consolidated Statement of Cash Flows</t>
        </is>
      </c>
    </row>
    <row r="2">
      <c r="A2" s="2" t="inlineStr">
        <is>
          <t>Group/Consolidated basis, £m. See source note at bottom.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c r="N3" s="4" t="inlineStr">
        <is>
          <t>FY2013 (£m)</t>
        </is>
      </c>
      <c r="O3" s="4" t="inlineStr">
        <is>
          <t>FY2012 (£m)</t>
        </is>
      </c>
      <c r="P3" s="4" t="inlineStr">
        <is>
          <t>FY2011 (£m)</t>
        </is>
      </c>
      <c r="Q3" s="4" t="inlineStr">
        <is>
          <t>FY2010 (£m)</t>
        </is>
      </c>
      <c r="R3" s="4" t="inlineStr">
        <is>
          <t>FY2009 (£m)</t>
        </is>
      </c>
      <c r="S3" s="4" t="inlineStr">
        <is>
          <t>FY2008 (£m)</t>
        </is>
      </c>
      <c r="T3" s="4" t="inlineStr">
        <is>
          <t>FY2007 (£m)</t>
        </is>
      </c>
      <c r="U3" s="4" t="inlineStr">
        <is>
          <t>FY2006 (£m)</t>
        </is>
      </c>
    </row>
    <row r="4">
      <c r="A4" s="5" t="inlineStr">
        <is>
          <t>Operating activities</t>
        </is>
      </c>
      <c r="B4" s="6" t="n"/>
      <c r="C4" s="6" t="n"/>
      <c r="D4" s="6" t="n"/>
      <c r="E4" s="6" t="n"/>
      <c r="F4" s="6" t="n"/>
      <c r="G4" s="6" t="n"/>
      <c r="H4" s="6" t="n"/>
      <c r="I4" s="6" t="n"/>
      <c r="J4" s="6" t="n"/>
      <c r="K4" s="6" t="n"/>
      <c r="L4" s="6" t="n"/>
      <c r="M4" s="6" t="n"/>
      <c r="N4" s="6" t="n"/>
      <c r="O4" s="6" t="n"/>
      <c r="P4" s="6" t="n"/>
      <c r="Q4" s="6" t="n"/>
      <c r="R4" s="6" t="n"/>
      <c r="S4" s="6" t="n"/>
      <c r="T4" s="6" t="n"/>
      <c r="U4" s="6" t="n"/>
    </row>
    <row r="5">
      <c r="A5" s="6" t="inlineStr">
        <is>
          <t>Cash from/(used in) operating activities</t>
        </is>
      </c>
      <c r="B5" s="6" t="n">
        <v>554</v>
      </c>
      <c r="C5" s="6" t="n">
        <v>-1420</v>
      </c>
      <c r="D5" s="6" t="n">
        <v>-1661</v>
      </c>
      <c r="E5" s="6" t="n">
        <v>-1431</v>
      </c>
      <c r="F5" s="6" t="n">
        <v>2574</v>
      </c>
      <c r="G5" s="6" t="n">
        <v>2252</v>
      </c>
      <c r="H5" s="6" t="n">
        <v>-773</v>
      </c>
      <c r="I5" s="6" t="n">
        <v>-2394</v>
      </c>
      <c r="J5" s="6" t="n">
        <v>-2182</v>
      </c>
      <c r="K5" s="6" t="n">
        <v>-1660</v>
      </c>
      <c r="L5" s="6" t="n">
        <v>-2464</v>
      </c>
      <c r="M5" s="6" t="n">
        <v>-1960</v>
      </c>
      <c r="N5" s="6" t="n">
        <v>-314</v>
      </c>
      <c r="O5" s="6" t="n">
        <v>431</v>
      </c>
      <c r="P5" s="6" t="n">
        <v>562</v>
      </c>
      <c r="Q5" s="6" t="n">
        <v>1334</v>
      </c>
      <c r="R5" s="6" t="n">
        <v>4082</v>
      </c>
      <c r="S5" s="6" t="n">
        <v>229</v>
      </c>
      <c r="T5" s="6" t="n">
        <v>-501</v>
      </c>
      <c r="U5" s="6" t="n">
        <v>411</v>
      </c>
    </row>
    <row r="6">
      <c r="A6" s="6" t="inlineStr">
        <is>
          <t>Interest paid</t>
        </is>
      </c>
      <c r="B6" s="6" t="n">
        <v>-475</v>
      </c>
      <c r="C6" s="6" t="n">
        <v>-672</v>
      </c>
      <c r="D6" s="6" t="n">
        <v>-542</v>
      </c>
      <c r="E6" s="6" t="n">
        <v>-177</v>
      </c>
      <c r="F6" s="6" t="n">
        <v>-184</v>
      </c>
      <c r="G6" s="6" t="n">
        <v>-217</v>
      </c>
      <c r="H6" s="6" t="n">
        <v>-221</v>
      </c>
      <c r="I6" s="6" t="n">
        <v>-198</v>
      </c>
      <c r="J6" s="6" t="n">
        <v>-211</v>
      </c>
      <c r="K6" s="6" t="n">
        <v>-195</v>
      </c>
      <c r="L6" s="6" t="n">
        <v>-207</v>
      </c>
      <c r="M6" s="6" t="n">
        <v>-234</v>
      </c>
      <c r="N6" s="6" t="n">
        <v>-318</v>
      </c>
      <c r="O6" s="6" t="n">
        <v>-430</v>
      </c>
      <c r="P6" s="6" t="n">
        <v>-607</v>
      </c>
      <c r="Q6" s="6" t="n">
        <v>-505</v>
      </c>
      <c r="R6" s="6" t="n">
        <v>-686</v>
      </c>
      <c r="S6" s="6" t="n">
        <v>-887</v>
      </c>
      <c r="T6" s="6" t="n">
        <v>-765</v>
      </c>
      <c r="U6" s="6" t="n">
        <v>-628</v>
      </c>
    </row>
    <row r="7">
      <c r="A7" s="6" t="inlineStr">
        <is>
          <t>Interest received</t>
        </is>
      </c>
      <c r="B7" s="6" t="n">
        <v>926</v>
      </c>
      <c r="C7" s="6" t="n">
        <v>1160</v>
      </c>
      <c r="D7" s="6" t="n">
        <v>1071</v>
      </c>
      <c r="E7" s="6" t="n">
        <v>442</v>
      </c>
      <c r="F7" s="6" t="n">
        <v>836</v>
      </c>
      <c r="G7" s="6" t="n">
        <v>468</v>
      </c>
      <c r="H7" s="6" t="n">
        <v>830</v>
      </c>
      <c r="I7" s="6" t="n">
        <v>839</v>
      </c>
      <c r="J7" s="6" t="n">
        <v>567</v>
      </c>
      <c r="K7" s="6" t="n">
        <v>619</v>
      </c>
      <c r="L7" s="6" t="n">
        <v>571</v>
      </c>
      <c r="M7" s="6" t="n">
        <v>560</v>
      </c>
      <c r="N7" s="6" t="n">
        <v>655</v>
      </c>
      <c r="O7" s="6" t="n">
        <v>655</v>
      </c>
      <c r="P7" s="6" t="n">
        <v>860</v>
      </c>
      <c r="Q7" s="6" t="n">
        <v>891</v>
      </c>
      <c r="R7" s="6" t="n">
        <v>1130</v>
      </c>
      <c r="S7" s="6" t="n">
        <v>1451</v>
      </c>
      <c r="T7" s="6" t="n">
        <v>1264</v>
      </c>
      <c r="U7" s="6" t="n">
        <v>1188</v>
      </c>
    </row>
    <row r="8">
      <c r="A8" s="6" t="inlineStr">
        <is>
          <t>Other operating income received</t>
        </is>
      </c>
      <c r="B8" s="6" t="n">
        <v>0</v>
      </c>
      <c r="C8" s="6" t="n">
        <v>48</v>
      </c>
      <c r="D8" s="6" t="n">
        <v>72</v>
      </c>
      <c r="E8" s="6" t="n">
        <v>26</v>
      </c>
      <c r="F8" s="6" t="n">
        <v>109</v>
      </c>
      <c r="G8" s="6" t="n">
        <v>238</v>
      </c>
      <c r="H8" s="6" t="n">
        <v>490</v>
      </c>
      <c r="I8" s="6" t="n">
        <v>384</v>
      </c>
      <c r="J8" s="6" t="n">
        <v>343</v>
      </c>
      <c r="K8" s="6" t="n">
        <v>254</v>
      </c>
      <c r="L8" s="6" t="n">
        <v>128</v>
      </c>
      <c r="M8" s="6" t="n">
        <v>190</v>
      </c>
      <c r="N8" s="6" t="n">
        <v>198</v>
      </c>
      <c r="O8" s="6" t="n">
        <v>200</v>
      </c>
      <c r="P8" s="6" t="n"/>
      <c r="Q8" s="6" t="n"/>
      <c r="R8" s="6" t="n"/>
      <c r="S8" s="6" t="n"/>
      <c r="T8" s="6" t="n"/>
      <c r="U8" s="6" t="n"/>
    </row>
    <row r="9">
      <c r="A9" s="6" t="inlineStr">
        <is>
          <t>Income taxes paid</t>
        </is>
      </c>
      <c r="B9" s="6" t="n">
        <v>-39</v>
      </c>
      <c r="C9" s="6" t="n">
        <v>-51</v>
      </c>
      <c r="D9" s="6" t="n">
        <v>-73</v>
      </c>
      <c r="E9" s="6" t="n">
        <v>-133</v>
      </c>
      <c r="F9" s="6" t="n">
        <v>-43</v>
      </c>
      <c r="G9" s="6" t="n">
        <v>-50</v>
      </c>
      <c r="H9" s="6" t="n">
        <v>-133</v>
      </c>
      <c r="I9" s="6" t="n">
        <v>-64</v>
      </c>
      <c r="J9" s="6" t="n">
        <v>-24</v>
      </c>
      <c r="K9" s="6" t="n">
        <v>-42</v>
      </c>
      <c r="L9" s="6" t="n">
        <v>-37</v>
      </c>
      <c r="M9" s="6" t="n">
        <v>-166</v>
      </c>
      <c r="N9" s="6" t="n">
        <v>-24</v>
      </c>
      <c r="O9" s="6" t="n">
        <v>-41</v>
      </c>
      <c r="P9" s="6" t="n">
        <v>-18</v>
      </c>
      <c r="Q9" s="6" t="n">
        <v>-73</v>
      </c>
      <c r="R9" s="6" t="n">
        <v>-122</v>
      </c>
      <c r="S9" s="6" t="n">
        <v>-85</v>
      </c>
      <c r="T9" s="6" t="n">
        <v>-111</v>
      </c>
      <c r="U9" s="6" t="n">
        <v>-110</v>
      </c>
    </row>
    <row r="10">
      <c r="A10" s="6" t="inlineStr">
        <is>
          <t>Income taxes refunded</t>
        </is>
      </c>
      <c r="B10" s="6" t="n"/>
      <c r="C10" s="6" t="n"/>
      <c r="D10" s="6" t="n"/>
      <c r="E10" s="6" t="n"/>
      <c r="F10" s="6" t="n"/>
      <c r="G10" s="6" t="n"/>
      <c r="H10" s="6" t="n"/>
      <c r="I10" s="6" t="n"/>
      <c r="J10" s="6" t="n"/>
      <c r="K10" s="6" t="n"/>
      <c r="L10" s="6" t="n">
        <v>27</v>
      </c>
      <c r="M10" s="6" t="n">
        <v>1</v>
      </c>
      <c r="N10" s="6" t="n">
        <v>76</v>
      </c>
      <c r="O10" s="6" t="n">
        <v>23</v>
      </c>
      <c r="P10" s="6" t="n"/>
      <c r="Q10" s="6" t="n"/>
      <c r="R10" s="6" t="n"/>
      <c r="S10" s="6" t="n"/>
      <c r="T10" s="6" t="n"/>
      <c r="U10" s="6" t="n"/>
    </row>
    <row r="11">
      <c r="A11" s="5" t="inlineStr">
        <is>
          <t>Net cash generated from/(used in) operating activities</t>
        </is>
      </c>
      <c r="B11" s="5" t="n">
        <v>966</v>
      </c>
      <c r="C11" s="5" t="n">
        <v>-935</v>
      </c>
      <c r="D11" s="5" t="n">
        <v>-1133</v>
      </c>
      <c r="E11" s="5" t="n">
        <v>-1273</v>
      </c>
      <c r="F11" s="5" t="n">
        <v>3292</v>
      </c>
      <c r="G11" s="5" t="n">
        <v>2691</v>
      </c>
      <c r="H11" s="5" t="n">
        <v>193</v>
      </c>
      <c r="I11" s="5" t="n">
        <v>-1433</v>
      </c>
      <c r="J11" s="5" t="n">
        <v>-1507</v>
      </c>
      <c r="K11" s="5" t="n">
        <v>-1024</v>
      </c>
      <c r="L11" s="5" t="n">
        <v>-1982</v>
      </c>
      <c r="M11" s="5" t="n">
        <v>-1609</v>
      </c>
      <c r="N11" s="5" t="n">
        <v>273</v>
      </c>
      <c r="O11" s="5" t="n">
        <v>838</v>
      </c>
      <c r="P11" s="5" t="n">
        <v>797</v>
      </c>
      <c r="Q11" s="5" t="n">
        <v>1647</v>
      </c>
      <c r="R11" s="5" t="n">
        <v>4404</v>
      </c>
      <c r="S11" s="5" t="n">
        <v>708</v>
      </c>
      <c r="T11" s="5" t="n">
        <v>-113</v>
      </c>
      <c r="U11" s="5" t="n">
        <v>861</v>
      </c>
    </row>
    <row r="12">
      <c r="A12" s="5" t="inlineStr">
        <is>
          <t>Investing activities</t>
        </is>
      </c>
      <c r="B12" s="6" t="n"/>
      <c r="C12" s="6" t="n"/>
      <c r="D12" s="6" t="n"/>
      <c r="E12" s="6" t="n"/>
      <c r="F12" s="6" t="n"/>
      <c r="G12" s="6" t="n"/>
      <c r="H12" s="6" t="n"/>
      <c r="I12" s="6" t="n"/>
      <c r="J12" s="6" t="n"/>
      <c r="K12" s="6" t="n"/>
      <c r="L12" s="6" t="n"/>
      <c r="M12" s="6" t="n"/>
      <c r="N12" s="6" t="n"/>
      <c r="O12" s="6" t="n"/>
      <c r="P12" s="6" t="n"/>
      <c r="Q12" s="6" t="n"/>
      <c r="R12" s="6" t="n"/>
      <c r="S12" s="6" t="n"/>
      <c r="T12" s="6" t="n"/>
      <c r="U12" s="6" t="n"/>
    </row>
    <row r="13">
      <c r="A13" s="6" t="inlineStr">
        <is>
          <t>Purchase of property and equipment</t>
        </is>
      </c>
      <c r="B13" s="6" t="n">
        <v>-2</v>
      </c>
      <c r="C13" s="6" t="n">
        <v>0</v>
      </c>
      <c r="D13" s="6" t="n">
        <v>-6</v>
      </c>
      <c r="E13" s="6" t="n">
        <v>-6</v>
      </c>
      <c r="F13" s="6" t="n">
        <v>-1</v>
      </c>
      <c r="G13" s="6" t="n">
        <v>-1</v>
      </c>
      <c r="H13" s="6" t="n">
        <v>-41</v>
      </c>
      <c r="I13" s="6" t="n">
        <v>-1</v>
      </c>
      <c r="J13" s="6" t="n">
        <v>-4</v>
      </c>
      <c r="K13" s="6" t="n">
        <v>-2</v>
      </c>
      <c r="L13" s="6" t="n">
        <v>-3</v>
      </c>
      <c r="M13" s="6" t="n">
        <v>-4</v>
      </c>
      <c r="N13" s="6" t="n">
        <v>-3</v>
      </c>
      <c r="O13" s="6" t="n">
        <v>-8</v>
      </c>
      <c r="P13" s="6" t="n">
        <v>-7</v>
      </c>
      <c r="Q13" s="6" t="n">
        <v>-5</v>
      </c>
      <c r="R13" s="6" t="n">
        <v>-3</v>
      </c>
      <c r="S13" s="6" t="n">
        <v>-5</v>
      </c>
      <c r="T13" s="6" t="n">
        <v>-5</v>
      </c>
      <c r="U13" s="6" t="n">
        <v>-6</v>
      </c>
    </row>
    <row r="14">
      <c r="A14" s="6" t="inlineStr">
        <is>
          <t>Proceeds from sale of property and equipment</t>
        </is>
      </c>
      <c r="B14" s="6" t="n"/>
      <c r="C14" s="6" t="n"/>
      <c r="D14" s="6" t="n"/>
      <c r="E14" s="6" t="n"/>
      <c r="F14" s="6" t="n">
        <v>6</v>
      </c>
      <c r="G14" s="6" t="n">
        <v>1</v>
      </c>
      <c r="H14" s="6" t="n"/>
      <c r="I14" s="6" t="n">
        <v>0</v>
      </c>
      <c r="J14" s="6" t="n">
        <v>3</v>
      </c>
      <c r="K14" s="6" t="n">
        <v>0</v>
      </c>
      <c r="L14" s="6" t="n">
        <v>2</v>
      </c>
      <c r="M14" s="6" t="n">
        <v>2</v>
      </c>
      <c r="N14" s="6" t="n">
        <v>3</v>
      </c>
      <c r="O14" s="6" t="n">
        <v>7</v>
      </c>
      <c r="P14" s="6" t="n">
        <v>5</v>
      </c>
      <c r="Q14" s="6" t="n">
        <v>3</v>
      </c>
      <c r="R14" s="6" t="n">
        <v>3</v>
      </c>
      <c r="S14" s="6" t="n">
        <v>2</v>
      </c>
      <c r="T14" s="6" t="n">
        <v>9</v>
      </c>
      <c r="U14" s="6" t="n">
        <v>5</v>
      </c>
    </row>
    <row r="15">
      <c r="A15" s="6" t="inlineStr">
        <is>
          <t>Investment in internally and externally generated software</t>
        </is>
      </c>
      <c r="B15" s="6" t="n">
        <v>-13</v>
      </c>
      <c r="C15" s="6" t="n">
        <v>-19</v>
      </c>
      <c r="D15" s="6" t="n">
        <v>-21</v>
      </c>
      <c r="E15" s="6" t="n">
        <v>-15</v>
      </c>
      <c r="F15" s="6" t="n">
        <v>-11</v>
      </c>
      <c r="G15" s="6" t="n">
        <v>-11</v>
      </c>
      <c r="H15" s="6" t="n">
        <v>-10</v>
      </c>
      <c r="I15" s="6" t="n">
        <v>-7</v>
      </c>
      <c r="J15" s="6" t="n">
        <v>-4</v>
      </c>
      <c r="K15" s="6" t="n">
        <v>-2</v>
      </c>
      <c r="L15" s="6" t="n">
        <v>-2</v>
      </c>
      <c r="M15" s="6" t="n">
        <v>-2</v>
      </c>
      <c r="N15" s="6" t="n">
        <v>-3</v>
      </c>
      <c r="O15" s="6" t="n"/>
      <c r="P15" s="6" t="n">
        <v>-5</v>
      </c>
      <c r="Q15" s="6" t="n"/>
      <c r="R15" s="6" t="n"/>
      <c r="S15" s="6" t="n"/>
      <c r="T15" s="6" t="n">
        <v>-10</v>
      </c>
      <c r="U15" s="6" t="n">
        <v>-2</v>
      </c>
    </row>
    <row r="16">
      <c r="A16" s="6" t="inlineStr">
        <is>
          <t>Net cash movement in sale of subsidiaries</t>
        </is>
      </c>
      <c r="B16" s="6" t="n"/>
      <c r="C16" s="6" t="n"/>
      <c r="D16" s="6" t="n">
        <v>0</v>
      </c>
      <c r="E16" s="6" t="n">
        <v>-13</v>
      </c>
      <c r="F16" s="6" t="n"/>
      <c r="G16" s="6" t="n"/>
      <c r="H16" s="6" t="n"/>
      <c r="I16" s="6" t="n"/>
      <c r="J16" s="6" t="n"/>
      <c r="K16" s="6" t="n"/>
      <c r="L16" s="6" t="n"/>
      <c r="M16" s="6" t="n"/>
      <c r="N16" s="6" t="n"/>
      <c r="O16" s="6" t="n"/>
      <c r="P16" s="6" t="n"/>
      <c r="Q16" s="6" t="n"/>
      <c r="R16" s="6" t="n"/>
      <c r="S16" s="6" t="n"/>
      <c r="T16" s="6" t="n"/>
      <c r="U16" s="6" t="n"/>
    </row>
    <row r="17">
      <c r="A17" s="6" t="inlineStr">
        <is>
          <t>Dividends from Group undertaking / joint venture</t>
        </is>
      </c>
      <c r="B17" s="6" t="n"/>
      <c r="C17" s="6" t="n">
        <v>0</v>
      </c>
      <c r="D17" s="6" t="n">
        <v>0</v>
      </c>
      <c r="E17" s="6" t="n">
        <v>0</v>
      </c>
      <c r="F17" s="6" t="n">
        <v>0</v>
      </c>
      <c r="G17" s="6" t="n"/>
      <c r="H17" s="6" t="n"/>
      <c r="I17" s="6" t="n"/>
      <c r="J17" s="6" t="n"/>
      <c r="K17" s="6" t="n"/>
      <c r="L17" s="6" t="n"/>
      <c r="M17" s="6" t="n"/>
      <c r="N17" s="6" t="n">
        <v>5</v>
      </c>
      <c r="O17" s="6" t="n">
        <v>5</v>
      </c>
      <c r="P17" s="6" t="n">
        <v>4</v>
      </c>
      <c r="Q17" s="6" t="n"/>
      <c r="R17" s="6" t="n"/>
      <c r="S17" s="6" t="n"/>
      <c r="T17" s="6" t="n"/>
      <c r="U17" s="6" t="n"/>
    </row>
    <row r="18">
      <c r="A18" s="6" t="inlineStr">
        <is>
          <t>Investment in other entities</t>
        </is>
      </c>
      <c r="B18" s="6" t="n"/>
      <c r="C18" s="6" t="n"/>
      <c r="D18" s="6" t="n"/>
      <c r="E18" s="6" t="n"/>
      <c r="F18" s="6" t="n"/>
      <c r="G18" s="6" t="n"/>
      <c r="H18" s="6" t="n">
        <v>0</v>
      </c>
      <c r="I18" s="6" t="n">
        <v>-1</v>
      </c>
      <c r="J18" s="6" t="n"/>
      <c r="K18" s="6" t="n"/>
      <c r="L18" s="6" t="n"/>
      <c r="M18" s="6" t="n"/>
      <c r="N18" s="6" t="n">
        <v>-438</v>
      </c>
      <c r="O18" s="6" t="n"/>
      <c r="P18" s="6" t="n"/>
      <c r="Q18" s="6" t="n"/>
      <c r="R18" s="6" t="n"/>
      <c r="S18" s="6" t="n"/>
      <c r="T18" s="6" t="n"/>
      <c r="U18" s="6" t="n"/>
    </row>
    <row r="19">
      <c r="A19" s="6" t="inlineStr">
        <is>
          <t>Purchase of vehicles for operating leases (FY2006-FY2009 only)</t>
        </is>
      </c>
      <c r="B19" s="6" t="n"/>
      <c r="C19" s="6" t="n"/>
      <c r="D19" s="6" t="n"/>
      <c r="E19" s="6" t="n"/>
      <c r="F19" s="6" t="n"/>
      <c r="G19" s="6" t="n"/>
      <c r="H19" s="6" t="n"/>
      <c r="I19" s="6" t="n"/>
      <c r="J19" s="6" t="n"/>
      <c r="K19" s="6" t="n"/>
      <c r="L19" s="6" t="n"/>
      <c r="M19" s="6" t="n"/>
      <c r="N19" s="6" t="n"/>
      <c r="O19" s="6" t="n"/>
      <c r="P19" s="6" t="n"/>
      <c r="Q19" s="6" t="n"/>
      <c r="R19" s="6" t="n">
        <v>-267</v>
      </c>
      <c r="S19" s="6" t="n">
        <v>-336</v>
      </c>
      <c r="T19" s="6" t="n">
        <v>-351</v>
      </c>
      <c r="U19" s="6" t="n">
        <v>-526</v>
      </c>
    </row>
    <row r="20">
      <c r="A20" s="6" t="inlineStr">
        <is>
          <t>Proceeds from sale of operating lease vehicles (FY2006-FY2009 only)</t>
        </is>
      </c>
      <c r="B20" s="6" t="n"/>
      <c r="C20" s="6" t="n"/>
      <c r="D20" s="6" t="n"/>
      <c r="E20" s="6" t="n"/>
      <c r="F20" s="6" t="n"/>
      <c r="G20" s="6" t="n"/>
      <c r="H20" s="6" t="n"/>
      <c r="I20" s="6" t="n"/>
      <c r="J20" s="6" t="n"/>
      <c r="K20" s="6" t="n"/>
      <c r="L20" s="6" t="n"/>
      <c r="M20" s="6" t="n"/>
      <c r="N20" s="6" t="n"/>
      <c r="O20" s="6" t="n"/>
      <c r="P20" s="6" t="n"/>
      <c r="Q20" s="6" t="n"/>
      <c r="R20" s="6" t="n">
        <v>334</v>
      </c>
      <c r="S20" s="6" t="n">
        <v>209</v>
      </c>
      <c r="T20" s="6" t="n">
        <v>262</v>
      </c>
      <c r="U20" s="6" t="n">
        <v>452</v>
      </c>
    </row>
    <row r="21">
      <c r="A21" s="6" t="inlineStr">
        <is>
          <t>Purchase of marketable securities (FY2009-FY2013 only)</t>
        </is>
      </c>
      <c r="B21" s="6" t="n"/>
      <c r="C21" s="6" t="n"/>
      <c r="D21" s="6" t="n"/>
      <c r="E21" s="6" t="n"/>
      <c r="F21" s="6" t="n"/>
      <c r="G21" s="6" t="n"/>
      <c r="H21" s="6" t="n"/>
      <c r="I21" s="6" t="n"/>
      <c r="J21" s="6" t="n"/>
      <c r="K21" s="6" t="n"/>
      <c r="L21" s="6" t="n"/>
      <c r="M21" s="6" t="n"/>
      <c r="N21" s="6" t="n"/>
      <c r="O21" s="6" t="n">
        <v>-1</v>
      </c>
      <c r="P21" s="6" t="n"/>
      <c r="Q21" s="6" t="n">
        <v>-493</v>
      </c>
      <c r="R21" s="6" t="n">
        <v>-900</v>
      </c>
      <c r="S21" s="6" t="n"/>
      <c r="T21" s="6" t="n"/>
      <c r="U21" s="6" t="n"/>
    </row>
    <row r="22">
      <c r="A22" s="6" t="inlineStr">
        <is>
          <t>Proceeds from sale/maturity of marketable securities (FY2009-FY2013 only)</t>
        </is>
      </c>
      <c r="B22" s="6" t="n"/>
      <c r="C22" s="6" t="n"/>
      <c r="D22" s="6" t="n"/>
      <c r="E22" s="6" t="n"/>
      <c r="F22" s="6" t="n"/>
      <c r="G22" s="6" t="n"/>
      <c r="H22" s="6" t="n"/>
      <c r="I22" s="6" t="n"/>
      <c r="J22" s="6" t="n"/>
      <c r="K22" s="6" t="n"/>
      <c r="L22" s="6" t="n"/>
      <c r="M22" s="6" t="n"/>
      <c r="N22" s="6" t="n">
        <v>1</v>
      </c>
      <c r="O22" s="6" t="n"/>
      <c r="P22" s="6" t="n">
        <v>223</v>
      </c>
      <c r="Q22" s="6" t="n">
        <v>261</v>
      </c>
      <c r="R22" s="6" t="n">
        <v>900</v>
      </c>
      <c r="S22" s="6" t="n"/>
      <c r="T22" s="6" t="n"/>
      <c r="U22" s="6" t="n"/>
    </row>
    <row r="23">
      <c r="A23" s="6" t="inlineStr">
        <is>
          <t>Other investing one-off items (FY2008 only - proceeds from sale of interests to the joint venture partner and from sale of operations to related undertakings)</t>
        </is>
      </c>
      <c r="B23" s="6" t="n"/>
      <c r="C23" s="6" t="n"/>
      <c r="D23" s="6" t="n"/>
      <c r="E23" s="6" t="n"/>
      <c r="F23" s="6" t="n"/>
      <c r="G23" s="6" t="n"/>
      <c r="H23" s="6" t="n"/>
      <c r="I23" s="6" t="n"/>
      <c r="J23" s="6" t="n"/>
      <c r="K23" s="6" t="n"/>
      <c r="L23" s="6" t="n"/>
      <c r="M23" s="6" t="n"/>
      <c r="N23" s="6" t="n"/>
      <c r="O23" s="6" t="n"/>
      <c r="P23" s="6" t="n"/>
      <c r="Q23" s="6" t="n"/>
      <c r="R23" s="6" t="n"/>
      <c r="S23" s="6" t="n">
        <v>78</v>
      </c>
      <c r="T23" s="6" t="n"/>
      <c r="U23" s="6" t="n"/>
    </row>
    <row r="24">
      <c r="A24" s="6" t="inlineStr">
        <is>
          <t>Net cash (outflow)/inflow on derivative financial instruments</t>
        </is>
      </c>
      <c r="B24" s="6" t="n">
        <v>2</v>
      </c>
      <c r="C24" s="6" t="n">
        <v>109</v>
      </c>
      <c r="D24" s="6" t="n">
        <v>165</v>
      </c>
      <c r="E24" s="6" t="n">
        <v>29</v>
      </c>
      <c r="F24" s="6" t="n"/>
      <c r="G24" s="6" t="n"/>
      <c r="H24" s="6" t="n"/>
      <c r="I24" s="6" t="n"/>
      <c r="J24" s="6" t="n"/>
      <c r="K24" s="6" t="n"/>
      <c r="L24" s="6" t="n"/>
      <c r="M24" s="6" t="n"/>
      <c r="N24" s="6" t="n"/>
      <c r="O24" s="6" t="n"/>
      <c r="P24" s="6" t="n"/>
      <c r="Q24" s="6" t="n"/>
      <c r="R24" s="6" t="n"/>
      <c r="S24" s="6" t="n"/>
      <c r="T24" s="6" t="n"/>
      <c r="U24" s="6" t="n"/>
    </row>
    <row r="25">
      <c r="A25" s="6" t="inlineStr">
        <is>
          <t>Increase in restricted cash</t>
        </is>
      </c>
      <c r="B25" s="6" t="n">
        <v>-65</v>
      </c>
      <c r="C25" s="6" t="n">
        <v>-61</v>
      </c>
      <c r="D25" s="6" t="n">
        <v>-61</v>
      </c>
      <c r="E25" s="6" t="n">
        <v>-73</v>
      </c>
      <c r="F25" s="6" t="n"/>
      <c r="G25" s="6" t="n"/>
      <c r="H25" s="6" t="n"/>
      <c r="I25" s="6" t="n"/>
      <c r="J25" s="6" t="n"/>
      <c r="K25" s="6" t="n"/>
      <c r="L25" s="6" t="n"/>
      <c r="M25" s="6" t="n"/>
      <c r="N25" s="6" t="n"/>
      <c r="O25" s="6" t="n"/>
      <c r="P25" s="6" t="n"/>
      <c r="Q25" s="6" t="n"/>
      <c r="R25" s="6" t="n"/>
      <c r="S25" s="6" t="n"/>
      <c r="T25" s="6" t="n"/>
      <c r="U25" s="6" t="n"/>
    </row>
    <row r="26">
      <c r="A26" s="6" t="inlineStr">
        <is>
          <t>Decrease in restricted cash</t>
        </is>
      </c>
      <c r="B26" s="6" t="n">
        <v>61</v>
      </c>
      <c r="C26" s="6" t="n">
        <v>84</v>
      </c>
      <c r="D26" s="6" t="n">
        <v>62</v>
      </c>
      <c r="E26" s="6" t="n">
        <v>63</v>
      </c>
      <c r="F26" s="6" t="n"/>
      <c r="G26" s="6" t="n"/>
      <c r="H26" s="6" t="n"/>
      <c r="I26" s="6" t="n"/>
      <c r="J26" s="6" t="n"/>
      <c r="K26" s="6" t="n"/>
      <c r="L26" s="6" t="n"/>
      <c r="M26" s="6" t="n"/>
      <c r="N26" s="6" t="n"/>
      <c r="O26" s="6" t="n"/>
      <c r="P26" s="6" t="n"/>
      <c r="Q26" s="6" t="n"/>
      <c r="R26" s="6" t="n"/>
      <c r="S26" s="6" t="n"/>
      <c r="T26" s="6" t="n"/>
      <c r="U26" s="6" t="n"/>
    </row>
    <row r="27">
      <c r="A27" s="6" t="inlineStr">
        <is>
          <t>Dividend from subsidiaries</t>
        </is>
      </c>
      <c r="B27" s="6" t="n"/>
      <c r="C27" s="6" t="n">
        <v>0</v>
      </c>
      <c r="D27" s="6" t="n">
        <v>0</v>
      </c>
      <c r="E27" s="6" t="n">
        <v>0</v>
      </c>
      <c r="F27" s="6" t="n">
        <v>0</v>
      </c>
      <c r="G27" s="6" t="n"/>
      <c r="H27" s="6" t="n"/>
      <c r="I27" s="6" t="n"/>
      <c r="J27" s="6" t="n"/>
      <c r="K27" s="6" t="n"/>
      <c r="L27" s="6" t="n"/>
      <c r="M27" s="6" t="n"/>
      <c r="N27" s="6" t="n"/>
      <c r="O27" s="6" t="n"/>
      <c r="P27" s="6" t="n"/>
      <c r="Q27" s="6" t="n"/>
      <c r="R27" s="6" t="n"/>
      <c r="S27" s="6" t="n"/>
      <c r="T27" s="6" t="n"/>
      <c r="U27" s="6" t="n"/>
    </row>
    <row r="28">
      <c r="A28" s="5" t="inlineStr">
        <is>
          <t>Net cash (used in)/generated from investing activities</t>
        </is>
      </c>
      <c r="B28" s="5" t="n">
        <v>-17</v>
      </c>
      <c r="C28" s="5" t="n">
        <v>113</v>
      </c>
      <c r="D28" s="5" t="n">
        <v>139</v>
      </c>
      <c r="E28" s="5" t="n">
        <v>-15</v>
      </c>
      <c r="F28" s="5" t="n">
        <v>-6</v>
      </c>
      <c r="G28" s="5" t="n">
        <v>-11</v>
      </c>
      <c r="H28" s="5" t="n">
        <v>-51</v>
      </c>
      <c r="I28" s="5" t="n">
        <v>-9</v>
      </c>
      <c r="J28" s="5" t="n">
        <v>-5</v>
      </c>
      <c r="K28" s="5" t="n">
        <v>-4</v>
      </c>
      <c r="L28" s="5" t="n">
        <v>-3</v>
      </c>
      <c r="M28" s="5" t="n">
        <v>-4</v>
      </c>
      <c r="N28" s="5" t="n">
        <v>-435</v>
      </c>
      <c r="O28" s="5" t="n">
        <v>3</v>
      </c>
      <c r="P28" s="5" t="n">
        <v>220</v>
      </c>
      <c r="Q28" s="5" t="n">
        <v>-234</v>
      </c>
      <c r="R28" s="5" t="n">
        <v>67</v>
      </c>
      <c r="S28" s="5" t="n">
        <v>-52</v>
      </c>
      <c r="T28" s="5" t="n">
        <v>-95</v>
      </c>
      <c r="U28" s="5" t="n">
        <v>-77</v>
      </c>
    </row>
    <row r="29">
      <c r="A29" s="5" t="inlineStr">
        <is>
          <t>Financing activities</t>
        </is>
      </c>
      <c r="B29" s="6" t="n"/>
      <c r="C29" s="6" t="n"/>
      <c r="D29" s="6" t="n"/>
      <c r="E29" s="6" t="n"/>
      <c r="F29" s="6" t="n"/>
      <c r="G29" s="6" t="n"/>
      <c r="H29" s="6" t="n"/>
      <c r="I29" s="6" t="n"/>
      <c r="J29" s="6" t="n"/>
      <c r="K29" s="6" t="n"/>
      <c r="L29" s="6" t="n"/>
      <c r="M29" s="6" t="n"/>
      <c r="N29" s="6" t="n"/>
      <c r="O29" s="6" t="n"/>
      <c r="P29" s="6" t="n"/>
      <c r="Q29" s="6" t="n"/>
      <c r="R29" s="6" t="n"/>
      <c r="S29" s="6" t="n"/>
      <c r="T29" s="6" t="n"/>
      <c r="U29" s="6" t="n"/>
    </row>
    <row r="30">
      <c r="A30" s="6" t="inlineStr">
        <is>
          <t>Proceeds from the issue of debt securities and from loans provided by banks and other financial institutions</t>
        </is>
      </c>
      <c r="B30" s="6" t="n">
        <v>1001</v>
      </c>
      <c r="C30" s="6" t="n">
        <v>1642</v>
      </c>
      <c r="D30" s="6" t="n">
        <v>1311</v>
      </c>
      <c r="E30" s="6" t="n">
        <v>4482</v>
      </c>
      <c r="F30" s="6" t="n">
        <v>2972</v>
      </c>
      <c r="G30" s="6" t="n">
        <v>3505</v>
      </c>
      <c r="H30" s="6" t="n">
        <v>5318</v>
      </c>
      <c r="I30" s="6" t="n">
        <v>8436</v>
      </c>
      <c r="J30" s="6" t="n">
        <v>9523</v>
      </c>
      <c r="K30" s="6" t="n">
        <v>8277</v>
      </c>
      <c r="L30" s="6" t="n">
        <v>10785</v>
      </c>
      <c r="M30" s="6" t="n">
        <v>8781</v>
      </c>
      <c r="N30" s="6" t="n">
        <v>9796</v>
      </c>
      <c r="O30" s="6" t="n">
        <v>5017</v>
      </c>
      <c r="P30" s="6" t="n">
        <v>6379</v>
      </c>
      <c r="Q30" s="6" t="n">
        <v>3689</v>
      </c>
      <c r="R30" s="6" t="n">
        <v>5123</v>
      </c>
      <c r="S30" s="6" t="n">
        <v>3673</v>
      </c>
      <c r="T30" s="6" t="n">
        <v>9781</v>
      </c>
      <c r="U30" s="6" t="n">
        <v>2424</v>
      </c>
    </row>
    <row r="31">
      <c r="A31" s="6" t="inlineStr">
        <is>
          <t>Repayments of debt securities and of loans provided by banks and other financial institutions</t>
        </is>
      </c>
      <c r="B31" s="6" t="n">
        <v>-797</v>
      </c>
      <c r="C31" s="6" t="n">
        <v>-1790</v>
      </c>
      <c r="D31" s="6" t="n">
        <v>-2022</v>
      </c>
      <c r="E31" s="6" t="n">
        <v>-3861</v>
      </c>
      <c r="F31" s="6" t="n">
        <v>-6212</v>
      </c>
      <c r="G31" s="6" t="n">
        <v>-7357</v>
      </c>
      <c r="H31" s="6" t="n">
        <v>-7126</v>
      </c>
      <c r="I31" s="6" t="n">
        <v>-9462</v>
      </c>
      <c r="J31" s="6" t="n">
        <v>-9728</v>
      </c>
      <c r="K31" s="6" t="n">
        <v>-7768</v>
      </c>
      <c r="L31" s="6" t="n">
        <v>-8538</v>
      </c>
      <c r="M31" s="6" t="n">
        <v>-7536</v>
      </c>
      <c r="N31" s="6" t="n">
        <v>-9650</v>
      </c>
      <c r="O31" s="6" t="n">
        <v>-6206</v>
      </c>
      <c r="P31" s="6" t="n">
        <v>-6747</v>
      </c>
      <c r="Q31" s="6" t="n">
        <v>-4875</v>
      </c>
      <c r="R31" s="6" t="n">
        <v>-7372</v>
      </c>
      <c r="S31" s="6" t="n">
        <v>-3989</v>
      </c>
      <c r="T31" s="6" t="n">
        <v>-6705</v>
      </c>
      <c r="U31" s="6" t="n">
        <v>-2000</v>
      </c>
    </row>
    <row r="32">
      <c r="A32" s="6" t="inlineStr">
        <is>
          <t>Proceeds of funds provided by parent and related undertakings</t>
        </is>
      </c>
      <c r="B32" s="6" t="n">
        <v>211</v>
      </c>
      <c r="C32" s="6" t="n">
        <v>214</v>
      </c>
      <c r="D32" s="6" t="n">
        <v>698</v>
      </c>
      <c r="E32" s="6" t="n">
        <v>568</v>
      </c>
      <c r="F32" s="6" t="n">
        <v>398</v>
      </c>
      <c r="G32" s="6" t="n">
        <v>1330</v>
      </c>
      <c r="H32" s="6" t="n">
        <v>2416</v>
      </c>
      <c r="I32" s="6" t="n">
        <v>8059</v>
      </c>
      <c r="J32" s="6" t="n">
        <v>1542</v>
      </c>
      <c r="K32" s="6" t="n">
        <v>745</v>
      </c>
      <c r="L32" s="6" t="n">
        <v>179</v>
      </c>
      <c r="M32" s="6" t="n">
        <v>42</v>
      </c>
      <c r="N32" s="6" t="n">
        <v>439</v>
      </c>
      <c r="O32" s="6" t="n">
        <v>1663</v>
      </c>
      <c r="P32" s="6" t="n">
        <v>339</v>
      </c>
      <c r="Q32" s="6" t="n">
        <v>103</v>
      </c>
      <c r="R32" s="6" t="n">
        <v>22</v>
      </c>
      <c r="S32" s="6" t="n">
        <v>312</v>
      </c>
      <c r="T32" s="6" t="n">
        <v>118</v>
      </c>
      <c r="U32" s="6" t="n">
        <v>3797</v>
      </c>
    </row>
    <row r="33">
      <c r="A33" s="6" t="inlineStr">
        <is>
          <t>Repayment of funds provided by parent and related undertakings</t>
        </is>
      </c>
      <c r="B33" s="6" t="n">
        <v>-557</v>
      </c>
      <c r="C33" s="6" t="n">
        <v>-485</v>
      </c>
      <c r="D33" s="6" t="n">
        <v>-548</v>
      </c>
      <c r="E33" s="6" t="n">
        <v>-480</v>
      </c>
      <c r="F33" s="6" t="n">
        <v>-2614</v>
      </c>
      <c r="G33" s="6" t="n">
        <v>-833</v>
      </c>
      <c r="H33" s="6" t="n">
        <v>-1735</v>
      </c>
      <c r="I33" s="6" t="n">
        <v>-6175</v>
      </c>
      <c r="J33" s="6" t="n">
        <v>-249</v>
      </c>
      <c r="K33" s="6" t="n">
        <v>-323</v>
      </c>
      <c r="L33" s="6" t="n">
        <v>-751</v>
      </c>
      <c r="M33" s="6" t="n">
        <v>-150</v>
      </c>
      <c r="N33" s="6" t="n">
        <v>-744</v>
      </c>
      <c r="O33" s="6" t="n">
        <v>-1149</v>
      </c>
      <c r="P33" s="6" t="n">
        <v>-219</v>
      </c>
      <c r="Q33" s="6" t="n">
        <v>-190</v>
      </c>
      <c r="R33" s="6" t="n">
        <v>-1388</v>
      </c>
      <c r="S33" s="6" t="n">
        <v>-354</v>
      </c>
      <c r="T33" s="6" t="n">
        <v>-2298</v>
      </c>
      <c r="U33" s="6" t="n">
        <v>-4844</v>
      </c>
    </row>
    <row r="34">
      <c r="A34" s="6" t="inlineStr">
        <is>
          <t>Net (decrease)/increase in short-term borrowings</t>
        </is>
      </c>
      <c r="B34" s="6" t="n">
        <v>-61</v>
      </c>
      <c r="C34" s="6" t="n">
        <v>343</v>
      </c>
      <c r="D34" s="6" t="n">
        <v>-289</v>
      </c>
      <c r="E34" s="6" t="n">
        <v>-168</v>
      </c>
      <c r="F34" s="6" t="n">
        <v>472</v>
      </c>
      <c r="G34" s="6" t="n">
        <v>-102</v>
      </c>
      <c r="H34" s="6" t="n">
        <v>-223</v>
      </c>
      <c r="I34" s="6" t="n">
        <v>14</v>
      </c>
      <c r="J34" s="6" t="n">
        <v>-50</v>
      </c>
      <c r="K34" s="6" t="n">
        <v>-140</v>
      </c>
      <c r="L34" s="6" t="n">
        <v>308</v>
      </c>
      <c r="M34" s="6" t="n">
        <v>-14</v>
      </c>
      <c r="N34" s="6" t="n">
        <v>28</v>
      </c>
      <c r="O34" s="6" t="n">
        <v>-76</v>
      </c>
      <c r="P34" s="6" t="n">
        <v>274</v>
      </c>
      <c r="Q34" s="6" t="n">
        <v>-36</v>
      </c>
      <c r="R34" s="6" t="n">
        <v>-666</v>
      </c>
      <c r="S34" s="6" t="n">
        <v>525</v>
      </c>
      <c r="T34" s="6" t="n">
        <v>40</v>
      </c>
      <c r="U34" s="6" t="n">
        <v>-113</v>
      </c>
    </row>
    <row r="35">
      <c r="A35" s="6" t="inlineStr">
        <is>
          <t>Net (decrease)/increase in deposits</t>
        </is>
      </c>
      <c r="B35" s="6" t="n">
        <v>-408</v>
      </c>
      <c r="C35" s="6" t="n">
        <v>517</v>
      </c>
      <c r="D35" s="6" t="n">
        <v>1891</v>
      </c>
      <c r="E35" s="6" t="n">
        <v>2005</v>
      </c>
      <c r="F35" s="6" t="n">
        <v>1427</v>
      </c>
      <c r="G35" s="6" t="n">
        <v>1637</v>
      </c>
      <c r="H35" s="6" t="n">
        <v>772</v>
      </c>
      <c r="I35" s="6" t="n">
        <v>810</v>
      </c>
      <c r="J35" s="6" t="n">
        <v>319</v>
      </c>
      <c r="K35" s="6" t="n">
        <v>13</v>
      </c>
      <c r="L35" s="6" t="n">
        <v>4</v>
      </c>
      <c r="M35" s="6" t="n"/>
      <c r="N35" s="6" t="n">
        <v>-2</v>
      </c>
      <c r="O35" s="6" t="n">
        <v>3</v>
      </c>
      <c r="P35" s="6" t="n">
        <v>1</v>
      </c>
      <c r="Q35" s="6" t="n"/>
      <c r="R35" s="6" t="n">
        <v>-8</v>
      </c>
      <c r="S35" s="6" t="n">
        <v>30</v>
      </c>
      <c r="T35" s="6" t="n"/>
      <c r="U35" s="6" t="n"/>
    </row>
    <row r="36">
      <c r="A36" s="6" t="inlineStr">
        <is>
          <t>Net cash inflow/(outflow) on derivative financial instruments (FY2021 only - classified under Investing in later years' presentation, see ENTITY_NOTE)</t>
        </is>
      </c>
      <c r="B36" s="6" t="n"/>
      <c r="C36" s="6" t="n"/>
      <c r="D36" s="6" t="n"/>
      <c r="E36" s="6" t="n"/>
      <c r="F36" s="6" t="n">
        <v>44</v>
      </c>
      <c r="G36" s="6" t="n">
        <v>58</v>
      </c>
      <c r="H36" s="6" t="n">
        <v>63</v>
      </c>
      <c r="I36" s="6" t="n">
        <v>103</v>
      </c>
      <c r="J36" s="6" t="n">
        <v>32</v>
      </c>
      <c r="K36" s="6" t="n">
        <v>99</v>
      </c>
      <c r="L36" s="6" t="n">
        <v>33</v>
      </c>
      <c r="M36" s="6" t="n">
        <v>-31</v>
      </c>
      <c r="N36" s="6" t="n">
        <v>15</v>
      </c>
      <c r="O36" s="6" t="n">
        <v>6</v>
      </c>
      <c r="P36" s="6" t="n">
        <v>76</v>
      </c>
      <c r="Q36" s="6" t="n">
        <v>-117</v>
      </c>
      <c r="R36" s="6" t="n">
        <v>-46</v>
      </c>
      <c r="S36" s="6" t="n">
        <v>46</v>
      </c>
      <c r="T36" s="6" t="n">
        <v>-4</v>
      </c>
      <c r="U36" s="6" t="n"/>
    </row>
    <row r="37">
      <c r="A37" s="6" t="inlineStr">
        <is>
          <t>Increase in restricted cash (FY2021 only - classified under Investing in later years' presentation)</t>
        </is>
      </c>
      <c r="B37" s="6" t="n"/>
      <c r="C37" s="6" t="n"/>
      <c r="D37" s="6" t="n"/>
      <c r="E37" s="6" t="n"/>
      <c r="F37" s="6" t="n">
        <v>-97</v>
      </c>
      <c r="G37" s="6" t="n">
        <v>-410</v>
      </c>
      <c r="H37" s="6" t="n">
        <v>-119</v>
      </c>
      <c r="I37" s="6" t="n">
        <v>-97</v>
      </c>
      <c r="J37" s="6" t="n">
        <v>-67</v>
      </c>
      <c r="K37" s="6" t="n">
        <v>-97</v>
      </c>
      <c r="L37" s="6" t="n">
        <v>-55</v>
      </c>
      <c r="M37" s="6" t="n">
        <v>-97</v>
      </c>
      <c r="N37" s="6" t="n">
        <v>-154</v>
      </c>
      <c r="O37" s="6" t="n">
        <v>-92</v>
      </c>
      <c r="P37" s="6" t="n">
        <v>-89</v>
      </c>
      <c r="Q37" s="6" t="n">
        <v>-47</v>
      </c>
      <c r="R37" s="6" t="n">
        <v>-138</v>
      </c>
      <c r="S37" s="6" t="n">
        <v>-5</v>
      </c>
      <c r="T37" s="6" t="n">
        <v>-230</v>
      </c>
      <c r="U37" s="6" t="n"/>
    </row>
    <row r="38">
      <c r="A38" s="6" t="inlineStr">
        <is>
          <t>Decrease in restricted cash (FY2021 only - classified under Investing in later years' presentation)</t>
        </is>
      </c>
      <c r="B38" s="6" t="n"/>
      <c r="C38" s="6" t="n"/>
      <c r="D38" s="6" t="n"/>
      <c r="E38" s="6" t="n"/>
      <c r="F38" s="6" t="n">
        <v>463</v>
      </c>
      <c r="G38" s="6" t="n">
        <v>47</v>
      </c>
      <c r="H38" s="6" t="n">
        <v>120</v>
      </c>
      <c r="I38" s="6" t="n">
        <v>85</v>
      </c>
      <c r="J38" s="6" t="n">
        <v>66</v>
      </c>
      <c r="K38" s="6" t="n">
        <v>49</v>
      </c>
      <c r="L38" s="6" t="n">
        <v>89</v>
      </c>
      <c r="M38" s="6" t="n">
        <v>104</v>
      </c>
      <c r="N38" s="6" t="n">
        <v>144</v>
      </c>
      <c r="O38" s="6" t="n">
        <v>92</v>
      </c>
      <c r="P38" s="6" t="n">
        <v>185</v>
      </c>
      <c r="Q38" s="6" t="n">
        <v>57</v>
      </c>
      <c r="R38" s="6" t="n">
        <v>235</v>
      </c>
      <c r="S38" s="6" t="n"/>
      <c r="T38" s="6" t="n"/>
      <c r="U38" s="6" t="n"/>
    </row>
    <row r="39">
      <c r="A39" s="6" t="inlineStr">
        <is>
          <t>(Increase)/decrease in cash associated with securitisation transactions (FY2007-FY2009 only)</t>
        </is>
      </c>
      <c r="B39" s="6" t="n"/>
      <c r="C39" s="6" t="n"/>
      <c r="D39" s="6" t="n"/>
      <c r="E39" s="6" t="n"/>
      <c r="F39" s="6" t="n"/>
      <c r="G39" s="6" t="n"/>
      <c r="H39" s="6" t="n"/>
      <c r="I39" s="6" t="n"/>
      <c r="J39" s="6" t="n"/>
      <c r="K39" s="6" t="n"/>
      <c r="L39" s="6" t="n"/>
      <c r="M39" s="6" t="n"/>
      <c r="N39" s="6" t="n"/>
      <c r="O39" s="6" t="n"/>
      <c r="P39" s="6" t="n"/>
      <c r="Q39" s="6" t="n"/>
      <c r="R39" s="6" t="n">
        <v>114</v>
      </c>
      <c r="S39" s="6" t="n">
        <v>53</v>
      </c>
      <c r="T39" s="6" t="n">
        <v>-259</v>
      </c>
      <c r="U39" s="6" t="n"/>
    </row>
    <row r="40">
      <c r="A40" s="6" t="inlineStr">
        <is>
          <t>Capital contribution from parent undertaking (FY2006-FY2007 only)</t>
        </is>
      </c>
      <c r="B40" s="6" t="n"/>
      <c r="C40" s="6" t="n"/>
      <c r="D40" s="6" t="n"/>
      <c r="E40" s="6" t="n"/>
      <c r="F40" s="6" t="n"/>
      <c r="G40" s="6" t="n"/>
      <c r="H40" s="6" t="n"/>
      <c r="I40" s="6" t="n"/>
      <c r="J40" s="6" t="n"/>
      <c r="K40" s="6" t="n"/>
      <c r="L40" s="6" t="n"/>
      <c r="M40" s="6" t="n"/>
      <c r="N40" s="6" t="n"/>
      <c r="O40" s="6" t="n"/>
      <c r="P40" s="6" t="n"/>
      <c r="Q40" s="6" t="n"/>
      <c r="R40" s="6" t="n"/>
      <c r="S40" s="6" t="n"/>
      <c r="T40" s="6" t="n"/>
      <c r="U40" s="6" t="n">
        <v>38</v>
      </c>
    </row>
    <row r="41">
      <c r="A41" s="6" t="inlineStr">
        <is>
          <t>Dividend paid</t>
        </is>
      </c>
      <c r="B41" s="6" t="n">
        <v>-500</v>
      </c>
      <c r="C41" s="6" t="n">
        <v>0</v>
      </c>
      <c r="D41" s="6" t="n">
        <v>0</v>
      </c>
      <c r="E41" s="6" t="n">
        <v>-600</v>
      </c>
      <c r="F41" s="6" t="n">
        <v>-300</v>
      </c>
      <c r="G41" s="6" t="n"/>
      <c r="H41" s="6" t="n"/>
      <c r="I41" s="6" t="n"/>
      <c r="J41" s="6" t="n"/>
      <c r="K41" s="6" t="n"/>
      <c r="L41" s="6" t="n"/>
      <c r="M41" s="6" t="n"/>
      <c r="N41" s="6" t="n"/>
      <c r="O41" s="6" t="n">
        <v>-315</v>
      </c>
      <c r="P41" s="6" t="n">
        <v>-370</v>
      </c>
      <c r="Q41" s="6" t="n">
        <v>-390</v>
      </c>
      <c r="R41" s="6" t="n">
        <v>-85</v>
      </c>
      <c r="S41" s="6" t="n">
        <v>-190</v>
      </c>
      <c r="T41" s="6" t="n">
        <v>-250</v>
      </c>
      <c r="U41" s="6" t="n"/>
    </row>
    <row r="42">
      <c r="A42" s="5" t="inlineStr">
        <is>
          <t>Net cash (used in)/generated from financing activities</t>
        </is>
      </c>
      <c r="B42" s="5" t="n">
        <v>-1111</v>
      </c>
      <c r="C42" s="5" t="n">
        <v>441</v>
      </c>
      <c r="D42" s="5" t="n">
        <v>1041</v>
      </c>
      <c r="E42" s="5" t="n">
        <v>1946</v>
      </c>
      <c r="F42" s="5" t="n">
        <v>-3447</v>
      </c>
      <c r="G42" s="5" t="n">
        <v>-2125</v>
      </c>
      <c r="H42" s="5" t="n">
        <v>-514</v>
      </c>
      <c r="I42" s="5" t="n">
        <v>1773</v>
      </c>
      <c r="J42" s="5" t="n">
        <v>1388</v>
      </c>
      <c r="K42" s="5" t="n">
        <v>855</v>
      </c>
      <c r="L42" s="5" t="n">
        <v>2054</v>
      </c>
      <c r="M42" s="5" t="n">
        <v>1099</v>
      </c>
      <c r="N42" s="5" t="n">
        <v>-128</v>
      </c>
      <c r="O42" s="5" t="n">
        <v>-1057</v>
      </c>
      <c r="P42" s="5" t="n">
        <v>-171</v>
      </c>
      <c r="Q42" s="5" t="n">
        <v>-1806</v>
      </c>
      <c r="R42" s="5" t="n">
        <v>-4209</v>
      </c>
      <c r="S42" s="5" t="n">
        <v>101</v>
      </c>
      <c r="T42" s="5" t="n">
        <v>193</v>
      </c>
      <c r="U42" s="5" t="n">
        <v>-698</v>
      </c>
    </row>
    <row r="43">
      <c r="A43" s="5" t="inlineStr">
        <is>
          <t>Net (decrease)/increase in cash and cash equivalents</t>
        </is>
      </c>
      <c r="B43" s="5" t="n">
        <v>-162</v>
      </c>
      <c r="C43" s="5" t="n">
        <v>-381</v>
      </c>
      <c r="D43" s="5" t="n">
        <v>47</v>
      </c>
      <c r="E43" s="5" t="n">
        <v>658</v>
      </c>
      <c r="F43" s="5" t="n">
        <v>-161</v>
      </c>
      <c r="G43" s="5" t="n">
        <v>555</v>
      </c>
      <c r="H43" s="5" t="n">
        <v>-372</v>
      </c>
      <c r="I43" s="5" t="n">
        <v>331</v>
      </c>
      <c r="J43" s="5" t="n">
        <v>-124</v>
      </c>
      <c r="K43" s="5" t="n">
        <v>-173</v>
      </c>
      <c r="L43" s="5" t="n">
        <v>69</v>
      </c>
      <c r="M43" s="5" t="n">
        <v>-514</v>
      </c>
      <c r="N43" s="5" t="n">
        <v>-290</v>
      </c>
      <c r="O43" s="5" t="n">
        <v>-216</v>
      </c>
      <c r="P43" s="5" t="n">
        <v>846</v>
      </c>
      <c r="Q43" s="5" t="n">
        <v>-393</v>
      </c>
      <c r="R43" s="5" t="n">
        <v>262</v>
      </c>
      <c r="S43" s="5" t="n">
        <v>757</v>
      </c>
      <c r="T43" s="5" t="n">
        <v>-15</v>
      </c>
      <c r="U43" s="5" t="n">
        <v>86</v>
      </c>
    </row>
    <row r="44">
      <c r="A44" s="6" t="inlineStr">
        <is>
          <t>Cash and cash equivalents at beginning of year</t>
        </is>
      </c>
      <c r="B44" s="6" t="n">
        <v>1253</v>
      </c>
      <c r="C44" s="6" t="n">
        <v>2557</v>
      </c>
      <c r="D44" s="6" t="n">
        <v>2536</v>
      </c>
      <c r="E44" s="6" t="n">
        <v>1822</v>
      </c>
      <c r="F44" s="6" t="n">
        <v>2048</v>
      </c>
      <c r="G44" s="6" t="n">
        <v>1453</v>
      </c>
      <c r="H44" s="6" t="n">
        <v>1879</v>
      </c>
      <c r="I44" s="6" t="n">
        <v>1544</v>
      </c>
      <c r="J44" s="6" t="n">
        <v>1654</v>
      </c>
      <c r="K44" s="6" t="n">
        <v>1669</v>
      </c>
      <c r="L44" s="6" t="n">
        <v>1625</v>
      </c>
      <c r="M44" s="6" t="n">
        <v>2209</v>
      </c>
      <c r="N44" s="6" t="n">
        <v>2475</v>
      </c>
      <c r="O44" s="6" t="n">
        <v>2689</v>
      </c>
      <c r="P44" s="6" t="n">
        <v>1926</v>
      </c>
      <c r="Q44" s="6" t="n">
        <v>2352</v>
      </c>
      <c r="R44" s="6" t="n">
        <v>987</v>
      </c>
      <c r="S44" s="6" t="n">
        <v>277</v>
      </c>
      <c r="T44" s="6" t="n">
        <v>257</v>
      </c>
      <c r="U44" s="6" t="n">
        <v>897</v>
      </c>
    </row>
    <row r="45">
      <c r="A45" s="6" t="inlineStr">
        <is>
          <t>Effect of exchange rate changes on cash and cash equivalents</t>
        </is>
      </c>
      <c r="B45" s="6" t="n">
        <v>20</v>
      </c>
      <c r="C45" s="6" t="n">
        <v>-50</v>
      </c>
      <c r="D45" s="6" t="n">
        <v>-26</v>
      </c>
      <c r="E45" s="6" t="n">
        <v>56</v>
      </c>
      <c r="F45" s="6" t="n">
        <v>-65</v>
      </c>
      <c r="G45" s="6" t="n">
        <v>40</v>
      </c>
      <c r="H45" s="6" t="n">
        <v>-54</v>
      </c>
      <c r="I45" s="6" t="n">
        <v>4</v>
      </c>
      <c r="J45" s="6" t="n">
        <v>14</v>
      </c>
      <c r="K45" s="6" t="n">
        <v>158</v>
      </c>
      <c r="L45" s="6" t="n">
        <v>-25</v>
      </c>
      <c r="M45" s="6" t="n">
        <v>-70</v>
      </c>
      <c r="N45" s="6" t="n">
        <v>24</v>
      </c>
      <c r="O45" s="6" t="n">
        <v>2</v>
      </c>
      <c r="P45" s="6" t="n">
        <v>-83</v>
      </c>
      <c r="Q45" s="6" t="n">
        <v>-33</v>
      </c>
      <c r="R45" s="6" t="n">
        <v>-6</v>
      </c>
      <c r="S45" s="6" t="n">
        <v>-47</v>
      </c>
      <c r="T45" s="6" t="n">
        <v>-12</v>
      </c>
      <c r="U45" s="6" t="n">
        <v>17</v>
      </c>
    </row>
    <row r="46">
      <c r="A46" s="6" t="inlineStr">
        <is>
          <t>Cash and cash equivalents in respect of discontinued operations</t>
        </is>
      </c>
      <c r="B46" s="6" t="n"/>
      <c r="C46" s="6" t="n">
        <v>-873</v>
      </c>
      <c r="D46" s="6" t="n"/>
      <c r="E46" s="6" t="n"/>
      <c r="F46" s="6" t="n"/>
      <c r="G46" s="6" t="n"/>
      <c r="H46" s="6" t="n"/>
      <c r="I46" s="6" t="n"/>
      <c r="J46" s="6" t="n"/>
      <c r="K46" s="6" t="n"/>
      <c r="L46" s="6" t="n"/>
      <c r="M46" s="6" t="n"/>
      <c r="N46" s="6" t="n"/>
      <c r="O46" s="6" t="n"/>
      <c r="P46" s="6" t="n"/>
      <c r="Q46" s="6" t="n"/>
      <c r="R46" s="6" t="n"/>
      <c r="S46" s="6" t="n"/>
      <c r="T46" s="6" t="n"/>
      <c r="U46" s="6" t="n"/>
    </row>
    <row r="47">
      <c r="A47" s="5" t="inlineStr">
        <is>
          <t>Cash and cash equivalents at end of year</t>
        </is>
      </c>
      <c r="B47" s="5" t="n">
        <v>1111</v>
      </c>
      <c r="C47" s="5" t="n">
        <v>1253</v>
      </c>
      <c r="D47" s="5" t="n">
        <v>2557</v>
      </c>
      <c r="E47" s="5" t="n">
        <v>2536</v>
      </c>
      <c r="F47" s="5" t="n">
        <v>1822</v>
      </c>
      <c r="G47" s="5" t="n">
        <v>2048</v>
      </c>
      <c r="H47" s="5" t="n">
        <v>1453</v>
      </c>
      <c r="I47" s="5" t="n">
        <v>1879</v>
      </c>
      <c r="J47" s="5" t="n">
        <v>1544</v>
      </c>
      <c r="K47" s="5" t="n">
        <v>1654</v>
      </c>
      <c r="L47" s="5" t="n">
        <v>1669</v>
      </c>
      <c r="M47" s="5" t="n">
        <v>1625</v>
      </c>
      <c r="N47" s="5" t="n">
        <v>2209</v>
      </c>
      <c r="O47" s="5" t="n">
        <v>2475</v>
      </c>
      <c r="P47" s="5" t="n">
        <v>2689</v>
      </c>
      <c r="Q47" s="5" t="n">
        <v>1926</v>
      </c>
      <c r="R47" s="5" t="n">
        <v>1243</v>
      </c>
      <c r="S47" s="5" t="n">
        <v>987</v>
      </c>
      <c r="T47" s="5" t="n">
        <v>230</v>
      </c>
      <c r="U47" s="5" t="n">
        <v>1000</v>
      </c>
    </row>
    <row r="49" ht="377" customHeight="1">
      <c r="A49" s="8" t="inlineStr">
        <is>
          <t>Sources - all figures are FCE Bank Plc's own consolidated (Group) Statement of Cash Flows, each year's own originally-published figures (not a later year's restated comparative):
FY2025: Annual Report 2025, p.53 (Statements of Cash Flows) - https://find-and-update.company-information.service.gov.uk/company/00772784/filing-history/MzUxMTcwMTU1NGFkaXF6a2N4/document?format=pdf&amp;download=0
FY2024: Annual Report 2024, p.58 (Statements of Cash Flows) - https://find-and-update.company-information.service.gov.uk/company/00772784/filing-history/MzQ2MTUzNDU1OGFkaXF6a2N4/document?format=pdf&amp;download=0
FY2023: Annual Report 2023, p.55 (Statements of Cash Flows) - https://find-and-update.company-information.service.gov.uk/company/00772784/filing-history/MzQxNTY0NTE3NGFkaXF6a2N4/document?format=pdf&amp;download=0
FY2022: Annual Report 2022 (AMENDED filing, 30 Oct 2023), p.53 (Statements of Cash Flows) - https://find-and-update.company-information.service.gov.uk/company/00772784/filing-history/MzM5ODE1MjYzNmFkaXF6a2N4/document?format=pdf&amp;download=0
FY2021: Annual Report 2021, p.49 (Statements of Cash Flow) - https://find-and-update.company-information.service.gov.uk/company/00772784/filing-history/MzMzMzk0NjU4NWFkaXF6a2N4/document?format=pdf&amp;download=0
FY2020: Annual Report 2020, p.52 (Statements of Cash Flows, Group column) - https://web.archive.org/web/20220615085358id_/https://www.fcebank.com/pdf/investor_center/2020_Annual_Report.pdf
FY2019: Annual Report 2019, p.46 (Statements of Cash Flows, Group column) - https://web.archive.org/web/20220615085141id_/https://www.fcebank.com/pdf/investor_center/2019_Annual_Report.pdf
FY2018: Annual Report 2018, p.40 (Statements of Cash Flows, Group column) - https://web.archive.org/web/20220615085110id_/https://www.fcebank.com/pdf/investor_center/2018_Annual_Report.pdf
FY2017: Annual Report 2017, p.32 (Statements of Cash Flows, Group column) - https://web.archive.org/web/20220615085008id_/https://www.fcebank.com/pdf/investor_center/2017_Annual_Report.pdf
FY2016: Annual Report 2016, p.61 (Statements of Cash Flows, Group column) - https://web.archive.org/web/20220615085027id_/https://www.fcebank.com/pdf/investor_center/2016_annual_report.pdf
FY2015: Annual Report 2015, p.61 (Statements of Cash Flows, Group column) - https://web.archive.org/web/20220615085018id_/https://www.fcebank.com/pdf/investor_center/2015_annual_report.pdf
FY2014: Annual Report and Accounts 2014, p.40 (Statements of cash flows, Group column) - https://web.archive.org/web/20220615085021id_/https://www.fcebank.com/pdf/investor_center/2014_annual_accts.pdf
FY2013: Annual Report and Accounts 2013, p.42 (Statements of cash flows, Group column) - https://web.archive.org/web/20220615085139id_/https://www.fcebank.com/pdf/investor_center/2013_annual_accts.pdf
FY2012: Annual Report and Accounts 2012, p.42 (Statements of cash flows, Group column) - https://web.archive.org/web/20220620211159id_/https://www.fcebank.com/pdf/investor_center/2012_annual_report_account.pdf
FY2011: Annual Report and Accounts 2011, p.41-42 (Statements of cash flows, Group column) - https://web.archive.org/web/20220615085005id_/https://www.fcebank.com/pdf/investor_center/2011_Annual_FCEReport.pdf
FY2010: Annual Report and Accounts 2010, p.39-40 (Statements of cash flows, Group column) - https://web.archive.org/web/20220615085039id_/https://www.fcebank.com/pdf/investor_center/2010_Annual_FCEReport.pdf
FY2009: Annual Report and Accounts 2009, p.42-43 (Statements of Cash Flows, Group column) - https://web.archive.org/web/20220615085056id_/https://www.fcebank.com/pdf/investor_center/2009_Annual_FCEReport.pdf
FY2008: Annual Report and Accounts 2008, p.49 (Cash flow statements, Group column) - https://web.archive.org/web/20220615085100id_/https://www.fcebank.com/pdf/investor_center/2008_Annual_FCEReport.pdf
FY2007: Annual Report and Accounts 2007, p.40-41 (Cash flow statements, Group column) - https://web.archive.org/web/20220615085155id_/https://www.fcebank.com/pdf/investor_center/2007_Annual_FCEReport.pdf
FY2006: Annual Report and Accounts 2006, p.2 (own PDF's local page numbering restarts here - Cash flow statements, Group column) - https://web.archive.org/web/20220615085046id_/https://www.fcebank.com/pdf/investor_center/2006_Annual_FCEReport.pdf
FCE Bank Plc (company 00772784) is the UK-regulated captive auto-finance bank for Ford Motor Company's European operations (vehicle financing/leasing across Ford's European markets, not just the UK). Does NOT take the FRS 101/102 cash-flow exemption - full Group-basis Statement of Cash Flows every year. All 5 Companies House filings (FY2021-2025) are fully scanned/image-only (0 text blocks/page); every figure was transcribed via page rendering. FY2014-FY2020 (HD-046) came from FCE's own text-native Annual Report PDFs archived via the Wayback Machine (fcebank.com/pdf/investor_center/... - see per-sheet source notes for exact capture URLs); figures were extracted directly, not OCR'd.
FY2022's accounts were AMENDED (30 Oct 2023, replacing the original 24 Mar 2023 filing) - the amended FY2022 figures were used as the operative record for that year, since this is the entity's own correction to its own year's accounts (not a later year's restatement). Confirmed the amended FY2022 figures are internally consistent with how FY2023's own report later carries them forward as its FY2022 comparative - no discrepancy found.
FY2024's cash and cash equivalents at end of year include a genuine, disclosed 'Cash and cash equivalents in respect of discontinued operations' adjustment of £(873)m (Group basis) - a real disposal/discontinuation event that year, not a data error; kept as the entity's own disclosed reconciling item, not silently absorbed elsewhere.
FY2021's own Statement of Cash Flows classifies 'Net cash inflow/(outflow) on derivative financial instruments', 'Increase in restricted cash', and 'Decrease in restricted cash' under Financing activities (Group: £44m/£(97)m/£463m respectively, p.49); FY2022 onward reclassify these same three items under Investing activities instead. Confirmed via direct page image (p.49) - each year's own reported section placement is used, not forced into a single consistent classification across the 5 years.
HD-046 (FY2014-FY2020) methodology notes: (1) IFRS 9's three-stage ECL model was adopted 1 Jan 2018; FY2014-FY2017 instead use the IAS 39 'incurred loss' model (a single Retail/Wholesale impairment allowance, not staged) - see the Asset Quality sheet's own note. (2) IFRS 16 leases were adopted 1 Jan 2019; Right-of-use assets/Lease liabilities first appear as separate Balance Sheet lines from FY2019 (FY2014-FY2018 predate IFRS 16 entirely - no ROU/lease lines existed to report). (3) FY2014-FY2018's own Balance Sheet presents 'Due to banks and other financial institutions', 'Due to parent and related undertakings', and 'Debt securities in issue' as separate lines; FY2019 onward combine all of these into a single 'Financial liabilities' line instead (this single-line convention thus starts two years earlier than previously documented on this workbook, at FY2019 not FY2021). 'Subordinated loans' is a separate line only in FY2014-FY2018 (folded into 'Financial liabilities' from FY2019). Blank cells reflect each year's own reporting granularity, not missing data - underlying totals reconcile exactly.</t>
        </is>
      </c>
    </row>
    <row r="51" ht="340" customHeight="1">
      <c r="A51" s="8" t="inlineStr">
        <is>
          <t>(continued)
HD-076 (FY2006-FY2013): every year's own Cash Flow Statement was used directly (not a later year's restated comparative), per project convention - but this repeatedly exposes a genuine, confirmed DISCONTINUITY in FCE's own reported cash-and-cash-equivalents figure at three year boundaries, each independently verified against both years' own primary source (not a transcription error): (1) FY2006/FY2007 - FY2006's own report states its own 31 Dec 2006 closing balance as £1,000m (Group), but FY2007's own report states the SAME date's opening balance as £257m; (2) FY2007/FY2008 - £230m closing (FY2007's own report) vs £277m opening (FY2008's own report); (3) FY2009/FY2010 - £1,243m closing (FY2009's own report, plain 'Cash and cash equivalents') vs £2,352m opening (FY2010's own report, newly relabelled 'Cash and cash equivalents LESS OVERDRAFTS' - the explicit definitional change, coinciding with FY2010's first-ever 'Marketable securities' balance sheet line, £223m that year, plausibly reclassified into the cash-equivalents scope). FY2008/FY2009, FY2010/FY2011, FY2011/FY2012, FY2012/FY2013 and FY2013/FY2014 all reconcile exactly with no gap. Each year's own beginning/ending balance is used regardless, per project convention (never a later year's restated figure) - the reader should not expect FY2006-FY2013's ending/opening cash figures to chain smoothly across all 8 years the way FY2013-FY2025 do.</t>
        </is>
      </c>
    </row>
  </sheetData>
  <mergeCells count="2">
    <mergeCell ref="A51:U51"/>
    <mergeCell ref="A49:U4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FCE Bank Plc — Asset Quality</t>
        </is>
      </c>
    </row>
    <row r="2">
      <c r="A2" s="2" t="inlineStr">
        <is>
          <t>Group/Consolidated basis, £m (ratios as calculated). Retail, finance leases and wholesale receivables combined - see source note at bottom for the Retail/Wholesale portfolio split disclosed in the same note, and for the IAS 39-to-IFRS 9 methodology change at FY2018.</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row>
    <row r="4">
      <c r="A4" s="5" t="inlineStr">
        <is>
          <t>Gross Carrying Amount (GCA) by IFRS 9 stage, closing balance (FY2018 onward - IFRS 9 adopted 1 Jan 2018; FY2014-FY2017 used the IAS 39 incurred-loss model, see below)</t>
        </is>
      </c>
      <c r="B4" s="6" t="n"/>
      <c r="C4" s="6" t="n"/>
      <c r="D4" s="6" t="n"/>
      <c r="E4" s="6" t="n"/>
      <c r="F4" s="6" t="n"/>
      <c r="G4" s="6" t="n"/>
      <c r="H4" s="6" t="n"/>
      <c r="I4" s="6" t="n"/>
      <c r="J4" s="6" t="n"/>
      <c r="K4" s="6" t="n"/>
      <c r="L4" s="6" t="n"/>
      <c r="M4" s="6" t="n"/>
    </row>
    <row r="5">
      <c r="A5" s="6" t="inlineStr">
        <is>
          <t>Stage 1 GCA</t>
        </is>
      </c>
      <c r="B5" s="6" t="n">
        <v>11363</v>
      </c>
      <c r="C5" s="6" t="n">
        <v>11731</v>
      </c>
      <c r="D5" s="6" t="n">
        <v>14782</v>
      </c>
      <c r="E5" s="6" t="n">
        <v>12290</v>
      </c>
      <c r="F5" s="6" t="n">
        <v>12355</v>
      </c>
      <c r="G5" s="6" t="n">
        <v>14504</v>
      </c>
      <c r="H5" s="6" t="n">
        <v>10693</v>
      </c>
      <c r="I5" s="6" t="n">
        <v>11004</v>
      </c>
      <c r="J5" s="6" t="n"/>
      <c r="K5" s="6" t="n"/>
      <c r="L5" s="6" t="n"/>
      <c r="M5" s="6" t="n"/>
    </row>
    <row r="6">
      <c r="A6" s="6" t="inlineStr">
        <is>
          <t>Stage 2 GCA</t>
        </is>
      </c>
      <c r="B6" s="6" t="n">
        <v>127</v>
      </c>
      <c r="C6" s="6" t="n">
        <v>269</v>
      </c>
      <c r="D6" s="6" t="n">
        <v>242</v>
      </c>
      <c r="E6" s="6" t="n">
        <v>1959</v>
      </c>
      <c r="F6" s="6" t="n">
        <v>153</v>
      </c>
      <c r="G6" s="6" t="n">
        <v>1084</v>
      </c>
      <c r="H6" s="6" t="n">
        <v>7006</v>
      </c>
      <c r="I6" s="6" t="n">
        <v>7265</v>
      </c>
      <c r="J6" s="6" t="n"/>
      <c r="K6" s="6" t="n"/>
      <c r="L6" s="6" t="n"/>
      <c r="M6" s="6" t="n"/>
    </row>
    <row r="7">
      <c r="A7" s="6" t="inlineStr">
        <is>
          <t>Stage 3 GCA</t>
        </is>
      </c>
      <c r="B7" s="6" t="n">
        <v>22</v>
      </c>
      <c r="C7" s="6" t="n">
        <v>34</v>
      </c>
      <c r="D7" s="6" t="n">
        <v>108</v>
      </c>
      <c r="E7" s="6" t="n">
        <v>72</v>
      </c>
      <c r="F7" s="6" t="n">
        <v>127</v>
      </c>
      <c r="G7" s="6" t="n">
        <v>262</v>
      </c>
      <c r="H7" s="6" t="n">
        <v>188</v>
      </c>
      <c r="I7" s="6" t="n">
        <v>280</v>
      </c>
      <c r="J7" s="6" t="n"/>
      <c r="K7" s="6" t="n"/>
      <c r="L7" s="6" t="n"/>
      <c r="M7" s="6" t="n"/>
    </row>
    <row r="8">
      <c r="A8" s="5" t="inlineStr">
        <is>
          <t>Total GCA</t>
        </is>
      </c>
      <c r="B8" s="5" t="n">
        <v>11512</v>
      </c>
      <c r="C8" s="5" t="n">
        <v>12034</v>
      </c>
      <c r="D8" s="5" t="n">
        <v>15132</v>
      </c>
      <c r="E8" s="5" t="n">
        <v>14321</v>
      </c>
      <c r="F8" s="5" t="n">
        <v>12635</v>
      </c>
      <c r="G8" s="5" t="n">
        <v>15850</v>
      </c>
      <c r="H8" s="5" t="n">
        <v>17887</v>
      </c>
      <c r="I8" s="5" t="n">
        <v>18549</v>
      </c>
      <c r="J8" s="5" t="n"/>
      <c r="K8" s="5" t="n"/>
      <c r="L8" s="5" t="n"/>
      <c r="M8" s="5" t="n"/>
    </row>
    <row r="9">
      <c r="A9" s="5" t="inlineStr">
        <is>
          <t>Expected Credit Loss (ECL) allowance by IFRS 9 stage, closing balance</t>
        </is>
      </c>
      <c r="B9" s="6" t="n"/>
      <c r="C9" s="6" t="n"/>
      <c r="D9" s="6" t="n"/>
      <c r="E9" s="6" t="n"/>
      <c r="F9" s="6" t="n"/>
      <c r="G9" s="6" t="n"/>
      <c r="H9" s="6" t="n"/>
      <c r="I9" s="6" t="n"/>
      <c r="J9" s="6" t="n"/>
      <c r="K9" s="6" t="n"/>
      <c r="L9" s="6" t="n"/>
      <c r="M9" s="6" t="n"/>
    </row>
    <row r="10">
      <c r="A10" s="6" t="inlineStr">
        <is>
          <t>Stage 1 ECL</t>
        </is>
      </c>
      <c r="B10" s="6" t="n">
        <v>-20</v>
      </c>
      <c r="C10" s="6" t="n">
        <v>-12</v>
      </c>
      <c r="D10" s="6" t="n">
        <v>-16</v>
      </c>
      <c r="E10" s="6" t="n">
        <v>-16</v>
      </c>
      <c r="F10" s="6" t="n">
        <v>-30</v>
      </c>
      <c r="G10" s="6" t="n">
        <v>-34</v>
      </c>
      <c r="H10" s="6" t="n">
        <v>-20</v>
      </c>
      <c r="I10" s="6" t="n">
        <v>-21</v>
      </c>
      <c r="J10" s="6" t="n"/>
      <c r="K10" s="6" t="n"/>
      <c r="L10" s="6" t="n"/>
      <c r="M10" s="6" t="n"/>
    </row>
    <row r="11">
      <c r="A11" s="6" t="inlineStr">
        <is>
          <t>Stage 2 ECL</t>
        </is>
      </c>
      <c r="B11" s="6" t="n">
        <v>0</v>
      </c>
      <c r="C11" s="6" t="n">
        <v>-1</v>
      </c>
      <c r="D11" s="6" t="n">
        <v>-1</v>
      </c>
      <c r="E11" s="6" t="n">
        <v>-8</v>
      </c>
      <c r="F11" s="6" t="n">
        <v>-1</v>
      </c>
      <c r="G11" s="6" t="n">
        <v>-9</v>
      </c>
      <c r="H11" s="6" t="n">
        <v>-1</v>
      </c>
      <c r="I11" s="6" t="n">
        <v>-2</v>
      </c>
      <c r="J11" s="6" t="n"/>
      <c r="K11" s="6" t="n"/>
      <c r="L11" s="6" t="n"/>
      <c r="M11" s="6" t="n"/>
    </row>
    <row r="12">
      <c r="A12" s="6" t="inlineStr">
        <is>
          <t>Stage 3 ECL</t>
        </is>
      </c>
      <c r="B12" s="6" t="n">
        <v>-2</v>
      </c>
      <c r="C12" s="6" t="n">
        <v>0</v>
      </c>
      <c r="D12" s="6" t="n">
        <v>0</v>
      </c>
      <c r="E12" s="6" t="n">
        <v>0</v>
      </c>
      <c r="F12" s="6" t="n">
        <v>-2</v>
      </c>
      <c r="G12" s="6" t="n">
        <v>-3</v>
      </c>
      <c r="H12" s="6" t="n">
        <v>0</v>
      </c>
      <c r="I12" s="6" t="n">
        <v>0</v>
      </c>
      <c r="J12" s="6" t="n"/>
      <c r="K12" s="6" t="n"/>
      <c r="L12" s="6" t="n"/>
      <c r="M12" s="6" t="n"/>
    </row>
    <row r="13">
      <c r="A13" s="5" t="inlineStr">
        <is>
          <t>Total ECL</t>
        </is>
      </c>
      <c r="B13" s="5" t="n">
        <v>-22</v>
      </c>
      <c r="C13" s="5" t="n">
        <v>-13</v>
      </c>
      <c r="D13" s="5" t="n">
        <v>-17</v>
      </c>
      <c r="E13" s="5" t="n">
        <v>-24</v>
      </c>
      <c r="F13" s="5" t="n">
        <v>-33</v>
      </c>
      <c r="G13" s="5" t="n">
        <v>-46</v>
      </c>
      <c r="H13" s="5" t="n">
        <v>-21</v>
      </c>
      <c r="I13" s="5" t="n">
        <v>-23</v>
      </c>
      <c r="J13" s="5" t="n"/>
      <c r="K13" s="5" t="n"/>
      <c r="L13" s="5" t="n"/>
      <c r="M13" s="5" t="n"/>
    </row>
    <row r="14">
      <c r="A14" s="5" t="inlineStr">
        <is>
          <t>IAS 39 incurred-loss model, Retail/Wholesale impairment allowance closing balance (FY2014-FY2017 only - superseded by IFRS 9 above from FY2018)</t>
        </is>
      </c>
      <c r="B14" s="6" t="n"/>
      <c r="C14" s="6" t="n"/>
      <c r="D14" s="6" t="n"/>
      <c r="E14" s="6" t="n"/>
      <c r="F14" s="6" t="n"/>
      <c r="G14" s="6" t="n"/>
      <c r="H14" s="6" t="n"/>
      <c r="I14" s="6" t="n"/>
      <c r="J14" s="6" t="n"/>
      <c r="K14" s="6" t="n"/>
      <c r="L14" s="6" t="n"/>
      <c r="M14" s="6" t="n"/>
    </row>
    <row r="15">
      <c r="A15" s="6" t="inlineStr">
        <is>
          <t>Retail impairment allowance</t>
        </is>
      </c>
      <c r="B15" s="6" t="n"/>
      <c r="C15" s="6" t="n"/>
      <c r="D15" s="6" t="n"/>
      <c r="E15" s="6" t="n"/>
      <c r="F15" s="6" t="n"/>
      <c r="G15" s="6" t="n"/>
      <c r="H15" s="6" t="n"/>
      <c r="I15" s="6" t="n"/>
      <c r="J15" s="6" t="n">
        <v>41</v>
      </c>
      <c r="K15" s="6" t="n">
        <v>38</v>
      </c>
      <c r="L15" s="6" t="n">
        <v>30</v>
      </c>
      <c r="M15" s="6" t="n">
        <v>29</v>
      </c>
    </row>
    <row r="16">
      <c r="A16" s="6" t="inlineStr">
        <is>
          <t>Wholesale impairment allowance</t>
        </is>
      </c>
      <c r="B16" s="6" t="n"/>
      <c r="C16" s="6" t="n"/>
      <c r="D16" s="6" t="n"/>
      <c r="E16" s="6" t="n"/>
      <c r="F16" s="6" t="n"/>
      <c r="G16" s="6" t="n"/>
      <c r="H16" s="6" t="n"/>
      <c r="I16" s="6" t="n"/>
      <c r="J16" s="6" t="n">
        <v>3</v>
      </c>
      <c r="K16" s="6" t="n">
        <v>4</v>
      </c>
      <c r="L16" s="6" t="n">
        <v>2</v>
      </c>
      <c r="M16" s="6" t="n">
        <v>4</v>
      </c>
    </row>
    <row r="17">
      <c r="A17" s="5" t="inlineStr">
        <is>
          <t>Total impairment allowance (IAS 39 incurred-loss model)</t>
        </is>
      </c>
      <c r="B17" s="5" t="n"/>
      <c r="C17" s="5" t="n"/>
      <c r="D17" s="5" t="n"/>
      <c r="E17" s="5" t="n"/>
      <c r="F17" s="5" t="n"/>
      <c r="G17" s="5" t="n"/>
      <c r="H17" s="5" t="n"/>
      <c r="I17" s="5" t="n"/>
      <c r="J17" s="5" t="n">
        <v>44</v>
      </c>
      <c r="K17" s="5" t="n">
        <v>42</v>
      </c>
      <c r="L17" s="5" t="n">
        <v>32</v>
      </c>
      <c r="M17" s="5" t="n">
        <v>33</v>
      </c>
    </row>
    <row r="18">
      <c r="A18" s="5" t="inlineStr">
        <is>
          <t>Derived ratios</t>
        </is>
      </c>
      <c r="B18" s="6" t="n"/>
      <c r="C18" s="6" t="n"/>
      <c r="D18" s="6" t="n"/>
      <c r="E18" s="6" t="n"/>
      <c r="F18" s="6" t="n"/>
      <c r="G18" s="6" t="n"/>
      <c r="H18" s="6" t="n"/>
      <c r="I18" s="6" t="n"/>
      <c r="J18" s="6" t="n"/>
      <c r="K18" s="6" t="n"/>
      <c r="L18" s="6" t="n"/>
      <c r="M18" s="6" t="n"/>
    </row>
    <row r="19">
      <c r="A19" s="6" t="inlineStr">
        <is>
          <t>Stage 3 / Total GCA</t>
        </is>
      </c>
      <c r="B19" s="6" t="inlineStr">
        <is>
          <t>0.19%</t>
        </is>
      </c>
      <c r="C19" s="6" t="inlineStr">
        <is>
          <t>0.28%</t>
        </is>
      </c>
      <c r="D19" s="6" t="inlineStr">
        <is>
          <t>0.71%</t>
        </is>
      </c>
      <c r="E19" s="6" t="inlineStr">
        <is>
          <t>0.50%</t>
        </is>
      </c>
      <c r="F19" s="6" t="inlineStr">
        <is>
          <t>1.01%</t>
        </is>
      </c>
      <c r="G19" s="6" t="inlineStr">
        <is>
          <t>1.65%</t>
        </is>
      </c>
      <c r="H19" s="6" t="inlineStr">
        <is>
          <t>1.05%</t>
        </is>
      </c>
      <c r="I19" s="6" t="inlineStr">
        <is>
          <t>1.51%</t>
        </is>
      </c>
      <c r="J19" s="6" t="n"/>
      <c r="K19" s="6" t="n"/>
      <c r="L19" s="6" t="n"/>
      <c r="M19" s="6" t="n"/>
    </row>
    <row r="20">
      <c r="A20" s="6" t="inlineStr">
        <is>
          <t>Total ECL / Total GCA (overall coverage)</t>
        </is>
      </c>
      <c r="B20" s="6" t="inlineStr">
        <is>
          <t>0.19%</t>
        </is>
      </c>
      <c r="C20" s="6" t="inlineStr">
        <is>
          <t>0.11%</t>
        </is>
      </c>
      <c r="D20" s="6" t="inlineStr">
        <is>
          <t>0.11%</t>
        </is>
      </c>
      <c r="E20" s="6" t="inlineStr">
        <is>
          <t>0.17%</t>
        </is>
      </c>
      <c r="F20" s="6" t="inlineStr">
        <is>
          <t>0.26%</t>
        </is>
      </c>
      <c r="G20" s="6" t="inlineStr">
        <is>
          <t>0.29%</t>
        </is>
      </c>
      <c r="H20" s="6" t="inlineStr">
        <is>
          <t>0.12%</t>
        </is>
      </c>
      <c r="I20" s="6" t="inlineStr">
        <is>
          <t>0.12%</t>
        </is>
      </c>
      <c r="J20" s="6" t="n"/>
      <c r="K20" s="6" t="n"/>
      <c r="L20" s="6" t="n"/>
      <c r="M20" s="6" t="n"/>
    </row>
    <row r="22" ht="409" customHeight="1">
      <c r="A22" s="8" t="inlineStr">
        <is>
          <t>Sources - FCE Bank Plc's own Note 13 'Allowance for Expected Credit Losses' (IFRS 9, FY2018 onward) or Note 14/15 'Provision for Incurred Losses' (IAS 39, FY2014-FY2017), Group basis (retail, finance leases and wholesale receivables), closing balances each year:
FY2025/FY2024: Annual Report 2025, p.83 (Note 13, Group table) - https://find-and-update.company-information.service.gov.uk/company/00772784/filing-history/MzUxMTcwMTU1NGFkaXF6a2N4/document?format=pdf&amp;download=0
FY2023/FY2022: Annual Report 2023, p.83 (Note 13, Group table) - https://find-and-update.company-information.service.gov.uk/company/00772784/filing-history/MzQxNTY0NTE3NGFkaXF6a2N4/document?format=pdf&amp;download=0
FY2021: Annual Report 2021, p.78 (Note 13, Group table) - https://find-and-update.company-information.service.gov.uk/company/00772784/filing-history/MzMzMzk0NjU4NWFkaXF6a2N4/document?format=pdf&amp;download=0
FY2020: Annual Report 2020, p.83 (Note 13 GCA/ECL by stage, Group table) - https://web.archive.org/web/20220615085358id_/https://www.fcebank.com/pdf/investor_center/2020_Annual_Report.pdf
FY2019: Annual Report 2019, p.80 (Note 13 GCA/ECL by stage, Group table) - https://web.archive.org/web/20220615085141id_/https://www.fcebank.com/pdf/investor_center/2019_Annual_Report.pdf
FY2018: Annual Report 2018, p.67 (Note 14 ECL roll-forward, Group table; GCA-by-stage not separately tabulated for FY2018 itself, only recovered as FY2018 comparatives in the FY2019 report's own Note 13) - https://web.archive.org/web/20220615085110id_/https://www.fcebank.com/pdf/investor_center/2018_Annual_Report.pdf
FY2017: Annual Report 2017, p.59 (Note 14 'Provision for Incurred Losses', Group table, Retail/Wholesale/Total, IAS 39 - not stage-split) - https://web.archive.org/web/20220615085008id_/https://www.fcebank.com/pdf/investor_center/2017_Annual_Report.pdf
FY2016: Annual Report 2016, p.87 (Note 14, Group table, IAS 39) - https://web.archive.org/web/20220615085027id_/https://www.fcebank.com/pdf/investor_center/2016_annual_report.pdf
FY2015: Annual Report 2015, p.88 (Note 14, Group table, IAS 39) - https://web.archive.org/web/20220615085018id_/https://www.fcebank.com/pdf/investor_center/2015_annual_report.pdf
FY2014: Annual Report and Accounts 2014, p.68 (Note 15, Group table, IAS 39) - https://web.archive.org/web/20220615085021id_/https://www.fcebank.com/pdf/investor_center/2014_annual_accts.pdf
Each year's own closing balance ties exactly to the next year's own opening balance in the same note (confirmed chained across FY2014-FY2025, including across the FY2017/FY2018 IAS39-to-IFRS9 transition: FY2017's own £44m Total impairment allowance is the same figure FY2018's own Note 14 restates as its 1 Jan 2018 £27m 'Loss allowance at January 1, 2018' after IFRS 9 remeasurement on transition - a genuine one-off transition adjustment, not a data error). Portfolio Split (Retail and Finance Leases vs Wholesale) is also disclosed each year but not reproduced here for brevity - see the note itself for that breakdown.
METHODOLOGY NOTE: FY2014-FY2017 used the IAS 39 'incurred loss' model - a single Retail/Wholesale impairment allowance with no IFRS 9-style Stage 1/2/3 split, so the Stage GCA/ECL rows below are left blank for these 4 years (not comparable, not force-fit) and a separate 'Total impairment allowance (IAS 39 incurred-loss model)' row is shown instead. IFRS 9's three-stage ECL model was adopted 1 Jan 2018 - FY2018-FY2025 all use the Stage 1/2/3 GCA and ECL rows.
FCE Bank Plc (company 00772784) is the UK-regulated captive auto-finance bank for Ford Motor Company's European operations (vehicle financing/leasing across Ford's European markets, not just the UK). Does NOT take the FRS 101/102 cash-flow exemption - full Group-basis Statement of Cash Flows every year. All 5 Companies House filings (FY2021-2025) are fully scanned/image-only (0 text blocks/page); every figure was transcribed via page rendering. FY2014-FY2020 (HD-046) came from FCE's own text-native Annual Report PDFs archived via the Wayback Machine (fcebank.com/pdf/investor_center/... - see per-sheet source notes for exact capture URLs); figures were extracted directly, not OCR'd.
FY2022's accounts were AMENDED (30 Oct 2023, replacing the original 24 Mar 2023 filing) - the amended FY2022 figures were used as the operative record for that year, since this is the entity's own correction to its own year's accounts (not a later year's restatement). Confirmed the amended FY2022 figures are internally consistent with how FY2023's own report later carries them forward as its FY2022 comparative - no discrepancy found.
FY2024's cash and cash equivalents at end of year include a genuine, disclosed 'Cash and cash equivalents in respect of discontinued operations' adjustment of £(873)m (Group basis) - a real disposal/discontinuation event that year, not a data error; kept as the entity's own disclosed reconciling item, not silently absorbed elsewhere.
FY2021's own Statement of Cash Flows classifies 'Net cash inflow/(outflow) on derivative financial instruments', 'Increase in restricted cash', and 'Decrease in restricted cash' under Financing activities (Group: £44m/£(97)m/£463m respectively, p.49); FY2022 onward reclassify these same three items under Investing activities instead. Confirmed via direct page image (p.49) - each year's own reported section placement is used, not forced into a single consistent classification across the 5 years.
HD-046 (FY2014-FY2020) methodology notes: (1) IFRS 9's three-stage ECL model was adopted 1 Jan 2018; FY2014-FY2017 instead use the IAS 39 'incurred loss' model (a single Retail/Wholesale impairment allowance, not staged) - see the Asset Quality sheet's own note. (2) IFRS 16 leases were adopted 1 Jan 2019; Right-of-use assets/Lease liabilities first appear as separate Balance Sheet lines from FY2019 (FY2014-FY2018 predate IFRS 16 entirely - no ROU/lease lines existed to report). (3) FY2014-FY2018's own Balance Sheet presents 'Due to banks and other financial institutions', 'Due to parent and related undertakings', and 'Debt securities in issue' as separate lines; FY2019 onward combine all of these into a single 'Financial liabilities' line instead (this single-line convention thus starts two years earlier than previously documented on this workbook, at FY2019 not FY2021). 'Subordinated loans' is a separate line only in FY2014-FY2018 (folded into 'Financial liabilities' from FY2019). Blank cells reflect each year's own reporting granularity, not missing data - underlying totals reconcile exactly.</t>
        </is>
      </c>
    </row>
  </sheetData>
  <mergeCells count="1">
    <mergeCell ref="A22:M2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s>
  <sheetData>
    <row r="1">
      <c r="A1" s="1" t="inlineStr">
        <is>
          <t>FCE Bank Plc — KM1 Key Metrics</t>
        </is>
      </c>
    </row>
    <row r="2">
      <c r="A2" s="2" t="inlineStr">
        <is>
          <t>FCE's own published UK KM1 key-metrics template, £m (FCE prints the unit as “£ mil”), reproduced in FCE's row order, row numbering and printed precision, FCE Bank plc consolidated basis. FY2025-FY2022, each from the edition in which that year is the reporting year; only year-end columns are shown, since several editions also print quarter-ends. FY2021 and earlier are blank because FCE published no UK KM1 before the FY2022 standalone Annual Pillar 3 Report. Rows 15-20 are averages, not year-end spot figures, by FCE's own stated method. See the source note for the FY2024 restatement and for the rows FCE formally excludes.</t>
        </is>
      </c>
    </row>
    <row r="3">
      <c r="A3" s="4" t="inlineStr">
        <is>
          <t>Line item</t>
        </is>
      </c>
      <c r="B3" s="4" t="inlineStr">
        <is>
          <t>FY2025</t>
        </is>
      </c>
      <c r="C3" s="4" t="inlineStr">
        <is>
          <t>FY2024</t>
        </is>
      </c>
      <c r="D3" s="4" t="inlineStr">
        <is>
          <t>FY2023</t>
        </is>
      </c>
      <c r="E3" s="4" t="inlineStr">
        <is>
          <t>FY2022</t>
        </is>
      </c>
    </row>
    <row r="4">
      <c r="A4" s="5" t="inlineStr">
        <is>
          <t>Available own funds (amounts) — £m; FCE prints this unit as “£ mil”</t>
        </is>
      </c>
      <c r="B4" s="6" t="n"/>
      <c r="C4" s="6" t="n"/>
      <c r="D4" s="6" t="n"/>
      <c r="E4" s="6" t="n"/>
    </row>
    <row r="5">
      <c r="A5" s="6" t="inlineStr">
        <is>
          <t>1    Common Equity Tier 1 (CET1) capital (£m)</t>
        </is>
      </c>
      <c r="B5" s="6" t="n">
        <v>1620</v>
      </c>
      <c r="C5" s="6" t="n">
        <v>1773</v>
      </c>
      <c r="D5" s="6" t="n">
        <v>2393</v>
      </c>
      <c r="E5" s="6" t="n">
        <v>2137</v>
      </c>
    </row>
    <row r="6">
      <c r="A6" s="6" t="inlineStr">
        <is>
          <t>2    Tier 1 capital (£m)</t>
        </is>
      </c>
      <c r="B6" s="6" t="n">
        <v>1620</v>
      </c>
      <c r="C6" s="6" t="n">
        <v>1773</v>
      </c>
      <c r="D6" s="6" t="n">
        <v>2393</v>
      </c>
      <c r="E6" s="6" t="n">
        <v>2137</v>
      </c>
    </row>
    <row r="7">
      <c r="A7" s="6" t="inlineStr">
        <is>
          <t>3    Total capital (£m)</t>
        </is>
      </c>
      <c r="B7" s="6" t="n">
        <v>1869</v>
      </c>
      <c r="C7" s="6" t="n">
        <v>2021</v>
      </c>
      <c r="D7" s="6" t="n">
        <v>2700</v>
      </c>
      <c r="E7" s="6" t="n">
        <v>2457</v>
      </c>
    </row>
    <row r="8">
      <c r="A8" s="5" t="inlineStr">
        <is>
          <t>Risk-weighted exposure amounts — £m (“£ mil” as FCE prints it)</t>
        </is>
      </c>
      <c r="B8" s="6" t="n"/>
      <c r="C8" s="6" t="n"/>
      <c r="D8" s="6" t="n"/>
      <c r="E8" s="6" t="n"/>
    </row>
    <row r="9">
      <c r="A9" s="6" t="inlineStr">
        <is>
          <t>4    Total risk-weighted exposure amount (£m)</t>
        </is>
      </c>
      <c r="B9" s="6" t="n">
        <v>10016</v>
      </c>
      <c r="C9" s="6" t="n">
        <v>10325</v>
      </c>
      <c r="D9" s="6" t="n">
        <v>13993</v>
      </c>
      <c r="E9" s="6" t="n">
        <v>12908</v>
      </c>
    </row>
    <row r="10">
      <c r="A10" s="5" t="inlineStr">
        <is>
          <t>Capital ratios (as a percentage of risk-weighted exposure amount)</t>
        </is>
      </c>
      <c r="B10" s="6" t="n"/>
      <c r="C10" s="6" t="n"/>
      <c r="D10" s="6" t="n"/>
      <c r="E10" s="6" t="n"/>
    </row>
    <row r="11">
      <c r="A11" s="6" t="inlineStr">
        <is>
          <t>5    Common Equity Tier 1 ratio (%)</t>
        </is>
      </c>
      <c r="B11" s="6" t="inlineStr">
        <is>
          <t>16.17%</t>
        </is>
      </c>
      <c r="C11" s="6" t="inlineStr">
        <is>
          <t>17.17%</t>
        </is>
      </c>
      <c r="D11" s="6" t="inlineStr">
        <is>
          <t>17.10%</t>
        </is>
      </c>
      <c r="E11" s="6" t="inlineStr">
        <is>
          <t>16.55%</t>
        </is>
      </c>
    </row>
    <row r="12">
      <c r="A12" s="6" t="inlineStr">
        <is>
          <t>6    Tier 1 ratio (%)</t>
        </is>
      </c>
      <c r="B12" s="6" t="inlineStr">
        <is>
          <t>16.17%</t>
        </is>
      </c>
      <c r="C12" s="6" t="inlineStr">
        <is>
          <t>17.17%</t>
        </is>
      </c>
      <c r="D12" s="6" t="inlineStr">
        <is>
          <t>17.10%</t>
        </is>
      </c>
      <c r="E12" s="6" t="inlineStr">
        <is>
          <t>16.55%</t>
        </is>
      </c>
    </row>
    <row r="13">
      <c r="A13" s="6" t="inlineStr">
        <is>
          <t>7    Total capital ratio (%)</t>
        </is>
      </c>
      <c r="B13" s="6" t="inlineStr">
        <is>
          <t>18.66%</t>
        </is>
      </c>
      <c r="C13" s="6" t="inlineStr">
        <is>
          <t>19.57%</t>
        </is>
      </c>
      <c r="D13" s="6" t="inlineStr">
        <is>
          <t>19.30%</t>
        </is>
      </c>
      <c r="E13" s="6" t="inlineStr">
        <is>
          <t>19.03%</t>
        </is>
      </c>
    </row>
    <row r="14">
      <c r="A14" s="5" t="inlineStr">
        <is>
          <t>Additional own funds requirements based on SREP (as a percentage of risk-weighted exposure amount)</t>
        </is>
      </c>
      <c r="B14" s="6" t="n"/>
      <c r="C14" s="6" t="n"/>
      <c r="D14" s="6" t="n"/>
      <c r="E14" s="6" t="n"/>
    </row>
    <row r="15">
      <c r="A15" s="6" t="inlineStr">
        <is>
          <t>UK 7a    Additional CET1 SREP requirements (%)</t>
        </is>
      </c>
      <c r="B15" s="6" t="inlineStr">
        <is>
          <t>1.73%</t>
        </is>
      </c>
      <c r="C15" s="6" t="inlineStr">
        <is>
          <t>1.74%</t>
        </is>
      </c>
      <c r="D15" s="6" t="inlineStr">
        <is>
          <t>1.73%</t>
        </is>
      </c>
      <c r="E15" s="6" t="inlineStr">
        <is>
          <t>1.74%</t>
        </is>
      </c>
    </row>
    <row r="16">
      <c r="A16" s="6" t="inlineStr">
        <is>
          <t>UK 7b    Additional AT1 SREP requirements (%)</t>
        </is>
      </c>
      <c r="B16" s="6" t="inlineStr">
        <is>
          <t>-</t>
        </is>
      </c>
      <c r="C16" s="6" t="inlineStr">
        <is>
          <t>-</t>
        </is>
      </c>
      <c r="D16" s="6" t="inlineStr">
        <is>
          <t>-</t>
        </is>
      </c>
      <c r="E16" s="6" t="inlineStr">
        <is>
          <t>-</t>
        </is>
      </c>
    </row>
    <row r="17">
      <c r="A17" s="6" t="inlineStr">
        <is>
          <t>UK 7c    Additional T2 SREP requirements (%)</t>
        </is>
      </c>
      <c r="B17" s="6" t="inlineStr">
        <is>
          <t>0.55%</t>
        </is>
      </c>
      <c r="C17" s="6" t="inlineStr">
        <is>
          <t>0.53%</t>
        </is>
      </c>
      <c r="D17" s="6" t="inlineStr">
        <is>
          <t>0.47%</t>
        </is>
      </c>
      <c r="E17" s="6" t="inlineStr">
        <is>
          <t>0.48%</t>
        </is>
      </c>
    </row>
    <row r="18">
      <c r="A18" s="6" t="inlineStr">
        <is>
          <t>UK 7d    Total SREP own funds requirements (%)</t>
        </is>
      </c>
      <c r="B18" s="6" t="inlineStr">
        <is>
          <t>10.28%</t>
        </is>
      </c>
      <c r="C18" s="6" t="inlineStr">
        <is>
          <t>10.27%</t>
        </is>
      </c>
      <c r="D18" s="6" t="inlineStr">
        <is>
          <t>10.20%</t>
        </is>
      </c>
      <c r="E18" s="6" t="inlineStr">
        <is>
          <t>10.22%</t>
        </is>
      </c>
    </row>
    <row r="19">
      <c r="A19" s="5" t="inlineStr">
        <is>
          <t>Combined buffer requirement (as a percentage of risk-weighted exposure amount)</t>
        </is>
      </c>
      <c r="B19" s="6" t="n"/>
      <c r="C19" s="6" t="n"/>
      <c r="D19" s="6" t="n"/>
      <c r="E19" s="6" t="n"/>
    </row>
    <row r="20">
      <c r="A20" s="6" t="inlineStr">
        <is>
          <t>8    Capital conservation buffer (%)</t>
        </is>
      </c>
      <c r="B20" s="6" t="inlineStr">
        <is>
          <t>2.50%</t>
        </is>
      </c>
      <c r="C20" s="6" t="inlineStr">
        <is>
          <t>2.50%</t>
        </is>
      </c>
      <c r="D20" s="6" t="inlineStr">
        <is>
          <t>2.50%</t>
        </is>
      </c>
      <c r="E20" s="6" t="inlineStr">
        <is>
          <t>2.50%</t>
        </is>
      </c>
    </row>
    <row r="21">
      <c r="A21" s="6" t="inlineStr">
        <is>
          <t>9    Institution specific countercyclical capital buffer</t>
        </is>
      </c>
      <c r="B21" s="6" t="inlineStr">
        <is>
          <t>1.05%</t>
        </is>
      </c>
      <c r="C21" s="6" t="inlineStr">
        <is>
          <t>1.08%</t>
        </is>
      </c>
      <c r="D21" s="6" t="inlineStr">
        <is>
          <t>0.89%</t>
        </is>
      </c>
      <c r="E21" s="6" t="inlineStr">
        <is>
          <t>0.32%</t>
        </is>
      </c>
    </row>
    <row r="22">
      <c r="A22" s="6" t="inlineStr">
        <is>
          <t>11    Combined buffer requirement (%)</t>
        </is>
      </c>
      <c r="B22" s="6" t="inlineStr">
        <is>
          <t>3.55%</t>
        </is>
      </c>
      <c r="C22" s="6" t="inlineStr">
        <is>
          <t>3.58%</t>
        </is>
      </c>
      <c r="D22" s="6" t="inlineStr">
        <is>
          <t>3.39%</t>
        </is>
      </c>
      <c r="E22" s="6" t="inlineStr">
        <is>
          <t>2.82%</t>
        </is>
      </c>
    </row>
    <row r="23">
      <c r="A23" s="6" t="inlineStr">
        <is>
          <t>UK 11a    Overall capital requirements (%)</t>
        </is>
      </c>
      <c r="B23" s="6" t="inlineStr">
        <is>
          <t>13.83%</t>
        </is>
      </c>
      <c r="C23" s="6" t="inlineStr">
        <is>
          <t>13.85%</t>
        </is>
      </c>
      <c r="D23" s="6" t="inlineStr">
        <is>
          <t>13.59%</t>
        </is>
      </c>
      <c r="E23" s="6" t="inlineStr">
        <is>
          <t>13.04%</t>
        </is>
      </c>
    </row>
    <row r="24">
      <c r="A24" s="6" t="inlineStr">
        <is>
          <t>12    CET1 available after meeting the total SREP own funds requirements (%)</t>
        </is>
      </c>
      <c r="B24" s="6" t="inlineStr">
        <is>
          <t>8.38%</t>
        </is>
      </c>
      <c r="C24" s="6" t="inlineStr">
        <is>
          <t>9.30%</t>
        </is>
      </c>
      <c r="D24" s="6" t="inlineStr">
        <is>
          <t>9.09%</t>
        </is>
      </c>
      <c r="E24" s="6" t="inlineStr">
        <is>
          <t>8.82%</t>
        </is>
      </c>
    </row>
    <row r="25">
      <c r="A25" s="5" t="inlineStr">
        <is>
          <t>Leverage ratio — amounts in £m (“£ mil” as FCE prints it); ratios in %</t>
        </is>
      </c>
      <c r="B25" s="6" t="n"/>
      <c r="C25" s="6" t="n"/>
      <c r="D25" s="6" t="n"/>
      <c r="E25" s="6" t="n"/>
    </row>
    <row r="26">
      <c r="A26" s="6" t="inlineStr">
        <is>
          <t>13    Total exposure measure excluding claims on central banks (£m)</t>
        </is>
      </c>
      <c r="B26" s="6" t="n">
        <v>12528</v>
      </c>
      <c r="C26" s="6" t="n">
        <v>13139</v>
      </c>
      <c r="D26" s="6" t="n">
        <v>17069</v>
      </c>
      <c r="E26" s="6" t="n">
        <v>16154</v>
      </c>
    </row>
    <row r="27">
      <c r="A27" s="6" t="inlineStr">
        <is>
          <t>14    Leverage ratio excluding claims on central banks (%)</t>
        </is>
      </c>
      <c r="B27" s="6" t="inlineStr">
        <is>
          <t>12.93%</t>
        </is>
      </c>
      <c r="C27" s="6" t="inlineStr">
        <is>
          <t>13.49%</t>
        </is>
      </c>
      <c r="D27" s="6" t="inlineStr">
        <is>
          <t>14.02%</t>
        </is>
      </c>
      <c r="E27" s="6" t="inlineStr">
        <is>
          <t>13.23%</t>
        </is>
      </c>
    </row>
    <row r="28">
      <c r="A28" s="5" t="inlineStr">
        <is>
          <t>Additional leverage ratio disclosure requirements — excluded in FY2022, when FCE was not an LREQ firm</t>
        </is>
      </c>
      <c r="B28" s="6" t="n"/>
      <c r="C28" s="6" t="n"/>
      <c r="D28" s="6" t="n"/>
      <c r="E28" s="6" t="n"/>
    </row>
    <row r="29">
      <c r="A29" s="6" t="inlineStr">
        <is>
          <t>UK 14a    Fully loaded ECL accounting model leverage ratio excluding claims on central banks (%)</t>
        </is>
      </c>
      <c r="B29" s="6" t="inlineStr">
        <is>
          <t>12.93%</t>
        </is>
      </c>
      <c r="C29" s="6" t="inlineStr">
        <is>
          <t>13.49%</t>
        </is>
      </c>
      <c r="D29" s="6" t="inlineStr">
        <is>
          <t>14.02%</t>
        </is>
      </c>
      <c r="E29" s="6" t="n"/>
    </row>
    <row r="30">
      <c r="A30" s="6" t="inlineStr">
        <is>
          <t>UK 14b    Leverage ratio including claims on central banks (%)</t>
        </is>
      </c>
      <c r="B30" s="6" t="inlineStr">
        <is>
          <t>12.15%</t>
        </is>
      </c>
      <c r="C30" s="6" t="inlineStr">
        <is>
          <t>12.61%</t>
        </is>
      </c>
      <c r="D30" s="6" t="inlineStr">
        <is>
          <t>12.40%</t>
        </is>
      </c>
      <c r="E30" s="6" t="n"/>
    </row>
    <row r="31">
      <c r="A31" s="6" t="inlineStr">
        <is>
          <t>UK 14c    Average leverage ratio excluding claims on central banks (%)</t>
        </is>
      </c>
      <c r="B31" s="6" t="inlineStr">
        <is>
          <t>13.76%</t>
        </is>
      </c>
      <c r="C31" s="6" t="inlineStr">
        <is>
          <t>14.12%</t>
        </is>
      </c>
      <c r="D31" s="6" t="inlineStr">
        <is>
          <t>13.91%</t>
        </is>
      </c>
      <c r="E31" s="6" t="n"/>
    </row>
    <row r="32">
      <c r="A32" s="6" t="inlineStr">
        <is>
          <t>UK 14d    Average leverage ratio including claims on central banks (%)</t>
        </is>
      </c>
      <c r="B32" s="6" t="inlineStr">
        <is>
          <t>12.99%</t>
        </is>
      </c>
      <c r="C32" s="6" t="inlineStr">
        <is>
          <t>13.01%</t>
        </is>
      </c>
      <c r="D32" s="6" t="inlineStr">
        <is>
          <t>12.36%</t>
        </is>
      </c>
      <c r="E32" s="6" t="n"/>
    </row>
    <row r="33">
      <c r="A33" s="6" t="inlineStr">
        <is>
          <t>UK 14e    Countercyclical leverage ratio buffer (%)</t>
        </is>
      </c>
      <c r="B33" s="6" t="inlineStr">
        <is>
          <t>0.40%</t>
        </is>
      </c>
      <c r="C33" s="6" t="inlineStr">
        <is>
          <t>0.40%</t>
        </is>
      </c>
      <c r="D33" s="6" t="inlineStr">
        <is>
          <t>0.30%</t>
        </is>
      </c>
      <c r="E33" s="6" t="n"/>
    </row>
    <row r="34">
      <c r="A34" s="5" t="inlineStr">
        <is>
          <t>Liquidity Coverage Ratio — amounts in £m (“£ mil” as FCE prints it); ratios in % — simple average of 12 monthly data points, per FCE's own stated method</t>
        </is>
      </c>
      <c r="B34" s="6" t="n"/>
      <c r="C34" s="6" t="n"/>
      <c r="D34" s="6" t="n"/>
      <c r="E34" s="6" t="n"/>
    </row>
    <row r="35">
      <c r="A35" s="6" t="inlineStr">
        <is>
          <t>15    Total high-quality liquid assets (HQLA) (Weighted value-average) (£m)</t>
        </is>
      </c>
      <c r="B35" s="6" t="n">
        <v>688</v>
      </c>
      <c r="C35" s="6" t="n">
        <v>1574</v>
      </c>
      <c r="D35" s="6" t="n">
        <v>1751</v>
      </c>
      <c r="E35" s="6" t="n">
        <v>1441</v>
      </c>
    </row>
    <row r="36">
      <c r="A36" s="6" t="inlineStr">
        <is>
          <t>UK 16a    Cash outflows - Total weighted value (£m) — FY2024 restated to 1,154 by the 2025 edition; its own edition's 1,114 is kept (see note)</t>
        </is>
      </c>
      <c r="B36" s="6" t="n">
        <v>849</v>
      </c>
      <c r="C36" s="6" t="n">
        <v>1114</v>
      </c>
      <c r="D36" s="6" t="n">
        <v>1387</v>
      </c>
      <c r="E36" s="6" t="n">
        <v>1186</v>
      </c>
    </row>
    <row r="37">
      <c r="A37" s="6" t="inlineStr">
        <is>
          <t>UK 16b    Cash inflows - Total weighted value (£m)</t>
        </is>
      </c>
      <c r="B37" s="6" t="n">
        <v>646</v>
      </c>
      <c r="C37" s="6" t="n">
        <v>689</v>
      </c>
      <c r="D37" s="6" t="n">
        <v>685</v>
      </c>
      <c r="E37" s="6" t="n">
        <v>564</v>
      </c>
    </row>
    <row r="38">
      <c r="A38" s="6" t="inlineStr">
        <is>
          <t>16    Total net cash outflows (adjusted value) (£m)</t>
        </is>
      </c>
      <c r="B38" s="6" t="n">
        <v>240</v>
      </c>
      <c r="C38" s="6" t="n">
        <v>483</v>
      </c>
      <c r="D38" s="6" t="n">
        <v>703</v>
      </c>
      <c r="E38" s="6" t="n">
        <v>622</v>
      </c>
    </row>
    <row r="39">
      <c r="A39" s="6" t="inlineStr">
        <is>
          <t>17    Liquidity coverage ratio (%)</t>
        </is>
      </c>
      <c r="B39" s="6" t="inlineStr">
        <is>
          <t>303%</t>
        </is>
      </c>
      <c r="C39" s="6" t="inlineStr">
        <is>
          <t>359%</t>
        </is>
      </c>
      <c r="D39" s="6" t="inlineStr">
        <is>
          <t>260%</t>
        </is>
      </c>
      <c r="E39" s="6" t="inlineStr">
        <is>
          <t>238%</t>
        </is>
      </c>
    </row>
    <row r="40">
      <c r="A40" s="5" t="inlineStr">
        <is>
          <t>Net Stable Funding Ratio — amounts in £m (“£ mil” as FCE prints it); ratios in % — simple average of four quarterly data points, per FCE's own stated method</t>
        </is>
      </c>
      <c r="B40" s="6" t="n"/>
      <c r="C40" s="6" t="n"/>
      <c r="D40" s="6" t="n"/>
      <c r="E40" s="6" t="n"/>
    </row>
    <row r="41">
      <c r="A41" s="6" t="inlineStr">
        <is>
          <t>18    Total available stable funding - (Weighted value - average) (£m)</t>
        </is>
      </c>
      <c r="B41" s="6" t="n">
        <v>11153</v>
      </c>
      <c r="C41" s="6" t="n">
        <v>12984</v>
      </c>
      <c r="D41" s="6" t="n">
        <v>15242</v>
      </c>
      <c r="E41" s="6" t="n">
        <v>13238</v>
      </c>
    </row>
    <row r="42">
      <c r="A42" s="6" t="inlineStr">
        <is>
          <t>19    Total required stable funding - (Weighted value - average) (£m)</t>
        </is>
      </c>
      <c r="B42" s="6" t="n">
        <v>8292</v>
      </c>
      <c r="C42" s="6" t="n">
        <v>9689</v>
      </c>
      <c r="D42" s="6" t="n">
        <v>10994</v>
      </c>
      <c r="E42" s="6" t="n">
        <v>9943</v>
      </c>
    </row>
    <row r="43">
      <c r="A43" s="6" t="inlineStr">
        <is>
          <t>20    NSFR ratio (%)</t>
        </is>
      </c>
      <c r="B43" s="6" t="inlineStr">
        <is>
          <t>135%</t>
        </is>
      </c>
      <c r="C43" s="6" t="inlineStr">
        <is>
          <t>135%</t>
        </is>
      </c>
      <c r="D43" s="6" t="inlineStr">
        <is>
          <t>139%</t>
        </is>
      </c>
      <c r="E43" s="6" t="inlineStr">
        <is>
          <t>133%</t>
        </is>
      </c>
    </row>
    <row r="45" ht="409" customHeight="1">
      <c r="A45" s="8" t="inlineStr">
        <is>
          <t>Sources - FCE Bank plc's own published UK KM1 key-metrics template, reproduced in FCE's own row order, row numbering and printed precision. £ mil, FCE Bank plc consolidated basis (the same basis as every other sheet in this workbook), confirmed from each report's Executive Summary ('This report presents the Pillar 3 disclosures of FCE Bank plc (FCE) for the year ended 31 December 20XX'). Each column is taken from the edition in which that year is the reporting year:
FY2025: 2025 Annual Pillar 3 Report, 'UK KM1 - Key metrics', printed p.4, column (a) - https://www.fcebank.com/pdf/investor_center/2025/FCE%20Bank%20PLC%20-%202025%20Annual%20P3%20-%20Doc%20Final%20Published.pdf
FY2024: 2024 Annual Pillar 3 Report, 'UK KM1 - Key metrics', printed p.4, column (a) - https://www.fcebank.com/pdf/investor_center/2024/FCE%20Bank%20PLC%20-%20Annual%20Pillar%203%20Disclosures%20-%20Doc.pdf
FY2023: 2023 Annual Pillar 3 Report, 'UK KM1 - Key metrics', printed p.4, column (a) - https://www.fcebank.com/pdf/investor_center/2023/FCE%20Bank%20PLC%20-%20ANNUAL%20PILLAR%203%20REPORT%202023.pdf
FY2022: 2022 Annual Pillar 3 Report, 'UK KM1 - KEY METRICS', printed p.5, column (a) - https://www.fcebank.com/pdf/investor_center/2022/FCE%20Bank%20PLC%20-%20Annual%20Pillar%203%20%20Report.pdf
All four re-fetched and verified on 2026-09-16: HTTP 200, Content-Type application/pdf, valid %PDF magic bytes, text-native, 56 / 27 / 28 / 28 pages.
PAGE NUMBERS CORRECTED 2026-09-16. These are the PRINTED FOLIOS, and each document states its own three times over: the page's own footer reads 'FCE Bank plc ... 5' (2022 edition) or '... 4' (2023, 2024 and 2025 editions); each report's contents page lists 'UK KM1 - Key metrics ... 5' or '... 4' to match; and each report's own risk narrative cross-refers to 'KM1 on page 5' / 'KM1 on page 4'. A pdftotext sheet index runs ONE HIGHER than the folio in all four of these documents (the cover sheet is unnumbered), and an earlier version of this note cited p.3 / p.4 - one too LOW, having assumed the contents page was the thing that was off. It was not. A citation is a promise about where a reader should look, and nothing inside this workbook could have revealed the error.
PRESENTATION NOTES - all of these are things FCE did, not choices made here:
* THE COLUMN SET CHANGES BETWEEN EDITIONS. The 2023 edition prints the full five-column quarterly template (a-e: 31 Dec 2023, 30 Sep 2023, 30 Jun 2023, 31 Mar 2023, 31 Dec 2022); the 2024 and 2025 editions print only columns a and e (two year-ends); the 2022 edition prints a and b (31 Dec 2022 and 30 Jun 2022). Only year-end columns are reproduced above - a quarter-end is not a financial year. The discarded columns were read, and are recorded here so the reading is checkable: 2023 edition Sep-23 / Jun-23 / Mar-23 CET1 2,345 / 2,362 / 2,406 and RWA 13,774 / 13,906 / 13,873; 2022 edition Jun-22 CET1 2,687, RWA 11,707, CET1 ratio 22.95%.
* UK 7b IS A DASH, NOT A ZERO, AND THE SHEET CARRIES THE DASH. FCE prints an em dash ('—%') for Additional AT1 SREP requirements in every column of every edition - re-read in the FY2025, FY2024, FY2023 and FY2022 PDFs on 2026-09-18 - so each of those four cells carries a literal '-'. The dash is FCE stating that no additional AT1 SREP requirement applies to it, consistent with its holding no AT1 instruments, which is also why rows 1 and 2 are identical in every year. It is a different statement from a blank, which on this sheet means FCE published no figure at all. No printed zero appears anywhere in the year-end columns of this table; the one '0.00%' FCE prints (row 9) is in the 2022 edition's discarded 30 Jun 2022 column.</t>
        </is>
      </c>
    </row>
    <row r="47" ht="409" customHeight="1">
      <c r="A47" s="8" t="inlineStr">
        <is>
          <t>(continued)
* ROWS UK 8a, UK 9a, 10 AND UK 10a ARE A FORMAL EXCLUSION, not rows this project failed to find, and FCE states it under the table in every edition - so they are not shown as blank rows. The wording changed between editions and both are recorded: 2022 edition, 'FCE does not have Conservation, Systemic, G-SII or O-SII buffers, therefore rows UK 8a, UK 9a, 10 and UK 10a have been excluded from the above disclosure'; 2023, 2024 and 2025 editions, 'FCE is not required to hold buffers additional to those disclosed above, therefore rows UK 8a, UK 9a, 10 and UK 10a have been removed from the above disclosure'.
* ROWS UK 14a-14e ARE BLANK FOR FY2022 FOR A STATED REASON, also an exclusion rather than a gap: 'UK 14a-e are applicable to LREQ firms, which FCE is not as at 31 Dec 2022, so has been excluded from the above disclosure' (2022 edition). They appear from the 2023 edition onward. The 2023 edition independently corroborates this - it prints those five rows for its four 2023 columns and leaves its own 31 Dec 2022 comparative column blank on all five.
* ROWS 15-20 ARE AVERAGES, BY FCE'S OWN STATEMENT under the table in all four editions: the Liquidity Coverage Ratio rows 15-17 'are calculated as the simple average of 12 data points covering the noted and preceding 11 months', and the Net Stable Funding Ratio rows 18-20 'as the simple average of four data points covering the noted and preceding three quarters'. They are therefore not year-end spot figures, and the LCR and NSFR sheets in this workbook carry the same averaged figures, so the two agree.
* THE 2025 EDITION RESTATES FY2024 ROW UK 16a AND THIS SHEET DOES NOT ADOPT IT. The 2025 edition prints FY2024 cash outflows as 1,154 with an asterisk and its own footnote '*Restated prior year from GBP1,114m'. The 2024 edition's own FY2024 column printed 1,114, which is the figure above, because each year is taken from its own edition. Every other cell of the FY2024 column agrees exactly between the two editions - this is a single-cell restatement, not a general one.
* A STALE PAGE FOOTER IN THE 2023 EDITION, recorded so a later reader does not mistake the edition for the wrong year. That report's Executive Summary says 'for the year ended 31 December 2023' and its KM1 page is footed '2023 Pillar 3 Report', but several later pages in the same file are footed '2022 Pillar 3 Report'. The KM1's own column headers (31 Dec 2023 ... 31 Dec 2022) settle the question.
WHY FY2021 AND EARLIER ARE BLANK - an absence established from the documents, not a failed search. FCE published no UK KM1 before the FY2022 standalone report. Through FY2021 its Pillar 3 disclosures were a chapter inside each year's own Annual Report and used the older risk-type split ('Capital Requirement Split by Risk Type'), which is a different and shorter table, not an unnumbered KM1. Those years' capital, RWA and ratio figures are on the individual metric sheets and the RWA Breakdown sheet, sourced from that table and labelled as such; they are deliberately not reassembled into a KM1 shape here.
LATEST-EDITION CHECK (2026-09-16, FCE's own site, not our citation list and not Wayback). fcebank.com is a JavaScript single-page app whose shell now loads a new entry bundle (/assets/index-D0Iw5D8e.js) that itself lazily loads /assets/index-sDDPyUiF.js, which is still live (HTTP 200, 21,034 bytes) and is the document manifest. Enumerating it returns 79 investor-centre PDF paths. The newest Annual Pillar 3 Report is the 2025 edition and the newest Annual Report is 'FCE Bank plc Annual Report 2025', both already cited. The only 2026 item in the entire manifest is a Half Year Management Statement, which is neither a financial year nor a Pillar 3. Checked, none newer.
FCE Bank Plc (company 00772784) is the UK-regulated captive auto-finance bank for Ford Motor Company's European operations (vehicle financing/leasing across Ford's European markets, not just the UK). Does NOT take the FRS 101/102 cash-flow exemption - full Group-basis Statement of Cash Flows every year. All 5 Companies House filings (FY2021-2025) are fully scanned/image-only (0 text blocks/page); every figure was transcribed via page rendering. FY2014-FY2020 (HD-046) came from FCE's own text-native Annual Report PDFs archived via the Wayback Machine (fcebank.com/pdf/investor_center/... - see per-sheet source notes for exact capture URLs); figures were extracted directly, not OCR'd.</t>
        </is>
      </c>
    </row>
    <row r="49" ht="409" customHeight="1">
      <c r="A49" s="8" t="inlineStr">
        <is>
          <t>(continued)
FY2022's accounts were AMENDED (30 Oct 2023, replacing the original 24 Mar 2023 filing) - the amended FY2022 figures were used as the operative record for that year, since this is the entity's own correction to its own year's accounts (not a later year's restatement). Confirmed the amended FY2022 figures are internally consistent with how FY2023's own report later carries them forward as its FY2022 comparative - no discrepancy found.
FY2024's cash and cash equivalents at end of year include a genuine, disclosed 'Cash and cash equivalents in respect of discontinued operations' adjustment of £(873)m (Group basis) - a real disposal/discontinuation event that year, not a data error; kept as the entity's own disclosed reconciling item, not silently absorbed elsewhere.
FY2021's own Statement of Cash Flows classifies 'Net cash inflow/(outflow) on derivative financial instruments', 'Increase in restricted cash', and 'Decrease in restricted cash' under Financing activities (Group: £44m/£(97)m/£463m respectively, p.49); FY2022 onward reclassify these same three items under Investing activities instead. Confirmed via direct page image (p.49) - each year's own reported section placement is used, not forced into a single consistent classification across the 5 years.
HD-046 (FY2014-FY2020) methodology notes: (1) IFRS 9's three-stage ECL model was adopted 1 Jan 2018; FY2014-FY2017 instead use the IAS 39 'incurred loss' model (a single Retail/Wholesale impairment allowance, not staged) - see the Asset Quality sheet's own note. (2) IFRS 16 leases were adopted 1 Jan 2019; Right-of-use assets/Lease liabilities first appear as separate Balance Sheet lines from FY2019 (FY2014-FY2018 predate IFRS 16 entirely - no ROU/lease lines existed to report). (3) FY2014-FY2018's own Balance Sheet presents 'Due to banks and other financial institutions', 'Due to parent and related undertakings', and 'Debt securities in issue' as separate lines; FY2019 onward combine all of these into a single 'Financial liabilities' line instead (this single-line convention thus starts two years earlier than previously documented on this workbook, at FY2019 not FY2021). 'Subordinated loans' is a separate line only in FY2014-FY2018 (folded into 'Financial liabilities' from FY2019). Blank cells reflect each year's own reporting granularity, not missing data - underlying totals reconcile exactly.</t>
        </is>
      </c>
    </row>
  </sheetData>
  <mergeCells count="3">
    <mergeCell ref="A49:E49"/>
    <mergeCell ref="A47:E47"/>
    <mergeCell ref="A45:E4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FCE Bank Plc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Common Equity Tier 1 (CET1) capital (= Tier 1 Capital, no AT1 instruments held)</t>
        </is>
      </c>
      <c r="B4" s="6" t="n">
        <v>1620</v>
      </c>
      <c r="C4" s="6" t="n">
        <v>1773</v>
      </c>
      <c r="D4" s="6" t="n">
        <v>2393</v>
      </c>
      <c r="E4" s="6" t="n">
        <v>2137</v>
      </c>
      <c r="F4" s="6" t="n">
        <v>2684</v>
      </c>
      <c r="G4" s="6" t="n">
        <v>2948</v>
      </c>
      <c r="H4" s="6" t="n">
        <v>2727</v>
      </c>
      <c r="I4" s="6" t="n">
        <v>2597</v>
      </c>
      <c r="J4" s="6" t="n">
        <v>2369</v>
      </c>
      <c r="K4" s="6" t="n">
        <v>2145</v>
      </c>
      <c r="L4" s="6" t="n">
        <v>1869</v>
      </c>
      <c r="M4" s="6" t="n">
        <v>1756</v>
      </c>
    </row>
    <row r="5" ht="30" customHeight="1">
      <c r="A5" s="7" t="inlineStr">
        <is>
          <t>Note: CORRECTED 2026-09-15. Every year is now DIRECTLY DISCLOSED. FY2022-FY2025 were previously calculated or read off the Annual Report's rounded nearest-£0.1bn Tier 1/Tier 2 chart, on the since-disproven assumption that FCE stopped publishing Pillar 3 when the FY2021 Annual Report's chapter was dropped. It did not - it moved Pillar 3 into a separate annual document (see the P3_20xx_URL comment at the top of this script for why those were hard to find). All four years now come from each year's own UK KM1 'Key metrics' table, rows 1-7.</t>
        </is>
      </c>
    </row>
    <row r="7" ht="364" customHeight="1">
      <c r="A7" s="8" t="inlineStr">
        <is>
          <t xml:space="preserve">Sources - FCE Bank Plc Pillar 3 / capital basis, Group/Consolidated:
FY2022-FY2025 (ALL Pillar 3 metrics): each year's own standalone 'Annual Pillar 3 Report', table 'UK KM1 - Key metrics' (CET1/Tier 1/Total capital rows 1-3, Total RWEA row 4, capital ratios rows 5-7, leverage ratio row 14, LCR rows 15-17, NSFR rows 18-20) and table 'UK OV1 - Overview of risk weighted exposure amounts' for the RWA category split:
FY2025: 2025 Pillar 3 Report, KM1 p.4, OV1 p.15 - https://www.fcebank.com/pdf/investor_center/2025/FCE%20Bank%20PLC%20-%202025%20Annual%20P3%20-%20Doc%20Final%20Published.pdf
FY2024: 2024 Pillar 3 Report, KM1 p.4, OV1 p.15 - https://www.fcebank.com/pdf/investor_center/2024/FCE%20Bank%20PLC%20-%20Annual%20Pillar%203%20Disclosures%20-%20Doc.pdf
FY2023: 2023 Pillar 3 Report, KM1 p.4, OV1 p.14 - https://www.fcebank.com/pdf/investor_center/2023/FCE%20Bank%20PLC%20-%20ANNUAL%20PILLAR%203%20REPORT%202023.pdf
FY2022: 2022 Pillar 3 Report, KM1 p.5, OV1 p.19 - https://www.fcebank.com/pdf/investor_center/2022/FCE%20Bank%20PLC%20-%20Annual%20Pillar%203%20%20Report.pdf
(Page numbers throughout are the PRINTED folio - the number in each page's own 'FCE Bank plc ... N' footer, which also matches each report's own contents page and its own body cross-references ('as disclosed in KM1 on page 5' / 'on page 4'). They are NOT pdftotext sheet indices, which run one higher in all four of these documents because of the cover sheet. Corrected 2026-09-16 - the 2022 edition's KM1 was previously cited as p.4 here and the other three as p.3 in the KM1 sheet's own note.)
Each report's KM1/OV1 also carries the prior year-end as a comparative column, and every overlapping figure agrees exactly - FY2023's report additionally gives all four quarters of 2023 plus Dec 2022. NOTE FY2022's KM1 column b is 30 June 2022, NOT a prior year-end.
FY2021 CET1/Tier 1 Capital (exact, £2,684m) and Leverage Ratio (16.95%): Annual Report 2021, 'Pillar 3 Disclosures' Table 2 (p.135) and Table 19 (p.155) - https://find-and-update.company-information.service.gov.uk/company/00772784/filing-history/MzMzMzk0NjU4NWFkaXF6a2N4/document?format=pdf&amp;download=0
CET1 = Tier 1 Capital every year (confirmed via the FY2021 Pillar 3 Own Funds reconciliation and again in every FY2022-FY2025 KM1 - no Additional Tier 1 instruments held).
FY2021-FY2025 Total Capital Ratio cross-check: Annual Report 2025, p.5 ('Business Performance' - 'Total Capital' chart, values to the nearest £0.1bn) - https://find-and-update.company-information.service.gov.uk/company/00772784/filing-history/MzUxMTcwMTU1NGFkaXF6a2N4/document?format=pdf&amp;download=0
HISTORICAL CORRECTION (2026-09-15): FY2022-FY2025 CET1/Tier 1 Capital, the capital ratios and Total RWAs were previously CALCULATED from that rounded chart, and Leverage Ratio/LCR/NSFR were recorded as never disclosed, all on the assumption that FCE stopped publishing Pillar 3 when the FY2021 Annual Report's chapter was dropped. That was wrong: FCE moved Pillar 3 back out into a separate annual document, which the FY2025 Annual Report points to explicitly on p.9 ('Further details on FCE's capital and leverage ratio can be found in FCE's Annual Pillar 3 Report, which is published separately'). Those documents are live but not link-crawlable - see the P3_20xx_URL comment at the top of this script for how they were recovered.
HD-046 (FY2014-FY2020): every one of these years has a full, EXACT (not rounded/calculated) Pillar 3 'Own Funds'/'Capital ratio and buffers' table, either as a standalone document (FY2014) or as a 'Pillar 3 Disclosures' chapter within that year's own Annual Report (FY2015-FY2020, unaudited) - the same chapter structure the FY2021 report still carried before it was dropped from FY2022 onward:
FY2020: Annual Report 2020, Table 14 'Calculation of Own Funds' (p.162) and Table 19 'Breakdown of Leverage Exposure Measure and Calculation of Leverage Ratio' (p.167) - https://web.archive.org/web/20220615085358id_/https://www.fcebank.com/pdf/investor_center/2020_Annual_Report.pdf
FY2019: Annual Report 2019, Table 14 (p.156) and Table 19 (p.161) - https://web.archive.org/web/20220615085141id_/https://www.fcebank.com/pdf/investor_center/2019_Annual_Report.pdf
FY2018: Annual Report 2018, Table 14 (p.139) and Table 19 (p.143) - https://web.archive.org/web/20220615085110id_/https://www.fcebank.com/pdf/investor_center/2018_Annual_Report.pdf
FY2017: Annual Report 2017, Table 14 'Calculation of Own Funds' (p.121) and Table 19 'Breakdown of Leverage Exposure Measure and Calculation of Leverage Ratio' (p.124) - https://web.archive.org/web/20220615085008id_/https://www.fcebank.com/pdf/investor_center/2017_Annual_Report.pdf
FY2016: Annual Report 2016, Table 15 'Calculation of Own Funds' (pp.151-155) and Table 20 'Breakdown of Leverage Exposure Measure and Calculation of Leverage Ratio' (p.159) - https://web.archive.org/web/20220615085027id_/https://www.fcebank.com/pdf/investor_center/2016_annual_report.pdf
FY2015: Annual Report 2015, Table 15 (pp.151-155) and Table 20 (p.159) - https://web.archive.org/web/20220615085018id_/https://www.fcebank.com/pdf/investor_center/2015_annual_report.pdf
FY2014: standalone 'Pillar 3 Disclosures (excl. Remuneration) - 2014', Note 3 'Own Funds - Components of Capital' (p.18) and Note 13 'Leverage Ratio' (p.34) - https://web.archive.org/web/20211015234304id_/https://www.fcebank.com/pdf/investor_center/2014_Pillar_3_Disclosure.pdf
LCR/NSFR: not disclosed for FY2014-FY2021 - none of these terms appear as a numeric ratio anywhere in those Annual Reports or the standalone 2014 Pillar 3 document reviewed (the narrative around the FY2018-FY2020 LCR paragraph never states a ratio). This gap is REAL and ends at FY2022, when the UK KM1 template made both mandatory - see the LCR and NSFR sheets. MREL Ratio: not disclosed in any year FY2014-FY2025 - see that sheet's own note.
</t>
        </is>
      </c>
    </row>
  </sheetData>
  <mergeCells count="2">
    <mergeCell ref="A5:M5"/>
    <mergeCell ref="A7:M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FCE Bank Plc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Common Equity Tier 1 (CET1) ratio (= Tier 1 Ratio, no AT1 instruments held)</t>
        </is>
      </c>
      <c r="B4" s="6" t="inlineStr">
        <is>
          <t>16.17%</t>
        </is>
      </c>
      <c r="C4" s="6" t="inlineStr">
        <is>
          <t>17.17%</t>
        </is>
      </c>
      <c r="D4" s="6" t="inlineStr">
        <is>
          <t>17.10%</t>
        </is>
      </c>
      <c r="E4" s="6" t="inlineStr">
        <is>
          <t>16.55%</t>
        </is>
      </c>
      <c r="F4" s="6" t="inlineStr">
        <is>
          <t>23.58%</t>
        </is>
      </c>
      <c r="G4" s="6" t="inlineStr">
        <is>
          <t>19.54%</t>
        </is>
      </c>
      <c r="H4" s="6" t="inlineStr">
        <is>
          <t>16.54%</t>
        </is>
      </c>
      <c r="I4" s="6" t="inlineStr">
        <is>
          <t>14.84%</t>
        </is>
      </c>
      <c r="J4" s="6" t="inlineStr">
        <is>
          <t>14.67%</t>
        </is>
      </c>
      <c r="K4" s="6" t="inlineStr">
        <is>
          <t>14.53%</t>
        </is>
      </c>
      <c r="L4" s="6" t="inlineStr">
        <is>
          <t>15.27%</t>
        </is>
      </c>
      <c r="M4" s="6" t="inlineStr">
        <is>
          <t>16.30%</t>
        </is>
      </c>
    </row>
    <row r="5" ht="39" customHeight="1">
      <c r="A5" s="7" t="inlineStr">
        <is>
          <t>Note: CORRECTED 2026-09-15. Every year is now DIRECTLY DISCLOSED. FY2022-FY2025 were previously calculated or read off the Annual Report's rounded nearest-£0.1bn Tier 1/Tier 2 chart, on the since-disproven assumption that FCE stopped publishing Pillar 3 when the FY2021 Annual Report's chapter was dropped. It did not - it moved Pillar 3 into a separate annual document (see the P3_20xx_URL comment at the top of this script for why those were hard to find). All four years now come from each year's own UK KM1 'Key metrics' table, rows 1-7. FY2025's and FY2024's KM1 figures are independently corroborated by the FY2025 Annual Report's own capital narrative (p.9), which states the CET1 ratio as 16.17% (2024: 17.17%). FY2021 and FY2014-FY2020 also cross-checked against the exact Pillar 3 Own Funds table each year.</t>
        </is>
      </c>
    </row>
    <row r="7" ht="364" customHeight="1">
      <c r="A7" s="8" t="inlineStr">
        <is>
          <t xml:space="preserve">Sources - FCE Bank Plc Pillar 3 / capital basis, Group/Consolidated:
FY2022-FY2025 (ALL Pillar 3 metrics): each year's own standalone 'Annual Pillar 3 Report', table 'UK KM1 - Key metrics' (CET1/Tier 1/Total capital rows 1-3, Total RWEA row 4, capital ratios rows 5-7, leverage ratio row 14, LCR rows 15-17, NSFR rows 18-20) and table 'UK OV1 - Overview of risk weighted exposure amounts' for the RWA category split:
FY2025: 2025 Pillar 3 Report, KM1 p.4, OV1 p.15 - https://www.fcebank.com/pdf/investor_center/2025/FCE%20Bank%20PLC%20-%202025%20Annual%20P3%20-%20Doc%20Final%20Published.pdf
FY2024: 2024 Pillar 3 Report, KM1 p.4, OV1 p.15 - https://www.fcebank.com/pdf/investor_center/2024/FCE%20Bank%20PLC%20-%20Annual%20Pillar%203%20Disclosures%20-%20Doc.pdf
FY2023: 2023 Pillar 3 Report, KM1 p.4, OV1 p.14 - https://www.fcebank.com/pdf/investor_center/2023/FCE%20Bank%20PLC%20-%20ANNUAL%20PILLAR%203%20REPORT%202023.pdf
FY2022: 2022 Pillar 3 Report, KM1 p.5, OV1 p.19 - https://www.fcebank.com/pdf/investor_center/2022/FCE%20Bank%20PLC%20-%20Annual%20Pillar%203%20%20Report.pdf
(Page numbers throughout are the PRINTED folio - the number in each page's own 'FCE Bank plc ... N' footer, which also matches each report's own contents page and its own body cross-references ('as disclosed in KM1 on page 5' / 'on page 4'). They are NOT pdftotext sheet indices, which run one higher in all four of these documents because of the cover sheet. Corrected 2026-09-16 - the 2022 edition's KM1 was previously cited as p.4 here and the other three as p.3 in the KM1 sheet's own note.)
Each report's KM1/OV1 also carries the prior year-end as a comparative column, and every overlapping figure agrees exactly - FY2023's report additionally gives all four quarters of 2023 plus Dec 2022. NOTE FY2022's KM1 column b is 30 June 2022, NOT a prior year-end.
FY2021 CET1/Tier 1 Capital (exact, £2,684m) and Leverage Ratio (16.95%): Annual Report 2021, 'Pillar 3 Disclosures' Table 2 (p.135) and Table 19 (p.155) - https://find-and-update.company-information.service.gov.uk/company/00772784/filing-history/MzMzMzk0NjU4NWFkaXF6a2N4/document?format=pdf&amp;download=0
CET1 = Tier 1 Capital every year (confirmed via the FY2021 Pillar 3 Own Funds reconciliation and again in every FY2022-FY2025 KM1 - no Additional Tier 1 instruments held).
FY2021-FY2025 Total Capital Ratio cross-check: Annual Report 2025, p.5 ('Business Performance' - 'Total Capital' chart, values to the nearest £0.1bn) - https://find-and-update.company-information.service.gov.uk/company/00772784/filing-history/MzUxMTcwMTU1NGFkaXF6a2N4/document?format=pdf&amp;download=0
HISTORICAL CORRECTION (2026-09-15): FY2022-FY2025 CET1/Tier 1 Capital, the capital ratios and Total RWAs were previously CALCULATED from that rounded chart, and Leverage Ratio/LCR/NSFR were recorded as never disclosed, all on the assumption that FCE stopped publishing Pillar 3 when the FY2021 Annual Report's chapter was dropped. That was wrong: FCE moved Pillar 3 back out into a separate annual document, which the FY2025 Annual Report points to explicitly on p.9 ('Further details on FCE's capital and leverage ratio can be found in FCE's Annual Pillar 3 Report, which is published separately'). Those documents are live but not link-crawlable - see the P3_20xx_URL comment at the top of this script for how they were recovered.
HD-046 (FY2014-FY2020): every one of these years has a full, EXACT (not rounded/calculated) Pillar 3 'Own Funds'/'Capital ratio and buffers' table, either as a standalone document (FY2014) or as a 'Pillar 3 Disclosures' chapter within that year's own Annual Report (FY2015-FY2020, unaudited) - the same chapter structure the FY2021 report still carried before it was dropped from FY2022 onward:
FY2020: Annual Report 2020, Table 14 'Calculation of Own Funds' (p.162) and Table 19 'Breakdown of Leverage Exposure Measure and Calculation of Leverage Ratio' (p.167) - https://web.archive.org/web/20220615085358id_/https://www.fcebank.com/pdf/investor_center/2020_Annual_Report.pdf
FY2019: Annual Report 2019, Table 14 (p.156) and Table 19 (p.161) - https://web.archive.org/web/20220615085141id_/https://www.fcebank.com/pdf/investor_center/2019_Annual_Report.pdf
FY2018: Annual Report 2018, Table 14 (p.139) and Table 19 (p.143) - https://web.archive.org/web/20220615085110id_/https://www.fcebank.com/pdf/investor_center/2018_Annual_Report.pdf
FY2017: Annual Report 2017, Table 14 'Calculation of Own Funds' (p.121) and Table 19 'Breakdown of Leverage Exposure Measure and Calculation of Leverage Ratio' (p.124) - https://web.archive.org/web/20220615085008id_/https://www.fcebank.com/pdf/investor_center/2017_Annual_Report.pdf
FY2016: Annual Report 2016, Table 15 'Calculation of Own Funds' (pp.151-155) and Table 20 'Breakdown of Leverage Exposure Measure and Calculation of Leverage Ratio' (p.159) - https://web.archive.org/web/20220615085027id_/https://www.fcebank.com/pdf/investor_center/2016_annual_report.pdf
FY2015: Annual Report 2015, Table 15 (pp.151-155) and Table 20 (p.159) - https://web.archive.org/web/20220615085018id_/https://www.fcebank.com/pdf/investor_center/2015_annual_report.pdf
FY2014: standalone 'Pillar 3 Disclosures (excl. Remuneration) - 2014', Note 3 'Own Funds - Components of Capital' (p.18) and Note 13 'Leverage Ratio' (p.34) - https://web.archive.org/web/20211015234304id_/https://www.fcebank.com/pdf/investor_center/2014_Pillar_3_Disclosure.pdf
LCR/NSFR: not disclosed for FY2014-FY2021 - none of these terms appear as a numeric ratio anywhere in those Annual Reports or the standalone 2014 Pillar 3 document reviewed (the narrative around the FY2018-FY2020 LCR paragraph never states a ratio). This gap is REAL and ends at FY2022, when the UK KM1 template made both mandatory - see the LCR and NSFR sheets. MREL Ratio: not disclosed in any year FY2014-FY2025 - see that sheet's own note.
</t>
        </is>
      </c>
    </row>
  </sheetData>
  <mergeCells count="2">
    <mergeCell ref="A5:M5"/>
    <mergeCell ref="A7:M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FCE Bank Plc — Tier 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Tier 1 capital (= CET1, no AT1 instruments held)</t>
        </is>
      </c>
      <c r="B4" s="6" t="n">
        <v>1620</v>
      </c>
      <c r="C4" s="6" t="n">
        <v>1773</v>
      </c>
      <c r="D4" s="6" t="n">
        <v>2393</v>
      </c>
      <c r="E4" s="6" t="n">
        <v>2137</v>
      </c>
      <c r="F4" s="6" t="n">
        <v>2684</v>
      </c>
      <c r="G4" s="6" t="n">
        <v>2948</v>
      </c>
      <c r="H4" s="6" t="n">
        <v>2727</v>
      </c>
      <c r="I4" s="6" t="n">
        <v>2597</v>
      </c>
      <c r="J4" s="6" t="n">
        <v>2369</v>
      </c>
      <c r="K4" s="6" t="n">
        <v>2145</v>
      </c>
      <c r="L4" s="6" t="n">
        <v>1869</v>
      </c>
      <c r="M4" s="6" t="n">
        <v>1756</v>
      </c>
    </row>
    <row r="5" ht="30" customHeight="1">
      <c r="A5" s="7" t="inlineStr">
        <is>
          <t>Note: CORRECTED 2026-09-15. Every year is now DIRECTLY DISCLOSED. FY2022-FY2025 were previously calculated or read off the Annual Report's rounded nearest-£0.1bn Tier 1/Tier 2 chart, on the since-disproven assumption that FCE stopped publishing Pillar 3 when the FY2021 Annual Report's chapter was dropped. It did not - it moved Pillar 3 into a separate annual document (see the P3_20xx_URL comment at the top of this script for why those were hard to find). All four years now come from each year's own UK KM1 'Key metrics' table, rows 1-7.</t>
        </is>
      </c>
    </row>
    <row r="7" ht="364" customHeight="1">
      <c r="A7" s="8" t="inlineStr">
        <is>
          <t xml:space="preserve">Sources - FCE Bank Plc Pillar 3 / capital basis, Group/Consolidated:
FY2022-FY2025 (ALL Pillar 3 metrics): each year's own standalone 'Annual Pillar 3 Report', table 'UK KM1 - Key metrics' (CET1/Tier 1/Total capital rows 1-3, Total RWEA row 4, capital ratios rows 5-7, leverage ratio row 14, LCR rows 15-17, NSFR rows 18-20) and table 'UK OV1 - Overview of risk weighted exposure amounts' for the RWA category split:
FY2025: 2025 Pillar 3 Report, KM1 p.4, OV1 p.15 - https://www.fcebank.com/pdf/investor_center/2025/FCE%20Bank%20PLC%20-%202025%20Annual%20P3%20-%20Doc%20Final%20Published.pdf
FY2024: 2024 Pillar 3 Report, KM1 p.4, OV1 p.15 - https://www.fcebank.com/pdf/investor_center/2024/FCE%20Bank%20PLC%20-%20Annual%20Pillar%203%20Disclosures%20-%20Doc.pdf
FY2023: 2023 Pillar 3 Report, KM1 p.4, OV1 p.14 - https://www.fcebank.com/pdf/investor_center/2023/FCE%20Bank%20PLC%20-%20ANNUAL%20PILLAR%203%20REPORT%202023.pdf
FY2022: 2022 Pillar 3 Report, KM1 p.5, OV1 p.19 - https://www.fcebank.com/pdf/investor_center/2022/FCE%20Bank%20PLC%20-%20Annual%20Pillar%203%20%20Report.pdf
(Page numbers throughout are the PRINTED folio - the number in each page's own 'FCE Bank plc ... N' footer, which also matches each report's own contents page and its own body cross-references ('as disclosed in KM1 on page 5' / 'on page 4'). They are NOT pdftotext sheet indices, which run one higher in all four of these documents because of the cover sheet. Corrected 2026-09-16 - the 2022 edition's KM1 was previously cited as p.4 here and the other three as p.3 in the KM1 sheet's own note.)
Each report's KM1/OV1 also carries the prior year-end as a comparative column, and every overlapping figure agrees exactly - FY2023's report additionally gives all four quarters of 2023 plus Dec 2022. NOTE FY2022's KM1 column b is 30 June 2022, NOT a prior year-end.
FY2021 CET1/Tier 1 Capital (exact, £2,684m) and Leverage Ratio (16.95%): Annual Report 2021, 'Pillar 3 Disclosures' Table 2 (p.135) and Table 19 (p.155) - https://find-and-update.company-information.service.gov.uk/company/00772784/filing-history/MzMzMzk0NjU4NWFkaXF6a2N4/document?format=pdf&amp;download=0
CET1 = Tier 1 Capital every year (confirmed via the FY2021 Pillar 3 Own Funds reconciliation and again in every FY2022-FY2025 KM1 - no Additional Tier 1 instruments held).
FY2021-FY2025 Total Capital Ratio cross-check: Annual Report 2025, p.5 ('Business Performance' - 'Total Capital' chart, values to the nearest £0.1bn) - https://find-and-update.company-information.service.gov.uk/company/00772784/filing-history/MzUxMTcwMTU1NGFkaXF6a2N4/document?format=pdf&amp;download=0
HISTORICAL CORRECTION (2026-09-15): FY2022-FY2025 CET1/Tier 1 Capital, the capital ratios and Total RWAs were previously CALCULATED from that rounded chart, and Leverage Ratio/LCR/NSFR were recorded as never disclosed, all on the assumption that FCE stopped publishing Pillar 3 when the FY2021 Annual Report's chapter was dropped. That was wrong: FCE moved Pillar 3 back out into a separate annual document, which the FY2025 Annual Report points to explicitly on p.9 ('Further details on FCE's capital and leverage ratio can be found in FCE's Annual Pillar 3 Report, which is published separately'). Those documents are live but not link-crawlable - see the P3_20xx_URL comment at the top of this script for how they were recovered.
HD-046 (FY2014-FY2020): every one of these years has a full, EXACT (not rounded/calculated) Pillar 3 'Own Funds'/'Capital ratio and buffers' table, either as a standalone document (FY2014) or as a 'Pillar 3 Disclosures' chapter within that year's own Annual Report (FY2015-FY2020, unaudited) - the same chapter structure the FY2021 report still carried before it was dropped from FY2022 onward:
FY2020: Annual Report 2020, Table 14 'Calculation of Own Funds' (p.162) and Table 19 'Breakdown of Leverage Exposure Measure and Calculation of Leverage Ratio' (p.167) - https://web.archive.org/web/20220615085358id_/https://www.fcebank.com/pdf/investor_center/2020_Annual_Report.pdf
FY2019: Annual Report 2019, Table 14 (p.156) and Table 19 (p.161) - https://web.archive.org/web/20220615085141id_/https://www.fcebank.com/pdf/investor_center/2019_Annual_Report.pdf
FY2018: Annual Report 2018, Table 14 (p.139) and Table 19 (p.143) - https://web.archive.org/web/20220615085110id_/https://www.fcebank.com/pdf/investor_center/2018_Annual_Report.pdf
FY2017: Annual Report 2017, Table 14 'Calculation of Own Funds' (p.121) and Table 19 'Breakdown of Leverage Exposure Measure and Calculation of Leverage Ratio' (p.124) - https://web.archive.org/web/20220615085008id_/https://www.fcebank.com/pdf/investor_center/2017_Annual_Report.pdf
FY2016: Annual Report 2016, Table 15 'Calculation of Own Funds' (pp.151-155) and Table 20 'Breakdown of Leverage Exposure Measure and Calculation of Leverage Ratio' (p.159) - https://web.archive.org/web/20220615085027id_/https://www.fcebank.com/pdf/investor_center/2016_annual_report.pdf
FY2015: Annual Report 2015, Table 15 (pp.151-155) and Table 20 (p.159) - https://web.archive.org/web/20220615085018id_/https://www.fcebank.com/pdf/investor_center/2015_annual_report.pdf
FY2014: standalone 'Pillar 3 Disclosures (excl. Remuneration) - 2014', Note 3 'Own Funds - Components of Capital' (p.18) and Note 13 'Leverage Ratio' (p.34) - https://web.archive.org/web/20211015234304id_/https://www.fcebank.com/pdf/investor_center/2014_Pillar_3_Disclosure.pdf
LCR/NSFR: not disclosed for FY2014-FY2021 - none of these terms appear as a numeric ratio anywhere in those Annual Reports or the standalone 2014 Pillar 3 document reviewed (the narrative around the FY2018-FY2020 LCR paragraph never states a ratio). This gap is REAL and ends at FY2022, when the UK KM1 template made both mandatory - see the LCR and NSFR sheets. MREL Ratio: not disclosed in any year FY2014-FY2025 - see that sheet's own note.
</t>
        </is>
      </c>
    </row>
  </sheetData>
  <mergeCells count="2">
    <mergeCell ref="A5:M5"/>
    <mergeCell ref="A7:M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FCE Bank Plc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Tier 1 Ratio (= CET1 Ratio, no AT1 instruments held)</t>
        </is>
      </c>
      <c r="B4" s="6" t="inlineStr">
        <is>
          <t>16.17%</t>
        </is>
      </c>
      <c r="C4" s="6" t="inlineStr">
        <is>
          <t>17.17%</t>
        </is>
      </c>
      <c r="D4" s="6" t="inlineStr">
        <is>
          <t>17.10%</t>
        </is>
      </c>
      <c r="E4" s="6" t="inlineStr">
        <is>
          <t>16.55%</t>
        </is>
      </c>
      <c r="F4" s="6" t="inlineStr">
        <is>
          <t>23.58%</t>
        </is>
      </c>
      <c r="G4" s="6" t="inlineStr">
        <is>
          <t>19.54%</t>
        </is>
      </c>
      <c r="H4" s="6" t="inlineStr">
        <is>
          <t>16.54%</t>
        </is>
      </c>
      <c r="I4" s="6" t="inlineStr">
        <is>
          <t>14.84%</t>
        </is>
      </c>
      <c r="J4" s="6" t="inlineStr">
        <is>
          <t>14.67%</t>
        </is>
      </c>
      <c r="K4" s="6" t="inlineStr">
        <is>
          <t>14.53%</t>
        </is>
      </c>
      <c r="L4" s="6" t="inlineStr">
        <is>
          <t>15.27%</t>
        </is>
      </c>
      <c r="M4" s="6" t="inlineStr">
        <is>
          <t>16.30%</t>
        </is>
      </c>
    </row>
    <row r="5" ht="30" customHeight="1">
      <c r="A5" s="7" t="inlineStr">
        <is>
          <t>Note: CORRECTED 2026-09-15. Every year is now DIRECTLY DISCLOSED. FY2022-FY2025 were previously calculated or read off the Annual Report's rounded nearest-£0.1bn Tier 1/Tier 2 chart, on the since-disproven assumption that FCE stopped publishing Pillar 3 when the FY2021 Annual Report's chapter was dropped. It did not - it moved Pillar 3 into a separate annual document (see the P3_20xx_URL comment at the top of this script for why those were hard to find). All four years now come from each year's own UK KM1 'Key metrics' table, rows 1-7.</t>
        </is>
      </c>
    </row>
    <row r="7" ht="364" customHeight="1">
      <c r="A7" s="8" t="inlineStr">
        <is>
          <t xml:space="preserve">Sources - FCE Bank Plc Pillar 3 / capital basis, Group/Consolidated:
FY2022-FY2025 (ALL Pillar 3 metrics): each year's own standalone 'Annual Pillar 3 Report', table 'UK KM1 - Key metrics' (CET1/Tier 1/Total capital rows 1-3, Total RWEA row 4, capital ratios rows 5-7, leverage ratio row 14, LCR rows 15-17, NSFR rows 18-20) and table 'UK OV1 - Overview of risk weighted exposure amounts' for the RWA category split:
FY2025: 2025 Pillar 3 Report, KM1 p.4, OV1 p.15 - https://www.fcebank.com/pdf/investor_center/2025/FCE%20Bank%20PLC%20-%202025%20Annual%20P3%20-%20Doc%20Final%20Published.pdf
FY2024: 2024 Pillar 3 Report, KM1 p.4, OV1 p.15 - https://www.fcebank.com/pdf/investor_center/2024/FCE%20Bank%20PLC%20-%20Annual%20Pillar%203%20Disclosures%20-%20Doc.pdf
FY2023: 2023 Pillar 3 Report, KM1 p.4, OV1 p.14 - https://www.fcebank.com/pdf/investor_center/2023/FCE%20Bank%20PLC%20-%20ANNUAL%20PILLAR%203%20REPORT%202023.pdf
FY2022: 2022 Pillar 3 Report, KM1 p.5, OV1 p.19 - https://www.fcebank.com/pdf/investor_center/2022/FCE%20Bank%20PLC%20-%20Annual%20Pillar%203%20%20Report.pdf
(Page numbers throughout are the PRINTED folio - the number in each page's own 'FCE Bank plc ... N' footer, which also matches each report's own contents page and its own body cross-references ('as disclosed in KM1 on page 5' / 'on page 4'). They are NOT pdftotext sheet indices, which run one higher in all four of these documents because of the cover sheet. Corrected 2026-09-16 - the 2022 edition's KM1 was previously cited as p.4 here and the other three as p.3 in the KM1 sheet's own note.)
Each report's KM1/OV1 also carries the prior year-end as a comparative column, and every overlapping figure agrees exactly - FY2023's report additionally gives all four quarters of 2023 plus Dec 2022. NOTE FY2022's KM1 column b is 30 June 2022, NOT a prior year-end.
FY2021 CET1/Tier 1 Capital (exact, £2,684m) and Leverage Ratio (16.95%): Annual Report 2021, 'Pillar 3 Disclosures' Table 2 (p.135) and Table 19 (p.155) - https://find-and-update.company-information.service.gov.uk/company/00772784/filing-history/MzMzMzk0NjU4NWFkaXF6a2N4/document?format=pdf&amp;download=0
CET1 = Tier 1 Capital every year (confirmed via the FY2021 Pillar 3 Own Funds reconciliation and again in every FY2022-FY2025 KM1 - no Additional Tier 1 instruments held).
FY2021-FY2025 Total Capital Ratio cross-check: Annual Report 2025, p.5 ('Business Performance' - 'Total Capital' chart, values to the nearest £0.1bn) - https://find-and-update.company-information.service.gov.uk/company/00772784/filing-history/MzUxMTcwMTU1NGFkaXF6a2N4/document?format=pdf&amp;download=0
HISTORICAL CORRECTION (2026-09-15): FY2022-FY2025 CET1/Tier 1 Capital, the capital ratios and Total RWAs were previously CALCULATED from that rounded chart, and Leverage Ratio/LCR/NSFR were recorded as never disclosed, all on the assumption that FCE stopped publishing Pillar 3 when the FY2021 Annual Report's chapter was dropped. That was wrong: FCE moved Pillar 3 back out into a separate annual document, which the FY2025 Annual Report points to explicitly on p.9 ('Further details on FCE's capital and leverage ratio can be found in FCE's Annual Pillar 3 Report, which is published separately'). Those documents are live but not link-crawlable - see the P3_20xx_URL comment at the top of this script for how they were recovered.
HD-046 (FY2014-FY2020): every one of these years has a full, EXACT (not rounded/calculated) Pillar 3 'Own Funds'/'Capital ratio and buffers' table, either as a standalone document (FY2014) or as a 'Pillar 3 Disclosures' chapter within that year's own Annual Report (FY2015-FY2020, unaudited) - the same chapter structure the FY2021 report still carried before it was dropped from FY2022 onward:
FY2020: Annual Report 2020, Table 14 'Calculation of Own Funds' (p.162) and Table 19 'Breakdown of Leverage Exposure Measure and Calculation of Leverage Ratio' (p.167) - https://web.archive.org/web/20220615085358id_/https://www.fcebank.com/pdf/investor_center/2020_Annual_Report.pdf
FY2019: Annual Report 2019, Table 14 (p.156) and Table 19 (p.161) - https://web.archive.org/web/20220615085141id_/https://www.fcebank.com/pdf/investor_center/2019_Annual_Report.pdf
FY2018: Annual Report 2018, Table 14 (p.139) and Table 19 (p.143) - https://web.archive.org/web/20220615085110id_/https://www.fcebank.com/pdf/investor_center/2018_Annual_Report.pdf
FY2017: Annual Report 2017, Table 14 'Calculation of Own Funds' (p.121) and Table 19 'Breakdown of Leverage Exposure Measure and Calculation of Leverage Ratio' (p.124) - https://web.archive.org/web/20220615085008id_/https://www.fcebank.com/pdf/investor_center/2017_Annual_Report.pdf
FY2016: Annual Report 2016, Table 15 'Calculation of Own Funds' (pp.151-155) and Table 20 'Breakdown of Leverage Exposure Measure and Calculation of Leverage Ratio' (p.159) - https://web.archive.org/web/20220615085027id_/https://www.fcebank.com/pdf/investor_center/2016_annual_report.pdf
FY2015: Annual Report 2015, Table 15 (pp.151-155) and Table 20 (p.159) - https://web.archive.org/web/20220615085018id_/https://www.fcebank.com/pdf/investor_center/2015_annual_report.pdf
FY2014: standalone 'Pillar 3 Disclosures (excl. Remuneration) - 2014', Note 3 'Own Funds - Components of Capital' (p.18) and Note 13 'Leverage Ratio' (p.34) - https://web.archive.org/web/20211015234304id_/https://www.fcebank.com/pdf/investor_center/2014_Pillar_3_Disclosure.pdf
LCR/NSFR: not disclosed for FY2014-FY2021 - none of these terms appear as a numeric ratio anywhere in those Annual Reports or the standalone 2014 Pillar 3 document reviewed (the narrative around the FY2018-FY2020 LCR paragraph never states a ratio). This gap is REAL and ends at FY2022, when the UK KM1 template made both mandatory - see the LCR and NSFR sheets. MREL Ratio: not disclosed in any year FY2014-FY2025 - see that sheet's own note.
</t>
        </is>
      </c>
    </row>
  </sheetData>
  <mergeCells count="2">
    <mergeCell ref="A5:M5"/>
    <mergeCell ref="A7:M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FCE Bank Plc — Total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 (Tier 1 + Tier 2)</t>
        </is>
      </c>
      <c r="B4" s="6" t="n">
        <v>1869</v>
      </c>
      <c r="C4" s="6" t="n">
        <v>2021</v>
      </c>
      <c r="D4" s="6" t="n">
        <v>2700</v>
      </c>
      <c r="E4" s="6" t="n">
        <v>2457</v>
      </c>
      <c r="F4" s="6" t="n">
        <v>2994</v>
      </c>
      <c r="G4" s="6" t="n">
        <v>3287</v>
      </c>
      <c r="H4" s="6" t="n">
        <v>3073</v>
      </c>
      <c r="I4" s="6" t="n">
        <v>2915</v>
      </c>
      <c r="J4" s="6" t="n">
        <v>2746</v>
      </c>
      <c r="K4" s="6" t="n">
        <v>2493</v>
      </c>
      <c r="L4" s="6" t="n">
        <v>2118</v>
      </c>
      <c r="M4" s="6" t="n">
        <v>2003</v>
      </c>
    </row>
    <row r="5" ht="30" customHeight="1">
      <c r="A5" s="7" t="inlineStr">
        <is>
          <t>Note: CORRECTED 2026-09-15. Every year is now DIRECTLY DISCLOSED. FY2022-FY2025 were previously calculated or read off the Annual Report's rounded nearest-£0.1bn Tier 1/Tier 2 chart, on the since-disproven assumption that FCE stopped publishing Pillar 3 when the FY2021 Annual Report's chapter was dropped. It did not - it moved Pillar 3 into a separate annual document (see the P3_20xx_URL comment at the top of this script for why those were hard to find). All four years now come from each year's own UK KM1 'Key metrics' table, rows 1-7.</t>
        </is>
      </c>
    </row>
    <row r="7" ht="364" customHeight="1">
      <c r="A7" s="8" t="inlineStr">
        <is>
          <t xml:space="preserve">Sources - FCE Bank Plc Pillar 3 / capital basis, Group/Consolidated:
FY2022-FY2025 (ALL Pillar 3 metrics): each year's own standalone 'Annual Pillar 3 Report', table 'UK KM1 - Key metrics' (CET1/Tier 1/Total capital rows 1-3, Total RWEA row 4, capital ratios rows 5-7, leverage ratio row 14, LCR rows 15-17, NSFR rows 18-20) and table 'UK OV1 - Overview of risk weighted exposure amounts' for the RWA category split:
FY2025: 2025 Pillar 3 Report, KM1 p.4, OV1 p.15 - https://www.fcebank.com/pdf/investor_center/2025/FCE%20Bank%20PLC%20-%202025%20Annual%20P3%20-%20Doc%20Final%20Published.pdf
FY2024: 2024 Pillar 3 Report, KM1 p.4, OV1 p.15 - https://www.fcebank.com/pdf/investor_center/2024/FCE%20Bank%20PLC%20-%20Annual%20Pillar%203%20Disclosures%20-%20Doc.pdf
FY2023: 2023 Pillar 3 Report, KM1 p.4, OV1 p.14 - https://www.fcebank.com/pdf/investor_center/2023/FCE%20Bank%20PLC%20-%20ANNUAL%20PILLAR%203%20REPORT%202023.pdf
FY2022: 2022 Pillar 3 Report, KM1 p.5, OV1 p.19 - https://www.fcebank.com/pdf/investor_center/2022/FCE%20Bank%20PLC%20-%20Annual%20Pillar%203%20%20Report.pdf
(Page numbers throughout are the PRINTED folio - the number in each page's own 'FCE Bank plc ... N' footer, which also matches each report's own contents page and its own body cross-references ('as disclosed in KM1 on page 5' / 'on page 4'). They are NOT pdftotext sheet indices, which run one higher in all four of these documents because of the cover sheet. Corrected 2026-09-16 - the 2022 edition's KM1 was previously cited as p.4 here and the other three as p.3 in the KM1 sheet's own note.)
Each report's KM1/OV1 also carries the prior year-end as a comparative column, and every overlapping figure agrees exactly - FY2023's report additionally gives all four quarters of 2023 plus Dec 2022. NOTE FY2022's KM1 column b is 30 June 2022, NOT a prior year-end.
FY2021 CET1/Tier 1 Capital (exact, £2,684m) and Leverage Ratio (16.95%): Annual Report 2021, 'Pillar 3 Disclosures' Table 2 (p.135) and Table 19 (p.155) - https://find-and-update.company-information.service.gov.uk/company/00772784/filing-history/MzMzMzk0NjU4NWFkaXF6a2N4/document?format=pdf&amp;download=0
CET1 = Tier 1 Capital every year (confirmed via the FY2021 Pillar 3 Own Funds reconciliation and again in every FY2022-FY2025 KM1 - no Additional Tier 1 instruments held).
FY2021-FY2025 Total Capital Ratio cross-check: Annual Report 2025, p.5 ('Business Performance' - 'Total Capital' chart, values to the nearest £0.1bn) - https://find-and-update.company-information.service.gov.uk/company/00772784/filing-history/MzUxMTcwMTU1NGFkaXF6a2N4/document?format=pdf&amp;download=0
HISTORICAL CORRECTION (2026-09-15): FY2022-FY2025 CET1/Tier 1 Capital, the capital ratios and Total RWAs were previously CALCULATED from that rounded chart, and Leverage Ratio/LCR/NSFR were recorded as never disclosed, all on the assumption that FCE stopped publishing Pillar 3 when the FY2021 Annual Report's chapter was dropped. That was wrong: FCE moved Pillar 3 back out into a separate annual document, which the FY2025 Annual Report points to explicitly on p.9 ('Further details on FCE's capital and leverage ratio can be found in FCE's Annual Pillar 3 Report, which is published separately'). Those documents are live but not link-crawlable - see the P3_20xx_URL comment at the top of this script for how they were recovered.
HD-046 (FY2014-FY2020): every one of these years has a full, EXACT (not rounded/calculated) Pillar 3 'Own Funds'/'Capital ratio and buffers' table, either as a standalone document (FY2014) or as a 'Pillar 3 Disclosures' chapter within that year's own Annual Report (FY2015-FY2020, unaudited) - the same chapter structure the FY2021 report still carried before it was dropped from FY2022 onward:
FY2020: Annual Report 2020, Table 14 'Calculation of Own Funds' (p.162) and Table 19 'Breakdown of Leverage Exposure Measure and Calculation of Leverage Ratio' (p.167) - https://web.archive.org/web/20220615085358id_/https://www.fcebank.com/pdf/investor_center/2020_Annual_Report.pdf
FY2019: Annual Report 2019, Table 14 (p.156) and Table 19 (p.161) - https://web.archive.org/web/20220615085141id_/https://www.fcebank.com/pdf/investor_center/2019_Annual_Report.pdf
FY2018: Annual Report 2018, Table 14 (p.139) and Table 19 (p.143) - https://web.archive.org/web/20220615085110id_/https://www.fcebank.com/pdf/investor_center/2018_Annual_Report.pdf
FY2017: Annual Report 2017, Table 14 'Calculation of Own Funds' (p.121) and Table 19 'Breakdown of Leverage Exposure Measure and Calculation of Leverage Ratio' (p.124) - https://web.archive.org/web/20220615085008id_/https://www.fcebank.com/pdf/investor_center/2017_Annual_Report.pdf
FY2016: Annual Report 2016, Table 15 'Calculation of Own Funds' (pp.151-155) and Table 20 'Breakdown of Leverage Exposure Measure and Calculation of Leverage Ratio' (p.159) - https://web.archive.org/web/20220615085027id_/https://www.fcebank.com/pdf/investor_center/2016_annual_report.pdf
FY2015: Annual Report 2015, Table 15 (pp.151-155) and Table 20 (p.159) - https://web.archive.org/web/20220615085018id_/https://www.fcebank.com/pdf/investor_center/2015_annual_report.pdf
FY2014: standalone 'Pillar 3 Disclosures (excl. Remuneration) - 2014', Note 3 'Own Funds - Components of Capital' (p.18) and Note 13 'Leverage Ratio' (p.34) - https://web.archive.org/web/20211015234304id_/https://www.fcebank.com/pdf/investor_center/2014_Pillar_3_Disclosure.pdf
LCR/NSFR: not disclosed for FY2014-FY2021 - none of these terms appear as a numeric ratio anywhere in those Annual Reports or the standalone 2014 Pillar 3 document reviewed (the narrative around the FY2018-FY2020 LCR paragraph never states a ratio). This gap is REAL and ends at FY2022, when the UK KM1 template made both mandatory - see the LCR and NSFR sheets. MREL Ratio: not disclosed in any year FY2014-FY2025 - see that sheet's own note.
</t>
        </is>
      </c>
    </row>
  </sheetData>
  <mergeCells count="2">
    <mergeCell ref="A5:M5"/>
    <mergeCell ref="A7:M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FCE Bank Plc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 / Total Risk-Weighted Exposure Amounts</t>
        </is>
      </c>
      <c r="B4" s="6" t="inlineStr">
        <is>
          <t>18.66%</t>
        </is>
      </c>
      <c r="C4" s="6" t="inlineStr">
        <is>
          <t>19.57%</t>
        </is>
      </c>
      <c r="D4" s="6" t="inlineStr">
        <is>
          <t>19.30%</t>
        </is>
      </c>
      <c r="E4" s="6" t="inlineStr">
        <is>
          <t>19.03%</t>
        </is>
      </c>
      <c r="F4" s="6" t="inlineStr">
        <is>
          <t>26.20%</t>
        </is>
      </c>
      <c r="G4" s="6" t="inlineStr">
        <is>
          <t>21.79%</t>
        </is>
      </c>
      <c r="H4" s="6" t="inlineStr">
        <is>
          <t>18.64%</t>
        </is>
      </c>
      <c r="I4" s="6" t="inlineStr">
        <is>
          <t>16.66%</t>
        </is>
      </c>
      <c r="J4" s="6" t="inlineStr">
        <is>
          <t>17.00%</t>
        </is>
      </c>
      <c r="K4" s="6" t="inlineStr">
        <is>
          <t>16.89%</t>
        </is>
      </c>
      <c r="L4" s="6" t="inlineStr">
        <is>
          <t>17.31%</t>
        </is>
      </c>
      <c r="M4" s="6" t="inlineStr">
        <is>
          <t>18.6%</t>
        </is>
      </c>
    </row>
    <row r="5" ht="30" customHeight="1">
      <c r="A5" s="7" t="inlineStr">
        <is>
          <t>Note: Directly disclosed every year - FY2022-FY2025 from each year's own standalone Annual Pillar 3 Report, UK KM1 row 7 (these happen to agree exactly with the Annual Report's 'Business Performance' - 'Total Capital' chart, which is how they were originally sourced); FY2021 and FY2014-FY2020 from that year's own exact Pillar 3 Own Funds table.</t>
        </is>
      </c>
    </row>
    <row r="7" ht="364" customHeight="1">
      <c r="A7" s="8" t="inlineStr">
        <is>
          <t xml:space="preserve">Sources - FCE Bank Plc Pillar 3 / capital basis, Group/Consolidated:
FY2022-FY2025 (ALL Pillar 3 metrics): each year's own standalone 'Annual Pillar 3 Report', table 'UK KM1 - Key metrics' (CET1/Tier 1/Total capital rows 1-3, Total RWEA row 4, capital ratios rows 5-7, leverage ratio row 14, LCR rows 15-17, NSFR rows 18-20) and table 'UK OV1 - Overview of risk weighted exposure amounts' for the RWA category split:
FY2025: 2025 Pillar 3 Report, KM1 p.4, OV1 p.15 - https://www.fcebank.com/pdf/investor_center/2025/FCE%20Bank%20PLC%20-%202025%20Annual%20P3%20-%20Doc%20Final%20Published.pdf
FY2024: 2024 Pillar 3 Report, KM1 p.4, OV1 p.15 - https://www.fcebank.com/pdf/investor_center/2024/FCE%20Bank%20PLC%20-%20Annual%20Pillar%203%20Disclosures%20-%20Doc.pdf
FY2023: 2023 Pillar 3 Report, KM1 p.4, OV1 p.14 - https://www.fcebank.com/pdf/investor_center/2023/FCE%20Bank%20PLC%20-%20ANNUAL%20PILLAR%203%20REPORT%202023.pdf
FY2022: 2022 Pillar 3 Report, KM1 p.5, OV1 p.19 - https://www.fcebank.com/pdf/investor_center/2022/FCE%20Bank%20PLC%20-%20Annual%20Pillar%203%20%20Report.pdf
(Page numbers throughout are the PRINTED folio - the number in each page's own 'FCE Bank plc ... N' footer, which also matches each report's own contents page and its own body cross-references ('as disclosed in KM1 on page 5' / 'on page 4'). They are NOT pdftotext sheet indices, which run one higher in all four of these documents because of the cover sheet. Corrected 2026-09-16 - the 2022 edition's KM1 was previously cited as p.4 here and the other three as p.3 in the KM1 sheet's own note.)
Each report's KM1/OV1 also carries the prior year-end as a comparative column, and every overlapping figure agrees exactly - FY2023's report additionally gives all four quarters of 2023 plus Dec 2022. NOTE FY2022's KM1 column b is 30 June 2022, NOT a prior year-end.
FY2021 CET1/Tier 1 Capital (exact, £2,684m) and Leverage Ratio (16.95%): Annual Report 2021, 'Pillar 3 Disclosures' Table 2 (p.135) and Table 19 (p.155) - https://find-and-update.company-information.service.gov.uk/company/00772784/filing-history/MzMzMzk0NjU4NWFkaXF6a2N4/document?format=pdf&amp;download=0
CET1 = Tier 1 Capital every year (confirmed via the FY2021 Pillar 3 Own Funds reconciliation and again in every FY2022-FY2025 KM1 - no Additional Tier 1 instruments held).
FY2021-FY2025 Total Capital Ratio cross-check: Annual Report 2025, p.5 ('Business Performance' - 'Total Capital' chart, values to the nearest £0.1bn) - https://find-and-update.company-information.service.gov.uk/company/00772784/filing-history/MzUxMTcwMTU1NGFkaXF6a2N4/document?format=pdf&amp;download=0
HISTORICAL CORRECTION (2026-09-15): FY2022-FY2025 CET1/Tier 1 Capital, the capital ratios and Total RWAs were previously CALCULATED from that rounded chart, and Leverage Ratio/LCR/NSFR were recorded as never disclosed, all on the assumption that FCE stopped publishing Pillar 3 when the FY2021 Annual Report's chapter was dropped. That was wrong: FCE moved Pillar 3 back out into a separate annual document, which the FY2025 Annual Report points to explicitly on p.9 ('Further details on FCE's capital and leverage ratio can be found in FCE's Annual Pillar 3 Report, which is published separately'). Those documents are live but not link-crawlable - see the P3_20xx_URL comment at the top of this script for how they were recovered.
HD-046 (FY2014-FY2020): every one of these years has a full, EXACT (not rounded/calculated) Pillar 3 'Own Funds'/'Capital ratio and buffers' table, either as a standalone document (FY2014) or as a 'Pillar 3 Disclosures' chapter within that year's own Annual Report (FY2015-FY2020, unaudited) - the same chapter structure the FY2021 report still carried before it was dropped from FY2022 onward:
FY2020: Annual Report 2020, Table 14 'Calculation of Own Funds' (p.162) and Table 19 'Breakdown of Leverage Exposure Measure and Calculation of Leverage Ratio' (p.167) - https://web.archive.org/web/20220615085358id_/https://www.fcebank.com/pdf/investor_center/2020_Annual_Report.pdf
FY2019: Annual Report 2019, Table 14 (p.156) and Table 19 (p.161) - https://web.archive.org/web/20220615085141id_/https://www.fcebank.com/pdf/investor_center/2019_Annual_Report.pdf
FY2018: Annual Report 2018, Table 14 (p.139) and Table 19 (p.143) - https://web.archive.org/web/20220615085110id_/https://www.fcebank.com/pdf/investor_center/2018_Annual_Report.pdf
FY2017: Annual Report 2017, Table 14 'Calculation of Own Funds' (p.121) and Table 19 'Breakdown of Leverage Exposure Measure and Calculation of Leverage Ratio' (p.124) - https://web.archive.org/web/20220615085008id_/https://www.fcebank.com/pdf/investor_center/2017_Annual_Report.pdf
FY2016: Annual Report 2016, Table 15 'Calculation of Own Funds' (pp.151-155) and Table 20 'Breakdown of Leverage Exposure Measure and Calculation of Leverage Ratio' (p.159) - https://web.archive.org/web/20220615085027id_/https://www.fcebank.com/pdf/investor_center/2016_annual_report.pdf
FY2015: Annual Report 2015, Table 15 (pp.151-155) and Table 20 (p.159) - https://web.archive.org/web/20220615085018id_/https://www.fcebank.com/pdf/investor_center/2015_annual_report.pdf
FY2014: standalone 'Pillar 3 Disclosures (excl. Remuneration) - 2014', Note 3 'Own Funds - Components of Capital' (p.18) and Note 13 'Leverage Ratio' (p.34) - https://web.archive.org/web/20211015234304id_/https://www.fcebank.com/pdf/investor_center/2014_Pillar_3_Disclosure.pdf
LCR/NSFR: not disclosed for FY2014-FY2021 - none of these terms appear as a numeric ratio anywhere in those Annual Reports or the standalone 2014 Pillar 3 document reviewed (the narrative around the FY2018-FY2020 LCR paragraph never states a ratio). This gap is REAL and ends at FY2022, when the UK KM1 template made both mandatory - see the LCR and NSFR sheets. MREL Ratio: not disclosed in any year FY2014-FY2025 - see that sheet's own note.
</t>
        </is>
      </c>
    </row>
  </sheetData>
  <mergeCells count="2">
    <mergeCell ref="A5:M5"/>
    <mergeCell ref="A7:M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FCE Bank Plc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Risk-Weighted Exposure Amounts</t>
        </is>
      </c>
      <c r="B4" s="6" t="n">
        <v>10016</v>
      </c>
      <c r="C4" s="6" t="n">
        <v>10325</v>
      </c>
      <c r="D4" s="6" t="n">
        <v>13993</v>
      </c>
      <c r="E4" s="6" t="n">
        <v>12908</v>
      </c>
      <c r="F4" s="6" t="n">
        <v>11427</v>
      </c>
      <c r="G4" s="6" t="n">
        <v>15089</v>
      </c>
      <c r="H4" s="6" t="n">
        <v>16483</v>
      </c>
      <c r="I4" s="6" t="n">
        <v>17501</v>
      </c>
      <c r="J4" s="6" t="n">
        <v>16148</v>
      </c>
      <c r="K4" s="6" t="n">
        <v>14760</v>
      </c>
      <c r="L4" s="6" t="n">
        <v>12239</v>
      </c>
      <c r="M4" s="6" t="n">
        <v>10775</v>
      </c>
    </row>
    <row r="5" ht="65" customHeight="1">
      <c r="A5" s="7" t="inlineStr">
        <is>
          <t>Note: FY2021 and FY2014-FY2020 directly disclosed each year ('Total all risk types' / 'Total risk weighted assets', Pillar 3 Own Funds/RWA-split tables) - see the RWA Breakdown sheet immediately following for the full risk-category split every one of these 8 years. FY2022 CORRECTED 2026-09-12 (fresh re-verification found a standalone '2022 Pillar 3 Report' - a separate document from the Annual Report, archived on Wayback but not on the bank's live site - with a genuine UK OV1 disclosure): now directly disclosed at 12,908 (UK OV1 'Total' row, p.19), replacing the previous calculated estimate of 12,612 (Total Capital/Total Capital Ratio, which was only an approximation absent the real figure). Cross-verified against the Bank's own Q1 2023 Quarterly Pillar 3 Report's KM1 table, which restates the same 31 Dec 2022 Total risk-weighted exposure amount as 12,908 exactly. FY2023-FY2025 CORRECTED 2026-09-15: the earlier conclusion that no annual Pillar 3 document exists for these years was WRONG - FCE publishes one every year, on its live site but invisible to link-crawling (see the P3_20xx_URL comment at the top of this script). All three are now directly disclosed from each year's own UK OV1 'Total' row: FY2023 13,993 (was calculated 13,990), FY2024 10,325 (was 10,220), FY2025 10,016 (was 9,646). Each year's OV1 also carries the prior year as its comparative column, and those comparatives agree exactly with the figures recorded here.</t>
        </is>
      </c>
    </row>
    <row r="7" ht="364" customHeight="1">
      <c r="A7" s="8" t="inlineStr">
        <is>
          <t xml:space="preserve">Sources - FCE Bank Plc Pillar 3 / capital basis, Group/Consolidated:
FY2022-FY2025 (ALL Pillar 3 metrics): each year's own standalone 'Annual Pillar 3 Report', table 'UK KM1 - Key metrics' (CET1/Tier 1/Total capital rows 1-3, Total RWEA row 4, capital ratios rows 5-7, leverage ratio row 14, LCR rows 15-17, NSFR rows 18-20) and table 'UK OV1 - Overview of risk weighted exposure amounts' for the RWA category split:
FY2025: 2025 Pillar 3 Report, KM1 p.4, OV1 p.15 - https://www.fcebank.com/pdf/investor_center/2025/FCE%20Bank%20PLC%20-%202025%20Annual%20P3%20-%20Doc%20Final%20Published.pdf
FY2024: 2024 Pillar 3 Report, KM1 p.4, OV1 p.15 - https://www.fcebank.com/pdf/investor_center/2024/FCE%20Bank%20PLC%20-%20Annual%20Pillar%203%20Disclosures%20-%20Doc.pdf
FY2023: 2023 Pillar 3 Report, KM1 p.4, OV1 p.14 - https://www.fcebank.com/pdf/investor_center/2023/FCE%20Bank%20PLC%20-%20ANNUAL%20PILLAR%203%20REPORT%202023.pdf
FY2022: 2022 Pillar 3 Report, KM1 p.5, OV1 p.19 - https://www.fcebank.com/pdf/investor_center/2022/FCE%20Bank%20PLC%20-%20Annual%20Pillar%203%20%20Report.pdf
(Page numbers throughout are the PRINTED folio - the number in each page's own 'FCE Bank plc ... N' footer, which also matches each report's own contents page and its own body cross-references ('as disclosed in KM1 on page 5' / 'on page 4'). They are NOT pdftotext sheet indices, which run one higher in all four of these documents because of the cover sheet. Corrected 2026-09-16 - the 2022 edition's KM1 was previously cited as p.4 here and the other three as p.3 in the KM1 sheet's own note.)
Each report's KM1/OV1 also carries the prior year-end as a comparative column, and every overlapping figure agrees exactly - FY2023's report additionally gives all four quarters of 2023 plus Dec 2022. NOTE FY2022's KM1 column b is 30 June 2022, NOT a prior year-end.
FY2021 CET1/Tier 1 Capital (exact, £2,684m) and Leverage Ratio (16.95%): Annual Report 2021, 'Pillar 3 Disclosures' Table 2 (p.135) and Table 19 (p.155) - https://find-and-update.company-information.service.gov.uk/company/00772784/filing-history/MzMzMzk0NjU4NWFkaXF6a2N4/document?format=pdf&amp;download=0
CET1 = Tier 1 Capital every year (confirmed via the FY2021 Pillar 3 Own Funds reconciliation and again in every FY2022-FY2025 KM1 - no Additional Tier 1 instruments held).
FY2021-FY2025 Total Capital Ratio cross-check: Annual Report 2025, p.5 ('Business Performance' - 'Total Capital' chart, values to the nearest £0.1bn) - https://find-and-update.company-information.service.gov.uk/company/00772784/filing-history/MzUxMTcwMTU1NGFkaXF6a2N4/document?format=pdf&amp;download=0
HISTORICAL CORRECTION (2026-09-15): FY2022-FY2025 CET1/Tier 1 Capital, the capital ratios and Total RWAs were previously CALCULATED from that rounded chart, and Leverage Ratio/LCR/NSFR were recorded as never disclosed, all on the assumption that FCE stopped publishing Pillar 3 when the FY2021 Annual Report's chapter was dropped. That was wrong: FCE moved Pillar 3 back out into a separate annual document, which the FY2025 Annual Report points to explicitly on p.9 ('Further details on FCE's capital and leverage ratio can be found in FCE's Annual Pillar 3 Report, which is published separately'). Those documents are live but not link-crawlable - see the P3_20xx_URL comment at the top of this script for how they were recovered.
HD-046 (FY2014-FY2020): every one of these years has a full, EXACT (not rounded/calculated) Pillar 3 'Own Funds'/'Capital ratio and buffers' table, either as a standalone document (FY2014) or as a 'Pillar 3 Disclosures' chapter within that year's own Annual Report (FY2015-FY2020, unaudited) - the same chapter structure the FY2021 report still carried before it was dropped from FY2022 onward:
FY2020: Annual Report 2020, Table 14 'Calculation of Own Funds' (p.162) and Table 19 'Breakdown of Leverage Exposure Measure and Calculation of Leverage Ratio' (p.167) - https://web.archive.org/web/20220615085358id_/https://www.fcebank.com/pdf/investor_center/2020_Annual_Report.pdf
FY2019: Annual Report 2019, Table 14 (p.156) and Table 19 (p.161) - https://web.archive.org/web/20220615085141id_/https://www.fcebank.com/pdf/investor_center/2019_Annual_Report.pdf
FY2018: Annual Report 2018, Table 14 (p.139) and Table 19 (p.143) - https://web.archive.org/web/20220615085110id_/https://www.fcebank.com/pdf/investor_center/2018_Annual_Report.pdf
FY2017: Annual Report 2017, Table 14 'Calculation of Own Funds' (p.121) and Table 19 'Breakdown of Leverage Exposure Measure and Calculation of Leverage Ratio' (p.124) - https://web.archive.org/web/20220615085008id_/https://www.fcebank.com/pdf/investor_center/2017_Annual_Report.pdf
FY2016: Annual Report 2016, Table 15 'Calculation of Own Funds' (pp.151-155) and Table 20 'Breakdown of Leverage Exposure Measure and Calculation of Leverage Ratio' (p.159) - https://web.archive.org/web/20220615085027id_/https://www.fcebank.com/pdf/investor_center/2016_annual_report.pdf
FY2015: Annual Report 2015, Table 15 (pp.151-155) and Table 20 (p.159) - https://web.archive.org/web/20220615085018id_/https://www.fcebank.com/pdf/investor_center/2015_annual_report.pdf
FY2014: standalone 'Pillar 3 Disclosures (excl. Remuneration) - 2014', Note 3 'Own Funds - Components of Capital' (p.18) and Note 13 'Leverage Ratio' (p.34) - https://web.archive.org/web/20211015234304id_/https://www.fcebank.com/pdf/investor_center/2014_Pillar_3_Disclosure.pdf
LCR/NSFR: not disclosed for FY2014-FY2021 - none of these terms appear as a numeric ratio anywhere in those Annual Reports or the standalone 2014 Pillar 3 document reviewed (the narrative around the FY2018-FY2020 LCR paragraph never states a ratio). This gap is REAL and ends at FY2022, when the UK KM1 template made both mandatory - see the LCR and NSFR sheets. MREL Ratio: not disclosed in any year FY2014-FY2025 - see that sheet's own note.
</t>
        </is>
      </c>
    </row>
  </sheetData>
  <mergeCells count="2">
    <mergeCell ref="A5:M5"/>
    <mergeCell ref="A7:M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FCE Bank Plc — RWA Breakdown</t>
        </is>
      </c>
    </row>
    <row r="2">
      <c r="A2" s="2" t="inlineStr">
        <is>
          <t>FY2014-FY2021: Consolidated, older risk-type split. FY2022-FY2025: UK OV1 template (different category granularity - see source note). Market risk shows a disclosed nil (0), not a gap, in FY2024 and FY2025 - FCE has no trading book and reported '—' in both years. £m.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row>
    <row r="4">
      <c r="A4" s="5" t="inlineStr">
        <is>
          <t>Credit risk</t>
        </is>
      </c>
      <c r="B4" s="6" t="n"/>
      <c r="C4" s="6" t="n"/>
      <c r="D4" s="6" t="n"/>
      <c r="E4" s="6" t="n"/>
      <c r="F4" s="6" t="n"/>
      <c r="G4" s="6" t="n"/>
      <c r="H4" s="6" t="n"/>
      <c r="I4" s="6" t="n"/>
      <c r="J4" s="6" t="n"/>
      <c r="K4" s="6" t="n"/>
      <c r="L4" s="6" t="n"/>
      <c r="M4" s="6" t="n"/>
    </row>
    <row r="5">
      <c r="A5" s="6" t="inlineStr">
        <is>
          <t>Credit risk (excl. counterparty credit risk)</t>
        </is>
      </c>
      <c r="B5" s="6" t="n"/>
      <c r="C5" s="6" t="n"/>
      <c r="D5" s="6" t="n"/>
      <c r="E5" s="6" t="n"/>
      <c r="F5" s="6" t="n">
        <v>10238</v>
      </c>
      <c r="G5" s="6" t="n">
        <v>13491</v>
      </c>
      <c r="H5" s="6" t="n">
        <v>15083</v>
      </c>
      <c r="I5" s="6" t="n">
        <v>15907</v>
      </c>
      <c r="J5" s="6" t="n">
        <v>14818</v>
      </c>
      <c r="K5" s="6" t="n">
        <v>13163</v>
      </c>
      <c r="L5" s="6" t="n">
        <v>10973</v>
      </c>
      <c r="M5" s="6" t="n">
        <v>9580</v>
      </c>
    </row>
    <row r="6">
      <c r="A6" s="6" t="inlineStr">
        <is>
          <t>Counterparty credit risk</t>
        </is>
      </c>
      <c r="B6" s="6" t="n"/>
      <c r="C6" s="6" t="n"/>
      <c r="D6" s="6" t="n"/>
      <c r="E6" s="6" t="n"/>
      <c r="F6" s="6" t="n">
        <v>56</v>
      </c>
      <c r="G6" s="6" t="n">
        <v>92</v>
      </c>
      <c r="H6" s="6" t="n">
        <v>117</v>
      </c>
      <c r="I6" s="6" t="n">
        <v>201</v>
      </c>
      <c r="J6" s="6" t="n">
        <v>253</v>
      </c>
      <c r="K6" s="6" t="n">
        <v>280</v>
      </c>
      <c r="L6" s="6" t="n">
        <v>179</v>
      </c>
      <c r="M6" s="6" t="n">
        <v>161</v>
      </c>
    </row>
    <row r="7">
      <c r="A7" s="5" t="inlineStr">
        <is>
          <t>Total credit risk</t>
        </is>
      </c>
      <c r="B7" s="5" t="n"/>
      <c r="C7" s="5" t="n"/>
      <c r="D7" s="5" t="n"/>
      <c r="E7" s="5" t="n"/>
      <c r="F7" s="5" t="n">
        <v>10294</v>
      </c>
      <c r="G7" s="5" t="n">
        <v>13583</v>
      </c>
      <c r="H7" s="5" t="n">
        <v>15200</v>
      </c>
      <c r="I7" s="5" t="n">
        <v>16108</v>
      </c>
      <c r="J7" s="5" t="n">
        <v>15071</v>
      </c>
      <c r="K7" s="5" t="n">
        <v>13443</v>
      </c>
      <c r="L7" s="5" t="n">
        <v>11152</v>
      </c>
      <c r="M7" s="5" t="n">
        <v>9741</v>
      </c>
    </row>
    <row r="8">
      <c r="A8" s="5" t="inlineStr">
        <is>
          <t>Other risk types</t>
        </is>
      </c>
      <c r="B8" s="6" t="n"/>
      <c r="C8" s="6" t="n"/>
      <c r="D8" s="6" t="n"/>
      <c r="E8" s="6" t="n"/>
      <c r="F8" s="6" t="n"/>
      <c r="G8" s="6" t="n"/>
      <c r="H8" s="6" t="n"/>
      <c r="I8" s="6" t="n"/>
      <c r="J8" s="6" t="n"/>
      <c r="K8" s="6" t="n"/>
      <c r="L8" s="6" t="n"/>
      <c r="M8" s="6" t="n"/>
    </row>
    <row r="9">
      <c r="A9" s="6" t="inlineStr">
        <is>
          <t>Credit valuation adjustment (CVA) risk</t>
        </is>
      </c>
      <c r="B9" s="6" t="n"/>
      <c r="C9" s="6" t="n"/>
      <c r="D9" s="6" t="n"/>
      <c r="E9" s="6" t="n"/>
      <c r="F9" s="6" t="n">
        <v>33</v>
      </c>
      <c r="G9" s="6" t="n">
        <v>82</v>
      </c>
      <c r="H9" s="6" t="n">
        <v>82</v>
      </c>
      <c r="I9" s="6" t="n">
        <v>140</v>
      </c>
      <c r="J9" s="6" t="n">
        <v>181</v>
      </c>
      <c r="K9" s="6" t="n">
        <v>233</v>
      </c>
      <c r="L9" s="6" t="n">
        <v>162</v>
      </c>
      <c r="M9" s="6" t="n">
        <v>158</v>
      </c>
    </row>
    <row r="10">
      <c r="A10" s="6" t="inlineStr">
        <is>
          <t>Market risk (foreign exchange risk)</t>
        </is>
      </c>
      <c r="B10" s="6" t="n"/>
      <c r="C10" s="6" t="n"/>
      <c r="D10" s="6" t="n"/>
      <c r="E10" s="6" t="n"/>
      <c r="F10" s="6" t="n">
        <v>170</v>
      </c>
      <c r="G10" s="6" t="n">
        <v>491</v>
      </c>
      <c r="H10" s="6" t="n">
        <v>268</v>
      </c>
      <c r="I10" s="6" t="n">
        <v>371</v>
      </c>
      <c r="J10" s="6" t="n">
        <v>95</v>
      </c>
      <c r="K10" s="6" t="n">
        <v>327</v>
      </c>
      <c r="L10" s="6" t="n">
        <v>192</v>
      </c>
      <c r="M10" s="6" t="n">
        <v>182</v>
      </c>
    </row>
    <row r="11">
      <c r="A11" s="6" t="inlineStr">
        <is>
          <t>Operational risk</t>
        </is>
      </c>
      <c r="B11" s="6" t="n"/>
      <c r="C11" s="6" t="n"/>
      <c r="D11" s="6" t="n"/>
      <c r="E11" s="6" t="n"/>
      <c r="F11" s="6" t="n">
        <v>930</v>
      </c>
      <c r="G11" s="6" t="n">
        <v>933</v>
      </c>
      <c r="H11" s="6" t="n">
        <v>933</v>
      </c>
      <c r="I11" s="6" t="n">
        <v>882</v>
      </c>
      <c r="J11" s="6" t="n">
        <v>801</v>
      </c>
      <c r="K11" s="6" t="n">
        <v>757</v>
      </c>
      <c r="L11" s="6" t="n">
        <v>733</v>
      </c>
      <c r="M11" s="6" t="n">
        <v>694</v>
      </c>
    </row>
    <row r="12">
      <c r="A12" s="5" t="inlineStr">
        <is>
          <t>Total all risk types (Total RWAs)</t>
        </is>
      </c>
      <c r="B12" s="5" t="n"/>
      <c r="C12" s="5" t="n"/>
      <c r="D12" s="5" t="n"/>
      <c r="E12" s="5" t="n"/>
      <c r="F12" s="5" t="n">
        <v>11427</v>
      </c>
      <c r="G12" s="5" t="n">
        <v>15089</v>
      </c>
      <c r="H12" s="5" t="n">
        <v>16483</v>
      </c>
      <c r="I12" s="5" t="n">
        <v>17501</v>
      </c>
      <c r="J12" s="5" t="n">
        <v>16148</v>
      </c>
      <c r="K12" s="5" t="n">
        <v>14760</v>
      </c>
      <c r="L12" s="5" t="n">
        <v>12239</v>
      </c>
      <c r="M12" s="5" t="n">
        <v>10775</v>
      </c>
    </row>
    <row r="13">
      <c r="A13" s="5" t="inlineStr">
        <is>
          <t>FY2022-FY2025 (UK OV1 template, from each year's standalone Annual Pillar 3 Report)</t>
        </is>
      </c>
      <c r="B13" s="6" t="n"/>
      <c r="C13" s="6" t="n"/>
      <c r="D13" s="6" t="n"/>
      <c r="E13" s="6" t="n"/>
      <c r="F13" s="6" t="n"/>
      <c r="G13" s="6" t="n"/>
      <c r="H13" s="6" t="n"/>
      <c r="I13" s="6" t="n"/>
      <c r="J13" s="6" t="n"/>
      <c r="K13" s="6" t="n"/>
      <c r="L13" s="6" t="n"/>
      <c r="M13" s="6" t="n"/>
    </row>
    <row r="14">
      <c r="A14" s="6" t="inlineStr">
        <is>
          <t>Credit risk (excluding CCR)</t>
        </is>
      </c>
      <c r="B14" s="6" t="n">
        <v>9066</v>
      </c>
      <c r="C14" s="6" t="n">
        <v>9465</v>
      </c>
      <c r="D14" s="6" t="n">
        <v>12719</v>
      </c>
      <c r="E14" s="6" t="n">
        <v>11542</v>
      </c>
      <c r="F14" s="6" t="n"/>
      <c r="G14" s="6" t="n"/>
      <c r="H14" s="6" t="n"/>
      <c r="I14" s="6" t="n"/>
      <c r="J14" s="6" t="n"/>
      <c r="K14" s="6" t="n"/>
      <c r="L14" s="6" t="n"/>
      <c r="M14" s="6" t="n"/>
    </row>
    <row r="15">
      <c r="A15" s="6" t="inlineStr">
        <is>
          <t>Counterparty credit risk (CCR)</t>
        </is>
      </c>
      <c r="B15" s="6" t="n">
        <v>315</v>
      </c>
      <c r="C15" s="6" t="n">
        <v>344</v>
      </c>
      <c r="D15" s="6" t="n">
        <v>326</v>
      </c>
      <c r="E15" s="6" t="n">
        <v>447</v>
      </c>
      <c r="F15" s="6" t="n"/>
      <c r="G15" s="6" t="n"/>
      <c r="H15" s="6" t="n"/>
      <c r="I15" s="6" t="n"/>
      <c r="J15" s="6" t="n"/>
      <c r="K15" s="6" t="n"/>
      <c r="L15" s="6" t="n"/>
      <c r="M15" s="6" t="n"/>
    </row>
    <row r="16">
      <c r="A16" s="6" t="inlineStr">
        <is>
          <t xml:space="preserve">  of which: credit valuation adjustment (CVA)</t>
        </is>
      </c>
      <c r="B16" s="6" t="n">
        <v>224</v>
      </c>
      <c r="C16" s="6" t="n">
        <v>243</v>
      </c>
      <c r="D16" s="6" t="n">
        <v>217</v>
      </c>
      <c r="E16" s="6" t="n">
        <v>279</v>
      </c>
      <c r="F16" s="6" t="n"/>
      <c r="G16" s="6" t="n"/>
      <c r="H16" s="6" t="n"/>
      <c r="I16" s="6" t="n"/>
      <c r="J16" s="6" t="n"/>
      <c r="K16" s="6" t="n"/>
      <c r="L16" s="6" t="n"/>
      <c r="M16" s="6" t="n"/>
    </row>
    <row r="17">
      <c r="A17" s="6" t="inlineStr">
        <is>
          <t>Market risk (position, FX and commodities)</t>
        </is>
      </c>
      <c r="B17" s="6" t="n">
        <v>0</v>
      </c>
      <c r="C17" s="6" t="n">
        <v>0</v>
      </c>
      <c r="D17" s="6" t="n">
        <v>160</v>
      </c>
      <c r="E17" s="6" t="n">
        <v>79</v>
      </c>
      <c r="F17" s="6" t="n"/>
      <c r="G17" s="6" t="n"/>
      <c r="H17" s="6" t="n"/>
      <c r="I17" s="6" t="n"/>
      <c r="J17" s="6" t="n"/>
      <c r="K17" s="6" t="n"/>
      <c r="L17" s="6" t="n"/>
      <c r="M17" s="6" t="n"/>
    </row>
    <row r="18">
      <c r="A18" s="6" t="inlineStr">
        <is>
          <t>Operational risk</t>
        </is>
      </c>
      <c r="B18" s="6" t="n">
        <v>635</v>
      </c>
      <c r="C18" s="6" t="n">
        <v>515</v>
      </c>
      <c r="D18" s="6" t="n">
        <v>787</v>
      </c>
      <c r="E18" s="6" t="n">
        <v>840</v>
      </c>
      <c r="F18" s="6" t="n"/>
      <c r="G18" s="6" t="n"/>
      <c r="H18" s="6" t="n"/>
      <c r="I18" s="6" t="n"/>
      <c r="J18" s="6" t="n"/>
      <c r="K18" s="6" t="n"/>
      <c r="L18" s="6" t="n"/>
      <c r="M18" s="6" t="n"/>
    </row>
    <row r="19">
      <c r="A19" s="6" t="inlineStr">
        <is>
          <t>Amounts below thresholds for deduction (memo, excluded from Total)</t>
        </is>
      </c>
      <c r="B19" s="6" t="n">
        <v>49</v>
      </c>
      <c r="C19" s="6" t="n">
        <v>55</v>
      </c>
      <c r="D19" s="6" t="n">
        <v>45</v>
      </c>
      <c r="E19" s="6" t="n">
        <v>19</v>
      </c>
      <c r="F19" s="6" t="n"/>
      <c r="G19" s="6" t="n"/>
      <c r="H19" s="6" t="n"/>
      <c r="I19" s="6" t="n"/>
      <c r="J19" s="6" t="n"/>
      <c r="K19" s="6" t="n"/>
      <c r="L19" s="6" t="n"/>
      <c r="M19" s="6" t="n"/>
    </row>
    <row r="20">
      <c r="A20" s="5" t="inlineStr">
        <is>
          <t>Total (UK OV1 format)</t>
        </is>
      </c>
      <c r="B20" s="5" t="n">
        <v>10016</v>
      </c>
      <c r="C20" s="5" t="n">
        <v>10325</v>
      </c>
      <c r="D20" s="5" t="n">
        <v>13993</v>
      </c>
      <c r="E20" s="5" t="n">
        <v>12908</v>
      </c>
      <c r="F20" s="5" t="n"/>
      <c r="G20" s="5" t="n"/>
      <c r="H20" s="5" t="n"/>
      <c r="I20" s="5" t="n"/>
      <c r="J20" s="5" t="n"/>
      <c r="K20" s="5" t="n"/>
      <c r="L20" s="5" t="n"/>
      <c r="M20" s="5" t="n"/>
    </row>
    <row r="22" ht="409" customHeight="1">
      <c r="A22" s="8" t="inlineStr">
        <is>
          <t>Sources - FCE Bank Plc Pillar 3 / capital basis, Group/Consolidated:
FY2022-FY2025 (ALL Pillar 3 metrics): each year's own standalone 'Annual Pillar 3 Report', table 'UK KM1 - Key metrics' (CET1/Tier 1/Total capital rows 1-3, Total RWEA row 4, capital ratios rows 5-7, leverage ratio row 14, LCR rows 15-17, NSFR rows 18-20) and table 'UK OV1 - Overview of risk weighted exposure amounts' for the RWA category split:
FY2025: 2025 Pillar 3 Report, KM1 p.4, OV1 p.15 - https://www.fcebank.com/pdf/investor_center/2025/FCE%20Bank%20PLC%20-%202025%20Annual%20P3%20-%20Doc%20Final%20Published.pdf
FY2024: 2024 Pillar 3 Report, KM1 p.4, OV1 p.15 - https://www.fcebank.com/pdf/investor_center/2024/FCE%20Bank%20PLC%20-%20Annual%20Pillar%203%20Disclosures%20-%20Doc.pdf
FY2023: 2023 Pillar 3 Report, KM1 p.4, OV1 p.14 - https://www.fcebank.com/pdf/investor_center/2023/FCE%20Bank%20PLC%20-%20ANNUAL%20PILLAR%203%20REPORT%202023.pdf
FY2022: 2022 Pillar 3 Report, KM1 p.5, OV1 p.19 - https://www.fcebank.com/pdf/investor_center/2022/FCE%20Bank%20PLC%20-%20Annual%20Pillar%203%20%20Report.pdf
(Page numbers throughout are the PRINTED folio - the number in each page's own 'FCE Bank plc ... N' footer, which also matches each report's own contents page and its own body cross-references ('as disclosed in KM1 on page 5' / 'on page 4'). They are NOT pdftotext sheet indices, which run one higher in all four of these documents because of the cover sheet. Corrected 2026-09-16 - the 2022 edition's KM1 was previously cited as p.4 here and the other three as p.3 in the KM1 sheet's own note.)
Each report's KM1/OV1 also carries the prior year-end as a comparative column, and every overlapping figure agrees exactly - FY2023's report additionally gives all four quarters of 2023 plus Dec 2022. NOTE FY2022's KM1 column b is 30 June 2022, NOT a prior year-end.
FY2021 CET1/Tier 1 Capital (exact, £2,684m) and Leverage Ratio (16.95%): Annual Report 2021, 'Pillar 3 Disclosures' Table 2 (p.135) and Table 19 (p.155) - https://find-and-update.company-information.service.gov.uk/company/00772784/filing-history/MzMzMzk0NjU4NWFkaXF6a2N4/document?format=pdf&amp;download=0
CET1 = Tier 1 Capital every year (confirmed via the FY2021 Pillar 3 Own Funds reconciliation and again in every FY2022-FY2025 KM1 - no Additional Tier 1 instruments held).
FY2021-FY2025 Total Capital Ratio cross-check: Annual Report 2025, p.5 ('Business Performance' - 'Total Capital' chart, values to the nearest £0.1bn) - https://find-and-update.company-information.service.gov.uk/company/00772784/filing-history/MzUxMTcwMTU1NGFkaXF6a2N4/document?format=pdf&amp;download=0
HISTORICAL CORRECTION (2026-09-15): FY2022-FY2025 CET1/Tier 1 Capital, the capital ratios and Total RWAs were previously CALCULATED from that rounded chart, and Leverage Ratio/LCR/NSFR were recorded as never disclosed, all on the assumption that FCE stopped publishing Pillar 3 when the FY2021 Annual Report's chapter was dropped. That was wrong: FCE moved Pillar 3 back out into a separate annual document, which the FY2025 Annual Report points to explicitly on p.9 ('Further details on FCE's capital and leverage ratio can be found in FCE's Annual Pillar 3 Report, which is published separately'). Those documents are live but not link-crawlable - see the P3_20xx_URL comment at the top of this script for how they were recovered.
HD-046 (FY2014-FY2020): every one of these years has a full, EXACT (not rounded/calculated) Pillar 3 'Own Funds'/'Capital ratio and buffers' table, either as a standalone document (FY2014) or as a 'Pillar 3 Disclosures' chapter within that year's own Annual Report (FY2015-FY2020, unaudited) - the same chapter structure the FY2021 report still carried before it was dropped from FY2022 onward:
FY2020: Annual Report 2020, Table 14 'Calculation of Own Funds' (p.162) and Table 19 'Breakdown of Leverage Exposure Measure and Calculation of Leverage Ratio' (p.167) - https://web.archive.org/web/20220615085358id_/https://www.fcebank.com/pdf/investor_center/2020_Annual_Report.pdf
FY2019: Annual Report 2019, Table 14 (p.156) and Table 19 (p.161) - https://web.archive.org/web/20220615085141id_/https://www.fcebank.com/pdf/investor_center/2019_Annual_Report.pdf
FY2018: Annual Report 2018, Table 14 (p.139) and Table 19 (p.143) - https://web.archive.org/web/20220615085110id_/https://www.fcebank.com/pdf/investor_center/2018_Annual_Report.pdf
FY2017: Annual Report 2017, Table 14 'Calculation of Own Funds' (p.121) and Table 19 'Breakdown of Leverage Exposure Measure and Calculation of Leverage Ratio' (p.124) - https://web.archive.org/web/20220615085008id_/https://www.fcebank.com/pdf/investor_center/2017_Annual_Report.pdf
FY2016: Annual Report 2016, Table 15 'Calculation of Own Funds' (pp.151-155) and Table 20 'Breakdown of Leverage Exposure Measure and Calculation of Leverage Ratio' (p.159) - https://web.archive.org/web/20220615085027id_/https://www.fcebank.com/pdf/investor_center/2016_annual_report.pdf
FY2015: Annual Report 2015, Table 15 (pp.151-155) and Table 20 (p.159) - https://web.archive.org/web/20220615085018id_/https://www.fcebank.com/pdf/investor_center/2015_annual_report.pdf
FY2014: standalone 'Pillar 3 Disclosures (excl. Remuneration) - 2014', Note 3 'Own Funds - Components of Capital' (p.18) and Note 13 'Leverage Ratio' (p.34) - https://web.archive.org/web/20211015234304id_/https://www.fcebank.com/pdf/investor_center/2014_Pillar_3_Disclosure.pdf
LCR/NSFR: not disclosed for FY2014-FY2021 - none of these terms appear as a numeric ratio anywhere in those Annual Reports or the standalone 2014 Pillar 3 document reviewed (the narrative around the FY2018-FY2020 LCR paragraph never states a ratio). This gap is REAL and ends at FY2022, when the UK KM1 template made both mandatory - see the LCR and NSFR sheets. MREL Ratio: not disclosed in any year FY2014-FY2025 - see that sheet's own note.</t>
        </is>
      </c>
    </row>
    <row r="24" ht="409" customHeight="1">
      <c r="A24" s="8" t="inlineStr">
        <is>
          <t>(continued)
FY2014-FY2021: directly disclosed every year, either in the standalone 2014 Pillar 3 document (Note 5 'Pillar 1 Capital Requirement: Total - Split by Risk Type', p.21) or in that year's own Annual Report's 'Pillar 3 Disclosures' chapter (Table 5 'Capital Requirement Split by Risk Type', FY2015-FY2021) - see p3_sources() above for the exact page per year.
FY2022 RESTORED 2026-09-12 (fresh independent re-verification): the prior claim of 'no Pillar 3 chapter exists in these years' Annual Reports' was correct as far as it went (confirmed again - no 'Pillar 3 Disclosures' chapter appears in the FY2022-FY2025 Annual Reports' own contents pages) but missed that FCE separately publishes a standalone '2022 Pillar 3 Report' PDF on its own website - a real, genuine UK OV1 category-level disclosure, not a fabrication: FCE Bank plc, 2022 Pillar 3 Report, 'UK OV1 - Overview of risk weighted exposure amounts', printed p.19 - https://www.fcebank.com/pdf/investor_center/2022/FCE%20Bank%20PLC%20-%20Annual%20Pillar%203%20%20Report.pdf
SECOND CORRECTION 2026-09-16 (KM1-012). THIS PARAGRAPH PREVIOUSLY DESCRIBED THAT DOCUMENT AS 'not currently live on fcebank.com, but archived by the Wayback Machine' AND CITED A WAYBACK CAPTURE FOR IT. THAT WAS FALSE. The 2022 Annual Pillar 3 Report is live on the bank's own site, at the P3_2022_URL above, and was re-fetched on 2026-09-16 to confirm it: HTTP 200, Content-Type application/pdf, valid %PDF magic bytes, 1,657,641 bytes, 56 text-native pages. The contradiction needed no fetch to spot - THIS VERY CONSTANT states thirty lines below that all four editions were re-fetched live from fcebank.com and verified, so the note asserted the document was gone from the site in one paragraph and confirmed it was live in the next. The stale sentence was a leftover from the 2026-09-12 pass, when the site's JS-app document manifest had not yet been found and Wayback was genuinely the only route to the file; recovering the live URL on 2026-09-15 made it false, and updating the P3_20xx_URL constants without re-reading this note left it standing. The Wayback capture (https://web.archive.org/web/20240723091812/https://www.fcebank.com/pdf/investor_center/2022/FCE%20Bank%20PLC%20-%20Annual%20Pillar%203%20%20Report.pdf) remains valid and is kept here purely as a fallback against future link rot - it is not the source of any figure on this sheet.
FY2023-FY2025 CORRECTED 2026-09-15, RE-CONFIRMED 2026-09-16. THE CLAIM THAT PREVIOUSLY STOOD HERE WAS FALSE and is recorded so it is not reintroduced. It read: 'FY2023-FY2025: STILL not publicly disclosed after this fresh check - a Wayback CDX search of the bank's full investor_center archive found only one further document after the FY2022 annual report (a Q1 2023 Quarterly Pillar 3 Report...) and nothing at all for FY2024/FY2025 - confirming this is a genuine, continuing gap in the bank's own disclosure (it appears to have stopped publishing Pillar 3 reports after Q1 2023), not a search miss.'
WHY IT WAS WRONG: it was a conclusion about WAYBACK'S COVERAGE written down as a fact about FCE. FCE publishes an Annual Pillar 3 Report every year, FY2022 through FY2025, each containing a full UK OV1 table - and the FY2023/FY2024/FY2025 category figures printed on THIS VERY SHEET were transcribed from exactly those reports, so the note contradicted the rows beneath it. The reports were missed because fcebank.com is a JavaScript single-page app that renders no links to a plain fetcher and the filenames are irregular; they were recovered on 2026-09-15 from the document manifest embedded in the site's own JS bundle. This sheet's FY2022-FY2025 rows come from the four reports cited in P3_2022_URL / P3_2023_URL / P3_2024_URL / P3_2025_URL above.
RE-CONFIRMED 2026-09-16 for KM1-012, on the bank's own live site rather than from our citation list. The site's entry bundle has since changed hash (/assets/index-D0Iw5D8e.js), but it lazily loads the same /assets/index-sDDPyUiF.js that carries the manifest; that file is still live (HTTP 200, 21,034 bytes) and enumerates 79 investor-centre PDF paths, among them 'FCE Bank PLC - ANNUAL PILLAR 3 REPORT 2023.pdf', 'FCE Bank PLC - Annual Pillar 3 Disclosures - Doc.pdf' (2024) and 'FCE Bank PLC - 2025 Annual P3 - Doc Final Published.pdf'. All four editions were re-fetched and verified: HTTP 200, Content-Type application/pdf, valid %PDF magic bytes, text-native, 56/27/28/28 pages respectively.
WHY verify_workbook.py REPORTS TWO BLOCK MISMATCHES ON THIS SHEET (checked 2026-09-16, both benign). Its block-sum heuristic sums the DATA rows since the last TOTAL. On the FY2014-FY2021 block it omits the 'Total credit risk' subtotal, and including it reconciles exactly (FY2021 10,294+33+170+930 = 11,427). On the FY2022-FY2025 UK OV1 block it double-counts the 'of which: credit valuation adjustment (CVA)' row, which is a sub-row of Counterparty credit risk and not an additional category, and it also adds the 'Amounts below thresholds for deduction' row, which FCE presents as a memo item expressly outside the total. Excluding both reproduces FCE's own printed figure exactly: FY2025 9,066+315+0+635 = 10,016, FY2024 9,465+344+0+515 = 10,325, FY2023 12,719+326+160+787 = 13,993, FY2022 11,542+447+79+840 = 12,908. Both row labels already say what they are. No figure on this sheet is in question.
The one thing the old note got right is kept: FCE also published QUARTERLY Pillar 3 reports during 2023 (Q1 and Q3), which carry KM1 key metrics only and no OV1 category table, and are not financial year-ends in any case. They are not used on this sheet.</t>
        </is>
      </c>
    </row>
  </sheetData>
  <mergeCells count="2">
    <mergeCell ref="A24:M24"/>
    <mergeCell ref="A22:M2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FCE Bank Plc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Leverage Ratio (FY2014-FY2021 basis: total exposure measure incl. central bank claims)</t>
        </is>
      </c>
      <c r="B4" s="6" t="n"/>
      <c r="C4" s="6" t="n"/>
      <c r="D4" s="6" t="n"/>
      <c r="E4" s="6" t="n"/>
      <c r="F4" s="6" t="inlineStr">
        <is>
          <t>16.95%</t>
        </is>
      </c>
      <c r="G4" s="6" t="inlineStr">
        <is>
          <t>14.59%</t>
        </is>
      </c>
      <c r="H4" s="6" t="inlineStr">
        <is>
          <t>13.02%</t>
        </is>
      </c>
      <c r="I4" s="6" t="inlineStr">
        <is>
          <t>11.74%</t>
        </is>
      </c>
      <c r="J4" s="6" t="inlineStr">
        <is>
          <t>11.82%</t>
        </is>
      </c>
      <c r="K4" s="6" t="inlineStr">
        <is>
          <t>11.86%</t>
        </is>
      </c>
      <c r="L4" s="6" t="inlineStr">
        <is>
          <t>12.28%</t>
        </is>
      </c>
      <c r="M4" s="6" t="inlineStr">
        <is>
          <t>12.91%</t>
        </is>
      </c>
    </row>
    <row r="5">
      <c r="A5" s="6" t="inlineStr">
        <is>
          <t>Leverage ratio excluding claims on central banks (FY2022-FY2025 basis)</t>
        </is>
      </c>
      <c r="B5" s="6" t="inlineStr">
        <is>
          <t>12.93%</t>
        </is>
      </c>
      <c r="C5" s="6" t="inlineStr">
        <is>
          <t>13.49%</t>
        </is>
      </c>
      <c r="D5" s="6" t="inlineStr">
        <is>
          <t>14.02%</t>
        </is>
      </c>
      <c r="E5" s="6" t="inlineStr">
        <is>
          <t>13.23%</t>
        </is>
      </c>
      <c r="F5" s="6" t="n"/>
      <c r="G5" s="6" t="n"/>
      <c r="H5" s="6" t="n"/>
      <c r="I5" s="6" t="n"/>
      <c r="J5" s="6" t="n"/>
      <c r="K5" s="6" t="n"/>
      <c r="L5" s="6" t="n"/>
      <c r="M5" s="6" t="n"/>
    </row>
    <row r="6" ht="65" customHeight="1">
      <c r="A6" s="7" t="inlineStr">
        <is>
          <t>Note: Shown on TWO ROWS because the basis changes, not because the series breaks. FY2014-FY2021 are the pre-PS21/21 leverage ratio from each year's own 'Pillar 3 Disclosures' chapter (or, for FY2014, the standalone Pillar 3 document). From 1 January 2022 the UK framework moved to a measure that EXCLUDES claims on central banks, so FY2022-FY2025 are reported on that basis (UK KM1 row 14 / UK LR2 row 25 of each year's standalone Annual Pillar 3 Report). The two are not like-for-like and must not be read as a single trend - FCE's own FY2022 report restates 30 Jun 2022 on the new basis at 18.48%, well above the old-basis FY2021 16.95%.
CORRECTED 2026-09-15: FY2022-FY2025 were previously recorded as never disclosed, on the since-disproven assumption that FCE stopped publishing Pillar 3 after FY2021. Each of those reports also discloses an averaged leverage ratio (UK 14c: FY2025 13.76%, FY2024 14.12%, FY2023 13.91%), not used here since the year-end figure is the one comparable to FY2014-FY2021. Note FCE is explicitly NOT an LREQ firm - its FY2022 KM1 states rows UK 14a-e 'are applicable to LREQ firms, which FCE is not as at 31 Dec 2022' - so it is outside the scope of the UK leverage ratio REQUIREMENT while still making the standard leverage DISCLOSURE.</t>
        </is>
      </c>
    </row>
    <row r="8" ht="364" customHeight="1">
      <c r="A8" s="8" t="inlineStr">
        <is>
          <t xml:space="preserve">Sources - FCE Bank Plc Pillar 3 / capital basis, Group/Consolidated:
FY2022-FY2025 (ALL Pillar 3 metrics): each year's own standalone 'Annual Pillar 3 Report', table 'UK KM1 - Key metrics' (CET1/Tier 1/Total capital rows 1-3, Total RWEA row 4, capital ratios rows 5-7, leverage ratio row 14, LCR rows 15-17, NSFR rows 18-20) and table 'UK OV1 - Overview of risk weighted exposure amounts' for the RWA category split:
FY2025: 2025 Pillar 3 Report, KM1 p.4, OV1 p.15 - https://www.fcebank.com/pdf/investor_center/2025/FCE%20Bank%20PLC%20-%202025%20Annual%20P3%20-%20Doc%20Final%20Published.pdf
FY2024: 2024 Pillar 3 Report, KM1 p.4, OV1 p.15 - https://www.fcebank.com/pdf/investor_center/2024/FCE%20Bank%20PLC%20-%20Annual%20Pillar%203%20Disclosures%20-%20Doc.pdf
FY2023: 2023 Pillar 3 Report, KM1 p.4, OV1 p.14 - https://www.fcebank.com/pdf/investor_center/2023/FCE%20Bank%20PLC%20-%20ANNUAL%20PILLAR%203%20REPORT%202023.pdf
FY2022: 2022 Pillar 3 Report, KM1 p.5, OV1 p.19 - https://www.fcebank.com/pdf/investor_center/2022/FCE%20Bank%20PLC%20-%20Annual%20Pillar%203%20%20Report.pdf
(Page numbers throughout are the PRINTED folio - the number in each page's own 'FCE Bank plc ... N' footer, which also matches each report's own contents page and its own body cross-references ('as disclosed in KM1 on page 5' / 'on page 4'). They are NOT pdftotext sheet indices, which run one higher in all four of these documents because of the cover sheet. Corrected 2026-09-16 - the 2022 edition's KM1 was previously cited as p.4 here and the other three as p.3 in the KM1 sheet's own note.)
Each report's KM1/OV1 also carries the prior year-end as a comparative column, and every overlapping figure agrees exactly - FY2023's report additionally gives all four quarters of 2023 plus Dec 2022. NOTE FY2022's KM1 column b is 30 June 2022, NOT a prior year-end.
FY2021 CET1/Tier 1 Capital (exact, £2,684m) and Leverage Ratio (16.95%): Annual Report 2021, 'Pillar 3 Disclosures' Table 2 (p.135) and Table 19 (p.155) - https://find-and-update.company-information.service.gov.uk/company/00772784/filing-history/MzMzMzk0NjU4NWFkaXF6a2N4/document?format=pdf&amp;download=0
CET1 = Tier 1 Capital every year (confirmed via the FY2021 Pillar 3 Own Funds reconciliation and again in every FY2022-FY2025 KM1 - no Additional Tier 1 instruments held).
FY2021-FY2025 Total Capital Ratio cross-check: Annual Report 2025, p.5 ('Business Performance' - 'Total Capital' chart, values to the nearest £0.1bn) - https://find-and-update.company-information.service.gov.uk/company/00772784/filing-history/MzUxMTcwMTU1NGFkaXF6a2N4/document?format=pdf&amp;download=0
HISTORICAL CORRECTION (2026-09-15): FY2022-FY2025 CET1/Tier 1 Capital, the capital ratios and Total RWAs were previously CALCULATED from that rounded chart, and Leverage Ratio/LCR/NSFR were recorded as never disclosed, all on the assumption that FCE stopped publishing Pillar 3 when the FY2021 Annual Report's chapter was dropped. That was wrong: FCE moved Pillar 3 back out into a separate annual document, which the FY2025 Annual Report points to explicitly on p.9 ('Further details on FCE's capital and leverage ratio can be found in FCE's Annual Pillar 3 Report, which is published separately'). Those documents are live but not link-crawlable - see the P3_20xx_URL comment at the top of this script for how they were recovered.
HD-046 (FY2014-FY2020): every one of these years has a full, EXACT (not rounded/calculated) Pillar 3 'Own Funds'/'Capital ratio and buffers' table, either as a standalone document (FY2014) or as a 'Pillar 3 Disclosures' chapter within that year's own Annual Report (FY2015-FY2020, unaudited) - the same chapter structure the FY2021 report still carried before it was dropped from FY2022 onward:
FY2020: Annual Report 2020, Table 14 'Calculation of Own Funds' (p.162) and Table 19 'Breakdown of Leverage Exposure Measure and Calculation of Leverage Ratio' (p.167) - https://web.archive.org/web/20220615085358id_/https://www.fcebank.com/pdf/investor_center/2020_Annual_Report.pdf
FY2019: Annual Report 2019, Table 14 (p.156) and Table 19 (p.161) - https://web.archive.org/web/20220615085141id_/https://www.fcebank.com/pdf/investor_center/2019_Annual_Report.pdf
FY2018: Annual Report 2018, Table 14 (p.139) and Table 19 (p.143) - https://web.archive.org/web/20220615085110id_/https://www.fcebank.com/pdf/investor_center/2018_Annual_Report.pdf
FY2017: Annual Report 2017, Table 14 'Calculation of Own Funds' (p.121) and Table 19 'Breakdown of Leverage Exposure Measure and Calculation of Leverage Ratio' (p.124) - https://web.archive.org/web/20220615085008id_/https://www.fcebank.com/pdf/investor_center/2017_Annual_Report.pdf
FY2016: Annual Report 2016, Table 15 'Calculation of Own Funds' (pp.151-155) and Table 20 'Breakdown of Leverage Exposure Measure and Calculation of Leverage Ratio' (p.159) - https://web.archive.org/web/20220615085027id_/https://www.fcebank.com/pdf/investor_center/2016_annual_report.pdf
FY2015: Annual Report 2015, Table 15 (pp.151-155) and Table 20 (p.159) - https://web.archive.org/web/20220615085018id_/https://www.fcebank.com/pdf/investor_center/2015_annual_report.pdf
FY2014: standalone 'Pillar 3 Disclosures (excl. Remuneration) - 2014', Note 3 'Own Funds - Components of Capital' (p.18) and Note 13 'Leverage Ratio' (p.34) - https://web.archive.org/web/20211015234304id_/https://www.fcebank.com/pdf/investor_center/2014_Pillar_3_Disclosure.pdf
LCR/NSFR: not disclosed for FY2014-FY2021 - none of these terms appear as a numeric ratio anywhere in those Annual Reports or the standalone 2014 Pillar 3 document reviewed (the narrative around the FY2018-FY2020 LCR paragraph never states a ratio). This gap is REAL and ends at FY2022, when the UK KM1 template made both mandatory - see the LCR and NSFR sheets. MREL Ratio: not disclosed in any year FY2014-FY2025 - see that sheet's own note.
</t>
        </is>
      </c>
    </row>
  </sheetData>
  <mergeCells count="2">
    <mergeCell ref="A8:M8"/>
    <mergeCell ref="A6:M6"/>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s>
  <sheetData>
    <row r="1">
      <c r="A1" s="1" t="inlineStr">
        <is>
          <t>FCE Bank Plc — LCR</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Liquidity coverage ratio (%)</t>
        </is>
      </c>
      <c r="B4" s="6" t="inlineStr">
        <is>
          <t>303%</t>
        </is>
      </c>
      <c r="C4" s="6" t="inlineStr">
        <is>
          <t>359%</t>
        </is>
      </c>
      <c r="D4" s="6" t="inlineStr">
        <is>
          <t>260%</t>
        </is>
      </c>
      <c r="E4" s="6" t="inlineStr">
        <is>
          <t>238%</t>
        </is>
      </c>
    </row>
    <row r="5" ht="91" customHeight="1">
      <c r="A5" s="7" t="inlineStr">
        <is>
          <t>Note: CORRECTED 2026-09-15. Previously recorded as not disclosed in ANY year - that was right for FY2014-FY2021 but wrong from FY2022. FCE's standalone Annual Pillar 3 Reports disclose a full UK KM1 liquidity block (rows 15-17), giving both the HQLA/net-outflow components and the ratio. These are 12-month-average values per the KM1 template, NOT year-end spot ratios.
FY2014-FY2021 remain genuinely undisclosed: no numeric LCR appears in any of those Annual Reports or the standalone 2014 Pillar 3 document, including the FY2015-FY2021 Pillar 3 chapters' own index of the CRR articles they cover (no liquidity-ratio article listed at all) and the FY2018-FY2020 narrative LCR paragraph, which describes the regulation but never states FCE's own ratio. The FY2022 start coincides with the UK KM1 template becoming the required disclosure format, not with a change in FCE's liquidity position.</t>
        </is>
      </c>
    </row>
    <row r="7" ht="390" customHeight="1">
      <c r="A7" s="8" t="inlineStr">
        <is>
          <t>Sources - FCE Bank Plc Pillar 3 / capital basis, Group/Consolidated:
FY2022-FY2025 (ALL Pillar 3 metrics): each year's own standalone 'Annual Pillar 3 Report', table 'UK KM1 - Key metrics' (CET1/Tier 1/Total capital rows 1-3, Total RWEA row 4, capital ratios rows 5-7, leverage ratio row 14, LCR rows 15-17, NSFR rows 18-20) and table 'UK OV1 - Overview of risk weighted exposure amounts' for the RWA category split:
FY2025: 2025 Pillar 3 Report, KM1 p.4, OV1 p.15 - https://www.fcebank.com/pdf/investor_center/2025/FCE%20Bank%20PLC%20-%202025%20Annual%20P3%20-%20Doc%20Final%20Published.pdf
FY2024: 2024 Pillar 3 Report, KM1 p.4, OV1 p.15 - https://www.fcebank.com/pdf/investor_center/2024/FCE%20Bank%20PLC%20-%20Annual%20Pillar%203%20Disclosures%20-%20Doc.pdf
FY2023: 2023 Pillar 3 Report, KM1 p.4, OV1 p.14 - https://www.fcebank.com/pdf/investor_center/2023/FCE%20Bank%20PLC%20-%20ANNUAL%20PILLAR%203%20REPORT%202023.pdf
FY2022: 2022 Pillar 3 Report, KM1 p.5, OV1 p.19 - https://www.fcebank.com/pdf/investor_center/2022/FCE%20Bank%20PLC%20-%20Annual%20Pillar%203%20%20Report.pdf
(Page numbers throughout are the PRINTED folio - the number in each page's own 'FCE Bank plc ... N' footer, which also matches each report's own contents page and its own body cross-references ('as disclosed in KM1 on page 5' / 'on page 4'). They are NOT pdftotext sheet indices, which run one higher in all four of these documents because of the cover sheet. Corrected 2026-09-16 - the 2022 edition's KM1 was previously cited as p.4 here and the other three as p.3 in the KM1 sheet's own note.)
Each report's KM1/OV1 also carries the prior year-end as a comparative column, and every overlapping figure agrees exactly - FY2023's report additionally gives all four quarters of 2023 plus Dec 2022. NOTE FY2022's KM1 column b is 30 June 2022, NOT a prior year-end.
FY2021 CET1/Tier 1 Capital (exact, £2,684m) and Leverage Ratio (16.95%): Annual Report 2021, 'Pillar 3 Disclosures' Table 2 (p.135) and Table 19 (p.155) - https://find-and-update.company-information.service.gov.uk/company/00772784/filing-history/MzMzMzk0NjU4NWFkaXF6a2N4/document?format=pdf&amp;download=0
CET1 = Tier 1 Capital every year (confirmed via the FY2021 Pillar 3 Own Funds reconciliation and again in every FY2022-FY2025 KM1 - no Additional Tier 1 instruments held).
FY2021-FY2025 Total Capital Ratio cross-check: Annual Report 2025, p.5 ('Business Performance' - 'Total Capital' chart, values to the nearest £0.1bn) - https://find-and-update.company-information.service.gov.uk/company/00772784/filing-history/MzUxMTcwMTU1NGFkaXF6a2N4/document?format=pdf&amp;download=0
HISTORICAL CORRECTION (2026-09-15): FY2022-FY2025 CET1/Tier 1 Capital, the capital ratios and Total RWAs were previously CALCULATED from that rounded chart, and Leverage Ratio/LCR/NSFR were recorded as never disclosed, all on the assumption that FCE stopped publishing Pillar 3 when the FY2021 Annual Report's chapter was dropped. That was wrong: FCE moved Pillar 3 back out into a separate annual document, which the FY2025 Annual Report points to explicitly on p.9 ('Further details on FCE's capital and leverage ratio can be found in FCE's Annual Pillar 3 Report, which is published separately'). Those documents are live but not link-crawlable - see the P3_20xx_URL comment at the top of this script for how they were recovered.</t>
        </is>
      </c>
    </row>
    <row r="9" ht="286" customHeight="1">
      <c r="A9" s="8" t="inlineStr">
        <is>
          <t xml:space="preserve">(continued)
HD-046 (FY2014-FY2020): every one of these years has a full, EXACT (not rounded/calculated) Pillar 3 'Own Funds'/'Capital ratio and buffers' table, either as a standalone document (FY2014) or as a 'Pillar 3 Disclosures' chapter within that year's own Annual Report (FY2015-FY2020, unaudited) - the same chapter structure the FY2021 report still carried before it was dropped from FY2022 onward:
FY2020: Annual Report 2020, Table 14 'Calculation of Own Funds' (p.162) and Table 19 'Breakdown of Leverage Exposure Measure and Calculation of Leverage Ratio' (p.167) - https://web.archive.org/web/20220615085358id_/https://www.fcebank.com/pdf/investor_center/2020_Annual_Report.pdf
FY2019: Annual Report 2019, Table 14 (p.156) and Table 19 (p.161) - https://web.archive.org/web/20220615085141id_/https://www.fcebank.com/pdf/investor_center/2019_Annual_Report.pdf
FY2018: Annual Report 2018, Table 14 (p.139) and Table 19 (p.143) - https://web.archive.org/web/20220615085110id_/https://www.fcebank.com/pdf/investor_center/2018_Annual_Report.pdf
FY2017: Annual Report 2017, Table 14 'Calculation of Own Funds' (p.121) and Table 19 'Breakdown of Leverage Exposure Measure and Calculation of Leverage Ratio' (p.124) - https://web.archive.org/web/20220615085008id_/https://www.fcebank.com/pdf/investor_center/2017_Annual_Report.pdf
FY2016: Annual Report 2016, Table 15 'Calculation of Own Funds' (pp.151-155) and Table 20 'Breakdown of Leverage Exposure Measure and Calculation of Leverage Ratio' (p.159) - https://web.archive.org/web/20220615085027id_/https://www.fcebank.com/pdf/investor_center/2016_annual_report.pdf
FY2015: Annual Report 2015, Table 15 (pp.151-155) and Table 20 (p.159) - https://web.archive.org/web/20220615085018id_/https://www.fcebank.com/pdf/investor_center/2015_annual_report.pdf
FY2014: standalone 'Pillar 3 Disclosures (excl. Remuneration) - 2014', Note 3 'Own Funds - Components of Capital' (p.18) and Note 13 'Leverage Ratio' (p.34) - https://web.archive.org/web/20211015234304id_/https://www.fcebank.com/pdf/investor_center/2014_Pillar_3_Disclosure.pdf
LCR/NSFR: not disclosed for FY2014-FY2021 - none of these terms appear as a numeric ratio anywhere in those Annual Reports or the standalone 2014 Pillar 3 document reviewed (the narrative around the FY2018-FY2020 LCR paragraph never states a ratio). This gap is REAL and ends at FY2022, when the UK KM1 template made both mandatory - see the LCR and NSFR sheets. MREL Ratio: not disclosed in any year FY2014-FY2025 - see that sheet's own note.
</t>
        </is>
      </c>
    </row>
  </sheetData>
  <mergeCells count="3">
    <mergeCell ref="A5:E5"/>
    <mergeCell ref="A9:E9"/>
    <mergeCell ref="A7:E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s>
  <sheetData>
    <row r="1">
      <c r="A1" s="1" t="inlineStr">
        <is>
          <t>FCE Bank Plc — NSFR</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Net stable funding ratio (%)</t>
        </is>
      </c>
      <c r="B4" s="6" t="inlineStr">
        <is>
          <t>135%</t>
        </is>
      </c>
      <c r="C4" s="6" t="inlineStr">
        <is>
          <t>135%</t>
        </is>
      </c>
      <c r="D4" s="6" t="inlineStr">
        <is>
          <t>139%</t>
        </is>
      </c>
      <c r="E4" s="6" t="inlineStr">
        <is>
          <t>133%</t>
        </is>
      </c>
    </row>
    <row r="5" ht="52" customHeight="1">
      <c r="A5" s="7" t="inlineStr">
        <is>
          <t>Note: CORRECTED 2026-09-15, same correction as the LCR sheet. Disclosed from FY2022 in the UK KM1 liquidity block (rows 18-20) of each year's standalone Annual Pillar 3 Report, with the available/required stable funding components alongside. Weighted-average values per the KM1 template. FY2014-FY2021 remain genuinely undisclosed - no NSFR reference appears in any of those Annual Reports or the standalone 2014 Pillar 3 document. This is consistent with NSFR only becoming a binding UK requirement on 1 January 2022.</t>
        </is>
      </c>
    </row>
    <row r="7" ht="390" customHeight="1">
      <c r="A7" s="8" t="inlineStr">
        <is>
          <t>Sources - FCE Bank Plc Pillar 3 / capital basis, Group/Consolidated:
FY2022-FY2025 (ALL Pillar 3 metrics): each year's own standalone 'Annual Pillar 3 Report', table 'UK KM1 - Key metrics' (CET1/Tier 1/Total capital rows 1-3, Total RWEA row 4, capital ratios rows 5-7, leverage ratio row 14, LCR rows 15-17, NSFR rows 18-20) and table 'UK OV1 - Overview of risk weighted exposure amounts' for the RWA category split:
FY2025: 2025 Pillar 3 Report, KM1 p.4, OV1 p.15 - https://www.fcebank.com/pdf/investor_center/2025/FCE%20Bank%20PLC%20-%202025%20Annual%20P3%20-%20Doc%20Final%20Published.pdf
FY2024: 2024 Pillar 3 Report, KM1 p.4, OV1 p.15 - https://www.fcebank.com/pdf/investor_center/2024/FCE%20Bank%20PLC%20-%20Annual%20Pillar%203%20Disclosures%20-%20Doc.pdf
FY2023: 2023 Pillar 3 Report, KM1 p.4, OV1 p.14 - https://www.fcebank.com/pdf/investor_center/2023/FCE%20Bank%20PLC%20-%20ANNUAL%20PILLAR%203%20REPORT%202023.pdf
FY2022: 2022 Pillar 3 Report, KM1 p.5, OV1 p.19 - https://www.fcebank.com/pdf/investor_center/2022/FCE%20Bank%20PLC%20-%20Annual%20Pillar%203%20%20Report.pdf
(Page numbers throughout are the PRINTED folio - the number in each page's own 'FCE Bank plc ... N' footer, which also matches each report's own contents page and its own body cross-references ('as disclosed in KM1 on page 5' / 'on page 4'). They are NOT pdftotext sheet indices, which run one higher in all four of these documents because of the cover sheet. Corrected 2026-09-16 - the 2022 edition's KM1 was previously cited as p.4 here and the other three as p.3 in the KM1 sheet's own note.)
Each report's KM1/OV1 also carries the prior year-end as a comparative column, and every overlapping figure agrees exactly - FY2023's report additionally gives all four quarters of 2023 plus Dec 2022. NOTE FY2022's KM1 column b is 30 June 2022, NOT a prior year-end.
FY2021 CET1/Tier 1 Capital (exact, £2,684m) and Leverage Ratio (16.95%): Annual Report 2021, 'Pillar 3 Disclosures' Table 2 (p.135) and Table 19 (p.155) - https://find-and-update.company-information.service.gov.uk/company/00772784/filing-history/MzMzMzk0NjU4NWFkaXF6a2N4/document?format=pdf&amp;download=0
CET1 = Tier 1 Capital every year (confirmed via the FY2021 Pillar 3 Own Funds reconciliation and again in every FY2022-FY2025 KM1 - no Additional Tier 1 instruments held).
FY2021-FY2025 Total Capital Ratio cross-check: Annual Report 2025, p.5 ('Business Performance' - 'Total Capital' chart, values to the nearest £0.1bn) - https://find-and-update.company-information.service.gov.uk/company/00772784/filing-history/MzUxMTcwMTU1NGFkaXF6a2N4/document?format=pdf&amp;download=0
HISTORICAL CORRECTION (2026-09-15): FY2022-FY2025 CET1/Tier 1 Capital, the capital ratios and Total RWAs were previously CALCULATED from that rounded chart, and Leverage Ratio/LCR/NSFR were recorded as never disclosed, all on the assumption that FCE stopped publishing Pillar 3 when the FY2021 Annual Report's chapter was dropped. That was wrong: FCE moved Pillar 3 back out into a separate annual document, which the FY2025 Annual Report points to explicitly on p.9 ('Further details on FCE's capital and leverage ratio can be found in FCE's Annual Pillar 3 Report, which is published separately'). Those documents are live but not link-crawlable - see the P3_20xx_URL comment at the top of this script for how they were recovered.</t>
        </is>
      </c>
    </row>
    <row r="9" ht="286" customHeight="1">
      <c r="A9" s="8" t="inlineStr">
        <is>
          <t xml:space="preserve">(continued)
HD-046 (FY2014-FY2020): every one of these years has a full, EXACT (not rounded/calculated) Pillar 3 'Own Funds'/'Capital ratio and buffers' table, either as a standalone document (FY2014) or as a 'Pillar 3 Disclosures' chapter within that year's own Annual Report (FY2015-FY2020, unaudited) - the same chapter structure the FY2021 report still carried before it was dropped from FY2022 onward:
FY2020: Annual Report 2020, Table 14 'Calculation of Own Funds' (p.162) and Table 19 'Breakdown of Leverage Exposure Measure and Calculation of Leverage Ratio' (p.167) - https://web.archive.org/web/20220615085358id_/https://www.fcebank.com/pdf/investor_center/2020_Annual_Report.pdf
FY2019: Annual Report 2019, Table 14 (p.156) and Table 19 (p.161) - https://web.archive.org/web/20220615085141id_/https://www.fcebank.com/pdf/investor_center/2019_Annual_Report.pdf
FY2018: Annual Report 2018, Table 14 (p.139) and Table 19 (p.143) - https://web.archive.org/web/20220615085110id_/https://www.fcebank.com/pdf/investor_center/2018_Annual_Report.pdf
FY2017: Annual Report 2017, Table 14 'Calculation of Own Funds' (p.121) and Table 19 'Breakdown of Leverage Exposure Measure and Calculation of Leverage Ratio' (p.124) - https://web.archive.org/web/20220615085008id_/https://www.fcebank.com/pdf/investor_center/2017_Annual_Report.pdf
FY2016: Annual Report 2016, Table 15 'Calculation of Own Funds' (pp.151-155) and Table 20 'Breakdown of Leverage Exposure Measure and Calculation of Leverage Ratio' (p.159) - https://web.archive.org/web/20220615085027id_/https://www.fcebank.com/pdf/investor_center/2016_annual_report.pdf
FY2015: Annual Report 2015, Table 15 (pp.151-155) and Table 20 (p.159) - https://web.archive.org/web/20220615085018id_/https://www.fcebank.com/pdf/investor_center/2015_annual_report.pdf
FY2014: standalone 'Pillar 3 Disclosures (excl. Remuneration) - 2014', Note 3 'Own Funds - Components of Capital' (p.18) and Note 13 'Leverage Ratio' (p.34) - https://web.archive.org/web/20211015234304id_/https://www.fcebank.com/pdf/investor_center/2014_Pillar_3_Disclosure.pdf
LCR/NSFR: not disclosed for FY2014-FY2021 - none of these terms appear as a numeric ratio anywhere in those Annual Reports or the standalone 2014 Pillar 3 document reviewed (the narrative around the FY2018-FY2020 LCR paragraph never states a ratio). This gap is REAL and ends at FY2022, when the UK KM1 template made both mandatory - see the LCR and NSFR sheets. MREL Ratio: not disclosed in any year FY2014-FY2025 - see that sheet's own note.
</t>
        </is>
      </c>
    </row>
  </sheetData>
  <mergeCells count="3">
    <mergeCell ref="A5:E5"/>
    <mergeCell ref="A9:E9"/>
    <mergeCell ref="A7:E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FCE Bank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MREL Ratio</t>
        </is>
      </c>
      <c r="B4" s="6" t="inlineStr">
        <is>
          <t>Not applicable – FCE states its MREL equals its Total Capital Requirement (BoE strategy: modified insolvency); no MREL ratio - FY2025 Annual Pillar 3 Report p.5</t>
        </is>
      </c>
      <c r="C4" s="6" t="inlineStr">
        <is>
          <t>Not applicable – FCE states its MREL equals its Total Capital Requirement (BoE strategy: modified insolvency); no MREL ratio - FY2024 Annual Pillar 3 Disclosures p.5</t>
        </is>
      </c>
      <c r="D4" s="6" t="inlineStr">
        <is>
          <t>Not applicable – FCE states its MREL equals its Total Capital Requirement (BoE strategy: modified insolvency); no MREL ratio - FY2023 Annual Pillar 3 Report p.5</t>
        </is>
      </c>
      <c r="E4" s="6" t="inlineStr">
        <is>
          <t>Not applicable – FCE states its MREL equals its Total Capital Requirement (BoE strategy: modified insolvency); no MREL ratio - FY2022 Annual Pillar 3 Report p.6</t>
        </is>
      </c>
      <c r="F4" s="6" t="inlineStr">
        <is>
          <t>Not applicable – FCE states its MREL equals its Total Capital Requirement (BoE strategy: modified insolvency); no MREL ratio - FY2021 Annual Report, Pillar 3 Disclosures section p.138</t>
        </is>
      </c>
      <c r="G4" s="6" t="inlineStr">
        <is>
          <t>Not published – FCE FY2020 Annual Report has no MREL figure or mention (text probe 0 hits, 2026-09-19)</t>
        </is>
      </c>
      <c r="H4" s="6" t="inlineStr">
        <is>
          <t>Not published – FCE FY2019 Annual Report has no MREL figure or mention (text probe 0 hits, 2026-09-19)</t>
        </is>
      </c>
      <c r="I4" s="6" t="inlineStr">
        <is>
          <t>Not published – FCE FY2018 Annual Report has no MREL figure or mention (text probe 0 hits, 2026-09-19)</t>
        </is>
      </c>
      <c r="J4" s="6" t="inlineStr">
        <is>
          <t>Not published – FCE FY2017 Annual Report has no MREL figure or mention (text probe 0 hits, 2026-09-19)</t>
        </is>
      </c>
      <c r="K4" s="6" t="inlineStr">
        <is>
          <t>Not published – FCE FY2016 Annual Report has no MREL figure or mention (text probe 0 hits, 2026-09-19)</t>
        </is>
      </c>
      <c r="L4" s="6" t="inlineStr">
        <is>
          <t>Not published – FCE FY2015 Annual Report has no MREL figure or mention (text probe 0 hits, 2026-09-19)</t>
        </is>
      </c>
      <c r="M4" s="6" t="inlineStr">
        <is>
          <t>Not published – FCE 2014 Pillar 3 Disclosure and FY2014 accounts have no MREL figure or mention (text probe 0 hits, 2026-09-19)</t>
        </is>
      </c>
    </row>
    <row r="5" ht="39" customHeight="1">
      <c r="A5" s="7" t="inlineStr">
        <is>
          <t>Note: No MREL ratio is published for any of FY2014-FY2025. CORRECTED 2026-09-19 (GA-020): this note previously said no MREL reference existed in any document. In fact the FY2021 Annual Report's Pillar 3 section (p.138: 'The Bank of England has set FCE's MREL as equal to its TCR', under a modified insolvency preferred resolution strategy) and each FY2022-FY2025 Annual Pillar 3 Report (p.5/6: 'FCE's Minimum Requirement for Own Funds and Eligible Liabilities (MREL) is equal to its Total SREP Own Funds Requirement ... as it is not required to hold additional loss-absorbing instruments to support resolution') say why there is no ratio - so those years read 'Not applicable'. FY2014-FY2020 documents contain no MREL reference at all and read 'Not published'. FCE is a wholly-owned subsidiary of Ford ECO GmbH, an indirect subsidiary of Ford Motor Credit Company LLC.</t>
        </is>
      </c>
    </row>
    <row r="7" ht="364" customHeight="1">
      <c r="A7" s="8" t="inlineStr">
        <is>
          <t xml:space="preserve">Sources - FCE Bank Plc Pillar 3 / capital basis, Group/Consolidated:
FY2022-FY2025 (ALL Pillar 3 metrics): each year's own standalone 'Annual Pillar 3 Report', table 'UK KM1 - Key metrics' (CET1/Tier 1/Total capital rows 1-3, Total RWEA row 4, capital ratios rows 5-7, leverage ratio row 14, LCR rows 15-17, NSFR rows 18-20) and table 'UK OV1 - Overview of risk weighted exposure amounts' for the RWA category split:
FY2025: 2025 Pillar 3 Report, KM1 p.4, OV1 p.15 - https://www.fcebank.com/pdf/investor_center/2025/FCE%20Bank%20PLC%20-%202025%20Annual%20P3%20-%20Doc%20Final%20Published.pdf
FY2024: 2024 Pillar 3 Report, KM1 p.4, OV1 p.15 - https://www.fcebank.com/pdf/investor_center/2024/FCE%20Bank%20PLC%20-%20Annual%20Pillar%203%20Disclosures%20-%20Doc.pdf
FY2023: 2023 Pillar 3 Report, KM1 p.4, OV1 p.14 - https://www.fcebank.com/pdf/investor_center/2023/FCE%20Bank%20PLC%20-%20ANNUAL%20PILLAR%203%20REPORT%202023.pdf
FY2022: 2022 Pillar 3 Report, KM1 p.5, OV1 p.19 - https://www.fcebank.com/pdf/investor_center/2022/FCE%20Bank%20PLC%20-%20Annual%20Pillar%203%20%20Report.pdf
(Page numbers throughout are the PRINTED folio - the number in each page's own 'FCE Bank plc ... N' footer, which also matches each report's own contents page and its own body cross-references ('as disclosed in KM1 on page 5' / 'on page 4'). They are NOT pdftotext sheet indices, which run one higher in all four of these documents because of the cover sheet. Corrected 2026-09-16 - the 2022 edition's KM1 was previously cited as p.4 here and the other three as p.3 in the KM1 sheet's own note.)
Each report's KM1/OV1 also carries the prior year-end as a comparative column, and every overlapping figure agrees exactly - FY2023's report additionally gives all four quarters of 2023 plus Dec 2022. NOTE FY2022's KM1 column b is 30 June 2022, NOT a prior year-end.
FY2021 CET1/Tier 1 Capital (exact, £2,684m) and Leverage Ratio (16.95%): Annual Report 2021, 'Pillar 3 Disclosures' Table 2 (p.135) and Table 19 (p.155) - https://find-and-update.company-information.service.gov.uk/company/00772784/filing-history/MzMzMzk0NjU4NWFkaXF6a2N4/document?format=pdf&amp;download=0
CET1 = Tier 1 Capital every year (confirmed via the FY2021 Pillar 3 Own Funds reconciliation and again in every FY2022-FY2025 KM1 - no Additional Tier 1 instruments held).
FY2021-FY2025 Total Capital Ratio cross-check: Annual Report 2025, p.5 ('Business Performance' - 'Total Capital' chart, values to the nearest £0.1bn) - https://find-and-update.company-information.service.gov.uk/company/00772784/filing-history/MzUxMTcwMTU1NGFkaXF6a2N4/document?format=pdf&amp;download=0
HISTORICAL CORRECTION (2026-09-15): FY2022-FY2025 CET1/Tier 1 Capital, the capital ratios and Total RWAs were previously CALCULATED from that rounded chart, and Leverage Ratio/LCR/NSFR were recorded as never disclosed, all on the assumption that FCE stopped publishing Pillar 3 when the FY2021 Annual Report's chapter was dropped. That was wrong: FCE moved Pillar 3 back out into a separate annual document, which the FY2025 Annual Report points to explicitly on p.9 ('Further details on FCE's capital and leverage ratio can be found in FCE's Annual Pillar 3 Report, which is published separately'). Those documents are live but not link-crawlable - see the P3_20xx_URL comment at the top of this script for how they were recovered.
HD-046 (FY2014-FY2020): every one of these years has a full, EXACT (not rounded/calculated) Pillar 3 'Own Funds'/'Capital ratio and buffers' table, either as a standalone document (FY2014) or as a 'Pillar 3 Disclosures' chapter within that year's own Annual Report (FY2015-FY2020, unaudited) - the same chapter structure the FY2021 report still carried before it was dropped from FY2022 onward:
FY2020: Annual Report 2020, Table 14 'Calculation of Own Funds' (p.162) and Table 19 'Breakdown of Leverage Exposure Measure and Calculation of Leverage Ratio' (p.167) - https://web.archive.org/web/20220615085358id_/https://www.fcebank.com/pdf/investor_center/2020_Annual_Report.pdf
FY2019: Annual Report 2019, Table 14 (p.156) and Table 19 (p.161) - https://web.archive.org/web/20220615085141id_/https://www.fcebank.com/pdf/investor_center/2019_Annual_Report.pdf
FY2018: Annual Report 2018, Table 14 (p.139) and Table 19 (p.143) - https://web.archive.org/web/20220615085110id_/https://www.fcebank.com/pdf/investor_center/2018_Annual_Report.pdf
FY2017: Annual Report 2017, Table 14 'Calculation of Own Funds' (p.121) and Table 19 'Breakdown of Leverage Exposure Measure and Calculation of Leverage Ratio' (p.124) - https://web.archive.org/web/20220615085008id_/https://www.fcebank.com/pdf/investor_center/2017_Annual_Report.pdf
FY2016: Annual Report 2016, Table 15 'Calculation of Own Funds' (pp.151-155) and Table 20 'Breakdown of Leverage Exposure Measure and Calculation of Leverage Ratio' (p.159) - https://web.archive.org/web/20220615085027id_/https://www.fcebank.com/pdf/investor_center/2016_annual_report.pdf
FY2015: Annual Report 2015, Table 15 (pp.151-155) and Table 20 (p.159) - https://web.archive.org/web/20220615085018id_/https://www.fcebank.com/pdf/investor_center/2015_annual_report.pdf
FY2014: standalone 'Pillar 3 Disclosures (excl. Remuneration) - 2014', Note 3 'Own Funds - Components of Capital' (p.18) and Note 13 'Leverage Ratio' (p.34) - https://web.archive.org/web/20211015234304id_/https://www.fcebank.com/pdf/investor_center/2014_Pillar_3_Disclosure.pdf
LCR/NSFR: not disclosed for FY2014-FY2021 - none of these terms appear as a numeric ratio anywhere in those Annual Reports or the standalone 2014 Pillar 3 document reviewed (the narrative around the FY2018-FY2020 LCR paragraph never states a ratio). This gap is REAL and ends at FY2022, when the UK KM1 template made both mandatory - see the LCR and NSFR sheets. MREL Ratio: not disclosed in any year FY2014-FY2025 - see that sheet's own note.
</t>
        </is>
      </c>
    </row>
  </sheetData>
  <mergeCells count="2">
    <mergeCell ref="A5:M5"/>
    <mergeCell ref="A7:M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2026-10-10T15:08:26Z</dcterms:created>
  <dcterms:modified xmlns:dcterms="http://purl.org/dc/terms/" xmlns:xsi="http://www.w3.org/2001/XMLSchema-instance" xsi:type="dcterms:W3CDTF">2026-10-10T15:08:26Z</dcterms:modified>
</cp:coreProperties>
</file>