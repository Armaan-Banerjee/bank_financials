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'Overview'!$BS$18:$CD$18</f>
            </numRef>
          </cat>
          <val>
            <numRef>
              <f>'Overview'!$BS$19:$CD$19</f>
            </numRef>
          </val>
        </ser>
        <ser>
          <idx val="1"/>
          <order val="1"/>
          <tx>
            <strRef>
              <f>'Overview'!BR20</f>
            </strRef>
          </tx>
          <spPr>
            <a:ln xmlns:a="http://schemas.openxmlformats.org/drawingml/2006/main">
              <a:prstDash val="solid"/>
            </a:ln>
          </spPr>
          <cat>
            <numRef>
              <f>'Overview'!$BS$18:$CD$18</f>
            </numRef>
          </cat>
          <val>
            <numRef>
              <f>'Overview'!$BS$20:$CD$20</f>
            </numRef>
          </val>
        </ser>
        <ser>
          <idx val="2"/>
          <order val="2"/>
          <tx>
            <strRef>
              <f>'Overview'!BR21</f>
            </strRef>
          </tx>
          <spPr>
            <a:ln xmlns:a="http://schemas.openxmlformats.org/drawingml/2006/main">
              <a:prstDash val="solid"/>
            </a:ln>
          </spPr>
          <cat>
            <numRef>
              <f>'Overview'!$BS$18:$CD$18</f>
            </numRef>
          </cat>
          <val>
            <numRef>
              <f>'Overview'!$BS$21:$CD$21</f>
            </numRef>
          </val>
        </ser>
        <ser>
          <idx val="3"/>
          <order val="3"/>
          <tx>
            <strRef>
              <f>'Overview'!BR22</f>
            </strRef>
          </tx>
          <spPr>
            <a:ln xmlns:a="http://schemas.openxmlformats.org/drawingml/2006/main">
              <a:prstDash val="solid"/>
            </a:ln>
          </spPr>
          <cat>
            <numRef>
              <f>'Overview'!$BS$18:$CD$18</f>
            </numRef>
          </cat>
          <val>
            <numRef>
              <f>'Overview'!$BS$22:$CD$22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'Overview'!CG26</f>
            </strRef>
          </tx>
          <spPr>
            <a:ln xmlns:a="http://schemas.openxmlformats.org/drawingml/2006/main">
              <a:prstDash val="solid"/>
            </a:ln>
          </spPr>
          <cat>
            <numRef>
              <f>'Overview'!$CH$25:$DA$25</f>
            </numRef>
          </cat>
          <val>
            <numRef>
              <f>'Overview'!$CH$26:$DA$26</f>
            </numRef>
          </val>
        </ser>
        <ser>
          <idx val="1"/>
          <order val="1"/>
          <tx>
            <strRef>
              <f>'Overview'!CG27</f>
            </strRef>
          </tx>
          <spPr>
            <a:ln xmlns:a="http://schemas.openxmlformats.org/drawingml/2006/main">
              <a:prstDash val="solid"/>
            </a:ln>
          </spPr>
          <cat>
            <numRef>
              <f>'Overview'!$CH$25:$DA$25</f>
            </numRef>
          </cat>
          <val>
            <numRef>
              <f>'Overview'!$CH$27:$DA$27</f>
            </numRef>
          </val>
        </ser>
        <ser>
          <idx val="2"/>
          <order val="2"/>
          <tx>
            <strRef>
              <f>'Overview'!CG28</f>
            </strRef>
          </tx>
          <spPr>
            <a:ln xmlns:a="http://schemas.openxmlformats.org/drawingml/2006/main">
              <a:prstDash val="solid"/>
            </a:ln>
          </spPr>
          <cat>
            <numRef>
              <f>'Overview'!$CH$25:$DA$25</f>
            </numRef>
          </cat>
          <val>
            <numRef>
              <f>'Overview'!$CH$28:$DA$28</f>
            </numRef>
          </val>
        </ser>
        <ser>
          <idx val="3"/>
          <order val="3"/>
          <tx>
            <strRef>
              <f>'Overview'!CG29</f>
            </strRef>
          </tx>
          <spPr>
            <a:ln xmlns:a="http://schemas.openxmlformats.org/drawingml/2006/main">
              <a:prstDash val="solid"/>
            </a:ln>
          </spPr>
          <cat>
            <numRef>
              <f>'Overview'!$CH$25:$DA$25</f>
            </numRef>
          </cat>
          <val>
            <numRef>
              <f>'Overview'!$CH$29:$DA$29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'Overview'!DD6</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'Overview'!$DE$6:$DP$6</f>
            </numRef>
          </val>
          <smooth val="0"/>
        </ser>
        <ser>
          <idx val="1"/>
          <order val="1"/>
          <tx>
            <strRef>
              <f>'Overview'!DD7</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'Overview'!$DE$7:$DP$7</f>
            </numRef>
          </val>
          <smooth val="0"/>
        </ser>
        <ser>
          <idx val="2"/>
          <order val="2"/>
          <tx>
            <strRef>
              <f>'Overview'!DD8</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'Overview'!$DE$8:$DP$8</f>
            </numRef>
          </val>
          <smooth val="0"/>
        </ser>
        <ser>
          <idx val="3"/>
          <order val="3"/>
          <tx>
            <strRef>
              <f>'Overview'!DD9</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'Overview'!$DE$9:$DP$9</f>
            </numRef>
          </val>
          <smooth val="0"/>
        </ser>
        <ser>
          <idx val="4"/>
          <order val="4"/>
          <tx>
            <strRef>
              <f>'Overview'!DD10</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'Overview'!$DE$10:$DP$10</f>
            </numRef>
          </val>
          <smooth val="0"/>
        </ser>
        <ser>
          <idx val="5"/>
          <order val="5"/>
          <tx>
            <strRef>
              <f>'Overview'!DD11</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'Overview'!$DE$11:$DP$11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E5" t="inlineStr">
        <is>
          <t>FY2014</t>
        </is>
      </c>
      <c r="DF5" t="inlineStr">
        <is>
          <t>FY2015</t>
        </is>
      </c>
      <c r="DG5" t="inlineStr">
        <is>
          <t>FY2016</t>
        </is>
      </c>
      <c r="DH5" t="inlineStr">
        <is>
          <t>FY2017</t>
        </is>
      </c>
      <c r="DI5" t="inlineStr">
        <is>
          <t>FY2018</t>
        </is>
      </c>
      <c r="DJ5" t="inlineStr">
        <is>
          <t>FY2019</t>
        </is>
      </c>
      <c r="DK5" t="inlineStr">
        <is>
          <t>FY2020</t>
        </is>
      </c>
      <c r="DL5" t="inlineStr">
        <is>
          <t>FY2021</t>
        </is>
      </c>
      <c r="DM5" t="inlineStr">
        <is>
          <t>FY2022</t>
        </is>
      </c>
      <c r="DN5" t="inlineStr">
        <is>
          <t>FY2023</t>
        </is>
      </c>
      <c r="DO5" t="inlineStr">
        <is>
          <t>FY2024</t>
        </is>
      </c>
      <c r="DP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v>12272</v>
      </c>
      <c r="O6" s="5" t="n">
        <v>12078</v>
      </c>
      <c r="P6" s="5" t="n">
        <v>13432</v>
      </c>
      <c r="Q6" s="5" t="n">
        <v>14012</v>
      </c>
      <c r="R6" s="5" t="n">
        <v>16208</v>
      </c>
      <c r="S6" s="5" t="n">
        <v>21640</v>
      </c>
      <c r="T6" s="5" t="n">
        <v>18169</v>
      </c>
      <c r="U6" s="5" t="n">
        <v>16962</v>
      </c>
      <c r="X6" t="inlineStr">
        <is>
          <t>Total assets</t>
        </is>
      </c>
      <c r="Y6" t="n">
        <v>16962</v>
      </c>
      <c r="Z6" t="n">
        <v>18169</v>
      </c>
      <c r="AA6" t="n">
        <v>21640</v>
      </c>
      <c r="AB6" t="n">
        <v>16208</v>
      </c>
      <c r="AC6" t="n">
        <v>14012</v>
      </c>
      <c r="AD6" t="n">
        <v>13432</v>
      </c>
      <c r="AE6" t="n">
        <v>12078</v>
      </c>
      <c r="AF6" t="n">
        <v>12272</v>
      </c>
      <c r="AG6" t="n">
        <v>13049</v>
      </c>
      <c r="AH6" t="n">
        <v>14863</v>
      </c>
      <c r="AI6" t="n">
        <v>17626</v>
      </c>
      <c r="AJ6" t="n">
        <v>19598</v>
      </c>
      <c r="AK6" t="n">
        <v>21695</v>
      </c>
      <c r="AL6" t="n">
        <v>20539</v>
      </c>
      <c r="AM6" t="n">
        <v>19534</v>
      </c>
      <c r="AN6" t="n">
        <v>15065</v>
      </c>
      <c r="AO6" t="n">
        <v>17803</v>
      </c>
      <c r="AP6" t="n">
        <v>18630</v>
      </c>
      <c r="AQ6" t="n">
        <v>13837</v>
      </c>
      <c r="AR6" t="n">
        <v>13095</v>
      </c>
      <c r="DD6" t="inlineStr">
        <is>
          <t>CET1 Ratio</t>
        </is>
      </c>
      <c r="DE6" t="n">
        <v>16.3</v>
      </c>
      <c r="DF6" t="n">
        <v>15.27</v>
      </c>
      <c r="DG6" t="n">
        <v>14.53</v>
      </c>
      <c r="DH6" t="n">
        <v>14.67</v>
      </c>
      <c r="DI6" t="n">
        <v>14.84</v>
      </c>
      <c r="DJ6" t="n">
        <v>16.54</v>
      </c>
      <c r="DK6" t="n">
        <v>19.54</v>
      </c>
      <c r="DL6" t="n">
        <v>23.58</v>
      </c>
      <c r="DM6" t="n">
        <v>16.55</v>
      </c>
      <c r="DN6" t="n">
        <v>17.1</v>
      </c>
      <c r="DO6" t="n">
        <v>17.17</v>
      </c>
      <c r="DP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v>9351</v>
      </c>
      <c r="O7" s="5" t="n">
        <v>8703</v>
      </c>
      <c r="P7" s="5" t="n">
        <v>9811</v>
      </c>
      <c r="Q7" s="5" t="n">
        <v>10818</v>
      </c>
      <c r="R7" s="5" t="n">
        <v>12472</v>
      </c>
      <c r="S7" s="5" t="n">
        <v>17346</v>
      </c>
      <c r="T7" s="5" t="n">
        <v>15536</v>
      </c>
      <c r="U7" s="5" t="n">
        <v>14868</v>
      </c>
      <c r="X7" t="inlineStr">
        <is>
          <t>Loans and advances to customers</t>
        </is>
      </c>
      <c r="Y7" t="n">
        <v>14868</v>
      </c>
      <c r="Z7" t="n">
        <v>15536</v>
      </c>
      <c r="AA7" t="n">
        <v>17346</v>
      </c>
      <c r="AB7" t="n">
        <v>12472</v>
      </c>
      <c r="AC7" t="n">
        <v>10818</v>
      </c>
      <c r="AD7" t="n">
        <v>9811</v>
      </c>
      <c r="AE7" t="n">
        <v>8703</v>
      </c>
      <c r="AF7" t="n">
        <v>9351</v>
      </c>
      <c r="AG7" t="n">
        <v>10548</v>
      </c>
      <c r="AH7" t="n">
        <v>12439</v>
      </c>
      <c r="AI7" t="n">
        <v>14800</v>
      </c>
      <c r="AJ7" t="n">
        <v>16798</v>
      </c>
      <c r="AK7" t="n">
        <v>18526</v>
      </c>
      <c r="AL7" t="n">
        <v>17866</v>
      </c>
      <c r="AM7" t="n">
        <v>15804</v>
      </c>
      <c r="AN7" t="n">
        <v>12602</v>
      </c>
      <c r="AO7" t="n">
        <v>14297</v>
      </c>
      <c r="AP7" t="n">
        <v>15115</v>
      </c>
      <c r="AQ7" t="n">
        <v>12021</v>
      </c>
      <c r="AR7" t="n">
        <v>11490</v>
      </c>
      <c r="DD7" t="inlineStr">
        <is>
          <t>Total Capital Ratio</t>
        </is>
      </c>
      <c r="DE7" t="n">
        <v>18.6</v>
      </c>
      <c r="DF7" t="n">
        <v>17.31</v>
      </c>
      <c r="DG7" t="n">
        <v>16.89</v>
      </c>
      <c r="DH7" t="n">
        <v>17</v>
      </c>
      <c r="DI7" t="n">
        <v>16.66</v>
      </c>
      <c r="DJ7" t="n">
        <v>18.64</v>
      </c>
      <c r="DK7" t="n">
        <v>21.79</v>
      </c>
      <c r="DL7" t="n">
        <v>26.2</v>
      </c>
      <c r="DM7" t="n">
        <v>19.03</v>
      </c>
      <c r="DN7" t="n">
        <v>19.3</v>
      </c>
      <c r="DO7" t="n">
        <v>19.57</v>
      </c>
      <c r="DP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v>51</v>
      </c>
      <c r="O8" s="5" t="n">
        <v>53</v>
      </c>
      <c r="P8" s="5" t="n">
        <v>50</v>
      </c>
      <c r="Q8" s="5" t="n">
        <v>49</v>
      </c>
      <c r="R8" s="5" t="n">
        <v>22</v>
      </c>
      <c r="S8" s="5" t="n">
        <v>30</v>
      </c>
      <c r="T8" s="5" t="n"/>
      <c r="U8" s="5" t="n"/>
      <c r="X8" t="inlineStr">
        <is>
          <t>Deposits</t>
        </is>
      </c>
      <c r="AA8" t="n">
        <v>30</v>
      </c>
      <c r="AB8" t="n">
        <v>22</v>
      </c>
      <c r="AC8" t="n">
        <v>49</v>
      </c>
      <c r="AD8" t="n">
        <v>50</v>
      </c>
      <c r="AE8" t="n">
        <v>53</v>
      </c>
      <c r="AF8" t="n">
        <v>51</v>
      </c>
      <c r="AG8" t="n">
        <v>51</v>
      </c>
      <c r="AH8" t="n">
        <v>56</v>
      </c>
      <c r="AI8" t="n">
        <v>69</v>
      </c>
      <c r="AJ8" t="n">
        <v>388</v>
      </c>
      <c r="AK8" t="n">
        <v>1198</v>
      </c>
      <c r="AL8" t="n">
        <v>1970</v>
      </c>
      <c r="AM8" t="n">
        <v>3609</v>
      </c>
      <c r="AN8" t="n">
        <v>5001</v>
      </c>
      <c r="AO8" t="n">
        <v>7131</v>
      </c>
      <c r="AP8" t="n">
        <v>8962</v>
      </c>
      <c r="AQ8" t="n">
        <v>6300</v>
      </c>
      <c r="AR8" t="n">
        <v>5892</v>
      </c>
      <c r="DD8" t="inlineStr">
        <is>
          <t>Leverage Ratio (incl. central bank claims, FY2014-FY2021 basis)</t>
        </is>
      </c>
      <c r="DE8" t="n">
        <v>12.91</v>
      </c>
      <c r="DF8" t="n">
        <v>12.28</v>
      </c>
      <c r="DG8" t="n">
        <v>11.86</v>
      </c>
      <c r="DH8" t="n">
        <v>11.82</v>
      </c>
      <c r="DI8" t="n">
        <v>11.74</v>
      </c>
      <c r="DJ8" t="n">
        <v>13.02</v>
      </c>
      <c r="DK8" t="n">
        <v>14.59</v>
      </c>
      <c r="DL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v>1715</v>
      </c>
      <c r="O9" s="5" t="n">
        <v>2025</v>
      </c>
      <c r="P9" s="5" t="n">
        <v>2301</v>
      </c>
      <c r="Q9" s="5" t="n">
        <v>2598</v>
      </c>
      <c r="R9" s="5" t="n">
        <v>2886</v>
      </c>
      <c r="S9" s="5" t="n">
        <v>2962</v>
      </c>
      <c r="T9" s="5" t="n">
        <v>2455</v>
      </c>
      <c r="U9" s="5" t="n">
        <v>2347</v>
      </c>
      <c r="X9" t="inlineStr">
        <is>
          <t>Total equity</t>
        </is>
      </c>
      <c r="Y9" t="n">
        <v>2347</v>
      </c>
      <c r="Z9" t="n">
        <v>2455</v>
      </c>
      <c r="AA9" t="n">
        <v>2962</v>
      </c>
      <c r="AB9" t="n">
        <v>2886</v>
      </c>
      <c r="AC9" t="n">
        <v>2598</v>
      </c>
      <c r="AD9" t="n">
        <v>2301</v>
      </c>
      <c r="AE9" t="n">
        <v>2025</v>
      </c>
      <c r="AF9" t="n">
        <v>1715</v>
      </c>
      <c r="AG9" t="n">
        <v>1791</v>
      </c>
      <c r="AH9" t="n">
        <v>1902</v>
      </c>
      <c r="AI9" t="n">
        <v>2182</v>
      </c>
      <c r="AJ9" t="n">
        <v>2408</v>
      </c>
      <c r="AK9" t="n">
        <v>2647</v>
      </c>
      <c r="AL9" t="n">
        <v>2779</v>
      </c>
      <c r="AM9" t="n">
        <v>3003</v>
      </c>
      <c r="AN9" t="n">
        <v>2742</v>
      </c>
      <c r="AO9" t="n">
        <v>2502</v>
      </c>
      <c r="AP9" t="n">
        <v>2556</v>
      </c>
      <c r="AQ9" t="n">
        <v>2065</v>
      </c>
      <c r="AR9" t="n">
        <v>1704</v>
      </c>
      <c r="DD9" t="inlineStr">
        <is>
          <t>Leverage Ratio (excl. central bank claims, FY2022-FY2025 basis)</t>
        </is>
      </c>
      <c r="DM9" t="n">
        <v>13.23</v>
      </c>
      <c r="DN9" t="n">
        <v>14.02</v>
      </c>
      <c r="DO9" t="n">
        <v>13.49</v>
      </c>
      <c r="DP9" t="n">
        <v>12.93</v>
      </c>
    </row>
    <row r="10">
      <c r="DD10" t="inlineStr">
        <is>
          <t>LCR</t>
        </is>
      </c>
      <c r="DM10" t="n">
        <v>238</v>
      </c>
      <c r="DN10" t="n">
        <v>260</v>
      </c>
      <c r="DO10" t="n">
        <v>359</v>
      </c>
      <c r="DP10" t="n">
        <v>303</v>
      </c>
    </row>
    <row r="11">
      <c r="A11" s="3" t="inlineStr">
        <is>
          <t>Profit &amp; Loss Summary (£m)</t>
        </is>
      </c>
      <c r="DD11" t="inlineStr">
        <is>
          <t>NSFR</t>
        </is>
      </c>
      <c r="DM11" t="n">
        <v>133</v>
      </c>
      <c r="DN11" t="n">
        <v>139</v>
      </c>
      <c r="DO11" t="n">
        <v>135</v>
      </c>
      <c r="DP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v>634</v>
      </c>
      <c r="O13" s="5" t="n">
        <v>574</v>
      </c>
      <c r="P13" s="5" t="n">
        <v>570</v>
      </c>
      <c r="Q13" s="5" t="n">
        <v>564</v>
      </c>
      <c r="R13" s="5" t="n">
        <v>648</v>
      </c>
      <c r="S13" s="5" t="n">
        <v>757</v>
      </c>
      <c r="T13" s="5" t="n">
        <v>672</v>
      </c>
      <c r="U13" s="5" t="n">
        <v>722</v>
      </c>
      <c r="AU13" t="inlineStr">
        <is>
          <t>Total income</t>
        </is>
      </c>
      <c r="AV13" t="n">
        <v>722</v>
      </c>
      <c r="AW13" t="n">
        <v>672</v>
      </c>
      <c r="AX13" t="n">
        <v>757</v>
      </c>
      <c r="AY13" t="n">
        <v>648</v>
      </c>
      <c r="AZ13" t="n">
        <v>564</v>
      </c>
      <c r="BA13" t="n">
        <v>570</v>
      </c>
      <c r="BB13" t="n">
        <v>574</v>
      </c>
      <c r="BC13" t="n">
        <v>634</v>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v>-232</v>
      </c>
      <c r="O14" s="5" t="n">
        <v>-216</v>
      </c>
      <c r="P14" s="5" t="n">
        <v>-201</v>
      </c>
      <c r="Q14" s="5" t="n">
        <v>-215</v>
      </c>
      <c r="R14" s="5" t="n">
        <v>-205</v>
      </c>
      <c r="S14" s="5" t="n">
        <v>-243</v>
      </c>
      <c r="T14" s="5" t="n">
        <v>-227</v>
      </c>
      <c r="U14" s="5" t="n">
        <v>-246</v>
      </c>
      <c r="AU14" t="inlineStr">
        <is>
          <t>Operating expenses</t>
        </is>
      </c>
      <c r="AV14" t="n">
        <v>-246</v>
      </c>
      <c r="AW14" t="n">
        <v>-227</v>
      </c>
      <c r="AX14" t="n">
        <v>-243</v>
      </c>
      <c r="AY14" t="n">
        <v>-205</v>
      </c>
      <c r="AZ14" t="n">
        <v>-215</v>
      </c>
      <c r="BA14" t="n">
        <v>-201</v>
      </c>
      <c r="BB14" t="n">
        <v>-216</v>
      </c>
      <c r="BC14" t="n">
        <v>-232</v>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v>152</v>
      </c>
      <c r="O15" s="5" t="n">
        <v>85</v>
      </c>
      <c r="P15" s="5" t="n">
        <v>123</v>
      </c>
      <c r="Q15" s="5" t="n">
        <v>161</v>
      </c>
      <c r="R15" s="5" t="n">
        <v>166</v>
      </c>
      <c r="S15" s="5" t="n">
        <v>204</v>
      </c>
      <c r="T15" s="5" t="n">
        <v>203</v>
      </c>
      <c r="U15" s="5" t="n">
        <v>231</v>
      </c>
      <c r="AU15" t="inlineStr">
        <is>
          <t>Profit for the period</t>
        </is>
      </c>
      <c r="AV15" t="n">
        <v>231</v>
      </c>
      <c r="AW15" t="n">
        <v>203</v>
      </c>
      <c r="AX15" t="n">
        <v>204</v>
      </c>
      <c r="AY15" t="n">
        <v>166</v>
      </c>
      <c r="AZ15" t="n">
        <v>161</v>
      </c>
      <c r="BA15" t="n">
        <v>123</v>
      </c>
      <c r="BB15" t="n">
        <v>85</v>
      </c>
      <c r="BC15" t="n">
        <v>152</v>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S18" t="inlineStr">
        <is>
          <t>FY2014</t>
        </is>
      </c>
      <c r="BT18" t="inlineStr">
        <is>
          <t>FY2015</t>
        </is>
      </c>
      <c r="BU18" t="inlineStr">
        <is>
          <t>FY2016</t>
        </is>
      </c>
      <c r="BV18" t="inlineStr">
        <is>
          <t>FY2017</t>
        </is>
      </c>
      <c r="BW18" t="inlineStr">
        <is>
          <t>FY2018</t>
        </is>
      </c>
      <c r="BX18" t="inlineStr">
        <is>
          <t>FY2019</t>
        </is>
      </c>
      <c r="BY18" t="inlineStr">
        <is>
          <t>FY2020</t>
        </is>
      </c>
      <c r="BZ18" t="inlineStr">
        <is>
          <t>FY2021</t>
        </is>
      </c>
      <c r="CA18" t="inlineStr">
        <is>
          <t>FY2022</t>
        </is>
      </c>
      <c r="CB18" t="inlineStr">
        <is>
          <t>FY2023</t>
        </is>
      </c>
      <c r="CC18" t="inlineStr">
        <is>
          <t>FY2024</t>
        </is>
      </c>
      <c r="CD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BR19" t="inlineStr">
        <is>
          <t>Opening equity</t>
        </is>
      </c>
      <c r="BS19" t="n">
        <v>1715</v>
      </c>
      <c r="BT19" t="n">
        <v>1791</v>
      </c>
      <c r="BU19" t="n">
        <v>1902</v>
      </c>
      <c r="BV19" t="n">
        <v>2182</v>
      </c>
      <c r="BW19" t="n">
        <v>2408</v>
      </c>
      <c r="BX19" t="n">
        <v>2647</v>
      </c>
      <c r="BY19" t="n">
        <v>2779</v>
      </c>
      <c r="BZ19" t="n">
        <v>3003</v>
      </c>
      <c r="CA19" t="n">
        <v>2742</v>
      </c>
      <c r="CB19" t="n">
        <v>2502</v>
      </c>
      <c r="CC19" t="n">
        <v>2556</v>
      </c>
      <c r="CD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BR20" t="inlineStr">
        <is>
          <t>Total comprehensive income for the year</t>
        </is>
      </c>
      <c r="BS20" t="n">
        <v>77</v>
      </c>
      <c r="BT20" t="n">
        <v>111</v>
      </c>
      <c r="BU20" t="n">
        <v>329</v>
      </c>
      <c r="BV20" t="n">
        <v>255</v>
      </c>
      <c r="BW20" t="n">
        <v>227</v>
      </c>
      <c r="BX20" t="n">
        <v>132</v>
      </c>
      <c r="BY20" t="n">
        <v>222</v>
      </c>
      <c r="BZ20" t="n">
        <v>39</v>
      </c>
      <c r="CA20" t="n">
        <v>365</v>
      </c>
      <c r="CB20" t="n">
        <v>55</v>
      </c>
      <c r="CC20" t="n">
        <v>9</v>
      </c>
      <c r="CD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BR21" t="inlineStr">
        <is>
          <t>Other equity movements, net</t>
        </is>
      </c>
      <c r="BS21" t="n">
        <v>-1</v>
      </c>
      <c r="BT21" t="n">
        <v>0</v>
      </c>
      <c r="BU21" t="n">
        <v>-48</v>
      </c>
      <c r="BV21" t="n">
        <v>0</v>
      </c>
      <c r="BW21" t="n">
        <v>12</v>
      </c>
      <c r="BX21" t="n">
        <v>-3</v>
      </c>
      <c r="BY21" t="n">
        <v>2</v>
      </c>
      <c r="BZ21" t="n">
        <v>-300</v>
      </c>
      <c r="CA21" t="n">
        <v>-605</v>
      </c>
      <c r="CB21" t="n">
        <v>-1</v>
      </c>
      <c r="CC21" t="n">
        <v>-500</v>
      </c>
      <c r="CD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BR22" t="inlineStr">
        <is>
          <t>Closing equity</t>
        </is>
      </c>
      <c r="BS22" t="n">
        <v>1791</v>
      </c>
      <c r="BT22" t="n">
        <v>1902</v>
      </c>
      <c r="BU22" t="n">
        <v>2182</v>
      </c>
      <c r="BV22" t="n">
        <v>2408</v>
      </c>
      <c r="BW22" t="n">
        <v>2647</v>
      </c>
      <c r="BX22" t="n">
        <v>2779</v>
      </c>
      <c r="BY22" t="n">
        <v>3003</v>
      </c>
      <c r="BZ22" t="n">
        <v>2742</v>
      </c>
      <c r="CA22" t="n">
        <v>2502</v>
      </c>
      <c r="CB22" t="n">
        <v>2556</v>
      </c>
      <c r="CC22" t="n">
        <v>2065</v>
      </c>
      <c r="CD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H25" t="inlineStr">
        <is>
          <t>FY2006</t>
        </is>
      </c>
      <c r="CI25" t="inlineStr">
        <is>
          <t>FY2007</t>
        </is>
      </c>
      <c r="CJ25" t="inlineStr">
        <is>
          <t>FY2008</t>
        </is>
      </c>
      <c r="CK25" t="inlineStr">
        <is>
          <t>FY2009</t>
        </is>
      </c>
      <c r="CL25" t="inlineStr">
        <is>
          <t>FY2010</t>
        </is>
      </c>
      <c r="CM25" t="inlineStr">
        <is>
          <t>FY2011</t>
        </is>
      </c>
      <c r="CN25" t="inlineStr">
        <is>
          <t>FY2012</t>
        </is>
      </c>
      <c r="CO25" t="inlineStr">
        <is>
          <t>FY2013</t>
        </is>
      </c>
      <c r="CP25" t="inlineStr">
        <is>
          <t>FY2014</t>
        </is>
      </c>
      <c r="CQ25" t="inlineStr">
        <is>
          <t>FY2015</t>
        </is>
      </c>
      <c r="CR25" t="inlineStr">
        <is>
          <t>FY2016</t>
        </is>
      </c>
      <c r="CS25" t="inlineStr">
        <is>
          <t>FY2017</t>
        </is>
      </c>
      <c r="CT25" t="inlineStr">
        <is>
          <t>FY2018</t>
        </is>
      </c>
      <c r="CU25" t="inlineStr">
        <is>
          <t>FY2019</t>
        </is>
      </c>
      <c r="CV25" t="inlineStr">
        <is>
          <t>FY2020</t>
        </is>
      </c>
      <c r="CW25" t="inlineStr">
        <is>
          <t>FY2021</t>
        </is>
      </c>
      <c r="CX25" t="inlineStr">
        <is>
          <t>FY2022</t>
        </is>
      </c>
      <c r="CY25" t="inlineStr">
        <is>
          <t>FY2023</t>
        </is>
      </c>
      <c r="CZ25" t="inlineStr">
        <is>
          <t>FY2024</t>
        </is>
      </c>
      <c r="DA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v>273</v>
      </c>
      <c r="O26" s="5" t="n">
        <v>838</v>
      </c>
      <c r="P26" s="5" t="n">
        <v>797</v>
      </c>
      <c r="Q26" s="5" t="n">
        <v>1647</v>
      </c>
      <c r="R26" s="5" t="n">
        <v>4404</v>
      </c>
      <c r="S26" s="5" t="n">
        <v>708</v>
      </c>
      <c r="T26" s="5" t="n">
        <v>-113</v>
      </c>
      <c r="U26" s="5" t="n">
        <v>861</v>
      </c>
      <c r="CG26" t="inlineStr">
        <is>
          <t>Net cash generated from/(used in) operating activities</t>
        </is>
      </c>
      <c r="CH26" t="n">
        <v>861</v>
      </c>
      <c r="CI26" t="n">
        <v>-113</v>
      </c>
      <c r="CJ26" t="n">
        <v>708</v>
      </c>
      <c r="CK26" t="n">
        <v>4404</v>
      </c>
      <c r="CL26" t="n">
        <v>1647</v>
      </c>
      <c r="CM26" t="n">
        <v>797</v>
      </c>
      <c r="CN26" t="n">
        <v>838</v>
      </c>
      <c r="CO26" t="n">
        <v>273</v>
      </c>
      <c r="CP26" t="n">
        <v>-1609</v>
      </c>
      <c r="CQ26" t="n">
        <v>-1982</v>
      </c>
      <c r="CR26" t="n">
        <v>-1024</v>
      </c>
      <c r="CS26" t="n">
        <v>-1507</v>
      </c>
      <c r="CT26" t="n">
        <v>-1433</v>
      </c>
      <c r="CU26" t="n">
        <v>193</v>
      </c>
      <c r="CV26" t="n">
        <v>2691</v>
      </c>
      <c r="CW26" t="n">
        <v>3292</v>
      </c>
      <c r="CX26" t="n">
        <v>-1273</v>
      </c>
      <c r="CY26" t="n">
        <v>-1133</v>
      </c>
      <c r="CZ26" t="n">
        <v>-935</v>
      </c>
      <c r="DA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v>-435</v>
      </c>
      <c r="O27" s="5" t="n">
        <v>3</v>
      </c>
      <c r="P27" s="5" t="n">
        <v>220</v>
      </c>
      <c r="Q27" s="5" t="n">
        <v>-234</v>
      </c>
      <c r="R27" s="5" t="n">
        <v>67</v>
      </c>
      <c r="S27" s="5" t="n">
        <v>-52</v>
      </c>
      <c r="T27" s="5" t="n">
        <v>-95</v>
      </c>
      <c r="U27" s="5" t="n">
        <v>-77</v>
      </c>
      <c r="CG27" t="inlineStr">
        <is>
          <t>Net cash (used in)/generated from investing activities</t>
        </is>
      </c>
      <c r="CH27" t="n">
        <v>-77</v>
      </c>
      <c r="CI27" t="n">
        <v>-95</v>
      </c>
      <c r="CJ27" t="n">
        <v>-52</v>
      </c>
      <c r="CK27" t="n">
        <v>67</v>
      </c>
      <c r="CL27" t="n">
        <v>-234</v>
      </c>
      <c r="CM27" t="n">
        <v>220</v>
      </c>
      <c r="CN27" t="n">
        <v>3</v>
      </c>
      <c r="CO27" t="n">
        <v>-435</v>
      </c>
      <c r="CP27" t="n">
        <v>-4</v>
      </c>
      <c r="CQ27" t="n">
        <v>-3</v>
      </c>
      <c r="CR27" t="n">
        <v>-4</v>
      </c>
      <c r="CS27" t="n">
        <v>-5</v>
      </c>
      <c r="CT27" t="n">
        <v>-9</v>
      </c>
      <c r="CU27" t="n">
        <v>-51</v>
      </c>
      <c r="CV27" t="n">
        <v>-11</v>
      </c>
      <c r="CW27" t="n">
        <v>-6</v>
      </c>
      <c r="CX27" t="n">
        <v>-15</v>
      </c>
      <c r="CY27" t="n">
        <v>139</v>
      </c>
      <c r="CZ27" t="n">
        <v>113</v>
      </c>
      <c r="DA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v>-128</v>
      </c>
      <c r="O28" s="5" t="n">
        <v>-1057</v>
      </c>
      <c r="P28" s="5" t="n">
        <v>-171</v>
      </c>
      <c r="Q28" s="5" t="n">
        <v>-1806</v>
      </c>
      <c r="R28" s="5" t="n">
        <v>-4209</v>
      </c>
      <c r="S28" s="5" t="n">
        <v>101</v>
      </c>
      <c r="T28" s="5" t="n">
        <v>193</v>
      </c>
      <c r="U28" s="5" t="n">
        <v>-698</v>
      </c>
      <c r="CG28" t="inlineStr">
        <is>
          <t>Net cash (used in)/generated from financing activities</t>
        </is>
      </c>
      <c r="CH28" t="n">
        <v>-698</v>
      </c>
      <c r="CI28" t="n">
        <v>193</v>
      </c>
      <c r="CJ28" t="n">
        <v>101</v>
      </c>
      <c r="CK28" t="n">
        <v>-4209</v>
      </c>
      <c r="CL28" t="n">
        <v>-1806</v>
      </c>
      <c r="CM28" t="n">
        <v>-171</v>
      </c>
      <c r="CN28" t="n">
        <v>-1057</v>
      </c>
      <c r="CO28" t="n">
        <v>-128</v>
      </c>
      <c r="CP28" t="n">
        <v>1099</v>
      </c>
      <c r="CQ28" t="n">
        <v>2054</v>
      </c>
      <c r="CR28" t="n">
        <v>855</v>
      </c>
      <c r="CS28" t="n">
        <v>1388</v>
      </c>
      <c r="CT28" t="n">
        <v>1773</v>
      </c>
      <c r="CU28" t="n">
        <v>-514</v>
      </c>
      <c r="CV28" t="n">
        <v>-2125</v>
      </c>
      <c r="CW28" t="n">
        <v>-3447</v>
      </c>
      <c r="CX28" t="n">
        <v>1946</v>
      </c>
      <c r="CY28" t="n">
        <v>1041</v>
      </c>
      <c r="CZ28" t="n">
        <v>441</v>
      </c>
      <c r="DA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v>2209</v>
      </c>
      <c r="O29" s="5" t="n">
        <v>2475</v>
      </c>
      <c r="P29" s="5" t="n">
        <v>2689</v>
      </c>
      <c r="Q29" s="5" t="n">
        <v>1926</v>
      </c>
      <c r="R29" s="5" t="n">
        <v>1243</v>
      </c>
      <c r="S29" s="5" t="n">
        <v>987</v>
      </c>
      <c r="T29" s="5" t="n">
        <v>230</v>
      </c>
      <c r="U29" s="5" t="n">
        <v>1000</v>
      </c>
      <c r="CG29" t="inlineStr">
        <is>
          <t>Cash and cash equivalents at end of year</t>
        </is>
      </c>
      <c r="CH29" t="n">
        <v>1000</v>
      </c>
      <c r="CI29" t="n">
        <v>230</v>
      </c>
      <c r="CJ29" t="n">
        <v>987</v>
      </c>
      <c r="CK29" t="n">
        <v>1243</v>
      </c>
      <c r="CL29" t="n">
        <v>1926</v>
      </c>
      <c r="CM29" t="n">
        <v>2689</v>
      </c>
      <c r="CN29" t="n">
        <v>2475</v>
      </c>
      <c r="CO29" t="n">
        <v>2209</v>
      </c>
      <c r="CP29" t="n">
        <v>1625</v>
      </c>
      <c r="CQ29" t="n">
        <v>1669</v>
      </c>
      <c r="CR29" t="n">
        <v>1654</v>
      </c>
      <c r="CS29" t="n">
        <v>1544</v>
      </c>
      <c r="CT29" t="n">
        <v>1879</v>
      </c>
      <c r="CU29" t="n">
        <v>1453</v>
      </c>
      <c r="CV29" t="n">
        <v>2048</v>
      </c>
      <c r="CW29" t="n">
        <v>1822</v>
      </c>
      <c r="CX29" t="n">
        <v>2536</v>
      </c>
      <c r="CY29" t="n">
        <v>2557</v>
      </c>
      <c r="CZ29" t="n">
        <v>1253</v>
      </c>
      <c r="DA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row>
    <row r="40" ht="30"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409"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row r="43" ht="409" customHeight="1">
      <c r="A43" s="8" t="inlineStr">
        <is>
          <t>(continued)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2">
    <mergeCell ref="A43:U43"/>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409"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row r="39" ht="409" customHeight="1">
      <c r="A39" s="8" t="inlineStr">
        <is>
          <t>(continued)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2">
    <mergeCell ref="A39:U39"/>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0"/>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409"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t>
        </is>
      </c>
    </row>
    <row r="106" ht="409" customHeight="1">
      <c r="A106" s="8" t="inlineStr">
        <is>
          <t>(continued)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t>
        </is>
      </c>
    </row>
    <row r="108" ht="409" customHeight="1">
      <c r="A108" s="8" t="inlineStr">
        <is>
          <t>(continued)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t>
        </is>
      </c>
    </row>
    <row r="110" ht="409" customHeight="1">
      <c r="A110" s="8" t="inlineStr">
        <is>
          <t>(continued)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4">
    <mergeCell ref="A106:G106"/>
    <mergeCell ref="A108:G108"/>
    <mergeCell ref="A104:G104"/>
    <mergeCell ref="A110:G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77"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row r="51" ht="340" customHeight="1">
      <c r="A51" s="8" t="inlineStr">
        <is>
          <t>(continued)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2">
    <mergeCell ref="A51:U5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09"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row>
    <row r="4">
      <c r="A4" s="6" t="inlineStr">
        <is>
          <t>Return on equity - average equity basis</t>
        </is>
      </c>
      <c r="B4" s="6" t="inlineStr">
        <is>
          <t>5.09%</t>
        </is>
      </c>
      <c r="C4" s="6" t="inlineStr">
        <is>
          <t>2.38%</t>
        </is>
      </c>
      <c r="D4" s="6" t="inlineStr">
        <is>
          <t>3.48%</t>
        </is>
      </c>
      <c r="E4" s="6" t="inlineStr">
        <is>
          <t>10.95%</t>
        </is>
      </c>
      <c r="F4" s="6" t="inlineStr">
        <is>
          <t>5.36%</t>
        </is>
      </c>
      <c r="G4" s="6" t="inlineStr">
        <is>
          <t>4.43%</t>
        </is>
      </c>
      <c r="H4" s="6" t="inlineStr">
        <is>
          <t>8.26%</t>
        </is>
      </c>
      <c r="I4" s="6" t="inlineStr">
        <is>
          <t>8.27%</t>
        </is>
      </c>
      <c r="J4" s="6" t="inlineStr">
        <is>
          <t>9.28%</t>
        </is>
      </c>
      <c r="K4" s="6" t="inlineStr">
        <is>
          <t>7.05%</t>
        </is>
      </c>
      <c r="L4" s="6" t="inlineStr">
        <is>
          <t>8.67%</t>
        </is>
      </c>
      <c r="M4" s="6" t="inlineStr">
        <is>
          <t>8.39%</t>
        </is>
      </c>
      <c r="N4" s="6" t="inlineStr">
        <is>
          <t>8.13%</t>
        </is>
      </c>
      <c r="O4" s="6" t="inlineStr">
        <is>
          <t>3.93%</t>
        </is>
      </c>
      <c r="P4" s="6" t="inlineStr">
        <is>
          <t>5.02%</t>
        </is>
      </c>
      <c r="Q4" s="6" t="inlineStr">
        <is>
          <t>5.87%</t>
        </is>
      </c>
      <c r="R4" s="6" t="inlineStr">
        <is>
          <t>5.68%</t>
        </is>
      </c>
      <c r="S4" s="6" t="inlineStr">
        <is>
          <t>7.53%</t>
        </is>
      </c>
      <c r="T4" s="6" t="inlineStr">
        <is>
          <t>8.45%</t>
        </is>
      </c>
      <c r="U4" s="6" t="n"/>
    </row>
    <row r="5">
      <c r="A5" s="6" t="inlineStr">
        <is>
          <t>Return on equity - year-end equity basis</t>
        </is>
      </c>
      <c r="B5" s="6" t="inlineStr">
        <is>
          <t>5.63%</t>
        </is>
      </c>
      <c r="C5" s="6" t="inlineStr">
        <is>
          <t>2.66%</t>
        </is>
      </c>
      <c r="D5" s="6" t="inlineStr">
        <is>
          <t>3.44%</t>
        </is>
      </c>
      <c r="E5" s="6" t="inlineStr">
        <is>
          <t>11.47%</t>
        </is>
      </c>
      <c r="F5" s="6" t="inlineStr">
        <is>
          <t>5.62%</t>
        </is>
      </c>
      <c r="G5" s="6" t="inlineStr">
        <is>
          <t>4.26%</t>
        </is>
      </c>
      <c r="H5" s="6" t="inlineStr">
        <is>
          <t>8.06%</t>
        </is>
      </c>
      <c r="I5" s="6" t="inlineStr">
        <is>
          <t>7.90%</t>
        </is>
      </c>
      <c r="J5" s="6" t="inlineStr">
        <is>
          <t>8.85%</t>
        </is>
      </c>
      <c r="K5" s="6" t="inlineStr">
        <is>
          <t>6.60%</t>
        </is>
      </c>
      <c r="L5" s="6" t="inlineStr">
        <is>
          <t>8.41%</t>
        </is>
      </c>
      <c r="M5" s="6" t="inlineStr">
        <is>
          <t>8.21%</t>
        </is>
      </c>
      <c r="N5" s="6" t="inlineStr">
        <is>
          <t>8.86%</t>
        </is>
      </c>
      <c r="O5" s="6" t="inlineStr">
        <is>
          <t>4.20%</t>
        </is>
      </c>
      <c r="P5" s="6" t="inlineStr">
        <is>
          <t>5.35%</t>
        </is>
      </c>
      <c r="Q5" s="6" t="inlineStr">
        <is>
          <t>6.20%</t>
        </is>
      </c>
      <c r="R5" s="6" t="inlineStr">
        <is>
          <t>5.75%</t>
        </is>
      </c>
      <c r="S5" s="6" t="inlineStr">
        <is>
          <t>6.89%</t>
        </is>
      </c>
      <c r="T5" s="6" t="inlineStr">
        <is>
          <t>8.27%</t>
        </is>
      </c>
      <c r="U5" s="6" t="inlineStr">
        <is>
          <t>9.84%</t>
        </is>
      </c>
    </row>
    <row r="6">
      <c r="A6" s="6" t="inlineStr">
        <is>
          <t>Return on assets - average assets basis</t>
        </is>
      </c>
      <c r="B6" s="6" t="inlineStr">
        <is>
          <t>0.71%</t>
        </is>
      </c>
      <c r="C6" s="6" t="inlineStr">
        <is>
          <t>0.34%</t>
        </is>
      </c>
      <c r="D6" s="6" t="inlineStr">
        <is>
          <t>0.48%</t>
        </is>
      </c>
      <c r="E6" s="6" t="inlineStr">
        <is>
          <t>1.75%</t>
        </is>
      </c>
      <c r="F6" s="6" t="inlineStr">
        <is>
          <t>0.89%</t>
        </is>
      </c>
      <c r="G6" s="6" t="inlineStr">
        <is>
          <t>0.64%</t>
        </is>
      </c>
      <c r="H6" s="6" t="inlineStr">
        <is>
          <t>1.06%</t>
        </is>
      </c>
      <c r="I6" s="6" t="inlineStr">
        <is>
          <t>1.01%</t>
        </is>
      </c>
      <c r="J6" s="6" t="inlineStr">
        <is>
          <t>1.14%</t>
        </is>
      </c>
      <c r="K6" s="6" t="inlineStr">
        <is>
          <t>0.89%</t>
        </is>
      </c>
      <c r="L6" s="6" t="inlineStr">
        <is>
          <t>1.15%</t>
        </is>
      </c>
      <c r="M6" s="6" t="inlineStr">
        <is>
          <t>1.16%</t>
        </is>
      </c>
      <c r="N6" s="6" t="inlineStr">
        <is>
          <t>1.25%</t>
        </is>
      </c>
      <c r="O6" s="6" t="inlineStr">
        <is>
          <t>0.67%</t>
        </is>
      </c>
      <c r="P6" s="6" t="inlineStr">
        <is>
          <t>0.90%</t>
        </is>
      </c>
      <c r="Q6" s="6" t="inlineStr">
        <is>
          <t>1.07%</t>
        </is>
      </c>
      <c r="R6" s="6" t="inlineStr">
        <is>
          <t>0.88%</t>
        </is>
      </c>
      <c r="S6" s="6" t="inlineStr">
        <is>
          <t>1.02%</t>
        </is>
      </c>
      <c r="T6" s="6" t="inlineStr">
        <is>
          <t>1.16%</t>
        </is>
      </c>
      <c r="U6" s="6" t="n"/>
    </row>
    <row r="7">
      <c r="A7" s="6" t="inlineStr">
        <is>
          <t>Return on assets - year-end assets basis</t>
        </is>
      </c>
      <c r="B7" s="6" t="inlineStr">
        <is>
          <t>0.73%</t>
        </is>
      </c>
      <c r="C7" s="6" t="inlineStr">
        <is>
          <t>0.40%</t>
        </is>
      </c>
      <c r="D7" s="6" t="inlineStr">
        <is>
          <t>0.47%</t>
        </is>
      </c>
      <c r="E7" s="6" t="inlineStr">
        <is>
          <t>1.61%</t>
        </is>
      </c>
      <c r="F7" s="6" t="inlineStr">
        <is>
          <t>1.02%</t>
        </is>
      </c>
      <c r="G7" s="6" t="inlineStr">
        <is>
          <t>0.66%</t>
        </is>
      </c>
      <c r="H7" s="6" t="inlineStr">
        <is>
          <t>1.09%</t>
        </is>
      </c>
      <c r="I7" s="6" t="inlineStr">
        <is>
          <t>0.96%</t>
        </is>
      </c>
      <c r="J7" s="6" t="inlineStr">
        <is>
          <t>1.09%</t>
        </is>
      </c>
      <c r="K7" s="6" t="inlineStr">
        <is>
          <t>0.82%</t>
        </is>
      </c>
      <c r="L7" s="6" t="inlineStr">
        <is>
          <t>1.08%</t>
        </is>
      </c>
      <c r="M7" s="6" t="inlineStr">
        <is>
          <t>1.13%</t>
        </is>
      </c>
      <c r="N7" s="6" t="inlineStr">
        <is>
          <t>1.24%</t>
        </is>
      </c>
      <c r="O7" s="6" t="inlineStr">
        <is>
          <t>0.70%</t>
        </is>
      </c>
      <c r="P7" s="6" t="inlineStr">
        <is>
          <t>0.92%</t>
        </is>
      </c>
      <c r="Q7" s="6" t="inlineStr">
        <is>
          <t>1.15%</t>
        </is>
      </c>
      <c r="R7" s="6" t="inlineStr">
        <is>
          <t>1.02%</t>
        </is>
      </c>
      <c r="S7" s="6" t="inlineStr">
        <is>
          <t>0.94%</t>
        </is>
      </c>
      <c r="T7" s="6" t="inlineStr">
        <is>
          <t>1.12%</t>
        </is>
      </c>
      <c r="U7" s="6" t="inlineStr">
        <is>
          <t>1.36%</t>
        </is>
      </c>
    </row>
    <row r="8">
      <c r="A8" s="6" t="inlineStr">
        <is>
          <t>Return on Assets (D/E) (as published)</t>
        </is>
      </c>
      <c r="B8" s="6" t="inlineStr">
        <is>
          <t>1.28%</t>
        </is>
      </c>
      <c r="C8" s="6" t="inlineStr">
        <is>
          <t>Not published</t>
        </is>
      </c>
      <c r="D8" s="6" t="n"/>
      <c r="E8" s="6" t="n"/>
      <c r="F8" s="6" t="n"/>
      <c r="G8" s="6" t="n"/>
      <c r="H8" s="6" t="n"/>
      <c r="I8" s="6" t="n"/>
      <c r="J8" s="6" t="n"/>
      <c r="K8" s="6" t="n"/>
      <c r="L8" s="6" t="n"/>
      <c r="M8" s="6" t="n"/>
      <c r="N8" s="6" t="n"/>
      <c r="O8" s="6" t="n"/>
      <c r="P8" s="6" t="n"/>
      <c r="Q8" s="6" t="n"/>
      <c r="R8" s="6" t="n"/>
      <c r="S8" s="6" t="n"/>
      <c r="T8" s="6" t="n"/>
      <c r="U8" s="6" t="n"/>
    </row>
    <row r="9" ht="143"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(D/E): “D = Profit before tax; E = Total assets; Return on Assets (D/E).”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FY2013, where return on equity is 8.13% on an average basis and 8.86% on a year-end basis.
FY2006 HAS NO AVERAGE-BASIS RATIO, AND THAT IS CORRECT. An average denominator needs an opening balance, and FY2006 is the oldest column this workbook carries, so there is no prior year to open from. The blank is structural, not a missing figure. The year-end basis is shown for FY2006 because it needs only the closing balance.
FIGURES THE BANK PUBLISHED ONLY AS A LATER EDITION'S COMPARATIVE, AND WHY THEY ARE NOT IN THE CELLS ABOVE. FY2024 Return on Assets (D/E) 0.85%.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after tax in respect of continuing operations” and the Balance Sheet rows “total equity” and “total assets”, resolved BY LABEL at build time through the shared resolver scripts/profitability_rows.py, so this sheet cannot drift from the statements it summarises. Those rows are themselves transcribed from FCE Bank Plc's Annual Report and Accounts for each year; see the source cells on the Balance Sheet and Profit &amp; Loss sheets for the exact document, page and table behind every input to every percentage above.
The '(as published)' rows are quoted verbatim from FCE Bank Plc's own disclosures and are recorded, with the exact document, page and verification state for each, in research/profitability/published_returns.jsonl under ‘FCE BANK’.</t>
        </is>
      </c>
    </row>
  </sheetData>
  <mergeCells count="2">
    <mergeCell ref="A9:U9"/>
    <mergeCell ref="A11:U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row>
    <row r="4">
      <c r="A4" s="5" t="inlineStr">
        <is>
          <t>Available own funds (amounts) — £m; FCE prints this unit as “£ mil”</t>
        </is>
      </c>
      <c r="B4" s="6" t="n"/>
      <c r="C4" s="6" t="n"/>
      <c r="D4" s="6" t="n"/>
      <c r="E4" s="6" t="n"/>
    </row>
    <row r="5">
      <c r="A5" s="6" t="inlineStr">
        <is>
          <t>1    Common Equity Tier 1 (CET1) capital (£m)</t>
        </is>
      </c>
      <c r="B5" s="6" t="n">
        <v>1620</v>
      </c>
      <c r="C5" s="6" t="n">
        <v>1773</v>
      </c>
      <c r="D5" s="6" t="n">
        <v>2393</v>
      </c>
      <c r="E5" s="6" t="n">
        <v>2137</v>
      </c>
    </row>
    <row r="6">
      <c r="A6" s="6" t="inlineStr">
        <is>
          <t>2    Tier 1 capital (£m)</t>
        </is>
      </c>
      <c r="B6" s="6" t="n">
        <v>1620</v>
      </c>
      <c r="C6" s="6" t="n">
        <v>1773</v>
      </c>
      <c r="D6" s="6" t="n">
        <v>2393</v>
      </c>
      <c r="E6" s="6" t="n">
        <v>2137</v>
      </c>
    </row>
    <row r="7">
      <c r="A7" s="6" t="inlineStr">
        <is>
          <t>3    Total capital (£m)</t>
        </is>
      </c>
      <c r="B7" s="6" t="n">
        <v>1869</v>
      </c>
      <c r="C7" s="6" t="n">
        <v>2021</v>
      </c>
      <c r="D7" s="6" t="n">
        <v>2700</v>
      </c>
      <c r="E7" s="6" t="n">
        <v>2457</v>
      </c>
    </row>
    <row r="8">
      <c r="A8" s="5" t="inlineStr">
        <is>
          <t>Risk-weighted exposure amounts — £m (“£ mil” as FCE prints it)</t>
        </is>
      </c>
      <c r="B8" s="6" t="n"/>
      <c r="C8" s="6" t="n"/>
      <c r="D8" s="6" t="n"/>
      <c r="E8" s="6" t="n"/>
    </row>
    <row r="9">
      <c r="A9" s="6" t="inlineStr">
        <is>
          <t>4    Total risk-weighted exposure amount (£m)</t>
        </is>
      </c>
      <c r="B9" s="6" t="n">
        <v>10016</v>
      </c>
      <c r="C9" s="6" t="n">
        <v>10325</v>
      </c>
      <c r="D9" s="6" t="n">
        <v>13993</v>
      </c>
      <c r="E9" s="6" t="n">
        <v>12908</v>
      </c>
    </row>
    <row r="10">
      <c r="A10" s="5" t="inlineStr">
        <is>
          <t>Capital ratios (as a percentage of risk-weighted exposure amount)</t>
        </is>
      </c>
      <c r="B10" s="6" t="n"/>
      <c r="C10" s="6" t="n"/>
      <c r="D10" s="6" t="n"/>
      <c r="E10" s="6" t="n"/>
    </row>
    <row r="11">
      <c r="A11" s="6" t="inlineStr">
        <is>
          <t>5    Common Equity Tier 1 ratio (%)</t>
        </is>
      </c>
      <c r="B11" s="6" t="inlineStr">
        <is>
          <t>16.17%</t>
        </is>
      </c>
      <c r="C11" s="6" t="inlineStr">
        <is>
          <t>17.17%</t>
        </is>
      </c>
      <c r="D11" s="6" t="inlineStr">
        <is>
          <t>17.10%</t>
        </is>
      </c>
      <c r="E11" s="6" t="inlineStr">
        <is>
          <t>16.55%</t>
        </is>
      </c>
    </row>
    <row r="12">
      <c r="A12" s="6" t="inlineStr">
        <is>
          <t>6    Tier 1 ratio (%)</t>
        </is>
      </c>
      <c r="B12" s="6" t="inlineStr">
        <is>
          <t>16.17%</t>
        </is>
      </c>
      <c r="C12" s="6" t="inlineStr">
        <is>
          <t>17.17%</t>
        </is>
      </c>
      <c r="D12" s="6" t="inlineStr">
        <is>
          <t>17.10%</t>
        </is>
      </c>
      <c r="E12" s="6" t="inlineStr">
        <is>
          <t>16.55%</t>
        </is>
      </c>
    </row>
    <row r="13">
      <c r="A13" s="6" t="inlineStr">
        <is>
          <t>7    Total capital ratio (%)</t>
        </is>
      </c>
      <c r="B13" s="6" t="inlineStr">
        <is>
          <t>18.66%</t>
        </is>
      </c>
      <c r="C13" s="6" t="inlineStr">
        <is>
          <t>19.57%</t>
        </is>
      </c>
      <c r="D13" s="6" t="inlineStr">
        <is>
          <t>19.30%</t>
        </is>
      </c>
      <c r="E13" s="6" t="inlineStr">
        <is>
          <t>19.03%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1.73%</t>
        </is>
      </c>
      <c r="C15" s="6" t="inlineStr">
        <is>
          <t>1.74%</t>
        </is>
      </c>
      <c r="D15" s="6" t="inlineStr">
        <is>
          <t>1.73%</t>
        </is>
      </c>
      <c r="E15" s="6" t="inlineStr">
        <is>
          <t>1.74%</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0.55%</t>
        </is>
      </c>
      <c r="C17" s="6" t="inlineStr">
        <is>
          <t>0.53%</t>
        </is>
      </c>
      <c r="D17" s="6" t="inlineStr">
        <is>
          <t>0.47%</t>
        </is>
      </c>
      <c r="E17" s="6" t="inlineStr">
        <is>
          <t>0.48%</t>
        </is>
      </c>
    </row>
    <row r="18">
      <c r="A18" s="6" t="inlineStr">
        <is>
          <t>UK 7d    Total SREP own funds requirements (%)</t>
        </is>
      </c>
      <c r="B18" s="6" t="inlineStr">
        <is>
          <t>10.28%</t>
        </is>
      </c>
      <c r="C18" s="6" t="inlineStr">
        <is>
          <t>10.27%</t>
        </is>
      </c>
      <c r="D18" s="6" t="inlineStr">
        <is>
          <t>10.20%</t>
        </is>
      </c>
      <c r="E18" s="6" t="inlineStr">
        <is>
          <t>10.22%</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9    Institution specific countercyclical capital buffer</t>
        </is>
      </c>
      <c r="B21" s="6" t="inlineStr">
        <is>
          <t>1.05%</t>
        </is>
      </c>
      <c r="C21" s="6" t="inlineStr">
        <is>
          <t>1.08%</t>
        </is>
      </c>
      <c r="D21" s="6" t="inlineStr">
        <is>
          <t>0.89%</t>
        </is>
      </c>
      <c r="E21" s="6" t="inlineStr">
        <is>
          <t>0.32%</t>
        </is>
      </c>
    </row>
    <row r="22">
      <c r="A22" s="6" t="inlineStr">
        <is>
          <t>11    Combined buffer requirement (%)</t>
        </is>
      </c>
      <c r="B22" s="6" t="inlineStr">
        <is>
          <t>3.55%</t>
        </is>
      </c>
      <c r="C22" s="6" t="inlineStr">
        <is>
          <t>3.58%</t>
        </is>
      </c>
      <c r="D22" s="6" t="inlineStr">
        <is>
          <t>3.39%</t>
        </is>
      </c>
      <c r="E22" s="6" t="inlineStr">
        <is>
          <t>2.82%</t>
        </is>
      </c>
    </row>
    <row r="23">
      <c r="A23" s="6" t="inlineStr">
        <is>
          <t>UK 11a    Overall capital requirements (%)</t>
        </is>
      </c>
      <c r="B23" s="6" t="inlineStr">
        <is>
          <t>13.83%</t>
        </is>
      </c>
      <c r="C23" s="6" t="inlineStr">
        <is>
          <t>13.85%</t>
        </is>
      </c>
      <c r="D23" s="6" t="inlineStr">
        <is>
          <t>13.59%</t>
        </is>
      </c>
      <c r="E23" s="6" t="inlineStr">
        <is>
          <t>13.04%</t>
        </is>
      </c>
    </row>
    <row r="24">
      <c r="A24" s="6" t="inlineStr">
        <is>
          <t>12    CET1 available after meeting the total SREP own funds requirements (%)</t>
        </is>
      </c>
      <c r="B24" s="6" t="inlineStr">
        <is>
          <t>8.38%</t>
        </is>
      </c>
      <c r="C24" s="6" t="inlineStr">
        <is>
          <t>9.30%</t>
        </is>
      </c>
      <c r="D24" s="6" t="inlineStr">
        <is>
          <t>9.09%</t>
        </is>
      </c>
      <c r="E24" s="6" t="inlineStr">
        <is>
          <t>8.82%</t>
        </is>
      </c>
    </row>
    <row r="25">
      <c r="A25" s="5" t="inlineStr">
        <is>
          <t>Leverage ratio — amounts in £m (“£ mil” as FCE prints it); ratios in %</t>
        </is>
      </c>
      <c r="B25" s="6" t="n"/>
      <c r="C25" s="6" t="n"/>
      <c r="D25" s="6" t="n"/>
      <c r="E25" s="6" t="n"/>
    </row>
    <row r="26">
      <c r="A26" s="6" t="inlineStr">
        <is>
          <t>13    Total exposure measure excluding claims on central banks (£m)</t>
        </is>
      </c>
      <c r="B26" s="6" t="n">
        <v>12528</v>
      </c>
      <c r="C26" s="6" t="n">
        <v>13139</v>
      </c>
      <c r="D26" s="6" t="n">
        <v>17069</v>
      </c>
      <c r="E26" s="6" t="n">
        <v>16154</v>
      </c>
    </row>
    <row r="27">
      <c r="A27" s="6" t="inlineStr">
        <is>
          <t>14    Leverage ratio excluding claims on central banks (%)</t>
        </is>
      </c>
      <c r="B27" s="6" t="inlineStr">
        <is>
          <t>12.93%</t>
        </is>
      </c>
      <c r="C27" s="6" t="inlineStr">
        <is>
          <t>13.49%</t>
        </is>
      </c>
      <c r="D27" s="6" t="inlineStr">
        <is>
          <t>14.02%</t>
        </is>
      </c>
      <c r="E27" s="6" t="inlineStr">
        <is>
          <t>13.23%</t>
        </is>
      </c>
    </row>
    <row r="28">
      <c r="A28" s="5" t="inlineStr">
        <is>
          <t>Additional leverage ratio disclosure requirements — excluded in FY2022, when FCE was not an LREQ firm</t>
        </is>
      </c>
      <c r="B28" s="6" t="n"/>
      <c r="C28" s="6" t="n"/>
      <c r="D28" s="6" t="n"/>
      <c r="E28" s="6" t="n"/>
    </row>
    <row r="29">
      <c r="A29" s="6" t="inlineStr">
        <is>
          <t>UK 14a    Fully loaded ECL accounting model leverage ratio excluding claims on central banks (%)</t>
        </is>
      </c>
      <c r="B29" s="6" t="inlineStr">
        <is>
          <t>12.93%</t>
        </is>
      </c>
      <c r="C29" s="6" t="inlineStr">
        <is>
          <t>13.49%</t>
        </is>
      </c>
      <c r="D29" s="6" t="inlineStr">
        <is>
          <t>14.02%</t>
        </is>
      </c>
      <c r="E29" s="6" t="n"/>
    </row>
    <row r="30">
      <c r="A30" s="6" t="inlineStr">
        <is>
          <t>UK 14b    Leverage ratio including claims on central banks (%)</t>
        </is>
      </c>
      <c r="B30" s="6" t="inlineStr">
        <is>
          <t>12.15%</t>
        </is>
      </c>
      <c r="C30" s="6" t="inlineStr">
        <is>
          <t>12.61%</t>
        </is>
      </c>
      <c r="D30" s="6" t="inlineStr">
        <is>
          <t>12.40%</t>
        </is>
      </c>
      <c r="E30" s="6" t="n"/>
    </row>
    <row r="31">
      <c r="A31" s="6" t="inlineStr">
        <is>
          <t>UK 14c    Average leverage ratio excluding claims on central banks (%)</t>
        </is>
      </c>
      <c r="B31" s="6" t="inlineStr">
        <is>
          <t>13.76%</t>
        </is>
      </c>
      <c r="C31" s="6" t="inlineStr">
        <is>
          <t>14.12%</t>
        </is>
      </c>
      <c r="D31" s="6" t="inlineStr">
        <is>
          <t>13.91%</t>
        </is>
      </c>
      <c r="E31" s="6" t="n"/>
    </row>
    <row r="32">
      <c r="A32" s="6" t="inlineStr">
        <is>
          <t>UK 14d    Average leverage ratio including claims on central banks (%)</t>
        </is>
      </c>
      <c r="B32" s="6" t="inlineStr">
        <is>
          <t>12.99%</t>
        </is>
      </c>
      <c r="C32" s="6" t="inlineStr">
        <is>
          <t>13.01%</t>
        </is>
      </c>
      <c r="D32" s="6" t="inlineStr">
        <is>
          <t>12.36%</t>
        </is>
      </c>
      <c r="E32" s="6" t="n"/>
    </row>
    <row r="33">
      <c r="A33" s="6" t="inlineStr">
        <is>
          <t>UK 14e    Countercyclical leverage ratio buffer (%)</t>
        </is>
      </c>
      <c r="B33" s="6" t="inlineStr">
        <is>
          <t>0.40%</t>
        </is>
      </c>
      <c r="C33" s="6" t="inlineStr">
        <is>
          <t>0.40%</t>
        </is>
      </c>
      <c r="D33" s="6" t="inlineStr">
        <is>
          <t>0.30%</t>
        </is>
      </c>
      <c r="E33" s="6" t="n"/>
    </row>
    <row r="34">
      <c r="A34" s="5" t="inlineStr">
        <is>
          <t>Liquidity Coverage Ratio — amounts in £m (“£ mil” as FCE prints it); ratios in % — simple average of 12 monthly data points, per FCE's own stated method</t>
        </is>
      </c>
      <c r="B34" s="6" t="n"/>
      <c r="C34" s="6" t="n"/>
      <c r="D34" s="6" t="n"/>
      <c r="E34" s="6" t="n"/>
    </row>
    <row r="35">
      <c r="A35" s="6" t="inlineStr">
        <is>
          <t>15    Total high-quality liquid assets (HQLA) (Weighted value-average) (£m)</t>
        </is>
      </c>
      <c r="B35" s="6" t="n">
        <v>688</v>
      </c>
      <c r="C35" s="6" t="n">
        <v>1574</v>
      </c>
      <c r="D35" s="6" t="n">
        <v>1751</v>
      </c>
      <c r="E35" s="6" t="n">
        <v>1441</v>
      </c>
    </row>
    <row r="36">
      <c r="A36" s="6" t="inlineStr">
        <is>
          <t>UK 16a    Cash outflows - Total weighted value (£m) — FY2024 restated to 1,154 by the 2025 edition; its own edition's 1,114 is kept (see note)</t>
        </is>
      </c>
      <c r="B36" s="6" t="n">
        <v>849</v>
      </c>
      <c r="C36" s="6" t="n">
        <v>1114</v>
      </c>
      <c r="D36" s="6" t="n">
        <v>1387</v>
      </c>
      <c r="E36" s="6" t="n">
        <v>1186</v>
      </c>
    </row>
    <row r="37">
      <c r="A37" s="6" t="inlineStr">
        <is>
          <t>UK 16b    Cash inflows - Total weighted value (£m)</t>
        </is>
      </c>
      <c r="B37" s="6" t="n">
        <v>646</v>
      </c>
      <c r="C37" s="6" t="n">
        <v>689</v>
      </c>
      <c r="D37" s="6" t="n">
        <v>685</v>
      </c>
      <c r="E37" s="6" t="n">
        <v>564</v>
      </c>
    </row>
    <row r="38">
      <c r="A38" s="6" t="inlineStr">
        <is>
          <t>16    Total net cash outflows (adjusted value) (£m)</t>
        </is>
      </c>
      <c r="B38" s="6" t="n">
        <v>240</v>
      </c>
      <c r="C38" s="6" t="n">
        <v>483</v>
      </c>
      <c r="D38" s="6" t="n">
        <v>703</v>
      </c>
      <c r="E38" s="6" t="n">
        <v>622</v>
      </c>
    </row>
    <row r="39">
      <c r="A39" s="6" t="inlineStr">
        <is>
          <t>17    Liquidity coverage ratio (%)</t>
        </is>
      </c>
      <c r="B39" s="6" t="inlineStr">
        <is>
          <t>303%</t>
        </is>
      </c>
      <c r="C39" s="6" t="inlineStr">
        <is>
          <t>359%</t>
        </is>
      </c>
      <c r="D39" s="6" t="inlineStr">
        <is>
          <t>260%</t>
        </is>
      </c>
      <c r="E39" s="6" t="inlineStr">
        <is>
          <t>238%</t>
        </is>
      </c>
    </row>
    <row r="40">
      <c r="A40" s="5" t="inlineStr">
        <is>
          <t>Net Stable Funding Ratio — amounts in £m (“£ mil” as FCE prints it); ratios in % — simple average of four quarterly data points, per FCE's own stated method</t>
        </is>
      </c>
      <c r="B40" s="6" t="n"/>
      <c r="C40" s="6" t="n"/>
      <c r="D40" s="6" t="n"/>
      <c r="E40" s="6" t="n"/>
    </row>
    <row r="41">
      <c r="A41" s="6" t="inlineStr">
        <is>
          <t>18    Total available stable funding - (Weighted value - average) (£m)</t>
        </is>
      </c>
      <c r="B41" s="6" t="n">
        <v>11153</v>
      </c>
      <c r="C41" s="6" t="n">
        <v>12984</v>
      </c>
      <c r="D41" s="6" t="n">
        <v>15242</v>
      </c>
      <c r="E41" s="6" t="n">
        <v>13238</v>
      </c>
    </row>
    <row r="42">
      <c r="A42" s="6" t="inlineStr">
        <is>
          <t>19    Total required stable funding - (Weighted value - average) (£m)</t>
        </is>
      </c>
      <c r="B42" s="6" t="n">
        <v>8292</v>
      </c>
      <c r="C42" s="6" t="n">
        <v>9689</v>
      </c>
      <c r="D42" s="6" t="n">
        <v>10994</v>
      </c>
      <c r="E42" s="6" t="n">
        <v>9943</v>
      </c>
    </row>
    <row r="43">
      <c r="A43" s="6" t="inlineStr">
        <is>
          <t>20    NSFR ratio (%)</t>
        </is>
      </c>
      <c r="B43" s="6" t="inlineStr">
        <is>
          <t>135%</t>
        </is>
      </c>
      <c r="C43" s="6" t="inlineStr">
        <is>
          <t>135%</t>
        </is>
      </c>
      <c r="D43" s="6" t="inlineStr">
        <is>
          <t>139%</t>
        </is>
      </c>
      <c r="E43" s="6" t="inlineStr">
        <is>
          <t>133%</t>
        </is>
      </c>
    </row>
    <row r="45" ht="409"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AND THE SHEET CARRIES THE DASH. FCE prints an em dash ('—%') for Additional AT1 SREP requirements in every column of every edition - re-read in the FY2025, FY2024, FY2023 and FY2022 PDFs on 2026-09-18 - so each of those four cells carries a literal '-'. The dash is FCE stating that no additional AT1 SREP requirement applies to it, consistent with its holding no AT1 instruments, which is also why rows 1 and 2 are identical in every year. It is a different statement from a blank, which on this sheet means FCE published no figure at all. No printed zero appears anywhere in the year-end columns of this table; the one '0.00%' FCE prints (row 9) is in the 2022 edition's discarded 30 Jun 2022 column.</t>
        </is>
      </c>
    </row>
    <row r="47" ht="409" customHeight="1">
      <c r="A47" s="8" t="inlineStr">
        <is>
          <t>(continued)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t>
        </is>
      </c>
    </row>
    <row r="49" ht="409" customHeight="1">
      <c r="A49" s="8" t="inlineStr">
        <is>
          <t>(continued)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3">
    <mergeCell ref="A49:E49"/>
    <mergeCell ref="A47:E47"/>
    <mergeCell ref="A45:E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3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39"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3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3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3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3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5"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409"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t>
        </is>
      </c>
    </row>
    <row r="24" ht="409" customHeight="1">
      <c r="A24" s="8" t="inlineStr">
        <is>
          <t>(continued)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2">
    <mergeCell ref="A24:M24"/>
    <mergeCell ref="A22:M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5"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364"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303%</t>
        </is>
      </c>
      <c r="C4" s="6" t="inlineStr">
        <is>
          <t>359%</t>
        </is>
      </c>
      <c r="D4" s="6" t="inlineStr">
        <is>
          <t>260%</t>
        </is>
      </c>
      <c r="E4" s="6" t="inlineStr">
        <is>
          <t>238%</t>
        </is>
      </c>
    </row>
    <row r="5" ht="91"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390" customHeight="1">
      <c r="A7"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t>
        </is>
      </c>
    </row>
    <row r="9" ht="286" customHeight="1">
      <c r="A9" s="8" t="inlineStr">
        <is>
          <t xml:space="preserve">(continued)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t>
        </is>
      </c>
      <c r="B4" s="6" t="inlineStr">
        <is>
          <t>135%</t>
        </is>
      </c>
      <c r="C4" s="6" t="inlineStr">
        <is>
          <t>135%</t>
        </is>
      </c>
      <c r="D4" s="6" t="inlineStr">
        <is>
          <t>139%</t>
        </is>
      </c>
      <c r="E4" s="6" t="inlineStr">
        <is>
          <t>133%</t>
        </is>
      </c>
    </row>
    <row r="5" ht="52"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390" customHeight="1">
      <c r="A7"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t>
        </is>
      </c>
    </row>
    <row r="9" ht="286" customHeight="1">
      <c r="A9" s="8" t="inlineStr">
        <is>
          <t xml:space="preserve">(continued)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3">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FCE states its MREL equals its Total Capital Requirement (BoE strategy: modified insolvency); no MREL ratio - FY2025 Annual Pillar 3 Report p.5</t>
        </is>
      </c>
      <c r="C4" s="6" t="inlineStr">
        <is>
          <t>Not applicable – FCE states its MREL equals its Total Capital Requirement (BoE strategy: modified insolvency); no MREL ratio - FY2024 Annual Pillar 3 Disclosures p.5</t>
        </is>
      </c>
      <c r="D4" s="6" t="inlineStr">
        <is>
          <t>Not applicable – FCE states its MREL equals its Total Capital Requirement (BoE strategy: modified insolvency); no MREL ratio - FY2023 Annual Pillar 3 Report p.5</t>
        </is>
      </c>
      <c r="E4" s="6" t="inlineStr">
        <is>
          <t>Not applicable – FCE states its MREL equals its Total Capital Requirement (BoE strategy: modified insolvency); no MREL ratio - FY2022 Annual Pillar 3 Report p.6</t>
        </is>
      </c>
      <c r="F4" s="6" t="inlineStr">
        <is>
          <t>Not applicable – FCE states its MREL equals its Total Capital Requirement (BoE strategy: modified insolvency); no MREL ratio - FY2021 Annual Report, Pillar 3 Disclosures section p.138</t>
        </is>
      </c>
      <c r="G4" s="6" t="inlineStr">
        <is>
          <t>Not published – FCE FY2020 Annual Report has no MREL figure or mention (text probe 0 hits, 2026-09-19)</t>
        </is>
      </c>
      <c r="H4" s="6" t="inlineStr">
        <is>
          <t>Not published – FCE FY2019 Annual Report has no MREL figure or mention (text probe 0 hits, 2026-09-19)</t>
        </is>
      </c>
      <c r="I4" s="6" t="inlineStr">
        <is>
          <t>Not published – FCE FY2018 Annual Report has no MREL figure or mention (text probe 0 hits, 2026-09-19)</t>
        </is>
      </c>
      <c r="J4" s="6" t="inlineStr">
        <is>
          <t>Not published – FCE FY2017 Annual Report has no MREL figure or mention (text probe 0 hits, 2026-09-19)</t>
        </is>
      </c>
      <c r="K4" s="6" t="inlineStr">
        <is>
          <t>Not published – FCE FY2016 Annual Report has no MREL figure or mention (text probe 0 hits, 2026-09-19)</t>
        </is>
      </c>
      <c r="L4" s="6" t="inlineStr">
        <is>
          <t>Not published – FCE FY2015 Annual Report has no MREL figure or mention (text probe 0 hits, 2026-09-19)</t>
        </is>
      </c>
      <c r="M4" s="6" t="inlineStr">
        <is>
          <t>Not published – FCE 2014 Pillar 3 Disclosure and FY2014 accounts have no MREL figure or mention (text probe 0 hits, 2026-09-19)</t>
        </is>
      </c>
    </row>
    <row r="5" ht="39" customHeight="1">
      <c r="A5" s="7" t="inlineStr">
        <is>
          <t>Note: No MREL ratio is published for any of FY2014-FY2025. CORRECTED 2026-09-19 (GA-020): this note previously said no MREL reference existed in any document. In fact the FY2021 Annual Report's Pillar 3 section (p.138: 'The Bank of England has set FCE's MREL as equal to its TCR', under a modified insolvency preferred resolution strategy) and each FY2022-FY2025 Annual Pillar 3 Report (p.5/6: 'FCE's Minimum Requirement for Own Funds and Eligible Liabilities (MREL) is equal to its Total SREP Own Funds Requirement ... as it is not required to hold additional loss-absorbing instruments to support resolution') say why there is no ratio - so those years read 'Not applicable'. FY2014-FY2020 documents contain no MREL reference at all and read 'Not published'. FCE is a wholly-owned subsidiary of Ford ECO GmbH, an indirect subsidiary of Ford Motor Credit Company LLC.</t>
        </is>
      </c>
    </row>
    <row r="7" ht="364"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2026-10-26T09:36:02Z</dcterms:created>
  <dcterms:modified xmlns:dcterms="http://purl.org/dc/terms/" xmlns:xsi="http://www.w3.org/2001/XMLSchema-instance" xsi:type="dcterms:W3CDTF">2026-10-26T09:36:02Z</dcterms:modified>
</cp:coreProperties>
</file>