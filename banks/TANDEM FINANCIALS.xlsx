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Tandem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c r="C6" s="5" t="n"/>
      <c r="D6" s="5" t="n"/>
      <c r="E6" s="5" t="n">
        <v>309350</v>
      </c>
      <c r="F6" s="5" t="n">
        <v>201526</v>
      </c>
      <c r="I6" t="inlineStr">
        <is>
          <t>Net cash from/(used in) operating activities</t>
        </is>
      </c>
      <c r="J6" t="n">
        <v>201526</v>
      </c>
      <c r="K6" t="n">
        <v>309350</v>
      </c>
      <c r="Q6" t="inlineStr">
        <is>
          <t>CET1 Ratio</t>
        </is>
      </c>
      <c r="R6" t="n">
        <v>14.2</v>
      </c>
      <c r="S6" t="n">
        <v>15.2</v>
      </c>
      <c r="T6" t="n">
        <v>16.1</v>
      </c>
      <c r="U6" t="n">
        <v>17.4</v>
      </c>
      <c r="V6" t="n">
        <v>15.53</v>
      </c>
    </row>
    <row r="7">
      <c r="A7" s="5" t="inlineStr">
        <is>
          <t>Net cash from/(used in) investing activities</t>
        </is>
      </c>
      <c r="B7" s="5" t="n"/>
      <c r="C7" s="5" t="n"/>
      <c r="D7" s="5" t="n"/>
      <c r="E7" s="5" t="n">
        <v>-61572</v>
      </c>
      <c r="F7" s="5" t="n">
        <v>-2075</v>
      </c>
      <c r="I7" t="inlineStr">
        <is>
          <t>Net cash from/(used in) investing activities</t>
        </is>
      </c>
      <c r="J7" t="n">
        <v>-2075</v>
      </c>
      <c r="K7" t="n">
        <v>-61572</v>
      </c>
      <c r="Q7" t="inlineStr">
        <is>
          <t>Tier 1 Ratio</t>
        </is>
      </c>
      <c r="R7" t="n">
        <v>14.2</v>
      </c>
      <c r="S7" t="n">
        <v>15.2</v>
      </c>
      <c r="T7" t="n">
        <v>16.1</v>
      </c>
      <c r="U7" t="n">
        <v>17.4</v>
      </c>
      <c r="V7" t="n">
        <v>15.53</v>
      </c>
    </row>
    <row r="8">
      <c r="A8" s="5" t="inlineStr">
        <is>
          <t>Net cash from/(used in) financing activities</t>
        </is>
      </c>
      <c r="B8" s="5" t="n"/>
      <c r="C8" s="5" t="n"/>
      <c r="D8" s="5" t="n"/>
      <c r="E8" s="5" t="n">
        <v>76464</v>
      </c>
      <c r="F8" s="5" t="n">
        <v>12309</v>
      </c>
      <c r="I8" t="inlineStr">
        <is>
          <t>Net cash from/(used in) financing activities</t>
        </is>
      </c>
      <c r="J8" t="n">
        <v>12309</v>
      </c>
      <c r="K8" t="n">
        <v>76464</v>
      </c>
      <c r="Q8" t="inlineStr">
        <is>
          <t>Total Capital Ratio</t>
        </is>
      </c>
      <c r="R8" t="n">
        <v>14.2</v>
      </c>
      <c r="S8" t="n">
        <v>15.2</v>
      </c>
      <c r="T8" t="n">
        <v>18.8</v>
      </c>
      <c r="U8" t="n">
        <v>20.21</v>
      </c>
      <c r="V8" t="n">
        <v>18.11</v>
      </c>
    </row>
    <row r="9">
      <c r="A9" s="5" t="inlineStr">
        <is>
          <t>Cash and cash equivalents at end of year</t>
        </is>
      </c>
      <c r="B9" s="5" t="n"/>
      <c r="C9" s="5" t="n"/>
      <c r="D9" s="5" t="n"/>
      <c r="E9" s="5" t="n">
        <v>700930</v>
      </c>
      <c r="F9" s="5" t="n">
        <v>376688</v>
      </c>
      <c r="I9" t="inlineStr">
        <is>
          <t>Cash and cash equivalents at end of year</t>
        </is>
      </c>
      <c r="J9" t="n">
        <v>376688</v>
      </c>
      <c r="K9" t="n">
        <v>700930</v>
      </c>
      <c r="Q9" t="inlineStr">
        <is>
          <t>Leverage Ratio</t>
        </is>
      </c>
      <c r="R9" t="n">
        <v>4.6</v>
      </c>
      <c r="S9" t="n">
        <v>8.800000000000001</v>
      </c>
      <c r="T9" t="n">
        <v>9.800000000000001</v>
      </c>
      <c r="U9" t="n">
        <v>10.02</v>
      </c>
      <c r="V9" t="n">
        <v>9.039999999999999</v>
      </c>
    </row>
    <row r="10">
      <c r="Q10" t="inlineStr">
        <is>
          <t>LCR</t>
        </is>
      </c>
      <c r="R10" t="n">
        <v>331</v>
      </c>
      <c r="S10" t="n">
        <v>314.1</v>
      </c>
      <c r="T10" t="n">
        <v>636</v>
      </c>
      <c r="U10" t="n">
        <v>534.75</v>
      </c>
      <c r="V10" t="n">
        <v>443.4</v>
      </c>
    </row>
    <row r="11">
      <c r="A11" s="3" t="inlineStr">
        <is>
          <t>Pillar 3 Key Metrics</t>
        </is>
      </c>
      <c r="Q11" t="inlineStr">
        <is>
          <t>NSFR</t>
        </is>
      </c>
      <c r="S11" t="n">
        <v>155.5</v>
      </c>
      <c r="T11" t="n">
        <v>270.6</v>
      </c>
      <c r="U11" t="n">
        <v>263.1</v>
      </c>
      <c r="V11" t="n">
        <v>194.3</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15.53%</t>
        </is>
      </c>
      <c r="C13" s="6" t="inlineStr">
        <is>
          <t>17.40%</t>
        </is>
      </c>
      <c r="D13" s="6" t="inlineStr">
        <is>
          <t>16.1%</t>
        </is>
      </c>
      <c r="E13" s="6" t="inlineStr">
        <is>
          <t>15.2%</t>
        </is>
      </c>
      <c r="F13" s="6" t="inlineStr">
        <is>
          <t>14.2%</t>
        </is>
      </c>
    </row>
    <row r="14">
      <c r="A14" s="6" t="inlineStr">
        <is>
          <t>Tier 1 Ratio</t>
        </is>
      </c>
      <c r="B14" s="6" t="inlineStr">
        <is>
          <t>15.53%</t>
        </is>
      </c>
      <c r="C14" s="6" t="inlineStr">
        <is>
          <t>17.40%</t>
        </is>
      </c>
      <c r="D14" s="6" t="inlineStr">
        <is>
          <t>16.1%</t>
        </is>
      </c>
      <c r="E14" s="6" t="inlineStr">
        <is>
          <t>15.2%</t>
        </is>
      </c>
      <c r="F14" s="6" t="inlineStr">
        <is>
          <t>14.2%</t>
        </is>
      </c>
    </row>
    <row r="15">
      <c r="A15" s="6" t="inlineStr">
        <is>
          <t>Total Capital Ratio</t>
        </is>
      </c>
      <c r="B15" s="6" t="inlineStr">
        <is>
          <t>18.11%</t>
        </is>
      </c>
      <c r="C15" s="6" t="inlineStr">
        <is>
          <t>20.21%</t>
        </is>
      </c>
      <c r="D15" s="6" t="inlineStr">
        <is>
          <t>18.8%</t>
        </is>
      </c>
      <c r="E15" s="6" t="inlineStr">
        <is>
          <t>15.2%</t>
        </is>
      </c>
      <c r="F15" s="6" t="inlineStr">
        <is>
          <t>14.2%</t>
        </is>
      </c>
    </row>
    <row r="16">
      <c r="A16" s="6" t="inlineStr">
        <is>
          <t>Leverage Ratio</t>
        </is>
      </c>
      <c r="B16" s="6" t="inlineStr">
        <is>
          <t>9.04%</t>
        </is>
      </c>
      <c r="C16" s="6" t="inlineStr">
        <is>
          <t>10.02%</t>
        </is>
      </c>
      <c r="D16" s="6" t="inlineStr">
        <is>
          <t>9.8%</t>
        </is>
      </c>
      <c r="E16" s="6" t="inlineStr">
        <is>
          <t>8.8%</t>
        </is>
      </c>
      <c r="F16" s="6" t="inlineStr">
        <is>
          <t>4.6%</t>
        </is>
      </c>
    </row>
    <row r="17">
      <c r="A17" s="6" t="inlineStr">
        <is>
          <t>LCR</t>
        </is>
      </c>
      <c r="B17" s="6" t="inlineStr">
        <is>
          <t>443.40%</t>
        </is>
      </c>
      <c r="C17" s="6" t="inlineStr">
        <is>
          <t>534.75%</t>
        </is>
      </c>
      <c r="D17" s="6" t="inlineStr">
        <is>
          <t>636.0%</t>
        </is>
      </c>
      <c r="E17" s="6" t="inlineStr">
        <is>
          <t>314.1%</t>
        </is>
      </c>
      <c r="F17" s="6" t="inlineStr">
        <is>
          <t>331%</t>
        </is>
      </c>
    </row>
    <row r="18">
      <c r="A18" s="6" t="inlineStr">
        <is>
          <t>NSFR</t>
        </is>
      </c>
      <c r="B18" s="6" t="inlineStr">
        <is>
          <t>194.30%</t>
        </is>
      </c>
      <c r="C18" s="6" t="inlineStr">
        <is>
          <t>263.10%</t>
        </is>
      </c>
      <c r="D18" s="6" t="inlineStr">
        <is>
          <t>270.6%</t>
        </is>
      </c>
      <c r="E18" s="6" t="inlineStr">
        <is>
          <t>155.5%</t>
        </is>
      </c>
      <c r="F18" s="6" t="n"/>
    </row>
    <row r="20" ht="45" customHeight="1">
      <c r="A2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blank - see source note at bottom (FRS 102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Loss on operating activities before tax</t>
        </is>
      </c>
      <c r="B5" s="6" t="n"/>
      <c r="C5" s="6" t="n"/>
      <c r="D5" s="6" t="n"/>
      <c r="E5" s="6" t="n">
        <v>-6933</v>
      </c>
      <c r="F5" s="6" t="n">
        <v>-18030</v>
      </c>
    </row>
    <row r="6">
      <c r="A6" s="6" t="inlineStr">
        <is>
          <t>Non-cash items included in loss on operating activities before tax</t>
        </is>
      </c>
      <c r="B6" s="6" t="n"/>
      <c r="C6" s="6" t="n"/>
      <c r="D6" s="6" t="n"/>
      <c r="E6" s="6" t="n">
        <v>11707</v>
      </c>
      <c r="F6" s="6" t="n">
        <v>2173</v>
      </c>
    </row>
    <row r="7">
      <c r="A7" s="6" t="inlineStr">
        <is>
          <t>Change in operating assets and liabilities</t>
        </is>
      </c>
      <c r="B7" s="6" t="n"/>
      <c r="C7" s="6" t="n"/>
      <c r="D7" s="6" t="n"/>
      <c r="E7" s="6" t="n">
        <v>304576</v>
      </c>
      <c r="F7" s="6" t="n">
        <v>217383</v>
      </c>
    </row>
    <row r="8">
      <c r="A8" s="5" t="inlineStr">
        <is>
          <t>Net Cash Generated from Operating Activities</t>
        </is>
      </c>
      <c r="B8" s="5" t="n"/>
      <c r="C8" s="5" t="n"/>
      <c r="D8" s="5" t="n"/>
      <c r="E8" s="5" t="n">
        <v>309350</v>
      </c>
      <c r="F8" s="5" t="n">
        <v>201526</v>
      </c>
    </row>
    <row r="9">
      <c r="A9" s="5" t="inlineStr">
        <is>
          <t>Investing activities</t>
        </is>
      </c>
      <c r="B9" s="6" t="n"/>
      <c r="C9" s="6" t="n"/>
      <c r="D9" s="6" t="n"/>
      <c r="E9" s="6" t="n"/>
      <c r="F9" s="6" t="n"/>
    </row>
    <row r="10">
      <c r="A10" s="6" t="inlineStr">
        <is>
          <t>(Purchase)/sale of debt securities</t>
        </is>
      </c>
      <c r="B10" s="6" t="n"/>
      <c r="C10" s="6" t="n"/>
      <c r="D10" s="6" t="n"/>
      <c r="E10" s="6" t="n">
        <v>-61572</v>
      </c>
      <c r="F10" s="6" t="n">
        <v>-2075</v>
      </c>
    </row>
    <row r="11">
      <c r="A11" s="5" t="inlineStr">
        <is>
          <t>Net Cash Used in Investing Activities</t>
        </is>
      </c>
      <c r="B11" s="5" t="n"/>
      <c r="C11" s="5" t="n"/>
      <c r="D11" s="5" t="n"/>
      <c r="E11" s="5" t="n">
        <v>-61572</v>
      </c>
      <c r="F11" s="5" t="n">
        <v>-2075</v>
      </c>
    </row>
    <row r="12">
      <c r="A12" s="5" t="inlineStr">
        <is>
          <t>Financing activities</t>
        </is>
      </c>
      <c r="B12" s="6" t="n"/>
      <c r="C12" s="6" t="n"/>
      <c r="D12" s="6" t="n"/>
      <c r="E12" s="6" t="n"/>
      <c r="F12" s="6" t="n"/>
    </row>
    <row r="13">
      <c r="A13" s="6" t="inlineStr">
        <is>
          <t>Proceeds from issuance of ordinary shares</t>
        </is>
      </c>
      <c r="B13" s="6" t="n"/>
      <c r="C13" s="6" t="n"/>
      <c r="D13" s="6" t="n"/>
      <c r="E13" s="6" t="n">
        <v>76464</v>
      </c>
      <c r="F13" s="6" t="n">
        <v>12309</v>
      </c>
    </row>
    <row r="14">
      <c r="A14" s="5" t="inlineStr">
        <is>
          <t>Net Cash Generated from Financing Activities</t>
        </is>
      </c>
      <c r="B14" s="5" t="n"/>
      <c r="C14" s="5" t="n"/>
      <c r="D14" s="5" t="n"/>
      <c r="E14" s="5" t="n">
        <v>76464</v>
      </c>
      <c r="F14" s="5" t="n">
        <v>12309</v>
      </c>
    </row>
    <row r="15">
      <c r="A15" s="5" t="inlineStr">
        <is>
          <t>Net Increase in Cash and Cash Equivalents</t>
        </is>
      </c>
      <c r="B15" s="5" t="n"/>
      <c r="C15" s="5" t="n"/>
      <c r="D15" s="5" t="n"/>
      <c r="E15" s="5" t="n">
        <v>324242</v>
      </c>
      <c r="F15" s="5" t="n">
        <v>211760</v>
      </c>
    </row>
    <row r="16">
      <c r="A16" s="6" t="inlineStr">
        <is>
          <t>Cash and cash equivalents at beginning of year</t>
        </is>
      </c>
      <c r="B16" s="6" t="n"/>
      <c r="C16" s="6" t="n"/>
      <c r="D16" s="6" t="n"/>
      <c r="E16" s="6" t="n">
        <v>376688</v>
      </c>
      <c r="F16" s="6" t="n">
        <v>164928</v>
      </c>
    </row>
    <row r="17">
      <c r="A17" s="5" t="inlineStr">
        <is>
          <t>Cash and Cash Equivalents at the end of the Year</t>
        </is>
      </c>
      <c r="B17" s="5" t="n"/>
      <c r="C17" s="5" t="n"/>
      <c r="D17" s="5" t="n"/>
      <c r="E17" s="5" t="n">
        <v>700930</v>
      </c>
      <c r="F17" s="5" t="n">
        <v>376688</v>
      </c>
    </row>
    <row r="19" ht="260" customHeight="1">
      <c r="A19"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19:F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6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7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0"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70"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0"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disclosed</t>
        </is>
      </c>
    </row>
    <row r="7" ht="60" customHeight="1">
      <c r="A7" s="7" t="inlineStr">
        <is>
          <t>Note: NSFR not disclosed for FY2021 - not yet part of TML's Pillar 3 template that year (consistent with the UK NSFR requirement not applying to reporting periods that early elsewhere in this project, e.g. Zopa).</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2026-08-26T20:28:17Z</dcterms:created>
  <dcterms:modified xsi:type="dcterms:W3CDTF">2026-08-26T20:28:17Z</dcterms:modified>
</cp:coreProperties>
</file>