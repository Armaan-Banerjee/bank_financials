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'Overview'!$AL$19:$AT$19</f>
            </numRef>
          </cat>
          <val>
            <numRef>
              <f>'Overview'!$AL$20:$AT$20</f>
            </numRef>
          </val>
        </ser>
        <ser>
          <idx val="1"/>
          <order val="1"/>
          <tx>
            <strRef>
              <f>'Overview'!AK21</f>
            </strRef>
          </tx>
          <spPr>
            <a:ln xmlns:a="http://schemas.openxmlformats.org/drawingml/2006/main">
              <a:prstDash val="solid"/>
            </a:ln>
          </spPr>
          <cat>
            <numRef>
              <f>'Overview'!$AL$19:$AT$19</f>
            </numRef>
          </cat>
          <val>
            <numRef>
              <f>'Overview'!$AL$21:$AT$21</f>
            </numRef>
          </val>
        </ser>
        <ser>
          <idx val="2"/>
          <order val="2"/>
          <tx>
            <strRef>
              <f>'Overview'!AK22</f>
            </strRef>
          </tx>
          <spPr>
            <a:ln xmlns:a="http://schemas.openxmlformats.org/drawingml/2006/main">
              <a:prstDash val="solid"/>
            </a:ln>
          </spPr>
          <cat>
            <numRef>
              <f>'Overview'!$AL$19:$AT$19</f>
            </numRef>
          </cat>
          <val>
            <numRef>
              <f>'Overview'!$AL$22:$AT$22</f>
            </numRef>
          </val>
        </ser>
        <ser>
          <idx val="3"/>
          <order val="3"/>
          <tx>
            <strRef>
              <f>'Overview'!AK23</f>
            </strRef>
          </tx>
          <spPr>
            <a:ln xmlns:a="http://schemas.openxmlformats.org/drawingml/2006/mai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xmlns:a="http://schemas.openxmlformats.org/drawingml/2006/main">
              <a:prstDash val="solid"/>
            </a:ln>
          </spPr>
          <cat>
            <numRef>
              <f>'Overview'!$AX$26:$BF$26</f>
            </numRef>
          </cat>
          <val>
            <numRef>
              <f>'Overview'!$AX$27:$BF$27</f>
            </numRef>
          </val>
        </ser>
        <ser>
          <idx val="1"/>
          <order val="1"/>
          <tx>
            <strRef>
              <f>'Overview'!AW28</f>
            </strRef>
          </tx>
          <spPr>
            <a:ln xmlns:a="http://schemas.openxmlformats.org/drawingml/2006/main">
              <a:prstDash val="solid"/>
            </a:ln>
          </spPr>
          <cat>
            <numRef>
              <f>'Overview'!$AX$26:$BF$26</f>
            </numRef>
          </cat>
          <val>
            <numRef>
              <f>'Overview'!$AX$28:$BF$28</f>
            </numRef>
          </val>
        </ser>
        <ser>
          <idx val="2"/>
          <order val="2"/>
          <tx>
            <strRef>
              <f>'Overview'!AW29</f>
            </strRef>
          </tx>
          <spPr>
            <a:ln xmlns:a="http://schemas.openxmlformats.org/drawingml/2006/main">
              <a:prstDash val="solid"/>
            </a:ln>
          </spPr>
          <cat>
            <numRef>
              <f>'Overview'!$AX$26:$BF$26</f>
            </numRef>
          </cat>
          <val>
            <numRef>
              <f>'Overview'!$AX$29:$BF$29</f>
            </numRef>
          </val>
        </ser>
        <ser>
          <idx val="3"/>
          <order val="3"/>
          <tx>
            <strRef>
              <f>'Overview'!AW30</f>
            </strRef>
          </tx>
          <spPr>
            <a:ln xmlns:a="http://schemas.openxmlformats.org/drawingml/2006/mai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ser>
          <idx val="6"/>
          <order val="6"/>
          <tx>
            <strRef>
              <f>'Overview'!BI12</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'Overview'!$BJ$12:$BR$12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R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I6" t="inlineStr">
        <is>
          <t>CET1 Ratio</t>
        </is>
      </c>
      <c r="BJ6" t="n">
        <v>16.5</v>
      </c>
      <c r="BK6" t="n">
        <v>13.8</v>
      </c>
      <c r="BL6" t="n">
        <v>12.7</v>
      </c>
      <c r="BM6" t="n">
        <v>14.2</v>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I7" t="inlineStr">
        <is>
          <t>Total Capital Ratio</t>
        </is>
      </c>
      <c r="BJ7" t="n">
        <v>16.8</v>
      </c>
      <c r="BK7" t="n">
        <v>16.3</v>
      </c>
      <c r="BL7" t="n">
        <v>15</v>
      </c>
      <c r="BM7" t="n">
        <v>16.4</v>
      </c>
      <c r="BN7" t="n">
        <v>16.8</v>
      </c>
      <c r="BO7" t="n">
        <v>16.2</v>
      </c>
      <c r="BP7" t="n">
        <v>15</v>
      </c>
      <c r="BQ7" t="n">
        <v>14.6</v>
      </c>
      <c r="BR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I8" t="inlineStr">
        <is>
          <t>Leverage Ratio (UK basis, excl. central bank claims)</t>
        </is>
      </c>
      <c r="BN8" t="n">
        <v>10.3</v>
      </c>
      <c r="BO8" t="n">
        <v>10.7</v>
      </c>
      <c r="BP8" t="n">
        <v>9.699999999999999</v>
      </c>
      <c r="BQ8" t="n">
        <v>9.5</v>
      </c>
      <c r="BR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I9" t="inlineStr">
        <is>
          <t>Leverage Ratio (Basel III/CRR basis, incl. central bank claims)</t>
        </is>
      </c>
      <c r="BJ9" t="n">
        <v>12.3</v>
      </c>
      <c r="BK9" t="n">
        <v>10.4</v>
      </c>
      <c r="BL9" t="n">
        <v>9.800000000000001</v>
      </c>
      <c r="BM9" t="n">
        <v>10.4</v>
      </c>
    </row>
    <row r="10">
      <c r="BI10" t="inlineStr">
        <is>
          <t>LCR (UK KM1 twelve-month average)</t>
        </is>
      </c>
      <c r="BO10" t="n">
        <v>270.1</v>
      </c>
      <c r="BP10" t="n">
        <v>208</v>
      </c>
      <c r="BQ10" t="n">
        <v>219.6</v>
      </c>
      <c r="BR10" t="n">
        <v>190.4</v>
      </c>
    </row>
    <row r="11">
      <c r="A11" s="3" t="inlineStr">
        <is>
          <t>Profit &amp; Loss Summary (£m)</t>
        </is>
      </c>
      <c r="BI11" t="inlineStr">
        <is>
          <t>LCR (Basel III KM1 period observation)</t>
        </is>
      </c>
      <c r="BJ11" t="n">
        <v>736.4</v>
      </c>
      <c r="BK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I12" t="inlineStr">
        <is>
          <t>NSFR</t>
        </is>
      </c>
      <c r="BK12" t="n">
        <v>147.4</v>
      </c>
      <c r="BO12" t="n">
        <v>152.8</v>
      </c>
      <c r="BP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4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 on modification of financial assets</t>
        </is>
      </c>
      <c r="B13" s="6" t="n"/>
      <c r="C13" s="6" t="n"/>
      <c r="D13" s="6" t="n">
        <v>0.3</v>
      </c>
      <c r="E13" s="6" t="n">
        <v>1.1</v>
      </c>
      <c r="F13" s="6" t="n">
        <v>1.5</v>
      </c>
      <c r="G13" s="6" t="n"/>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v>-0.1</v>
      </c>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5" t="inlineStr">
        <is>
          <t>Operating expenses</t>
        </is>
      </c>
      <c r="B18" s="5" t="n">
        <v>-74.7</v>
      </c>
      <c r="C18" s="5" t="n">
        <v>-103.8</v>
      </c>
      <c r="D18" s="5" t="n">
        <v>-99.7</v>
      </c>
      <c r="E18" s="5" t="n">
        <v>-93.2</v>
      </c>
      <c r="F18" s="5" t="n">
        <v>-104</v>
      </c>
      <c r="G18" s="5" t="n">
        <v>-91.59999999999999</v>
      </c>
      <c r="H18" s="5" t="n">
        <v>-94.2</v>
      </c>
      <c r="I18" s="5" t="n">
        <v>-84.5</v>
      </c>
      <c r="J18" s="5" t="n">
        <v>-71.59999999999999</v>
      </c>
    </row>
    <row r="19">
      <c r="A19" s="5" t="inlineStr">
        <is>
          <t>Profit before income tax from continuing operations before exceptional items</t>
        </is>
      </c>
      <c r="B19" s="5" t="n">
        <v>59.3</v>
      </c>
      <c r="C19" s="5" t="n">
        <v>39.1</v>
      </c>
      <c r="D19" s="5" t="n">
        <v>42.6</v>
      </c>
      <c r="E19" s="5" t="n">
        <v>39</v>
      </c>
      <c r="F19" s="5" t="n">
        <v>56</v>
      </c>
      <c r="G19" s="5" t="n">
        <v>20.1</v>
      </c>
      <c r="H19" s="5" t="n">
        <v>38.7</v>
      </c>
      <c r="I19" s="5" t="n">
        <v>34.7</v>
      </c>
      <c r="J19" s="5" t="n">
        <v>29.3</v>
      </c>
    </row>
    <row r="20">
      <c r="A20" s="6" t="inlineStr">
        <is>
          <t>Exceptional items</t>
        </is>
      </c>
      <c r="B20" s="6" t="n">
        <v>0</v>
      </c>
      <c r="C20" s="6" t="n">
        <v>-9.9</v>
      </c>
      <c r="D20" s="6" t="n">
        <v>-6.5</v>
      </c>
      <c r="E20" s="6" t="n"/>
      <c r="F20" s="6" t="n"/>
      <c r="G20" s="6" t="n"/>
      <c r="H20" s="6" t="n"/>
      <c r="I20" s="6" t="n"/>
      <c r="J20" s="6" t="n"/>
    </row>
    <row r="21">
      <c r="A21" s="5" t="inlineStr">
        <is>
          <t>Profit before income tax from continuing operations</t>
        </is>
      </c>
      <c r="B21" s="5" t="n">
        <v>59.3</v>
      </c>
      <c r="C21" s="5" t="n">
        <v>29.2</v>
      </c>
      <c r="D21" s="5" t="n">
        <v>36.1</v>
      </c>
      <c r="E21" s="5" t="n">
        <v>39</v>
      </c>
      <c r="F21" s="5" t="n">
        <v>56</v>
      </c>
      <c r="G21" s="5" t="n">
        <v>20.1</v>
      </c>
      <c r="H21" s="5" t="n">
        <v>38.7</v>
      </c>
      <c r="I21" s="5" t="n">
        <v>34.7</v>
      </c>
      <c r="J21" s="5" t="n">
        <v>29.3</v>
      </c>
    </row>
    <row r="22">
      <c r="A22" s="6" t="inlineStr">
        <is>
          <t>Income tax (expense)/credit</t>
        </is>
      </c>
      <c r="B22" s="6" t="n">
        <v>-14.7</v>
      </c>
      <c r="C22" s="6" t="n">
        <v>-9.5</v>
      </c>
      <c r="D22" s="6" t="n">
        <v>-9.699999999999999</v>
      </c>
      <c r="E22" s="6" t="n">
        <v>-9.4</v>
      </c>
      <c r="F22" s="6" t="n">
        <v>-10.4</v>
      </c>
      <c r="G22" s="6" t="n"/>
      <c r="H22" s="6" t="n"/>
      <c r="I22" s="6" t="n"/>
      <c r="J22" s="6" t="n"/>
    </row>
    <row r="23">
      <c r="A23" s="5" t="inlineStr">
        <is>
          <t>Profit for the year from continuing operations</t>
        </is>
      </c>
      <c r="B23" s="5" t="n">
        <v>44.6</v>
      </c>
      <c r="C23" s="5" t="n">
        <v>19.7</v>
      </c>
      <c r="D23" s="5" t="n">
        <v>26.4</v>
      </c>
      <c r="E23" s="5" t="n">
        <v>29.6</v>
      </c>
      <c r="F23" s="5" t="n">
        <v>45.6</v>
      </c>
      <c r="G23" s="5" t="n"/>
      <c r="H23" s="5" t="n"/>
      <c r="I23" s="5" t="n"/>
      <c r="J23" s="5" t="n"/>
    </row>
    <row r="24">
      <c r="A24" s="5" t="inlineStr">
        <is>
          <t>Discontinued operations</t>
        </is>
      </c>
      <c r="B24" s="6" t="n"/>
      <c r="C24" s="6" t="n"/>
      <c r="D24" s="6" t="n"/>
      <c r="E24" s="6" t="n"/>
      <c r="F24" s="6" t="n"/>
      <c r="G24" s="6" t="n"/>
      <c r="H24" s="6" t="n"/>
      <c r="I24" s="6" t="n"/>
      <c r="J24" s="6" t="n"/>
    </row>
    <row r="25">
      <c r="A25" s="6" t="inlineStr">
        <is>
          <t>Profit/(loss) before income tax from discontinued operations</t>
        </is>
      </c>
      <c r="B25" s="6" t="n">
        <v>-31.8</v>
      </c>
      <c r="C25" s="6" t="n"/>
      <c r="D25" s="6" t="n">
        <v>-2.7</v>
      </c>
      <c r="E25" s="6" t="n">
        <v>5</v>
      </c>
      <c r="F25" s="6" t="n"/>
      <c r="G25" s="6" t="n"/>
      <c r="H25" s="6" t="n"/>
      <c r="I25" s="6" t="n"/>
      <c r="J25" s="6" t="n"/>
    </row>
    <row r="26">
      <c r="A26" s="6" t="inlineStr">
        <is>
          <t>Income tax (expense)/credit from discontinued operations</t>
        </is>
      </c>
      <c r="B26" s="6" t="n">
        <v>4.8</v>
      </c>
      <c r="C26" s="6" t="n"/>
      <c r="D26" s="6" t="n">
        <v>0.6</v>
      </c>
      <c r="E26" s="6" t="n">
        <v>-0.9</v>
      </c>
      <c r="F26" s="6" t="n"/>
      <c r="G26" s="6" t="n"/>
      <c r="H26" s="6" t="n"/>
      <c r="I26" s="6" t="n"/>
      <c r="J26" s="6" t="n"/>
    </row>
    <row r="27">
      <c r="A27" s="5" t="inlineStr">
        <is>
          <t>Profit/(loss) for the year from discontinued operations</t>
        </is>
      </c>
      <c r="B27" s="5" t="n">
        <v>-27</v>
      </c>
      <c r="C27" s="5" t="n"/>
      <c r="D27" s="5" t="n">
        <v>-2.1</v>
      </c>
      <c r="E27" s="5" t="n">
        <v>4.1</v>
      </c>
      <c r="F27" s="5" t="n"/>
      <c r="G27" s="5" t="n"/>
      <c r="H27" s="5" t="n"/>
      <c r="I27" s="5" t="n"/>
      <c r="J27" s="5" t="n"/>
    </row>
    <row r="28">
      <c r="A28" s="5" t="inlineStr">
        <is>
          <t>Profit for the year</t>
        </is>
      </c>
      <c r="B28" s="5" t="n">
        <v>17.6</v>
      </c>
      <c r="C28" s="5" t="n">
        <v>19.7</v>
      </c>
      <c r="D28" s="5" t="n">
        <v>24.3</v>
      </c>
      <c r="E28" s="5" t="n">
        <v>33.7</v>
      </c>
      <c r="F28" s="5" t="n">
        <v>45.6</v>
      </c>
      <c r="G28" s="5" t="n"/>
      <c r="H28" s="5" t="n"/>
      <c r="I28" s="5" t="n"/>
      <c r="J28" s="5" t="n"/>
    </row>
    <row r="29">
      <c r="A29" s="5" t="inlineStr">
        <is>
          <t>Other comprehensive income</t>
        </is>
      </c>
      <c r="B29" s="6" t="n"/>
      <c r="C29" s="6" t="n"/>
      <c r="D29" s="6" t="n"/>
      <c r="E29" s="6" t="n"/>
      <c r="F29" s="6" t="n"/>
      <c r="G29" s="6" t="n"/>
      <c r="H29" s="6" t="n"/>
      <c r="I29" s="6" t="n"/>
      <c r="J29" s="6" t="n"/>
    </row>
    <row r="30">
      <c r="A30" s="6" t="inlineStr">
        <is>
          <t>Cash flow hedge reserve movements, net of tax</t>
        </is>
      </c>
      <c r="B30" s="6" t="n">
        <v>0</v>
      </c>
      <c r="C30" s="6" t="n">
        <v>0.3</v>
      </c>
      <c r="D30" s="6" t="n">
        <v>0.5</v>
      </c>
      <c r="E30" s="6" t="n">
        <v>-0.5</v>
      </c>
      <c r="F30" s="6" t="n">
        <v>-0.3</v>
      </c>
      <c r="G30" s="6" t="n"/>
      <c r="H30" s="6" t="n"/>
      <c r="I30" s="6" t="n"/>
      <c r="J30" s="6" t="n"/>
    </row>
    <row r="31">
      <c r="A31" s="6" t="inlineStr">
        <is>
          <t>Revaluation reserve movements, net of tax</t>
        </is>
      </c>
      <c r="B31" s="6" t="n"/>
      <c r="C31" s="6" t="n"/>
      <c r="D31" s="6" t="n"/>
      <c r="E31" s="6" t="n">
        <v>0.3</v>
      </c>
      <c r="F31" s="6" t="n">
        <v>0.4</v>
      </c>
      <c r="G31" s="6" t="n"/>
      <c r="H31" s="6" t="n"/>
      <c r="I31" s="6" t="n"/>
      <c r="J31" s="6" t="n"/>
    </row>
    <row r="32">
      <c r="A32" s="5" t="inlineStr">
        <is>
          <t>Other comprehensive income for the year, net of income tax</t>
        </is>
      </c>
      <c r="B32" s="5" t="n">
        <v>0</v>
      </c>
      <c r="C32" s="5" t="n">
        <v>0.3</v>
      </c>
      <c r="D32" s="5" t="n">
        <v>0.5</v>
      </c>
      <c r="E32" s="5" t="n">
        <v>-0.2</v>
      </c>
      <c r="F32" s="5" t="n">
        <v>0.1</v>
      </c>
      <c r="G32" s="5" t="n"/>
      <c r="H32" s="5" t="n"/>
      <c r="I32" s="5" t="n"/>
      <c r="J32" s="5" t="n"/>
    </row>
    <row r="33">
      <c r="A33" s="5" t="inlineStr">
        <is>
          <t>Total comprehensive income for the year</t>
        </is>
      </c>
      <c r="B33" s="5" t="n">
        <v>17.6</v>
      </c>
      <c r="C33" s="5" t="n">
        <v>20</v>
      </c>
      <c r="D33" s="5" t="n">
        <v>24.8</v>
      </c>
      <c r="E33" s="5" t="n">
        <v>33.5</v>
      </c>
      <c r="F33" s="5" t="n">
        <v>45.7</v>
      </c>
      <c r="G33" s="5" t="n"/>
      <c r="H33" s="5" t="n"/>
      <c r="I33" s="5" t="n"/>
      <c r="J33" s="5" t="n"/>
    </row>
    <row r="35" ht="280" customHeight="1">
      <c r="A35"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5:J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Cash flows from operating activities</t>
        </is>
      </c>
      <c r="B4" s="6" t="n"/>
      <c r="C4" s="6" t="n"/>
      <c r="D4" s="6" t="n"/>
      <c r="E4" s="6" t="n"/>
      <c r="F4" s="6" t="n"/>
      <c r="G4" s="6" t="n"/>
      <c r="H4" s="6" t="n"/>
      <c r="I4" s="6" t="n"/>
      <c r="J4" s="6" t="n"/>
    </row>
    <row r="5">
      <c r="A5" s="6" t="inlineStr">
        <is>
          <t>Profit for the year</t>
        </is>
      </c>
      <c r="B5" s="6" t="n">
        <v>17.6</v>
      </c>
      <c r="C5" s="6" t="n">
        <v>19.7</v>
      </c>
      <c r="D5" s="6" t="n">
        <v>24.3</v>
      </c>
      <c r="E5" s="6" t="n">
        <v>33.7</v>
      </c>
      <c r="F5" s="6" t="n">
        <v>45.6</v>
      </c>
      <c r="G5" s="6" t="n"/>
      <c r="H5" s="6" t="n"/>
      <c r="I5" s="6" t="n"/>
      <c r="J5" s="6" t="n"/>
    </row>
    <row r="6">
      <c r="A6" s="6" t="inlineStr">
        <is>
          <t>Income tax expense</t>
        </is>
      </c>
      <c r="B6" s="6" t="n">
        <v>9.9</v>
      </c>
      <c r="C6" s="6" t="n">
        <v>9.5</v>
      </c>
      <c r="D6" s="6" t="n">
        <v>9.1</v>
      </c>
      <c r="E6" s="6" t="n">
        <v>10.3</v>
      </c>
      <c r="F6" s="6" t="n">
        <v>10.4</v>
      </c>
      <c r="G6" s="6" t="n"/>
      <c r="H6" s="6" t="n"/>
      <c r="I6" s="6" t="n"/>
      <c r="J6" s="6" t="n"/>
    </row>
    <row r="7">
      <c r="A7" s="6" t="inlineStr">
        <is>
          <t>Depreciation of property, plant and equipment</t>
        </is>
      </c>
      <c r="B7" s="6" t="n">
        <v>0.8</v>
      </c>
      <c r="C7" s="6" t="n">
        <v>1</v>
      </c>
      <c r="D7" s="6" t="n">
        <v>0.9</v>
      </c>
      <c r="E7" s="6" t="n">
        <v>1.2</v>
      </c>
      <c r="F7" s="6" t="n">
        <v>1.3</v>
      </c>
      <c r="G7" s="6" t="n"/>
      <c r="H7" s="6" t="n"/>
      <c r="I7" s="6" t="n"/>
      <c r="J7" s="6" t="n"/>
    </row>
    <row r="8">
      <c r="A8" s="6" t="inlineStr">
        <is>
          <t>Depreciation of right-of-use assets</t>
        </is>
      </c>
      <c r="B8" s="6" t="n">
        <v>1.1</v>
      </c>
      <c r="C8" s="6" t="n">
        <v>1</v>
      </c>
      <c r="D8" s="6" t="n">
        <v>0.7</v>
      </c>
      <c r="E8" s="6" t="n">
        <v>0.7</v>
      </c>
      <c r="F8" s="6" t="n">
        <v>0.7</v>
      </c>
      <c r="G8" s="6" t="n"/>
      <c r="H8" s="6" t="n"/>
      <c r="I8" s="6" t="n"/>
      <c r="J8" s="6" t="n"/>
    </row>
    <row r="9">
      <c r="A9" s="6" t="inlineStr">
        <is>
          <t>Amortisation of intangible assets</t>
        </is>
      </c>
      <c r="B9" s="6" t="n">
        <v>1.2</v>
      </c>
      <c r="C9" s="6" t="n">
        <v>1.4</v>
      </c>
      <c r="D9" s="6" t="n">
        <v>1.2</v>
      </c>
      <c r="E9" s="6" t="n">
        <v>1.4</v>
      </c>
      <c r="F9" s="6" t="n">
        <v>1.5</v>
      </c>
      <c r="G9" s="6" t="n"/>
      <c r="H9" s="6" t="n"/>
      <c r="I9" s="6" t="n"/>
      <c r="J9" s="6" t="n"/>
    </row>
    <row r="10">
      <c r="A10" s="6" t="inlineStr">
        <is>
          <t>Loss/(gain) on disposals and modifications</t>
        </is>
      </c>
      <c r="B10" s="6" t="n"/>
      <c r="C10" s="6" t="n">
        <v>0</v>
      </c>
      <c r="D10" s="6" t="n">
        <v>0.2</v>
      </c>
      <c r="E10" s="6" t="n">
        <v>-7.5</v>
      </c>
      <c r="F10" s="6" t="n">
        <v>-0.5</v>
      </c>
      <c r="G10" s="6" t="n"/>
      <c r="H10" s="6" t="n"/>
      <c r="I10" s="6" t="n"/>
      <c r="J10" s="6" t="n"/>
    </row>
    <row r="11">
      <c r="A11" s="6" t="inlineStr">
        <is>
          <t>Impairment charge on loans and advances</t>
        </is>
      </c>
      <c r="B11" s="6" t="n">
        <v>58</v>
      </c>
      <c r="C11" s="6" t="n">
        <v>61.9</v>
      </c>
      <c r="D11" s="6" t="n">
        <v>43.2</v>
      </c>
      <c r="E11" s="6" t="n">
        <v>39</v>
      </c>
      <c r="F11" s="6" t="n">
        <v>4.5</v>
      </c>
      <c r="G11" s="6" t="n"/>
      <c r="H11" s="6" t="n"/>
      <c r="I11" s="6" t="n"/>
      <c r="J11" s="6" t="n"/>
    </row>
    <row r="12">
      <c r="A12" s="6" t="inlineStr">
        <is>
          <t>Share-based compensation</t>
        </is>
      </c>
      <c r="B12" s="6" t="n">
        <v>2</v>
      </c>
      <c r="C12" s="6" t="n">
        <v>2.3</v>
      </c>
      <c r="D12" s="6" t="n">
        <v>1.1</v>
      </c>
      <c r="E12" s="6" t="n">
        <v>2</v>
      </c>
      <c r="F12" s="6" t="n">
        <v>1</v>
      </c>
      <c r="G12" s="6" t="n"/>
      <c r="H12" s="6" t="n"/>
      <c r="I12" s="6" t="n"/>
      <c r="J12" s="6" t="n"/>
    </row>
    <row r="13">
      <c r="A13" s="6" t="inlineStr">
        <is>
          <t>Provisions for liabilities and charges</t>
        </is>
      </c>
      <c r="B13" s="6" t="n">
        <v>21.7</v>
      </c>
      <c r="C13" s="6" t="n">
        <v>9.800000000000001</v>
      </c>
      <c r="D13" s="6" t="n">
        <v>8.5</v>
      </c>
      <c r="E13" s="6" t="n"/>
      <c r="F13" s="6" t="n"/>
      <c r="G13" s="6" t="n"/>
      <c r="H13" s="6" t="n"/>
      <c r="I13" s="6" t="n"/>
      <c r="J13" s="6" t="n"/>
    </row>
    <row r="14">
      <c r="A14" s="6" t="inlineStr">
        <is>
          <t>Other non-cash items included in profit before tax</t>
        </is>
      </c>
      <c r="B14" s="6" t="n">
        <v>0.2</v>
      </c>
      <c r="C14" s="6" t="n">
        <v>-0.6</v>
      </c>
      <c r="D14" s="6" t="n">
        <v>-0.8</v>
      </c>
      <c r="E14" s="6" t="n">
        <v>1</v>
      </c>
      <c r="F14" s="6" t="n">
        <v>0.4</v>
      </c>
      <c r="G14" s="6" t="n"/>
      <c r="H14" s="6" t="n"/>
      <c r="I14" s="6" t="n"/>
      <c r="J14" s="6" t="n"/>
    </row>
    <row r="15">
      <c r="A15" s="6" t="inlineStr">
        <is>
          <t>Loans and advances to customers</t>
        </is>
      </c>
      <c r="B15" s="6" t="n">
        <v>-159</v>
      </c>
      <c r="C15" s="6" t="n">
        <v>-354.8</v>
      </c>
      <c r="D15" s="6" t="n">
        <v>-439</v>
      </c>
      <c r="E15" s="6" t="n">
        <v>-497.1</v>
      </c>
      <c r="F15" s="6" t="n">
        <v>-238.4</v>
      </c>
      <c r="G15" s="6" t="n"/>
      <c r="H15" s="6" t="n"/>
      <c r="I15" s="6" t="n"/>
      <c r="J15" s="6" t="n"/>
    </row>
    <row r="16">
      <c r="A16" s="6" t="inlineStr">
        <is>
          <t>Loans and advances to banks and central banks</t>
        </is>
      </c>
      <c r="B16" s="6" t="n">
        <v>-5.1</v>
      </c>
      <c r="C16" s="6" t="n">
        <v>5</v>
      </c>
      <c r="D16" s="6" t="n">
        <v>-1.3</v>
      </c>
      <c r="E16" s="6" t="n">
        <v>0.6</v>
      </c>
      <c r="F16" s="6" t="n">
        <v>-1.9</v>
      </c>
      <c r="G16" s="6" t="n"/>
      <c r="H16" s="6" t="n"/>
      <c r="I16" s="6" t="n"/>
      <c r="J16" s="6" t="n"/>
    </row>
    <row r="17">
      <c r="A17" s="6" t="inlineStr">
        <is>
          <t>Other assets</t>
        </is>
      </c>
      <c r="B17" s="6" t="n">
        <v>2.8</v>
      </c>
      <c r="C17" s="6" t="n">
        <v>1.4</v>
      </c>
      <c r="D17" s="6" t="n">
        <v>0.4</v>
      </c>
      <c r="E17" s="6" t="n">
        <v>-1.5</v>
      </c>
      <c r="F17" s="6" t="n">
        <v>6</v>
      </c>
      <c r="G17" s="6" t="n"/>
      <c r="H17" s="6" t="n"/>
      <c r="I17" s="6" t="n"/>
      <c r="J17" s="6" t="n"/>
    </row>
    <row r="18">
      <c r="A18" s="6" t="inlineStr">
        <is>
          <t>Deposits from customers</t>
        </is>
      </c>
      <c r="B18" s="6" t="n">
        <v>264.7</v>
      </c>
      <c r="C18" s="6" t="n">
        <v>373.1</v>
      </c>
      <c r="D18" s="6" t="n">
        <v>357.2</v>
      </c>
      <c r="E18" s="6" t="n">
        <v>411.4</v>
      </c>
      <c r="F18" s="6" t="n">
        <v>110.7</v>
      </c>
      <c r="G18" s="6" t="n"/>
      <c r="H18" s="6" t="n"/>
      <c r="I18" s="6" t="n"/>
      <c r="J18" s="6" t="n"/>
    </row>
    <row r="19">
      <c r="A19" s="6" t="inlineStr">
        <is>
          <t>Provisions for liabilities and charges utilisation</t>
        </is>
      </c>
      <c r="B19" s="6" t="n">
        <v>-7.6</v>
      </c>
      <c r="C19" s="6" t="n">
        <v>-4.7</v>
      </c>
      <c r="D19" s="6" t="n">
        <v>-4.7</v>
      </c>
      <c r="E19" s="6" t="n">
        <v>-1.1</v>
      </c>
      <c r="F19" s="6" t="n">
        <v>-0.7</v>
      </c>
      <c r="G19" s="6" t="n"/>
      <c r="H19" s="6" t="n"/>
      <c r="I19" s="6" t="n"/>
      <c r="J19" s="6" t="n"/>
    </row>
    <row r="20">
      <c r="A20" s="6" t="inlineStr">
        <is>
          <t>Other liabilities</t>
        </is>
      </c>
      <c r="B20" s="6" t="n">
        <v>60.7</v>
      </c>
      <c r="C20" s="6" t="n">
        <v>-5.5</v>
      </c>
      <c r="D20" s="6" t="n">
        <v>-37.8</v>
      </c>
      <c r="E20" s="6" t="n">
        <v>45.6</v>
      </c>
      <c r="F20" s="6" t="n">
        <v>-24.4</v>
      </c>
      <c r="G20" s="6" t="n"/>
      <c r="H20" s="6" t="n"/>
      <c r="I20" s="6" t="n"/>
      <c r="J20" s="6" t="n"/>
    </row>
    <row r="21">
      <c r="A21" s="6" t="inlineStr">
        <is>
          <t>Income tax paid</t>
        </is>
      </c>
      <c r="B21" s="6" t="n">
        <v>-12</v>
      </c>
      <c r="C21" s="6" t="n">
        <v>-8.800000000000001</v>
      </c>
      <c r="D21" s="6" t="n">
        <v>-8.6</v>
      </c>
      <c r="E21" s="6" t="n">
        <v>-7</v>
      </c>
      <c r="F21" s="6" t="n">
        <v>-12.6</v>
      </c>
      <c r="G21" s="6" t="n"/>
      <c r="H21" s="6" t="n"/>
      <c r="I21" s="6" t="n"/>
      <c r="J21" s="6" t="n"/>
    </row>
    <row r="22">
      <c r="A22" s="5" t="inlineStr">
        <is>
          <t>Net cash inflow/(outflow) from operating activities</t>
        </is>
      </c>
      <c r="B22" s="5" t="n">
        <v>257</v>
      </c>
      <c r="C22" s="5" t="n">
        <v>111.7</v>
      </c>
      <c r="D22" s="5" t="n">
        <v>-45.4</v>
      </c>
      <c r="E22" s="5" t="n">
        <v>32.7</v>
      </c>
      <c r="F22" s="5" t="n">
        <v>-96.40000000000001</v>
      </c>
      <c r="G22" s="5" t="n"/>
      <c r="H22" s="5" t="n"/>
      <c r="I22" s="5" t="n"/>
      <c r="J22" s="5" t="n"/>
    </row>
    <row r="23">
      <c r="A23" s="5" t="inlineStr">
        <is>
          <t>Cash flows from investing activities</t>
        </is>
      </c>
      <c r="B23" s="6" t="n"/>
      <c r="C23" s="6" t="n"/>
      <c r="D23" s="6" t="n"/>
      <c r="E23" s="6" t="n"/>
      <c r="F23" s="6" t="n"/>
      <c r="G23" s="6" t="n"/>
      <c r="H23" s="6" t="n"/>
      <c r="I23" s="6" t="n"/>
      <c r="J23" s="6" t="n"/>
    </row>
    <row r="24">
      <c r="A24" s="6" t="inlineStr">
        <is>
          <t>Consideration on sale of loan books</t>
        </is>
      </c>
      <c r="B24" s="6" t="n"/>
      <c r="C24" s="6" t="n"/>
      <c r="D24" s="6" t="n">
        <v>0</v>
      </c>
      <c r="E24" s="6" t="n">
        <v>81.90000000000001</v>
      </c>
      <c r="F24" s="6" t="n">
        <v>60.4</v>
      </c>
      <c r="G24" s="6" t="n"/>
      <c r="H24" s="6" t="n"/>
      <c r="I24" s="6" t="n"/>
      <c r="J24" s="6" t="n"/>
    </row>
    <row r="25">
      <c r="A25" s="6" t="inlineStr">
        <is>
          <t>Sale of investment property</t>
        </is>
      </c>
      <c r="B25" s="6" t="n"/>
      <c r="C25" s="6" t="n"/>
      <c r="D25" s="6" t="n"/>
      <c r="E25" s="6" t="n">
        <v>3.3</v>
      </c>
      <c r="F25" s="6" t="n"/>
      <c r="G25" s="6" t="n"/>
      <c r="H25" s="6" t="n"/>
      <c r="I25" s="6" t="n"/>
      <c r="J25" s="6" t="n"/>
    </row>
    <row r="26">
      <c r="A26" s="6" t="inlineStr">
        <is>
          <t>Maturity and sales of debt securities</t>
        </is>
      </c>
      <c r="B26" s="6" t="n"/>
      <c r="C26" s="6" t="n"/>
      <c r="D26" s="6" t="n"/>
      <c r="E26" s="6" t="n">
        <v>80</v>
      </c>
      <c r="F26" s="6" t="n">
        <v>90</v>
      </c>
      <c r="G26" s="6" t="n"/>
      <c r="H26" s="6" t="n"/>
      <c r="I26" s="6" t="n"/>
      <c r="J26" s="6" t="n"/>
    </row>
    <row r="27">
      <c r="A27" s="6" t="inlineStr">
        <is>
          <t>Purchase of debt securities</t>
        </is>
      </c>
      <c r="B27" s="6" t="n"/>
      <c r="C27" s="6" t="n"/>
      <c r="D27" s="6" t="n"/>
      <c r="E27" s="6" t="n">
        <v>-80</v>
      </c>
      <c r="F27" s="6" t="n">
        <v>-90</v>
      </c>
      <c r="G27" s="6" t="n"/>
      <c r="H27" s="6" t="n"/>
      <c r="I27" s="6" t="n"/>
      <c r="J27" s="6" t="n"/>
    </row>
    <row r="28">
      <c r="A28" s="6" t="inlineStr">
        <is>
          <t>Purchase of property, plant and equipment and intangible assets</t>
        </is>
      </c>
      <c r="B28" s="6" t="n">
        <v>-1.6</v>
      </c>
      <c r="C28" s="6" t="n">
        <v>-1</v>
      </c>
      <c r="D28" s="6" t="n">
        <v>-2.7</v>
      </c>
      <c r="E28" s="6" t="n">
        <v>-2.7</v>
      </c>
      <c r="F28" s="6" t="n">
        <v>-1.3</v>
      </c>
      <c r="G28" s="6" t="n"/>
      <c r="H28" s="6" t="n"/>
      <c r="I28" s="6" t="n"/>
      <c r="J28" s="6" t="n"/>
    </row>
    <row r="29">
      <c r="A29" s="6" t="inlineStr">
        <is>
          <t>Purchase of investment property</t>
        </is>
      </c>
      <c r="B29" s="6" t="n">
        <v>-1.1</v>
      </c>
      <c r="C29" s="6" t="n"/>
      <c r="D29" s="6" t="n"/>
      <c r="E29" s="6" t="n"/>
      <c r="F29" s="6" t="n"/>
      <c r="G29" s="6" t="n"/>
      <c r="H29" s="6" t="n"/>
      <c r="I29" s="6" t="n"/>
      <c r="J29" s="6" t="n"/>
    </row>
    <row r="30">
      <c r="A30" s="6" t="inlineStr">
        <is>
          <t>Purchase of debt securities</t>
        </is>
      </c>
      <c r="B30" s="6" t="n">
        <v>-1</v>
      </c>
      <c r="C30" s="6" t="n"/>
      <c r="D30" s="6" t="n"/>
      <c r="E30" s="6" t="n"/>
      <c r="F30" s="6" t="n"/>
      <c r="G30" s="6" t="n"/>
      <c r="H30" s="6" t="n"/>
      <c r="I30" s="6" t="n"/>
      <c r="J30" s="6" t="n"/>
    </row>
    <row r="31">
      <c r="A31" s="6" t="inlineStr">
        <is>
          <t>Sale of property, plant and equipment</t>
        </is>
      </c>
      <c r="B31" s="6" t="n">
        <v>1.9</v>
      </c>
      <c r="C31" s="6" t="n"/>
      <c r="D31" s="6" t="n"/>
      <c r="E31" s="6" t="n"/>
      <c r="F31" s="6" t="n"/>
      <c r="G31" s="6" t="n"/>
      <c r="H31" s="6" t="n"/>
      <c r="I31" s="6" t="n"/>
      <c r="J31" s="6" t="n"/>
    </row>
    <row r="32">
      <c r="A32" s="5" t="inlineStr">
        <is>
          <t>Net cash inflow/(outflow) from investing activities</t>
        </is>
      </c>
      <c r="B32" s="5" t="n">
        <v>-1.8</v>
      </c>
      <c r="C32" s="5" t="n">
        <v>-1</v>
      </c>
      <c r="D32" s="5" t="n">
        <v>-2.7</v>
      </c>
      <c r="E32" s="5" t="n">
        <v>82.5</v>
      </c>
      <c r="F32" s="5" t="n">
        <v>59.1</v>
      </c>
      <c r="G32" s="5" t="n"/>
      <c r="H32" s="5" t="n"/>
      <c r="I32" s="5" t="n"/>
      <c r="J32" s="5" t="n"/>
    </row>
    <row r="33">
      <c r="A33" s="5" t="inlineStr">
        <is>
          <t>Cash flows from financing activities</t>
        </is>
      </c>
      <c r="B33" s="6" t="n"/>
      <c r="C33" s="6" t="n"/>
      <c r="D33" s="6" t="n"/>
      <c r="E33" s="6" t="n"/>
      <c r="F33" s="6" t="n"/>
      <c r="G33" s="6" t="n"/>
      <c r="H33" s="6" t="n"/>
      <c r="I33" s="6" t="n"/>
      <c r="J33" s="6" t="n"/>
    </row>
    <row r="34">
      <c r="A34" s="6" t="inlineStr">
        <is>
          <t>Issue of subordinated debt</t>
        </is>
      </c>
      <c r="B34" s="6" t="n"/>
      <c r="C34" s="6" t="n"/>
      <c r="D34" s="6" t="n">
        <v>70</v>
      </c>
      <c r="E34" s="6" t="n"/>
      <c r="F34" s="6" t="n"/>
      <c r="G34" s="6" t="n"/>
      <c r="H34" s="6" t="n"/>
      <c r="I34" s="6" t="n"/>
      <c r="J34" s="6" t="n"/>
    </row>
    <row r="35">
      <c r="A35" s="6" t="inlineStr">
        <is>
          <t>Redemption of subordinated debt</t>
        </is>
      </c>
      <c r="B35" s="6" t="n"/>
      <c r="C35" s="6" t="n"/>
      <c r="D35" s="6" t="n">
        <v>-28.8</v>
      </c>
      <c r="E35" s="6" t="n"/>
      <c r="F35" s="6" t="n"/>
      <c r="G35" s="6" t="n"/>
      <c r="H35" s="6" t="n"/>
      <c r="I35" s="6" t="n"/>
      <c r="J35" s="6" t="n"/>
    </row>
    <row r="36">
      <c r="A36" s="6" t="inlineStr">
        <is>
          <t>Drawdown/(repayment) of amounts due to banks</t>
        </is>
      </c>
      <c r="B36" s="6" t="n">
        <v>-1.7</v>
      </c>
      <c r="C36" s="6" t="n">
        <v>0.8</v>
      </c>
      <c r="D36" s="6" t="n">
        <v>-0.9</v>
      </c>
      <c r="E36" s="6" t="n">
        <v>7</v>
      </c>
      <c r="F36" s="6" t="n">
        <v>114.4</v>
      </c>
      <c r="G36" s="6" t="n"/>
      <c r="H36" s="6" t="n"/>
      <c r="I36" s="6" t="n"/>
      <c r="J36" s="6" t="n"/>
    </row>
    <row r="37">
      <c r="A37" s="6" t="inlineStr">
        <is>
          <t>Drawdown of sale and repurchase agreements</t>
        </is>
      </c>
      <c r="B37" s="6" t="n">
        <v>250</v>
      </c>
      <c r="C37" s="6" t="n">
        <v>125</v>
      </c>
      <c r="D37" s="6" t="n"/>
      <c r="E37" s="6" t="n"/>
      <c r="F37" s="6" t="n"/>
      <c r="G37" s="6" t="n"/>
      <c r="H37" s="6" t="n"/>
      <c r="I37" s="6" t="n"/>
      <c r="J37" s="6" t="n"/>
    </row>
    <row r="38">
      <c r="A38" s="6" t="inlineStr">
        <is>
          <t>Repayment of sale and repurchase agreements</t>
        </is>
      </c>
      <c r="B38" s="6" t="n">
        <v>-175</v>
      </c>
      <c r="C38" s="6" t="n"/>
      <c r="D38" s="6" t="n"/>
      <c r="E38" s="6" t="n"/>
      <c r="F38" s="6" t="n"/>
      <c r="G38" s="6" t="n"/>
      <c r="H38" s="6" t="n"/>
      <c r="I38" s="6" t="n"/>
      <c r="J38" s="6" t="n"/>
    </row>
    <row r="39">
      <c r="A39" s="6" t="inlineStr">
        <is>
          <t>Repayment of Term Funding Scheme</t>
        </is>
      </c>
      <c r="B39" s="6" t="n">
        <v>-230</v>
      </c>
      <c r="C39" s="6" t="n">
        <v>-160</v>
      </c>
      <c r="D39" s="6" t="n"/>
      <c r="E39" s="6" t="n"/>
      <c r="F39" s="6" t="n"/>
      <c r="G39" s="6" t="n"/>
      <c r="H39" s="6" t="n"/>
      <c r="I39" s="6" t="n"/>
      <c r="J39" s="6" t="n"/>
    </row>
    <row r="40">
      <c r="A40" s="6" t="inlineStr">
        <is>
          <t>Purchase of own shares</t>
        </is>
      </c>
      <c r="B40" s="6" t="n">
        <v>-0.2</v>
      </c>
      <c r="C40" s="6" t="n">
        <v>-1.4</v>
      </c>
      <c r="D40" s="6" t="n">
        <v>-1.2</v>
      </c>
      <c r="E40" s="6" t="n">
        <v>-0.3</v>
      </c>
      <c r="F40" s="6" t="n"/>
      <c r="G40" s="6" t="n"/>
      <c r="H40" s="6" t="n"/>
      <c r="I40" s="6" t="n"/>
      <c r="J40" s="6" t="n"/>
    </row>
    <row r="41">
      <c r="A41" s="6" t="inlineStr">
        <is>
          <t>Issue of shares</t>
        </is>
      </c>
      <c r="B41" s="6" t="n">
        <v>0.2</v>
      </c>
      <c r="C41" s="6" t="n">
        <v>0.2</v>
      </c>
      <c r="D41" s="6" t="n">
        <v>1.7</v>
      </c>
      <c r="E41" s="6" t="n"/>
      <c r="F41" s="6" t="n"/>
      <c r="G41" s="6" t="n"/>
      <c r="H41" s="6" t="n"/>
      <c r="I41" s="6" t="n"/>
      <c r="J41" s="6" t="n"/>
    </row>
    <row r="42">
      <c r="A42" s="6" t="inlineStr">
        <is>
          <t>Dividends paid</t>
        </is>
      </c>
      <c r="B42" s="6" t="n">
        <v>-6.4</v>
      </c>
      <c r="C42" s="6" t="n">
        <v>-5.2</v>
      </c>
      <c r="D42" s="6" t="n">
        <v>-8.4</v>
      </c>
      <c r="E42" s="6" t="n">
        <v>-10.7</v>
      </c>
      <c r="F42" s="6" t="n">
        <v>-11.9</v>
      </c>
      <c r="G42" s="6" t="n"/>
      <c r="H42" s="6" t="n"/>
      <c r="I42" s="6" t="n"/>
      <c r="J42" s="6" t="n"/>
    </row>
    <row r="43">
      <c r="A43" s="6" t="inlineStr">
        <is>
          <t>Repayment of lease liabilities</t>
        </is>
      </c>
      <c r="B43" s="6" t="n">
        <v>-1.3</v>
      </c>
      <c r="C43" s="6" t="n">
        <v>-1.4</v>
      </c>
      <c r="D43" s="6" t="n">
        <v>-0.9</v>
      </c>
      <c r="E43" s="6" t="n">
        <v>-1</v>
      </c>
      <c r="F43" s="6" t="n">
        <v>-0.9</v>
      </c>
      <c r="G43" s="6" t="n"/>
      <c r="H43" s="6" t="n"/>
      <c r="I43" s="6" t="n"/>
      <c r="J43" s="6" t="n"/>
    </row>
    <row r="44">
      <c r="A44" s="6" t="inlineStr">
        <is>
          <t>Issue of ordinary shares</t>
        </is>
      </c>
      <c r="B44" s="6" t="n"/>
      <c r="C44" s="6" t="n"/>
      <c r="D44" s="6" t="n"/>
      <c r="E44" s="6" t="n"/>
      <c r="F44" s="6" t="n">
        <v>0</v>
      </c>
      <c r="G44" s="6" t="n"/>
      <c r="H44" s="6" t="n"/>
      <c r="I44" s="6" t="n"/>
      <c r="J44" s="6" t="n"/>
    </row>
    <row r="45">
      <c r="A45" s="5" t="inlineStr">
        <is>
          <t>Net cash (outflow)/inflow from financing activities</t>
        </is>
      </c>
      <c r="B45" s="5" t="n">
        <v>-164.4</v>
      </c>
      <c r="C45" s="5" t="n">
        <v>-42</v>
      </c>
      <c r="D45" s="5" t="n">
        <v>31.5</v>
      </c>
      <c r="E45" s="5" t="n">
        <v>-5</v>
      </c>
      <c r="F45" s="5" t="n">
        <v>101.6</v>
      </c>
      <c r="G45" s="5" t="n"/>
      <c r="H45" s="5" t="n"/>
      <c r="I45" s="5" t="n"/>
      <c r="J45" s="5" t="n"/>
    </row>
    <row r="46">
      <c r="A46" s="5" t="inlineStr">
        <is>
          <t>Net increase/(decrease) in cash and cash equivalents</t>
        </is>
      </c>
      <c r="B46" s="5" t="n">
        <v>90.8</v>
      </c>
      <c r="C46" s="5" t="n">
        <v>68.7</v>
      </c>
      <c r="D46" s="5" t="n">
        <v>-16.6</v>
      </c>
      <c r="E46" s="5" t="n">
        <v>110.2</v>
      </c>
      <c r="F46" s="5" t="n">
        <v>64.3</v>
      </c>
      <c r="G46" s="5" t="n"/>
      <c r="H46" s="5" t="n"/>
      <c r="I46" s="5" t="n"/>
      <c r="J46" s="5" t="n"/>
    </row>
    <row r="47">
      <c r="A47" s="6" t="inlineStr">
        <is>
          <t>Cash and cash equivalents at 1 January</t>
        </is>
      </c>
      <c r="B47" s="6" t="n">
        <v>469</v>
      </c>
      <c r="C47" s="6" t="n">
        <v>400.3</v>
      </c>
      <c r="D47" s="6" t="n">
        <v>416.9</v>
      </c>
      <c r="E47" s="6" t="n">
        <v>306.7</v>
      </c>
      <c r="F47" s="6" t="n">
        <v>242.4</v>
      </c>
      <c r="G47" s="6" t="n"/>
      <c r="H47" s="6" t="n"/>
      <c r="I47" s="6" t="n"/>
      <c r="J47" s="6" t="n"/>
    </row>
    <row r="48">
      <c r="A48" s="5" t="inlineStr">
        <is>
          <t>Cash and cash equivalents at 31 December</t>
        </is>
      </c>
      <c r="B48" s="5" t="n">
        <v>559.8</v>
      </c>
      <c r="C48" s="5" t="n">
        <v>469</v>
      </c>
      <c r="D48" s="5" t="n">
        <v>400.3</v>
      </c>
      <c r="E48" s="5" t="n">
        <v>416.9</v>
      </c>
      <c r="F48" s="5" t="n">
        <v>306.7</v>
      </c>
      <c r="G48" s="5" t="n"/>
      <c r="H48" s="5" t="n"/>
      <c r="I48" s="5" t="n"/>
      <c r="J48" s="5" t="n"/>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 book by product - gross loans and advances to customers</t>
        </is>
      </c>
      <c r="B4" s="6" t="n"/>
      <c r="C4" s="6" t="n"/>
      <c r="D4" s="6" t="n"/>
      <c r="E4" s="6" t="n"/>
      <c r="F4" s="6" t="n"/>
      <c r="G4" s="6" t="n"/>
      <c r="H4" s="6" t="n"/>
      <c r="I4" s="6" t="n"/>
      <c r="J4" s="6" t="n"/>
    </row>
    <row r="5">
      <c r="A5" s="6" t="inlineStr">
        <is>
          <t>Retail Finance</t>
        </is>
      </c>
      <c r="B5" s="6" t="n">
        <v>1499.6</v>
      </c>
      <c r="C5" s="6" t="n">
        <v>1387.9</v>
      </c>
      <c r="D5" s="6" t="n">
        <v>1255.3</v>
      </c>
      <c r="E5" s="6" t="n">
        <v>1082.7</v>
      </c>
      <c r="F5" s="6" t="n">
        <v>786.5</v>
      </c>
      <c r="G5" s="6" t="n"/>
      <c r="H5" s="6" t="n"/>
      <c r="I5" s="6" t="n"/>
      <c r="J5" s="6" t="n"/>
    </row>
    <row r="6">
      <c r="A6" s="6" t="inlineStr">
        <is>
          <t>Real Estate Finance</t>
        </is>
      </c>
      <c r="B6" s="6" t="n">
        <v>1475.3</v>
      </c>
      <c r="C6" s="6" t="n">
        <v>1353.9</v>
      </c>
      <c r="D6" s="6" t="n">
        <v>1251.8</v>
      </c>
      <c r="E6" s="6" t="n">
        <v>1118.9</v>
      </c>
      <c r="F6" s="6" t="n">
        <v>1112.8</v>
      </c>
      <c r="G6" s="6" t="n"/>
      <c r="H6" s="6" t="n"/>
      <c r="I6" s="6" t="n"/>
      <c r="J6" s="6" t="n"/>
    </row>
    <row r="7">
      <c r="A7" s="6" t="inlineStr">
        <is>
          <t>Commercial Finance</t>
        </is>
      </c>
      <c r="B7" s="6" t="n">
        <v>366.4</v>
      </c>
      <c r="C7" s="6" t="n">
        <v>351.8</v>
      </c>
      <c r="D7" s="6" t="n">
        <v>383.2</v>
      </c>
      <c r="E7" s="6" t="n">
        <v>378.4</v>
      </c>
      <c r="F7" s="6" t="n">
        <v>314.4</v>
      </c>
      <c r="G7" s="6" t="n"/>
      <c r="H7" s="6" t="n"/>
      <c r="I7" s="6" t="n"/>
      <c r="J7" s="6" t="n"/>
    </row>
    <row r="8">
      <c r="A8" s="6" t="inlineStr">
        <is>
          <t>Vehicle Finance</t>
        </is>
      </c>
      <c r="B8" s="6" t="n">
        <v>434.8</v>
      </c>
      <c r="C8" s="6" t="n">
        <v>626.7</v>
      </c>
      <c r="D8" s="6" t="n">
        <v>513.1</v>
      </c>
      <c r="E8" s="6" t="n">
        <v>417.5</v>
      </c>
      <c r="F8" s="6" t="n">
        <v>297.5</v>
      </c>
      <c r="G8" s="6" t="n"/>
      <c r="H8" s="6" t="n"/>
      <c r="I8" s="6" t="n"/>
      <c r="J8" s="6" t="n"/>
    </row>
    <row r="9">
      <c r="A9" s="6" t="inlineStr">
        <is>
          <t>Debt Management</t>
        </is>
      </c>
      <c r="B9" s="6" t="n"/>
      <c r="C9" s="6" t="n"/>
      <c r="D9" s="6" t="n"/>
      <c r="E9" s="6" t="n"/>
      <c r="F9" s="6" t="n">
        <v>86.90000000000001</v>
      </c>
      <c r="G9" s="6" t="n"/>
      <c r="H9" s="6" t="n"/>
      <c r="I9" s="6" t="n"/>
      <c r="J9" s="6" t="n"/>
    </row>
    <row r="10">
      <c r="A10" s="5" t="inlineStr">
        <is>
          <t>Total gross loans and advances to customers</t>
        </is>
      </c>
      <c r="B10" s="5" t="n">
        <v>3776.1</v>
      </c>
      <c r="C10" s="5" t="n">
        <v>3720.3</v>
      </c>
      <c r="D10" s="5" t="n">
        <v>3403.4</v>
      </c>
      <c r="E10" s="5" t="n">
        <v>2997.5</v>
      </c>
      <c r="F10" s="5" t="n">
        <v>2598.1</v>
      </c>
      <c r="G10" s="5" t="n"/>
      <c r="H10" s="5" t="n"/>
      <c r="I10" s="5" t="n"/>
      <c r="J10" s="5" t="n"/>
    </row>
    <row r="11">
      <c r="A11" s="5" t="inlineStr">
        <is>
          <t>Impairment allowance by IFRS 9 stage</t>
        </is>
      </c>
      <c r="B11" s="6" t="n"/>
      <c r="C11" s="6" t="n"/>
      <c r="D11" s="6" t="n"/>
      <c r="E11" s="6" t="n"/>
      <c r="F11" s="6" t="n"/>
      <c r="G11" s="6" t="n"/>
      <c r="H11" s="6" t="n"/>
      <c r="I11" s="6" t="n"/>
      <c r="J11" s="6" t="n"/>
    </row>
    <row r="12">
      <c r="A12" s="6" t="inlineStr">
        <is>
          <t>Stage 1: subject to 12-month ECL</t>
        </is>
      </c>
      <c r="B12" s="6" t="n">
        <v>25.2</v>
      </c>
      <c r="C12" s="6" t="n">
        <v>29.6</v>
      </c>
      <c r="D12" s="6" t="n">
        <v>29.5</v>
      </c>
      <c r="E12" s="6" t="n">
        <v>24.3</v>
      </c>
      <c r="F12" s="6" t="n">
        <v>18.5</v>
      </c>
      <c r="G12" s="6" t="n"/>
      <c r="H12" s="6" t="n"/>
      <c r="I12" s="6" t="n"/>
      <c r="J12" s="6" t="n"/>
    </row>
    <row r="13">
      <c r="A13" s="6" t="inlineStr">
        <is>
          <t>Stage 2: subject to lifetime ECL, not credit-impaired</t>
        </is>
      </c>
      <c r="B13" s="6" t="n">
        <v>21.3</v>
      </c>
      <c r="C13" s="6" t="n">
        <v>15.9</v>
      </c>
      <c r="D13" s="6" t="n">
        <v>18.2</v>
      </c>
      <c r="E13" s="6" t="n">
        <v>28.6</v>
      </c>
      <c r="F13" s="6" t="n">
        <v>20</v>
      </c>
      <c r="G13" s="6" t="n"/>
      <c r="H13" s="6" t="n"/>
      <c r="I13" s="6" t="n"/>
      <c r="J13" s="6" t="n"/>
    </row>
    <row r="14">
      <c r="A14" s="6" t="inlineStr">
        <is>
          <t>Stage 3: subject to lifetime ECL, credit-impaired</t>
        </is>
      </c>
      <c r="B14" s="6" t="n">
        <v>43</v>
      </c>
      <c r="C14" s="6" t="n">
        <v>66.3</v>
      </c>
      <c r="D14" s="6" t="n">
        <v>40.4</v>
      </c>
      <c r="E14" s="6" t="n">
        <v>25.1</v>
      </c>
      <c r="F14" s="6" t="n">
        <v>29</v>
      </c>
      <c r="G14" s="6" t="n"/>
      <c r="H14" s="6" t="n"/>
      <c r="I14" s="6" t="n"/>
      <c r="J14" s="6" t="n"/>
    </row>
    <row r="15">
      <c r="A15" s="5" t="inlineStr">
        <is>
          <t>Total impairment allowance</t>
        </is>
      </c>
      <c r="B15" s="5" t="n">
        <v>89.5</v>
      </c>
      <c r="C15" s="5" t="n">
        <v>111.8</v>
      </c>
      <c r="D15" s="5" t="n">
        <v>88.09999999999999</v>
      </c>
      <c r="E15" s="5" t="n">
        <v>78</v>
      </c>
      <c r="F15" s="5" t="n">
        <v>67.5</v>
      </c>
      <c r="G15" s="5" t="n"/>
      <c r="H15" s="5" t="n"/>
      <c r="I15" s="5" t="n"/>
      <c r="J15" s="5" t="n"/>
    </row>
    <row r="16">
      <c r="A16" s="6" t="inlineStr">
        <is>
          <t>Provision coverage ratio</t>
        </is>
      </c>
      <c r="B16" s="6" t="inlineStr">
        <is>
          <t>2.4%</t>
        </is>
      </c>
      <c r="C16" s="6" t="inlineStr">
        <is>
          <t>3.0%</t>
        </is>
      </c>
      <c r="D16" s="6" t="inlineStr">
        <is>
          <t>2.6%</t>
        </is>
      </c>
      <c r="E16" s="6" t="inlineStr">
        <is>
          <t>2.6%</t>
        </is>
      </c>
      <c r="F16" s="6" t="inlineStr">
        <is>
          <t>2.6%</t>
        </is>
      </c>
      <c r="G16" s="6" t="n"/>
      <c r="H16" s="6" t="n"/>
      <c r="I16" s="6" t="n"/>
      <c r="J16" s="6" t="n"/>
    </row>
    <row r="17">
      <c r="A17" s="6" t="inlineStr">
        <is>
          <t>Stage 3 as % of gross loans (derived)</t>
        </is>
      </c>
      <c r="B17" s="6" t="inlineStr">
        <is>
          <t>1.14%</t>
        </is>
      </c>
      <c r="C17" s="6" t="inlineStr">
        <is>
          <t>1.78%</t>
        </is>
      </c>
      <c r="D17" s="6" t="inlineStr">
        <is>
          <t>1.19%</t>
        </is>
      </c>
      <c r="E17" s="6" t="inlineStr">
        <is>
          <t>0.84%</t>
        </is>
      </c>
      <c r="F17" s="6" t="inlineStr">
        <is>
          <t>1.12%</t>
        </is>
      </c>
      <c r="G17" s="6" t="n"/>
      <c r="H17" s="6" t="n"/>
      <c r="I17" s="6" t="n"/>
      <c r="J17" s="6" t="n"/>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60"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60"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n">
        <v>0</v>
      </c>
      <c r="J5" s="6" t="n">
        <v>0</v>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n"/>
      <c r="J8" s="6" t="n"/>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2.3 table OV1 'Overview of Risk Weighted Assets', p.5, column a (31/12/18) - https://www.securetrustbank.com/investor-relations/document-library/pillar-3-disclosure-2018-annual
FY2017: Pillar 3 disclosures for the year ended 31 December 2017, Section 2.7 table OV1 'Overview of Risk Weighted Assets', p.7,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report counterparty credit risk, market risk, securitisation and the 250%-risk-weight threshold line as nil ('-'), so the nil CCR cells below are the documents' own nil, not a gap.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60"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230" customHeight="1">
      <c r="A8"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publicly disclosed</t>
        </is>
      </c>
      <c r="G4" s="6" t="inlineStr">
        <is>
          <t>Not publicly disclosed</t>
        </is>
      </c>
      <c r="H4" s="6" t="inlineStr">
        <is>
          <t>Not publicly disclosed</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ht="60" customHeight="1">
      <c r="A6"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t>
        </is>
      </c>
    </row>
    <row r="8" ht="230" customHeight="1">
      <c r="A8"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publicly disclosed</t>
        </is>
      </c>
      <c r="G4" s="6" t="inlineStr">
        <is>
          <t>Not publicly disclosed</t>
        </is>
      </c>
      <c r="H4" s="6" t="inlineStr">
        <is>
          <t>Not publicly disclosed</t>
        </is>
      </c>
      <c r="I4" s="6" t="inlineStr">
        <is>
          <t>147.4%</t>
        </is>
      </c>
      <c r="J4" s="6" t="inlineStr">
        <is>
          <t>Not applicable</t>
        </is>
      </c>
    </row>
    <row r="5" ht="60"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230" customHeight="1">
      <c r="A7" s="8" t="inlineStr">
        <is>
          <t>Sources - Secure Trust Bank PLC Group regulatory disclosures:
FY2025: Secure Trust Bank PLC Pillar 3 disclosures for the year ended 31 December 2025, Key metrics table (UK KM1), p. 5 - https://www.securetrustbank.com/investor-relations/document-library/pillar-3-disclosure-2025-final
FY2024: Secure Trust Bank PLC Pillar 3 disclosures for the year ended 31 December 2024, Key metrics table (UK KM1), p. 5 - https://www.securetrustbank.com/investor-relations/document-library/pillar-3-disclosure-2024-final
FY2023: Secure Trust Bank PLC Pillar 3 disclosures for the year ended 31 December 2023, Key metrics table (UK KM1), p. 5 - https://www.securetrustbank.com/investor-relations/document-library/pillar-3-disclosure-2023-final
FY2022: Secure Trust Bank PLC Pillar 3 disclosures for the year ended 31 December 2022, Key metrics table (UK KM1), p. 5 - https://www.securetrustbank.com/investor-relations/document-library/pillar-3-disclosure-2022-final
FY2021: Secure Trust Bank PLC Pillar 3 disclosures for the year ended 31 December 2021, Key metrics table, p. 4 -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4.4 table CC1 row 60, p. 13;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2026-09-15T19:16:01Z</dcterms:created>
  <dcterms:modified xmlns:dcterms="http://purl.org/dc/terms/" xmlns:xsi="http://www.w3.org/2001/XMLSchema-instance" xsi:type="dcterms:W3CDTF">2026-09-15T19:16:01Z</dcterms:modified>
</cp:coreProperties>
</file>