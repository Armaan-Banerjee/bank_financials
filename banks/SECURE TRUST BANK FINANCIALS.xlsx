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'Overview'!$AL$19:$AT$19</f>
            </numRef>
          </cat>
          <val>
            <numRef>
              <f>'Overview'!$AL$20:$AT$20</f>
            </numRef>
          </val>
        </ser>
        <ser>
          <idx val="1"/>
          <order val="1"/>
          <tx>
            <strRef>
              <f>'Overview'!AK21</f>
            </strRef>
          </tx>
          <spPr>
            <a:ln xmlns:a="http://schemas.openxmlformats.org/drawingml/2006/main">
              <a:prstDash val="solid"/>
            </a:ln>
          </spPr>
          <cat>
            <numRef>
              <f>'Overview'!$AL$19:$AT$19</f>
            </numRef>
          </cat>
          <val>
            <numRef>
              <f>'Overview'!$AL$21:$AT$21</f>
            </numRef>
          </val>
        </ser>
        <ser>
          <idx val="2"/>
          <order val="2"/>
          <tx>
            <strRef>
              <f>'Overview'!AK22</f>
            </strRef>
          </tx>
          <spPr>
            <a:ln xmlns:a="http://schemas.openxmlformats.org/drawingml/2006/main">
              <a:prstDash val="solid"/>
            </a:ln>
          </spPr>
          <cat>
            <numRef>
              <f>'Overview'!$AL$19:$AT$19</f>
            </numRef>
          </cat>
          <val>
            <numRef>
              <f>'Overview'!$AL$22:$AT$22</f>
            </numRef>
          </val>
        </ser>
        <ser>
          <idx val="3"/>
          <order val="3"/>
          <tx>
            <strRef>
              <f>'Overview'!AK23</f>
            </strRef>
          </tx>
          <spPr>
            <a:ln xmlns:a="http://schemas.openxmlformats.org/drawingml/2006/main">
              <a:prstDash val="solid"/>
            </a:ln>
          </spPr>
          <cat>
            <numRef>
              <f>'Overview'!$AL$19:$AT$19</f>
            </numRef>
          </cat>
          <val>
            <numRef>
              <f>'Overview'!$AL$23:$AT$23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'Overview'!AW27</f>
            </strRef>
          </tx>
          <spPr>
            <a:ln xmlns:a="http://schemas.openxmlformats.org/drawingml/2006/main">
              <a:prstDash val="solid"/>
            </a:ln>
          </spPr>
          <cat>
            <numRef>
              <f>'Overview'!$AX$26:$BF$26</f>
            </numRef>
          </cat>
          <val>
            <numRef>
              <f>'Overview'!$AX$27:$BF$27</f>
            </numRef>
          </val>
        </ser>
        <ser>
          <idx val="1"/>
          <order val="1"/>
          <tx>
            <strRef>
              <f>'Overview'!AW28</f>
            </strRef>
          </tx>
          <spPr>
            <a:ln xmlns:a="http://schemas.openxmlformats.org/drawingml/2006/main">
              <a:prstDash val="solid"/>
            </a:ln>
          </spPr>
          <cat>
            <numRef>
              <f>'Overview'!$AX$26:$BF$26</f>
            </numRef>
          </cat>
          <val>
            <numRef>
              <f>'Overview'!$AX$28:$BF$28</f>
            </numRef>
          </val>
        </ser>
        <ser>
          <idx val="2"/>
          <order val="2"/>
          <tx>
            <strRef>
              <f>'Overview'!AW29</f>
            </strRef>
          </tx>
          <spPr>
            <a:ln xmlns:a="http://schemas.openxmlformats.org/drawingml/2006/main">
              <a:prstDash val="solid"/>
            </a:ln>
          </spPr>
          <cat>
            <numRef>
              <f>'Overview'!$AX$26:$BF$26</f>
            </numRef>
          </cat>
          <val>
            <numRef>
              <f>'Overview'!$AX$29:$BF$29</f>
            </numRef>
          </val>
        </ser>
        <ser>
          <idx val="3"/>
          <order val="3"/>
          <tx>
            <strRef>
              <f>'Overview'!AW30</f>
            </strRef>
          </tx>
          <spPr>
            <a:ln xmlns:a="http://schemas.openxmlformats.org/drawingml/2006/main">
              <a:prstDash val="solid"/>
            </a:ln>
          </spPr>
          <cat>
            <numRef>
              <f>'Overview'!$AX$26:$BF$26</f>
            </numRef>
          </cat>
          <val>
            <numRef>
              <f>'Overview'!$AX$30:$BF$30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ser>
          <idx val="6"/>
          <order val="6"/>
          <tx>
            <strRef>
              <f>'Overview'!BI12</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'Overview'!$BJ$12:$BR$12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R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I6" t="inlineStr">
        <is>
          <t>CET1 Ratio</t>
        </is>
      </c>
      <c r="BJ6" t="n">
        <v>16.5</v>
      </c>
      <c r="BK6" t="n">
        <v>13.8</v>
      </c>
      <c r="BL6" t="n">
        <v>12.7</v>
      </c>
      <c r="BM6" t="n">
        <v>14.2</v>
      </c>
      <c r="BN6" t="n">
        <v>14.5</v>
      </c>
      <c r="BO6" t="n">
        <v>14</v>
      </c>
      <c r="BP6" t="n">
        <v>12.7</v>
      </c>
      <c r="BQ6" t="n">
        <v>12.3</v>
      </c>
      <c r="BR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I7" t="inlineStr">
        <is>
          <t>Total Capital Ratio</t>
        </is>
      </c>
      <c r="BJ7" t="n">
        <v>16.8</v>
      </c>
      <c r="BK7" t="n">
        <v>16.3</v>
      </c>
      <c r="BL7" t="n">
        <v>15</v>
      </c>
      <c r="BM7" t="n">
        <v>16.4</v>
      </c>
      <c r="BN7" t="n">
        <v>16.8</v>
      </c>
      <c r="BO7" t="n">
        <v>16.2</v>
      </c>
      <c r="BP7" t="n">
        <v>15</v>
      </c>
      <c r="BQ7" t="n">
        <v>14.6</v>
      </c>
      <c r="BR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I8" t="inlineStr">
        <is>
          <t>Leverage Ratio (UK basis, excl. central bank claims)</t>
        </is>
      </c>
      <c r="BN8" t="n">
        <v>10.3</v>
      </c>
      <c r="BO8" t="n">
        <v>10.7</v>
      </c>
      <c r="BP8" t="n">
        <v>9.699999999999999</v>
      </c>
      <c r="BQ8" t="n">
        <v>9.5</v>
      </c>
      <c r="BR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I9" t="inlineStr">
        <is>
          <t>Leverage Ratio (Basel III/CRR basis, incl. central bank claims)</t>
        </is>
      </c>
      <c r="BJ9" t="n">
        <v>12.3</v>
      </c>
      <c r="BK9" t="n">
        <v>10.4</v>
      </c>
      <c r="BL9" t="n">
        <v>9.800000000000001</v>
      </c>
      <c r="BM9" t="n">
        <v>10.4</v>
      </c>
    </row>
    <row r="10">
      <c r="BI10" t="inlineStr">
        <is>
          <t>LCR (UK KM1 twelve-month average)</t>
        </is>
      </c>
      <c r="BO10" t="n">
        <v>270.1</v>
      </c>
      <c r="BP10" t="n">
        <v>208</v>
      </c>
      <c r="BQ10" t="n">
        <v>219.6</v>
      </c>
      <c r="BR10" t="n">
        <v>190.4</v>
      </c>
    </row>
    <row r="11">
      <c r="A11" s="3" t="inlineStr">
        <is>
          <t>Profit &amp; Loss Summary (£m)</t>
        </is>
      </c>
      <c r="BI11" t="inlineStr">
        <is>
          <t>LCR (Basel III KM1 period observation)</t>
        </is>
      </c>
      <c r="BJ11" t="n">
        <v>736.4</v>
      </c>
      <c r="BK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I12" t="inlineStr">
        <is>
          <t>NSFR</t>
        </is>
      </c>
      <c r="BK12" t="n">
        <v>147.4</v>
      </c>
      <c r="BO12" t="n">
        <v>152.8</v>
      </c>
      <c r="BP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AL19" t="inlineStr">
        <is>
          <t>FY2017</t>
        </is>
      </c>
      <c r="AM19" t="inlineStr">
        <is>
          <t>FY2018</t>
        </is>
      </c>
      <c r="AN19" t="inlineStr">
        <is>
          <t>FY2019</t>
        </is>
      </c>
      <c r="AO19" t="inlineStr">
        <is>
          <t>FY2020</t>
        </is>
      </c>
      <c r="AP19" t="inlineStr">
        <is>
          <t>FY2021</t>
        </is>
      </c>
      <c r="AQ19" t="inlineStr">
        <is>
          <t>FY2022</t>
        </is>
      </c>
      <c r="AR19" t="inlineStr">
        <is>
          <t>FY2023</t>
        </is>
      </c>
      <c r="AS19" t="inlineStr">
        <is>
          <t>FY2024</t>
        </is>
      </c>
      <c r="AT19" t="inlineStr">
        <is>
          <t>FY2025</t>
        </is>
      </c>
    </row>
    <row r="20">
      <c r="A20" s="5" t="inlineStr">
        <is>
          <t>Opening equity</t>
        </is>
      </c>
      <c r="B20" s="5" t="n">
        <v>360.5</v>
      </c>
      <c r="C20" s="5" t="n">
        <v>344.5</v>
      </c>
      <c r="D20" s="5" t="n">
        <v>326.4</v>
      </c>
      <c r="E20" s="5" t="n">
        <v>302.4</v>
      </c>
      <c r="F20" s="5" t="n">
        <v>267.6</v>
      </c>
      <c r="G20" s="5" t="n"/>
      <c r="H20" s="5" t="n"/>
      <c r="I20" s="5" t="n"/>
      <c r="J20" s="5" t="n"/>
      <c r="AK20" t="inlineStr">
        <is>
          <t>Opening equity</t>
        </is>
      </c>
      <c r="AP20" t="n">
        <v>267.6</v>
      </c>
      <c r="AQ20" t="n">
        <v>302.4</v>
      </c>
      <c r="AR20" t="n">
        <v>326.4</v>
      </c>
      <c r="AS20" t="n">
        <v>344.5</v>
      </c>
      <c r="AT20" t="n">
        <v>360.5</v>
      </c>
    </row>
    <row r="21">
      <c r="A21" s="5" t="inlineStr">
        <is>
          <t>Total comprehensive income for the year</t>
        </is>
      </c>
      <c r="B21" s="5" t="n">
        <v>17.6</v>
      </c>
      <c r="C21" s="5" t="n">
        <v>20</v>
      </c>
      <c r="D21" s="5" t="n">
        <v>24.8</v>
      </c>
      <c r="E21" s="5" t="n">
        <v>33.5</v>
      </c>
      <c r="F21" s="5" t="n">
        <v>45.7</v>
      </c>
      <c r="G21" s="5" t="n"/>
      <c r="H21" s="5" t="n"/>
      <c r="I21" s="5" t="n"/>
      <c r="J21" s="5" t="n"/>
      <c r="AK21" t="inlineStr">
        <is>
          <t>Total comprehensive income for the year</t>
        </is>
      </c>
      <c r="AP21" t="n">
        <v>45.7</v>
      </c>
      <c r="AQ21" t="n">
        <v>33.5</v>
      </c>
      <c r="AR21" t="n">
        <v>24.8</v>
      </c>
      <c r="AS21" t="n">
        <v>20</v>
      </c>
      <c r="AT21" t="n">
        <v>17.6</v>
      </c>
    </row>
    <row r="22">
      <c r="A22" s="5" t="inlineStr">
        <is>
          <t>Other equity movements, net</t>
        </is>
      </c>
      <c r="B22" s="5" t="n">
        <v>-3.8</v>
      </c>
      <c r="C22" s="5" t="n">
        <v>-4</v>
      </c>
      <c r="D22" s="5" t="n">
        <v>-6.7</v>
      </c>
      <c r="E22" s="5" t="n">
        <v>-9</v>
      </c>
      <c r="F22" s="5" t="n">
        <v>-10.9</v>
      </c>
      <c r="G22" s="5" t="n"/>
      <c r="H22" s="5" t="n"/>
      <c r="I22" s="5" t="n"/>
      <c r="J22" s="5" t="n"/>
      <c r="AK22" t="inlineStr">
        <is>
          <t>Other equity movements, net</t>
        </is>
      </c>
      <c r="AP22" t="n">
        <v>-10.9</v>
      </c>
      <c r="AQ22" t="n">
        <v>-9</v>
      </c>
      <c r="AR22" t="n">
        <v>-6.7</v>
      </c>
      <c r="AS22" t="n">
        <v>-4</v>
      </c>
      <c r="AT22" t="n">
        <v>-3.8</v>
      </c>
    </row>
    <row r="23">
      <c r="A23" s="5" t="inlineStr">
        <is>
          <t>Closing equity</t>
        </is>
      </c>
      <c r="B23" s="5" t="n">
        <v>374.3</v>
      </c>
      <c r="C23" s="5" t="n">
        <v>360.5</v>
      </c>
      <c r="D23" s="5" t="n">
        <v>344.5</v>
      </c>
      <c r="E23" s="5" t="n">
        <v>326.9</v>
      </c>
      <c r="F23" s="5" t="n">
        <v>302.4</v>
      </c>
      <c r="G23" s="5" t="n"/>
      <c r="H23" s="5" t="n"/>
      <c r="I23" s="5" t="n"/>
      <c r="J23" s="5" t="n"/>
      <c r="AK23" t="inlineStr">
        <is>
          <t>Closing equity</t>
        </is>
      </c>
      <c r="AP23" t="n">
        <v>302.4</v>
      </c>
      <c r="AQ23" t="n">
        <v>326.9</v>
      </c>
      <c r="AR23" t="n">
        <v>344.5</v>
      </c>
      <c r="AS23" t="n">
        <v>360.5</v>
      </c>
      <c r="AT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AX26" t="inlineStr">
        <is>
          <t>FY2017</t>
        </is>
      </c>
      <c r="AY26" t="inlineStr">
        <is>
          <t>FY2018</t>
        </is>
      </c>
      <c r="AZ26" t="inlineStr">
        <is>
          <t>FY2019</t>
        </is>
      </c>
      <c r="BA26" t="inlineStr">
        <is>
          <t>FY2020</t>
        </is>
      </c>
      <c r="BB26" t="inlineStr">
        <is>
          <t>FY2021</t>
        </is>
      </c>
      <c r="BC26" t="inlineStr">
        <is>
          <t>FY2022</t>
        </is>
      </c>
      <c r="BD26" t="inlineStr">
        <is>
          <t>FY2023</t>
        </is>
      </c>
      <c r="BE26" t="inlineStr">
        <is>
          <t>FY2024</t>
        </is>
      </c>
      <c r="BF26" t="inlineStr">
        <is>
          <t>FY2025</t>
        </is>
      </c>
    </row>
    <row r="27">
      <c r="A27" s="5" t="inlineStr">
        <is>
          <t>Net cash from/(used in) operating activities</t>
        </is>
      </c>
      <c r="B27" s="5" t="n">
        <v>257</v>
      </c>
      <c r="C27" s="5" t="n">
        <v>111.7</v>
      </c>
      <c r="D27" s="5" t="n">
        <v>-45.4</v>
      </c>
      <c r="E27" s="5" t="n">
        <v>32.7</v>
      </c>
      <c r="F27" s="5" t="n">
        <v>-96.40000000000001</v>
      </c>
      <c r="G27" s="5" t="n"/>
      <c r="H27" s="5" t="n"/>
      <c r="I27" s="5" t="n"/>
      <c r="J27" s="5" t="n"/>
      <c r="AW27" t="inlineStr">
        <is>
          <t>Net cash from/(used in) operating activities</t>
        </is>
      </c>
      <c r="BB27" t="n">
        <v>-96.40000000000001</v>
      </c>
      <c r="BC27" t="n">
        <v>32.7</v>
      </c>
      <c r="BD27" t="n">
        <v>-45.4</v>
      </c>
      <c r="BE27" t="n">
        <v>111.7</v>
      </c>
      <c r="BF27" t="n">
        <v>257</v>
      </c>
    </row>
    <row r="28">
      <c r="A28" s="5" t="inlineStr">
        <is>
          <t>Net cash from/(used in) investing activities</t>
        </is>
      </c>
      <c r="B28" s="5" t="n">
        <v>-1.8</v>
      </c>
      <c r="C28" s="5" t="n">
        <v>-1</v>
      </c>
      <c r="D28" s="5" t="n">
        <v>-2.7</v>
      </c>
      <c r="E28" s="5" t="n">
        <v>82.5</v>
      </c>
      <c r="F28" s="5" t="n">
        <v>59.1</v>
      </c>
      <c r="G28" s="5" t="n"/>
      <c r="H28" s="5" t="n"/>
      <c r="I28" s="5" t="n"/>
      <c r="J28" s="5" t="n"/>
      <c r="AW28" t="inlineStr">
        <is>
          <t>Net cash from/(used in) investing activities</t>
        </is>
      </c>
      <c r="BB28" t="n">
        <v>59.1</v>
      </c>
      <c r="BC28" t="n">
        <v>82.5</v>
      </c>
      <c r="BD28" t="n">
        <v>-2.7</v>
      </c>
      <c r="BE28" t="n">
        <v>-1</v>
      </c>
      <c r="BF28" t="n">
        <v>-1.8</v>
      </c>
    </row>
    <row r="29">
      <c r="A29" s="5" t="inlineStr">
        <is>
          <t>Net cash from/(used in) financing activities</t>
        </is>
      </c>
      <c r="B29" s="5" t="n">
        <v>-164.4</v>
      </c>
      <c r="C29" s="5" t="n">
        <v>-42</v>
      </c>
      <c r="D29" s="5" t="n">
        <v>31.5</v>
      </c>
      <c r="E29" s="5" t="n">
        <v>-5</v>
      </c>
      <c r="F29" s="5" t="n">
        <v>101.6</v>
      </c>
      <c r="G29" s="5" t="n"/>
      <c r="H29" s="5" t="n"/>
      <c r="I29" s="5" t="n"/>
      <c r="J29" s="5" t="n"/>
      <c r="AW29" t="inlineStr">
        <is>
          <t>Net cash from/(used in) financing activities</t>
        </is>
      </c>
      <c r="BB29" t="n">
        <v>101.6</v>
      </c>
      <c r="BC29" t="n">
        <v>-5</v>
      </c>
      <c r="BD29" t="n">
        <v>31.5</v>
      </c>
      <c r="BE29" t="n">
        <v>-42</v>
      </c>
      <c r="BF29" t="n">
        <v>-164.4</v>
      </c>
    </row>
    <row r="30">
      <c r="A30" s="5" t="inlineStr">
        <is>
          <t>Cash and cash equivalents at end of year</t>
        </is>
      </c>
      <c r="B30" s="5" t="n">
        <v>559.8</v>
      </c>
      <c r="C30" s="5" t="n">
        <v>469</v>
      </c>
      <c r="D30" s="5" t="n">
        <v>400.3</v>
      </c>
      <c r="E30" s="5" t="n">
        <v>416.9</v>
      </c>
      <c r="F30" s="5" t="n">
        <v>306.7</v>
      </c>
      <c r="G30" s="5" t="n"/>
      <c r="H30" s="5" t="n"/>
      <c r="I30" s="5" t="n"/>
      <c r="J30" s="5" t="n"/>
      <c r="AW30" t="inlineStr">
        <is>
          <t>Cash and cash equivalents at end of year</t>
        </is>
      </c>
      <c r="BB30" t="n">
        <v>306.7</v>
      </c>
      <c r="BC30" t="n">
        <v>416.9</v>
      </c>
      <c r="BD30" t="n">
        <v>400.3</v>
      </c>
      <c r="BE30" t="n">
        <v>469</v>
      </c>
      <c r="BF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4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Gains/(losses) on modification of financial assets</t>
        </is>
      </c>
      <c r="B13" s="6" t="n"/>
      <c r="C13" s="6" t="n"/>
      <c r="D13" s="6" t="n">
        <v>0.3</v>
      </c>
      <c r="E13" s="6" t="n">
        <v>1.1</v>
      </c>
      <c r="F13" s="6" t="n">
        <v>1.5</v>
      </c>
      <c r="G13" s="6" t="n">
        <v>-3.1</v>
      </c>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Profit on sale of equity instruments available-for-sale</t>
        </is>
      </c>
      <c r="B18" s="6" t="n"/>
      <c r="C18" s="6" t="n"/>
      <c r="D18" s="6" t="n"/>
      <c r="E18" s="6" t="n"/>
      <c r="F18" s="6" t="n"/>
      <c r="G18" s="6" t="n"/>
      <c r="H18" s="6" t="n"/>
      <c r="I18" s="6" t="n"/>
      <c r="J18" s="6" t="n">
        <v>0.3</v>
      </c>
    </row>
    <row r="19">
      <c r="A19" s="5" t="inlineStr">
        <is>
          <t>Operating expenses</t>
        </is>
      </c>
      <c r="B19" s="5" t="n">
        <v>-74.7</v>
      </c>
      <c r="C19" s="5" t="n">
        <v>-103.8</v>
      </c>
      <c r="D19" s="5" t="n">
        <v>-99.7</v>
      </c>
      <c r="E19" s="5" t="n">
        <v>-93.2</v>
      </c>
      <c r="F19" s="5" t="n">
        <v>-104</v>
      </c>
      <c r="G19" s="5" t="n">
        <v>-91.59999999999999</v>
      </c>
      <c r="H19" s="5" t="n">
        <v>-94.2</v>
      </c>
      <c r="I19" s="5" t="n">
        <v>-84.5</v>
      </c>
      <c r="J19" s="5" t="n">
        <v>-71.59999999999999</v>
      </c>
    </row>
    <row r="20">
      <c r="A20" s="5" t="inlineStr">
        <is>
          <t>Profit before income tax from continuing operations before exceptional items</t>
        </is>
      </c>
      <c r="B20" s="5" t="n">
        <v>59.3</v>
      </c>
      <c r="C20" s="5" t="n">
        <v>39.1</v>
      </c>
      <c r="D20" s="5" t="n">
        <v>42.6</v>
      </c>
      <c r="E20" s="5" t="n">
        <v>39</v>
      </c>
      <c r="F20" s="5" t="n">
        <v>56</v>
      </c>
      <c r="G20" s="5" t="n">
        <v>20.1</v>
      </c>
      <c r="H20" s="5" t="n">
        <v>38.7</v>
      </c>
      <c r="I20" s="5" t="n">
        <v>34.7</v>
      </c>
      <c r="J20" s="5" t="n">
        <v>29.3</v>
      </c>
    </row>
    <row r="21">
      <c r="A21" s="6" t="inlineStr">
        <is>
          <t>Exceptional items</t>
        </is>
      </c>
      <c r="B21" s="6" t="n">
        <v>0</v>
      </c>
      <c r="C21" s="6" t="n">
        <v>-9.9</v>
      </c>
      <c r="D21" s="6" t="n">
        <v>-6.5</v>
      </c>
      <c r="E21" s="6" t="n"/>
      <c r="F21" s="6" t="n"/>
      <c r="G21" s="6" t="n"/>
      <c r="H21" s="6" t="n"/>
      <c r="I21" s="6" t="n"/>
      <c r="J21" s="6" t="n"/>
    </row>
    <row r="22">
      <c r="A22" s="5" t="inlineStr">
        <is>
          <t>Profit before income tax from continuing operations</t>
        </is>
      </c>
      <c r="B22" s="5" t="n">
        <v>59.3</v>
      </c>
      <c r="C22" s="5" t="n">
        <v>29.2</v>
      </c>
      <c r="D22" s="5" t="n">
        <v>36.1</v>
      </c>
      <c r="E22" s="5" t="n">
        <v>39</v>
      </c>
      <c r="F22" s="5" t="n">
        <v>56</v>
      </c>
      <c r="G22" s="5" t="n">
        <v>20.1</v>
      </c>
      <c r="H22" s="5" t="n">
        <v>38.7</v>
      </c>
      <c r="I22" s="5" t="n">
        <v>34.7</v>
      </c>
      <c r="J22" s="5" t="n">
        <v>29.3</v>
      </c>
    </row>
    <row r="23">
      <c r="A23" s="6" t="inlineStr">
        <is>
          <t>Income tax (expense)/credit</t>
        </is>
      </c>
      <c r="B23" s="6" t="n">
        <v>-14.7</v>
      </c>
      <c r="C23" s="6" t="n">
        <v>-9.5</v>
      </c>
      <c r="D23" s="6" t="n">
        <v>-9.699999999999999</v>
      </c>
      <c r="E23" s="6" t="n">
        <v>-9.4</v>
      </c>
      <c r="F23" s="6" t="n">
        <v>-10.4</v>
      </c>
      <c r="G23" s="6" t="n"/>
      <c r="H23" s="6" t="n"/>
      <c r="I23" s="6" t="n"/>
      <c r="J23" s="6" t="n"/>
    </row>
    <row r="24">
      <c r="A24" s="5" t="inlineStr">
        <is>
          <t>Profit for the year from continuing operations</t>
        </is>
      </c>
      <c r="B24" s="5" t="n">
        <v>44.6</v>
      </c>
      <c r="C24" s="5" t="n">
        <v>19.7</v>
      </c>
      <c r="D24" s="5" t="n">
        <v>26.4</v>
      </c>
      <c r="E24" s="5" t="n">
        <v>29.6</v>
      </c>
      <c r="F24" s="5" t="n">
        <v>45.6</v>
      </c>
      <c r="G24" s="5" t="n"/>
      <c r="H24" s="5" t="n"/>
      <c r="I24" s="5" t="n"/>
      <c r="J24" s="5" t="n"/>
    </row>
    <row r="25">
      <c r="A25" s="5" t="inlineStr">
        <is>
          <t>Discontinued operations</t>
        </is>
      </c>
      <c r="B25" s="6" t="n"/>
      <c r="C25" s="6" t="n"/>
      <c r="D25" s="6" t="n"/>
      <c r="E25" s="6" t="n"/>
      <c r="F25" s="6" t="n"/>
      <c r="G25" s="6" t="n"/>
      <c r="H25" s="6" t="n"/>
      <c r="I25" s="6" t="n"/>
      <c r="J25" s="6" t="n"/>
    </row>
    <row r="26">
      <c r="A26" s="6" t="inlineStr">
        <is>
          <t>Profit/(loss) before income tax from discontinued operations</t>
        </is>
      </c>
      <c r="B26" s="6" t="n">
        <v>-31.8</v>
      </c>
      <c r="C26" s="6" t="n"/>
      <c r="D26" s="6" t="n">
        <v>-2.7</v>
      </c>
      <c r="E26" s="6" t="n">
        <v>5</v>
      </c>
      <c r="F26" s="6" t="n"/>
      <c r="G26" s="6" t="n"/>
      <c r="H26" s="6" t="n"/>
      <c r="I26" s="6" t="n"/>
      <c r="J26" s="6" t="n"/>
    </row>
    <row r="27">
      <c r="A27" s="6" t="inlineStr">
        <is>
          <t>Income tax (expense)/credit from discontinued operations</t>
        </is>
      </c>
      <c r="B27" s="6" t="n">
        <v>4.8</v>
      </c>
      <c r="C27" s="6" t="n"/>
      <c r="D27" s="6" t="n">
        <v>0.6</v>
      </c>
      <c r="E27" s="6" t="n">
        <v>-0.9</v>
      </c>
      <c r="F27" s="6" t="n"/>
      <c r="G27" s="6" t="n"/>
      <c r="H27" s="6" t="n"/>
      <c r="I27" s="6" t="n"/>
      <c r="J27" s="6" t="n"/>
    </row>
    <row r="28">
      <c r="A28" s="5" t="inlineStr">
        <is>
          <t>Profit/(loss) for the year from discontinued operations</t>
        </is>
      </c>
      <c r="B28" s="5" t="n">
        <v>-27</v>
      </c>
      <c r="C28" s="5" t="n"/>
      <c r="D28" s="5" t="n">
        <v>-2.1</v>
      </c>
      <c r="E28" s="5" t="n">
        <v>4.1</v>
      </c>
      <c r="F28" s="5" t="n"/>
      <c r="G28" s="5" t="n"/>
      <c r="H28" s="5" t="n"/>
      <c r="I28" s="5" t="n"/>
      <c r="J28" s="5" t="n"/>
    </row>
    <row r="29">
      <c r="A29" s="5" t="inlineStr">
        <is>
          <t>Profit for the year</t>
        </is>
      </c>
      <c r="B29" s="5" t="n">
        <v>17.6</v>
      </c>
      <c r="C29" s="5" t="n">
        <v>19.7</v>
      </c>
      <c r="D29" s="5" t="n">
        <v>24.3</v>
      </c>
      <c r="E29" s="5" t="n">
        <v>33.7</v>
      </c>
      <c r="F29" s="5" t="n">
        <v>45.6</v>
      </c>
      <c r="G29" s="5" t="n"/>
      <c r="H29" s="5" t="n"/>
      <c r="I29" s="5" t="n"/>
      <c r="J29" s="5" t="n"/>
    </row>
    <row r="30">
      <c r="A30" s="5" t="inlineStr">
        <is>
          <t>Other comprehensive income</t>
        </is>
      </c>
      <c r="B30" s="6" t="n"/>
      <c r="C30" s="6" t="n"/>
      <c r="D30" s="6" t="n"/>
      <c r="E30" s="6" t="n"/>
      <c r="F30" s="6" t="n"/>
      <c r="G30" s="6" t="n"/>
      <c r="H30" s="6" t="n"/>
      <c r="I30" s="6" t="n"/>
      <c r="J30" s="6" t="n"/>
    </row>
    <row r="31">
      <c r="A31" s="6" t="inlineStr">
        <is>
          <t>Cash flow hedge reserve movements, net of tax</t>
        </is>
      </c>
      <c r="B31" s="6" t="n">
        <v>0</v>
      </c>
      <c r="C31" s="6" t="n">
        <v>0.3</v>
      </c>
      <c r="D31" s="6" t="n">
        <v>0.5</v>
      </c>
      <c r="E31" s="6" t="n">
        <v>-0.5</v>
      </c>
      <c r="F31" s="6" t="n">
        <v>-0.3</v>
      </c>
      <c r="G31" s="6" t="n"/>
      <c r="H31" s="6" t="n"/>
      <c r="I31" s="6" t="n"/>
      <c r="J31" s="6" t="n"/>
    </row>
    <row r="32">
      <c r="A32" s="6" t="inlineStr">
        <is>
          <t>Revaluation reserve movements, net of tax</t>
        </is>
      </c>
      <c r="B32" s="6" t="n"/>
      <c r="C32" s="6" t="n"/>
      <c r="D32" s="6" t="n"/>
      <c r="E32" s="6" t="n">
        <v>0.3</v>
      </c>
      <c r="F32" s="6" t="n">
        <v>0.4</v>
      </c>
      <c r="G32" s="6" t="n"/>
      <c r="H32" s="6" t="n"/>
      <c r="I32" s="6" t="n"/>
      <c r="J32" s="6" t="n"/>
    </row>
    <row r="33">
      <c r="A33" s="5" t="inlineStr">
        <is>
          <t>Other comprehensive income for the year, net of income tax</t>
        </is>
      </c>
      <c r="B33" s="5" t="n">
        <v>0</v>
      </c>
      <c r="C33" s="5" t="n">
        <v>0.3</v>
      </c>
      <c r="D33" s="5" t="n">
        <v>0.5</v>
      </c>
      <c r="E33" s="5" t="n">
        <v>-0.2</v>
      </c>
      <c r="F33" s="5" t="n">
        <v>0.1</v>
      </c>
      <c r="G33" s="5" t="n"/>
      <c r="H33" s="5" t="n"/>
      <c r="I33" s="5" t="n"/>
      <c r="J33" s="5" t="n"/>
    </row>
    <row r="34">
      <c r="A34" s="5" t="inlineStr">
        <is>
          <t>Total comprehensive income for the year</t>
        </is>
      </c>
      <c r="B34" s="5" t="n">
        <v>17.6</v>
      </c>
      <c r="C34" s="5" t="n">
        <v>20</v>
      </c>
      <c r="D34" s="5" t="n">
        <v>24.8</v>
      </c>
      <c r="E34" s="5" t="n">
        <v>33.5</v>
      </c>
      <c r="F34" s="5" t="n">
        <v>45.7</v>
      </c>
      <c r="G34" s="5" t="n"/>
      <c r="H34" s="5" t="n"/>
      <c r="I34" s="5" t="n"/>
      <c r="J34" s="5" t="n"/>
    </row>
    <row r="36" ht="430" customHeight="1">
      <c r="A36"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FY2020: Annual Report &amp; Accounts 2020, Consolidated statement of comprehensive income, p.113 - https://www.securetrustbank.com/investor-relations/document-library/reports-and-accounts-2020-final
FY2019: Annual Report &amp; Accounts 2019, Consolidated statement of comprehensive income, p.120 - https://www.securetrustbank.com/investor-relations/document-library/reports-and-accounts-2019-final
FY2018: Annual Report &amp; Accounts 2018, Consolidated statement of comprehensive income, p.128 - https://www.securetrustbank.com/investor-relations/document-library/reports-and-accounts-2018-final
FY2017: Annual Report &amp; Accounts 2017, Consolidated statement of comprehensive income, p.110, 'Total' column - https://www.securetrustbank.com/investor-relations/document-library/reports-and-accounts-2017-final
THREE CORRECTIONS MADE 2026-09-16, each traced back to the year's own annual report after the operating-income-to-profit-before-tax chain was found not to foot in three years. (a) FY2020 was missing a line: AR2020 p.113 prints 'Losses on modification of financial assets (3.1)' between the impairment charge and operating expenses, and the row here carried FY2023/FY2022/FY2021 gains only. The row is now captioned 'Gains/(losses) on modification of financial assets', which is AR2021's own caption for the line across both signs. (b) FY2021 carried the same 0.1 loss twice. AR2021 p.108 prints one such line, 'Losses from derivatives and hedge accounting (0.1)'; the FY2022 report's restated 2021 comparative renames it 'Fair value losses on financial instruments (0.1)'. Both captions existed here with a value against FY2021, so the 0.1 was counted twice. The own-edition caption is kept and the restated one is now blank for FY2021. (c) FY2017 was missing 'Profit on sale of equity instruments available-for-sale 0.3', which AR2017 p.110 prints immediately before profit before income tax. It is shown here among the other non-interest items rather than in that printed position, because this sheet merges nine editions into one row set; AR2018 p.128 prints the same row with a dash for 2018, so FY2018 is left blank rather than zero. After all three, operating income less every intervening line equals the published profit before income tax in all nine years.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Cash flows from operating activities</t>
        </is>
      </c>
      <c r="B4" s="6" t="n"/>
      <c r="C4" s="6" t="n"/>
      <c r="D4" s="6" t="n"/>
      <c r="E4" s="6" t="n"/>
      <c r="F4" s="6" t="n"/>
      <c r="G4" s="6" t="n"/>
      <c r="H4" s="6" t="n"/>
      <c r="I4" s="6" t="n"/>
      <c r="J4" s="6" t="n"/>
    </row>
    <row r="5">
      <c r="A5" s="6" t="inlineStr">
        <is>
          <t>Profit for the year</t>
        </is>
      </c>
      <c r="B5" s="6" t="n">
        <v>17.6</v>
      </c>
      <c r="C5" s="6" t="n">
        <v>19.7</v>
      </c>
      <c r="D5" s="6" t="n">
        <v>24.3</v>
      </c>
      <c r="E5" s="6" t="n">
        <v>33.7</v>
      </c>
      <c r="F5" s="6" t="n">
        <v>45.6</v>
      </c>
      <c r="G5" s="6" t="n"/>
      <c r="H5" s="6" t="n"/>
      <c r="I5" s="6" t="n"/>
      <c r="J5" s="6" t="n"/>
    </row>
    <row r="6">
      <c r="A6" s="6" t="inlineStr">
        <is>
          <t>Income tax expense</t>
        </is>
      </c>
      <c r="B6" s="6" t="n">
        <v>9.9</v>
      </c>
      <c r="C6" s="6" t="n">
        <v>9.5</v>
      </c>
      <c r="D6" s="6" t="n">
        <v>9.1</v>
      </c>
      <c r="E6" s="6" t="n">
        <v>10.3</v>
      </c>
      <c r="F6" s="6" t="n">
        <v>10.4</v>
      </c>
      <c r="G6" s="6" t="n"/>
      <c r="H6" s="6" t="n"/>
      <c r="I6" s="6" t="n"/>
      <c r="J6" s="6" t="n"/>
    </row>
    <row r="7">
      <c r="A7" s="6" t="inlineStr">
        <is>
          <t>Depreciation of property, plant and equipment</t>
        </is>
      </c>
      <c r="B7" s="6" t="n">
        <v>0.8</v>
      </c>
      <c r="C7" s="6" t="n">
        <v>1</v>
      </c>
      <c r="D7" s="6" t="n">
        <v>0.9</v>
      </c>
      <c r="E7" s="6" t="n">
        <v>1.2</v>
      </c>
      <c r="F7" s="6" t="n">
        <v>1.3</v>
      </c>
      <c r="G7" s="6" t="n"/>
      <c r="H7" s="6" t="n"/>
      <c r="I7" s="6" t="n"/>
      <c r="J7" s="6" t="n"/>
    </row>
    <row r="8">
      <c r="A8" s="6" t="inlineStr">
        <is>
          <t>Depreciation of right-of-use assets</t>
        </is>
      </c>
      <c r="B8" s="6" t="n">
        <v>1.1</v>
      </c>
      <c r="C8" s="6" t="n">
        <v>1</v>
      </c>
      <c r="D8" s="6" t="n">
        <v>0.7</v>
      </c>
      <c r="E8" s="6" t="n">
        <v>0.7</v>
      </c>
      <c r="F8" s="6" t="n">
        <v>0.7</v>
      </c>
      <c r="G8" s="6" t="n"/>
      <c r="H8" s="6" t="n"/>
      <c r="I8" s="6" t="n"/>
      <c r="J8" s="6" t="n"/>
    </row>
    <row r="9">
      <c r="A9" s="6" t="inlineStr">
        <is>
          <t>Amortisation of intangible assets</t>
        </is>
      </c>
      <c r="B9" s="6" t="n">
        <v>1.2</v>
      </c>
      <c r="C9" s="6" t="n">
        <v>1.4</v>
      </c>
      <c r="D9" s="6" t="n">
        <v>1.2</v>
      </c>
      <c r="E9" s="6" t="n">
        <v>1.4</v>
      </c>
      <c r="F9" s="6" t="n">
        <v>1.5</v>
      </c>
      <c r="G9" s="6" t="n"/>
      <c r="H9" s="6" t="n"/>
      <c r="I9" s="6" t="n"/>
      <c r="J9" s="6" t="n"/>
    </row>
    <row r="10">
      <c r="A10" s="6" t="inlineStr">
        <is>
          <t>Loss/(gain) on disposals and modifications</t>
        </is>
      </c>
      <c r="B10" s="6" t="n"/>
      <c r="C10" s="6" t="n">
        <v>0</v>
      </c>
      <c r="D10" s="6" t="n">
        <v>0.2</v>
      </c>
      <c r="E10" s="6" t="n">
        <v>-7.5</v>
      </c>
      <c r="F10" s="6" t="n">
        <v>-0.5</v>
      </c>
      <c r="G10" s="6" t="n"/>
      <c r="H10" s="6" t="n"/>
      <c r="I10" s="6" t="n"/>
      <c r="J10" s="6" t="n"/>
    </row>
    <row r="11">
      <c r="A11" s="6" t="inlineStr">
        <is>
          <t>Impairment charge on loans and advances</t>
        </is>
      </c>
      <c r="B11" s="6" t="n">
        <v>58</v>
      </c>
      <c r="C11" s="6" t="n">
        <v>61.9</v>
      </c>
      <c r="D11" s="6" t="n">
        <v>43.2</v>
      </c>
      <c r="E11" s="6" t="n">
        <v>39</v>
      </c>
      <c r="F11" s="6" t="n">
        <v>4.5</v>
      </c>
      <c r="G11" s="6" t="n"/>
      <c r="H11" s="6" t="n"/>
      <c r="I11" s="6" t="n"/>
      <c r="J11" s="6" t="n"/>
    </row>
    <row r="12">
      <c r="A12" s="6" t="inlineStr">
        <is>
          <t>Share-based compensation</t>
        </is>
      </c>
      <c r="B12" s="6" t="n">
        <v>2</v>
      </c>
      <c r="C12" s="6" t="n">
        <v>2.3</v>
      </c>
      <c r="D12" s="6" t="n">
        <v>1.1</v>
      </c>
      <c r="E12" s="6" t="n">
        <v>2</v>
      </c>
      <c r="F12" s="6" t="n">
        <v>1</v>
      </c>
      <c r="G12" s="6" t="n"/>
      <c r="H12" s="6" t="n"/>
      <c r="I12" s="6" t="n"/>
      <c r="J12" s="6" t="n"/>
    </row>
    <row r="13">
      <c r="A13" s="6" t="inlineStr">
        <is>
          <t>Provisions for liabilities and charges</t>
        </is>
      </c>
      <c r="B13" s="6" t="n">
        <v>21.7</v>
      </c>
      <c r="C13" s="6" t="n">
        <v>9.800000000000001</v>
      </c>
      <c r="D13" s="6" t="n">
        <v>8.5</v>
      </c>
      <c r="E13" s="6" t="n"/>
      <c r="F13" s="6" t="n"/>
      <c r="G13" s="6" t="n"/>
      <c r="H13" s="6" t="n"/>
      <c r="I13" s="6" t="n"/>
      <c r="J13" s="6" t="n"/>
    </row>
    <row r="14">
      <c r="A14" s="6" t="inlineStr">
        <is>
          <t>Other non-cash items included in profit before tax</t>
        </is>
      </c>
      <c r="B14" s="6" t="n">
        <v>0.2</v>
      </c>
      <c r="C14" s="6" t="n">
        <v>-0.6</v>
      </c>
      <c r="D14" s="6" t="n">
        <v>-0.8</v>
      </c>
      <c r="E14" s="6" t="n">
        <v>1</v>
      </c>
      <c r="F14" s="6" t="n">
        <v>0.4</v>
      </c>
      <c r="G14" s="6" t="n"/>
      <c r="H14" s="6" t="n"/>
      <c r="I14" s="6" t="n"/>
      <c r="J14" s="6" t="n"/>
    </row>
    <row r="15">
      <c r="A15" s="6" t="inlineStr">
        <is>
          <t>Loans and advances to customers</t>
        </is>
      </c>
      <c r="B15" s="6" t="n">
        <v>-159</v>
      </c>
      <c r="C15" s="6" t="n">
        <v>-354.8</v>
      </c>
      <c r="D15" s="6" t="n">
        <v>-439</v>
      </c>
      <c r="E15" s="6" t="n">
        <v>-497.1</v>
      </c>
      <c r="F15" s="6" t="n">
        <v>-238.4</v>
      </c>
      <c r="G15" s="6" t="n"/>
      <c r="H15" s="6" t="n"/>
      <c r="I15" s="6" t="n"/>
      <c r="J15" s="6" t="n"/>
    </row>
    <row r="16">
      <c r="A16" s="6" t="inlineStr">
        <is>
          <t>Loans and advances to banks and central banks</t>
        </is>
      </c>
      <c r="B16" s="6" t="n">
        <v>-5.1</v>
      </c>
      <c r="C16" s="6" t="n">
        <v>5</v>
      </c>
      <c r="D16" s="6" t="n">
        <v>-1.3</v>
      </c>
      <c r="E16" s="6" t="n">
        <v>0.6</v>
      </c>
      <c r="F16" s="6" t="n">
        <v>-1.9</v>
      </c>
      <c r="G16" s="6" t="n"/>
      <c r="H16" s="6" t="n"/>
      <c r="I16" s="6" t="n"/>
      <c r="J16" s="6" t="n"/>
    </row>
    <row r="17">
      <c r="A17" s="6" t="inlineStr">
        <is>
          <t>Other assets</t>
        </is>
      </c>
      <c r="B17" s="6" t="n">
        <v>2.8</v>
      </c>
      <c r="C17" s="6" t="n">
        <v>1.4</v>
      </c>
      <c r="D17" s="6" t="n">
        <v>0.4</v>
      </c>
      <c r="E17" s="6" t="n">
        <v>-1.5</v>
      </c>
      <c r="F17" s="6" t="n">
        <v>6</v>
      </c>
      <c r="G17" s="6" t="n"/>
      <c r="H17" s="6" t="n"/>
      <c r="I17" s="6" t="n"/>
      <c r="J17" s="6" t="n"/>
    </row>
    <row r="18">
      <c r="A18" s="6" t="inlineStr">
        <is>
          <t>Deposits from customers</t>
        </is>
      </c>
      <c r="B18" s="6" t="n">
        <v>264.7</v>
      </c>
      <c r="C18" s="6" t="n">
        <v>373.1</v>
      </c>
      <c r="D18" s="6" t="n">
        <v>357.2</v>
      </c>
      <c r="E18" s="6" t="n">
        <v>411.4</v>
      </c>
      <c r="F18" s="6" t="n">
        <v>110.7</v>
      </c>
      <c r="G18" s="6" t="n"/>
      <c r="H18" s="6" t="n"/>
      <c r="I18" s="6" t="n"/>
      <c r="J18" s="6" t="n"/>
    </row>
    <row r="19">
      <c r="A19" s="6" t="inlineStr">
        <is>
          <t>Provisions for liabilities and charges utilisation</t>
        </is>
      </c>
      <c r="B19" s="6" t="n">
        <v>-7.6</v>
      </c>
      <c r="C19" s="6" t="n">
        <v>-4.7</v>
      </c>
      <c r="D19" s="6" t="n">
        <v>-4.7</v>
      </c>
      <c r="E19" s="6" t="n">
        <v>-1.1</v>
      </c>
      <c r="F19" s="6" t="n">
        <v>-0.7</v>
      </c>
      <c r="G19" s="6" t="n"/>
      <c r="H19" s="6" t="n"/>
      <c r="I19" s="6" t="n"/>
      <c r="J19" s="6" t="n"/>
    </row>
    <row r="20">
      <c r="A20" s="6" t="inlineStr">
        <is>
          <t>Other liabilities</t>
        </is>
      </c>
      <c r="B20" s="6" t="n">
        <v>60.7</v>
      </c>
      <c r="C20" s="6" t="n">
        <v>-5.5</v>
      </c>
      <c r="D20" s="6" t="n">
        <v>-37.8</v>
      </c>
      <c r="E20" s="6" t="n">
        <v>45.6</v>
      </c>
      <c r="F20" s="6" t="n">
        <v>-24.4</v>
      </c>
      <c r="G20" s="6" t="n"/>
      <c r="H20" s="6" t="n"/>
      <c r="I20" s="6" t="n"/>
      <c r="J20" s="6" t="n"/>
    </row>
    <row r="21">
      <c r="A21" s="6" t="inlineStr">
        <is>
          <t>Income tax paid</t>
        </is>
      </c>
      <c r="B21" s="6" t="n">
        <v>-12</v>
      </c>
      <c r="C21" s="6" t="n">
        <v>-8.800000000000001</v>
      </c>
      <c r="D21" s="6" t="n">
        <v>-8.6</v>
      </c>
      <c r="E21" s="6" t="n">
        <v>-7</v>
      </c>
      <c r="F21" s="6" t="n">
        <v>-12.6</v>
      </c>
      <c r="G21" s="6" t="n"/>
      <c r="H21" s="6" t="n"/>
      <c r="I21" s="6" t="n"/>
      <c r="J21" s="6" t="n"/>
    </row>
    <row r="22">
      <c r="A22" s="5" t="inlineStr">
        <is>
          <t>Net cash inflow/(outflow) from operating activities</t>
        </is>
      </c>
      <c r="B22" s="5" t="n">
        <v>257</v>
      </c>
      <c r="C22" s="5" t="n">
        <v>111.7</v>
      </c>
      <c r="D22" s="5" t="n">
        <v>-45.4</v>
      </c>
      <c r="E22" s="5" t="n">
        <v>32.7</v>
      </c>
      <c r="F22" s="5" t="n">
        <v>-96.40000000000001</v>
      </c>
      <c r="G22" s="5" t="n"/>
      <c r="H22" s="5" t="n"/>
      <c r="I22" s="5" t="n"/>
      <c r="J22" s="5" t="n"/>
    </row>
    <row r="23">
      <c r="A23" s="5" t="inlineStr">
        <is>
          <t>Cash flows from investing activities</t>
        </is>
      </c>
      <c r="B23" s="6" t="n"/>
      <c r="C23" s="6" t="n"/>
      <c r="D23" s="6" t="n"/>
      <c r="E23" s="6" t="n"/>
      <c r="F23" s="6" t="n"/>
      <c r="G23" s="6" t="n"/>
      <c r="H23" s="6" t="n"/>
      <c r="I23" s="6" t="n"/>
      <c r="J23" s="6" t="n"/>
    </row>
    <row r="24">
      <c r="A24" s="6" t="inlineStr">
        <is>
          <t>Consideration on sale of loan books</t>
        </is>
      </c>
      <c r="B24" s="6" t="n"/>
      <c r="C24" s="6" t="n"/>
      <c r="D24" s="6" t="n">
        <v>0</v>
      </c>
      <c r="E24" s="6" t="n">
        <v>81.90000000000001</v>
      </c>
      <c r="F24" s="6" t="n">
        <v>60.4</v>
      </c>
      <c r="G24" s="6" t="n"/>
      <c r="H24" s="6" t="n"/>
      <c r="I24" s="6" t="n"/>
      <c r="J24" s="6" t="n"/>
    </row>
    <row r="25">
      <c r="A25" s="6" t="inlineStr">
        <is>
          <t>Sale of investment property</t>
        </is>
      </c>
      <c r="B25" s="6" t="n"/>
      <c r="C25" s="6" t="n"/>
      <c r="D25" s="6" t="n"/>
      <c r="E25" s="6" t="n">
        <v>3.3</v>
      </c>
      <c r="F25" s="6" t="n"/>
      <c r="G25" s="6" t="n"/>
      <c r="H25" s="6" t="n"/>
      <c r="I25" s="6" t="n"/>
      <c r="J25" s="6" t="n"/>
    </row>
    <row r="26">
      <c r="A26" s="6" t="inlineStr">
        <is>
          <t>Maturity and sales of debt securities</t>
        </is>
      </c>
      <c r="B26" s="6" t="n"/>
      <c r="C26" s="6" t="n"/>
      <c r="D26" s="6" t="n"/>
      <c r="E26" s="6" t="n">
        <v>80</v>
      </c>
      <c r="F26" s="6" t="n">
        <v>90</v>
      </c>
      <c r="G26" s="6" t="n"/>
      <c r="H26" s="6" t="n"/>
      <c r="I26" s="6" t="n"/>
      <c r="J26" s="6" t="n"/>
    </row>
    <row r="27">
      <c r="A27" s="6" t="inlineStr">
        <is>
          <t>Purchase of debt securities</t>
        </is>
      </c>
      <c r="B27" s="6" t="n"/>
      <c r="C27" s="6" t="n"/>
      <c r="D27" s="6" t="n"/>
      <c r="E27" s="6" t="n">
        <v>-80</v>
      </c>
      <c r="F27" s="6" t="n">
        <v>-90</v>
      </c>
      <c r="G27" s="6" t="n"/>
      <c r="H27" s="6" t="n"/>
      <c r="I27" s="6" t="n"/>
      <c r="J27" s="6" t="n"/>
    </row>
    <row r="28">
      <c r="A28" s="6" t="inlineStr">
        <is>
          <t>Purchase of property, plant and equipment and intangible assets</t>
        </is>
      </c>
      <c r="B28" s="6" t="n">
        <v>-1.6</v>
      </c>
      <c r="C28" s="6" t="n">
        <v>-1</v>
      </c>
      <c r="D28" s="6" t="n">
        <v>-2.7</v>
      </c>
      <c r="E28" s="6" t="n">
        <v>-2.7</v>
      </c>
      <c r="F28" s="6" t="n">
        <v>-1.3</v>
      </c>
      <c r="G28" s="6" t="n"/>
      <c r="H28" s="6" t="n"/>
      <c r="I28" s="6" t="n"/>
      <c r="J28" s="6" t="n"/>
    </row>
    <row r="29">
      <c r="A29" s="6" t="inlineStr">
        <is>
          <t>Purchase of investment property</t>
        </is>
      </c>
      <c r="B29" s="6" t="n">
        <v>-1.1</v>
      </c>
      <c r="C29" s="6" t="n"/>
      <c r="D29" s="6" t="n"/>
      <c r="E29" s="6" t="n"/>
      <c r="F29" s="6" t="n"/>
      <c r="G29" s="6" t="n"/>
      <c r="H29" s="6" t="n"/>
      <c r="I29" s="6" t="n"/>
      <c r="J29" s="6" t="n"/>
    </row>
    <row r="30">
      <c r="A30" s="6" t="inlineStr">
        <is>
          <t>Purchase of debt securities</t>
        </is>
      </c>
      <c r="B30" s="6" t="n">
        <v>-1</v>
      </c>
      <c r="C30" s="6" t="n"/>
      <c r="D30" s="6" t="n"/>
      <c r="E30" s="6" t="n"/>
      <c r="F30" s="6" t="n"/>
      <c r="G30" s="6" t="n"/>
      <c r="H30" s="6" t="n"/>
      <c r="I30" s="6" t="n"/>
      <c r="J30" s="6" t="n"/>
    </row>
    <row r="31">
      <c r="A31" s="6" t="inlineStr">
        <is>
          <t>Sale of property, plant and equipment</t>
        </is>
      </c>
      <c r="B31" s="6" t="n">
        <v>1.9</v>
      </c>
      <c r="C31" s="6" t="n"/>
      <c r="D31" s="6" t="n"/>
      <c r="E31" s="6" t="n"/>
      <c r="F31" s="6" t="n"/>
      <c r="G31" s="6" t="n"/>
      <c r="H31" s="6" t="n"/>
      <c r="I31" s="6" t="n"/>
      <c r="J31" s="6" t="n"/>
    </row>
    <row r="32">
      <c r="A32" s="5" t="inlineStr">
        <is>
          <t>Net cash inflow/(outflow) from investing activities</t>
        </is>
      </c>
      <c r="B32" s="5" t="n">
        <v>-1.8</v>
      </c>
      <c r="C32" s="5" t="n">
        <v>-1</v>
      </c>
      <c r="D32" s="5" t="n">
        <v>-2.7</v>
      </c>
      <c r="E32" s="5" t="n">
        <v>82.5</v>
      </c>
      <c r="F32" s="5" t="n">
        <v>59.1</v>
      </c>
      <c r="G32" s="5" t="n"/>
      <c r="H32" s="5" t="n"/>
      <c r="I32" s="5" t="n"/>
      <c r="J32" s="5" t="n"/>
    </row>
    <row r="33">
      <c r="A33" s="5" t="inlineStr">
        <is>
          <t>Cash flows from financing activities</t>
        </is>
      </c>
      <c r="B33" s="6" t="n"/>
      <c r="C33" s="6" t="n"/>
      <c r="D33" s="6" t="n"/>
      <c r="E33" s="6" t="n"/>
      <c r="F33" s="6" t="n"/>
      <c r="G33" s="6" t="n"/>
      <c r="H33" s="6" t="n"/>
      <c r="I33" s="6" t="n"/>
      <c r="J33" s="6" t="n"/>
    </row>
    <row r="34">
      <c r="A34" s="6" t="inlineStr">
        <is>
          <t>Issue of subordinated debt</t>
        </is>
      </c>
      <c r="B34" s="6" t="n"/>
      <c r="C34" s="6" t="n"/>
      <c r="D34" s="6" t="n">
        <v>70</v>
      </c>
      <c r="E34" s="6" t="n"/>
      <c r="F34" s="6" t="n"/>
      <c r="G34" s="6" t="n"/>
      <c r="H34" s="6" t="n"/>
      <c r="I34" s="6" t="n"/>
      <c r="J34" s="6" t="n"/>
    </row>
    <row r="35">
      <c r="A35" s="6" t="inlineStr">
        <is>
          <t>Redemption of subordinated debt</t>
        </is>
      </c>
      <c r="B35" s="6" t="n"/>
      <c r="C35" s="6" t="n"/>
      <c r="D35" s="6" t="n">
        <v>-28.8</v>
      </c>
      <c r="E35" s="6" t="n"/>
      <c r="F35" s="6" t="n"/>
      <c r="G35" s="6" t="n"/>
      <c r="H35" s="6" t="n"/>
      <c r="I35" s="6" t="n"/>
      <c r="J35" s="6" t="n"/>
    </row>
    <row r="36">
      <c r="A36" s="6" t="inlineStr">
        <is>
          <t>Drawdown/(repayment) of amounts due to banks</t>
        </is>
      </c>
      <c r="B36" s="6" t="n">
        <v>-1.7</v>
      </c>
      <c r="C36" s="6" t="n">
        <v>0.8</v>
      </c>
      <c r="D36" s="6" t="n">
        <v>-0.9</v>
      </c>
      <c r="E36" s="6" t="n">
        <v>7</v>
      </c>
      <c r="F36" s="6" t="n">
        <v>114.4</v>
      </c>
      <c r="G36" s="6" t="n"/>
      <c r="H36" s="6" t="n"/>
      <c r="I36" s="6" t="n"/>
      <c r="J36" s="6" t="n"/>
    </row>
    <row r="37">
      <c r="A37" s="6" t="inlineStr">
        <is>
          <t>Drawdown of sale and repurchase agreements</t>
        </is>
      </c>
      <c r="B37" s="6" t="n">
        <v>250</v>
      </c>
      <c r="C37" s="6" t="n">
        <v>125</v>
      </c>
      <c r="D37" s="6" t="n"/>
      <c r="E37" s="6" t="n"/>
      <c r="F37" s="6" t="n"/>
      <c r="G37" s="6" t="n"/>
      <c r="H37" s="6" t="n"/>
      <c r="I37" s="6" t="n"/>
      <c r="J37" s="6" t="n"/>
    </row>
    <row r="38">
      <c r="A38" s="6" t="inlineStr">
        <is>
          <t>Repayment of sale and repurchase agreements</t>
        </is>
      </c>
      <c r="B38" s="6" t="n">
        <v>-175</v>
      </c>
      <c r="C38" s="6" t="n"/>
      <c r="D38" s="6" t="n"/>
      <c r="E38" s="6" t="n"/>
      <c r="F38" s="6" t="n"/>
      <c r="G38" s="6" t="n"/>
      <c r="H38" s="6" t="n"/>
      <c r="I38" s="6" t="n"/>
      <c r="J38" s="6" t="n"/>
    </row>
    <row r="39">
      <c r="A39" s="6" t="inlineStr">
        <is>
          <t>Repayment of Term Funding Scheme</t>
        </is>
      </c>
      <c r="B39" s="6" t="n">
        <v>-230</v>
      </c>
      <c r="C39" s="6" t="n">
        <v>-160</v>
      </c>
      <c r="D39" s="6" t="n"/>
      <c r="E39" s="6" t="n"/>
      <c r="F39" s="6" t="n"/>
      <c r="G39" s="6" t="n"/>
      <c r="H39" s="6" t="n"/>
      <c r="I39" s="6" t="n"/>
      <c r="J39" s="6" t="n"/>
    </row>
    <row r="40">
      <c r="A40" s="6" t="inlineStr">
        <is>
          <t>Purchase of own shares</t>
        </is>
      </c>
      <c r="B40" s="6" t="n">
        <v>-0.2</v>
      </c>
      <c r="C40" s="6" t="n">
        <v>-1.4</v>
      </c>
      <c r="D40" s="6" t="n">
        <v>-1.2</v>
      </c>
      <c r="E40" s="6" t="n">
        <v>-0.3</v>
      </c>
      <c r="F40" s="6" t="n"/>
      <c r="G40" s="6" t="n"/>
      <c r="H40" s="6" t="n"/>
      <c r="I40" s="6" t="n"/>
      <c r="J40" s="6" t="n"/>
    </row>
    <row r="41">
      <c r="A41" s="6" t="inlineStr">
        <is>
          <t>Issue of shares</t>
        </is>
      </c>
      <c r="B41" s="6" t="n">
        <v>0.2</v>
      </c>
      <c r="C41" s="6" t="n">
        <v>0.2</v>
      </c>
      <c r="D41" s="6" t="n">
        <v>1.7</v>
      </c>
      <c r="E41" s="6" t="n"/>
      <c r="F41" s="6" t="n"/>
      <c r="G41" s="6" t="n"/>
      <c r="H41" s="6" t="n"/>
      <c r="I41" s="6" t="n"/>
      <c r="J41" s="6" t="n"/>
    </row>
    <row r="42">
      <c r="A42" s="6" t="inlineStr">
        <is>
          <t>Dividends paid</t>
        </is>
      </c>
      <c r="B42" s="6" t="n">
        <v>-6.4</v>
      </c>
      <c r="C42" s="6" t="n">
        <v>-5.2</v>
      </c>
      <c r="D42" s="6" t="n">
        <v>-8.4</v>
      </c>
      <c r="E42" s="6" t="n">
        <v>-10.7</v>
      </c>
      <c r="F42" s="6" t="n">
        <v>-11.9</v>
      </c>
      <c r="G42" s="6" t="n"/>
      <c r="H42" s="6" t="n"/>
      <c r="I42" s="6" t="n"/>
      <c r="J42" s="6" t="n"/>
    </row>
    <row r="43">
      <c r="A43" s="6" t="inlineStr">
        <is>
          <t>Repayment of lease liabilities</t>
        </is>
      </c>
      <c r="B43" s="6" t="n">
        <v>-1.3</v>
      </c>
      <c r="C43" s="6" t="n">
        <v>-1.4</v>
      </c>
      <c r="D43" s="6" t="n">
        <v>-0.9</v>
      </c>
      <c r="E43" s="6" t="n">
        <v>-1</v>
      </c>
      <c r="F43" s="6" t="n">
        <v>-0.9</v>
      </c>
      <c r="G43" s="6" t="n"/>
      <c r="H43" s="6" t="n"/>
      <c r="I43" s="6" t="n"/>
      <c r="J43" s="6" t="n"/>
    </row>
    <row r="44">
      <c r="A44" s="6" t="inlineStr">
        <is>
          <t>Issue of ordinary shares</t>
        </is>
      </c>
      <c r="B44" s="6" t="n"/>
      <c r="C44" s="6" t="n"/>
      <c r="D44" s="6" t="n"/>
      <c r="E44" s="6" t="n"/>
      <c r="F44" s="6" t="n">
        <v>0</v>
      </c>
      <c r="G44" s="6" t="n"/>
      <c r="H44" s="6" t="n"/>
      <c r="I44" s="6" t="n"/>
      <c r="J44" s="6" t="n"/>
    </row>
    <row r="45">
      <c r="A45" s="5" t="inlineStr">
        <is>
          <t>Net cash (outflow)/inflow from financing activities</t>
        </is>
      </c>
      <c r="B45" s="5" t="n">
        <v>-164.4</v>
      </c>
      <c r="C45" s="5" t="n">
        <v>-42</v>
      </c>
      <c r="D45" s="5" t="n">
        <v>31.5</v>
      </c>
      <c r="E45" s="5" t="n">
        <v>-5</v>
      </c>
      <c r="F45" s="5" t="n">
        <v>101.6</v>
      </c>
      <c r="G45" s="5" t="n"/>
      <c r="H45" s="5" t="n"/>
      <c r="I45" s="5" t="n"/>
      <c r="J45" s="5" t="n"/>
    </row>
    <row r="46">
      <c r="A46" s="5" t="inlineStr">
        <is>
          <t>Net increase/(decrease) in cash and cash equivalents</t>
        </is>
      </c>
      <c r="B46" s="5" t="n">
        <v>90.8</v>
      </c>
      <c r="C46" s="5" t="n">
        <v>68.7</v>
      </c>
      <c r="D46" s="5" t="n">
        <v>-16.6</v>
      </c>
      <c r="E46" s="5" t="n">
        <v>110.2</v>
      </c>
      <c r="F46" s="5" t="n">
        <v>64.3</v>
      </c>
      <c r="G46" s="5" t="n"/>
      <c r="H46" s="5" t="n"/>
      <c r="I46" s="5" t="n"/>
      <c r="J46" s="5" t="n"/>
    </row>
    <row r="47">
      <c r="A47" s="6" t="inlineStr">
        <is>
          <t>Cash and cash equivalents at 1 January</t>
        </is>
      </c>
      <c r="B47" s="6" t="n">
        <v>469</v>
      </c>
      <c r="C47" s="6" t="n">
        <v>400.3</v>
      </c>
      <c r="D47" s="6" t="n">
        <v>416.9</v>
      </c>
      <c r="E47" s="6" t="n">
        <v>306.7</v>
      </c>
      <c r="F47" s="6" t="n">
        <v>242.4</v>
      </c>
      <c r="G47" s="6" t="n"/>
      <c r="H47" s="6" t="n"/>
      <c r="I47" s="6" t="n"/>
      <c r="J47" s="6" t="n"/>
    </row>
    <row r="48">
      <c r="A48" s="5" t="inlineStr">
        <is>
          <t>Cash and cash equivalents at 31 December</t>
        </is>
      </c>
      <c r="B48" s="5" t="n">
        <v>559.8</v>
      </c>
      <c r="C48" s="5" t="n">
        <v>469</v>
      </c>
      <c r="D48" s="5" t="n">
        <v>400.3</v>
      </c>
      <c r="E48" s="5" t="n">
        <v>416.9</v>
      </c>
      <c r="F48" s="5" t="n">
        <v>306.7</v>
      </c>
      <c r="G48" s="5" t="n"/>
      <c r="H48" s="5" t="n"/>
      <c r="I48" s="5" t="n"/>
      <c r="J48" s="5" t="n"/>
    </row>
    <row r="50" ht="250"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 book by product - gross loans and advances to customers</t>
        </is>
      </c>
      <c r="B4" s="6" t="n"/>
      <c r="C4" s="6" t="n"/>
      <c r="D4" s="6" t="n"/>
      <c r="E4" s="6" t="n"/>
      <c r="F4" s="6" t="n"/>
      <c r="G4" s="6" t="n"/>
      <c r="H4" s="6" t="n"/>
      <c r="I4" s="6" t="n"/>
      <c r="J4" s="6" t="n"/>
    </row>
    <row r="5">
      <c r="A5" s="6" t="inlineStr">
        <is>
          <t>Retail Finance</t>
        </is>
      </c>
      <c r="B5" s="6" t="n">
        <v>1499.6</v>
      </c>
      <c r="C5" s="6" t="n">
        <v>1387.9</v>
      </c>
      <c r="D5" s="6" t="n">
        <v>1255.3</v>
      </c>
      <c r="E5" s="6" t="n">
        <v>1082.7</v>
      </c>
      <c r="F5" s="6" t="n">
        <v>786.5</v>
      </c>
      <c r="G5" s="6" t="n"/>
      <c r="H5" s="6" t="n"/>
      <c r="I5" s="6" t="n"/>
      <c r="J5" s="6" t="n"/>
    </row>
    <row r="6">
      <c r="A6" s="6" t="inlineStr">
        <is>
          <t>Real Estate Finance</t>
        </is>
      </c>
      <c r="B6" s="6" t="n">
        <v>1475.3</v>
      </c>
      <c r="C6" s="6" t="n">
        <v>1353.9</v>
      </c>
      <c r="D6" s="6" t="n">
        <v>1251.8</v>
      </c>
      <c r="E6" s="6" t="n">
        <v>1118.9</v>
      </c>
      <c r="F6" s="6" t="n">
        <v>1112.8</v>
      </c>
      <c r="G6" s="6" t="n"/>
      <c r="H6" s="6" t="n"/>
      <c r="I6" s="6" t="n"/>
      <c r="J6" s="6" t="n"/>
    </row>
    <row r="7">
      <c r="A7" s="6" t="inlineStr">
        <is>
          <t>Commercial Finance</t>
        </is>
      </c>
      <c r="B7" s="6" t="n">
        <v>366.4</v>
      </c>
      <c r="C7" s="6" t="n">
        <v>351.8</v>
      </c>
      <c r="D7" s="6" t="n">
        <v>383.2</v>
      </c>
      <c r="E7" s="6" t="n">
        <v>378.4</v>
      </c>
      <c r="F7" s="6" t="n">
        <v>314.4</v>
      </c>
      <c r="G7" s="6" t="n"/>
      <c r="H7" s="6" t="n"/>
      <c r="I7" s="6" t="n"/>
      <c r="J7" s="6" t="n"/>
    </row>
    <row r="8">
      <c r="A8" s="6" t="inlineStr">
        <is>
          <t>Vehicle Finance</t>
        </is>
      </c>
      <c r="B8" s="6" t="n">
        <v>434.8</v>
      </c>
      <c r="C8" s="6" t="n">
        <v>626.7</v>
      </c>
      <c r="D8" s="6" t="n">
        <v>513.1</v>
      </c>
      <c r="E8" s="6" t="n">
        <v>417.5</v>
      </c>
      <c r="F8" s="6" t="n">
        <v>297.5</v>
      </c>
      <c r="G8" s="6" t="n"/>
      <c r="H8" s="6" t="n"/>
      <c r="I8" s="6" t="n"/>
      <c r="J8" s="6" t="n"/>
    </row>
    <row r="9">
      <c r="A9" s="6" t="inlineStr">
        <is>
          <t>Debt Management</t>
        </is>
      </c>
      <c r="B9" s="6" t="n"/>
      <c r="C9" s="6" t="n"/>
      <c r="D9" s="6" t="n"/>
      <c r="E9" s="6" t="n"/>
      <c r="F9" s="6" t="n">
        <v>86.90000000000001</v>
      </c>
      <c r="G9" s="6" t="n"/>
      <c r="H9" s="6" t="n"/>
      <c r="I9" s="6" t="n"/>
      <c r="J9" s="6" t="n"/>
    </row>
    <row r="10">
      <c r="A10" s="5" t="inlineStr">
        <is>
          <t>Total gross loans and advances to customers</t>
        </is>
      </c>
      <c r="B10" s="5" t="n">
        <v>3776.1</v>
      </c>
      <c r="C10" s="5" t="n">
        <v>3720.3</v>
      </c>
      <c r="D10" s="5" t="n">
        <v>3403.4</v>
      </c>
      <c r="E10" s="5" t="n">
        <v>2997.5</v>
      </c>
      <c r="F10" s="5" t="n">
        <v>2598.1</v>
      </c>
      <c r="G10" s="5" t="n"/>
      <c r="H10" s="5" t="n"/>
      <c r="I10" s="5" t="n"/>
      <c r="J10" s="5" t="n"/>
    </row>
    <row r="11">
      <c r="A11" s="5" t="inlineStr">
        <is>
          <t>Impairment allowance by IFRS 9 stage</t>
        </is>
      </c>
      <c r="B11" s="6" t="n"/>
      <c r="C11" s="6" t="n"/>
      <c r="D11" s="6" t="n"/>
      <c r="E11" s="6" t="n"/>
      <c r="F11" s="6" t="n"/>
      <c r="G11" s="6" t="n"/>
      <c r="H11" s="6" t="n"/>
      <c r="I11" s="6" t="n"/>
      <c r="J11" s="6" t="n"/>
    </row>
    <row r="12">
      <c r="A12" s="6" t="inlineStr">
        <is>
          <t>Stage 1: subject to 12-month ECL</t>
        </is>
      </c>
      <c r="B12" s="6" t="n">
        <v>25.2</v>
      </c>
      <c r="C12" s="6" t="n">
        <v>29.6</v>
      </c>
      <c r="D12" s="6" t="n">
        <v>29.5</v>
      </c>
      <c r="E12" s="6" t="n">
        <v>24.3</v>
      </c>
      <c r="F12" s="6" t="n">
        <v>18.5</v>
      </c>
      <c r="G12" s="6" t="n"/>
      <c r="H12" s="6" t="n"/>
      <c r="I12" s="6" t="n"/>
      <c r="J12" s="6" t="n"/>
    </row>
    <row r="13">
      <c r="A13" s="6" t="inlineStr">
        <is>
          <t>Stage 2: subject to lifetime ECL, not credit-impaired</t>
        </is>
      </c>
      <c r="B13" s="6" t="n">
        <v>21.3</v>
      </c>
      <c r="C13" s="6" t="n">
        <v>15.9</v>
      </c>
      <c r="D13" s="6" t="n">
        <v>18.2</v>
      </c>
      <c r="E13" s="6" t="n">
        <v>28.6</v>
      </c>
      <c r="F13" s="6" t="n">
        <v>20</v>
      </c>
      <c r="G13" s="6" t="n"/>
      <c r="H13" s="6" t="n"/>
      <c r="I13" s="6" t="n"/>
      <c r="J13" s="6" t="n"/>
    </row>
    <row r="14">
      <c r="A14" s="6" t="inlineStr">
        <is>
          <t>Stage 3: subject to lifetime ECL, credit-impaired</t>
        </is>
      </c>
      <c r="B14" s="6" t="n">
        <v>43</v>
      </c>
      <c r="C14" s="6" t="n">
        <v>66.3</v>
      </c>
      <c r="D14" s="6" t="n">
        <v>40.4</v>
      </c>
      <c r="E14" s="6" t="n">
        <v>25.1</v>
      </c>
      <c r="F14" s="6" t="n">
        <v>29</v>
      </c>
      <c r="G14" s="6" t="n"/>
      <c r="H14" s="6" t="n"/>
      <c r="I14" s="6" t="n"/>
      <c r="J14" s="6" t="n"/>
    </row>
    <row r="15">
      <c r="A15" s="5" t="inlineStr">
        <is>
          <t>Total impairment allowance</t>
        </is>
      </c>
      <c r="B15" s="5" t="n">
        <v>89.5</v>
      </c>
      <c r="C15" s="5" t="n">
        <v>111.8</v>
      </c>
      <c r="D15" s="5" t="n">
        <v>88.09999999999999</v>
      </c>
      <c r="E15" s="5" t="n">
        <v>78</v>
      </c>
      <c r="F15" s="5" t="n">
        <v>67.5</v>
      </c>
      <c r="G15" s="5" t="n"/>
      <c r="H15" s="5" t="n"/>
      <c r="I15" s="5" t="n"/>
      <c r="J15" s="5" t="n"/>
    </row>
    <row r="16">
      <c r="A16" s="6" t="inlineStr">
        <is>
          <t>Provision coverage ratio</t>
        </is>
      </c>
      <c r="B16" s="6" t="inlineStr">
        <is>
          <t>2.4%</t>
        </is>
      </c>
      <c r="C16" s="6" t="inlineStr">
        <is>
          <t>3.0%</t>
        </is>
      </c>
      <c r="D16" s="6" t="inlineStr">
        <is>
          <t>2.6%</t>
        </is>
      </c>
      <c r="E16" s="6" t="inlineStr">
        <is>
          <t>2.6%</t>
        </is>
      </c>
      <c r="F16" s="6" t="inlineStr">
        <is>
          <t>2.6%</t>
        </is>
      </c>
      <c r="G16" s="6" t="n"/>
      <c r="H16" s="6" t="n"/>
      <c r="I16" s="6" t="n"/>
      <c r="J16" s="6" t="n"/>
    </row>
    <row r="17">
      <c r="A17" s="6" t="inlineStr">
        <is>
          <t>Stage 3 as % of gross loans (derived)</t>
        </is>
      </c>
      <c r="B17" s="6" t="inlineStr">
        <is>
          <t>1.14%</t>
        </is>
      </c>
      <c r="C17" s="6" t="inlineStr">
        <is>
          <t>1.78%</t>
        </is>
      </c>
      <c r="D17" s="6" t="inlineStr">
        <is>
          <t>1.19%</t>
        </is>
      </c>
      <c r="E17" s="6" t="inlineStr">
        <is>
          <t>0.84%</t>
        </is>
      </c>
      <c r="F17" s="6" t="inlineStr">
        <is>
          <t>1.12%</t>
        </is>
      </c>
      <c r="G17" s="6" t="n"/>
      <c r="H17" s="6" t="n"/>
      <c r="I17" s="6" t="n"/>
      <c r="J17" s="6" t="n"/>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UK KM1 Key Metrics</t>
        </is>
      </c>
    </row>
    <row r="2">
      <c r="A2" s="2" t="inlineStr">
        <is>
          <t>Consolidated Group basis. Two different templates, kept in separate blocks: UK KM1 (FY2025-FY2022) and the earlier EU/Basel 'Key Metrics' table (FY2018-FY2017). FY2021-FY2019 publish no template. Amounts £million; ratios per cent,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UK KM1 (FY2025-FY2022 editions) - Available own funds (amounts) (£m)</t>
        </is>
      </c>
      <c r="B4" s="6" t="n"/>
      <c r="C4" s="6" t="n"/>
      <c r="D4" s="6" t="n"/>
      <c r="E4" s="6" t="n"/>
      <c r="F4" s="6" t="n"/>
      <c r="G4" s="6" t="n"/>
      <c r="H4" s="6" t="n"/>
      <c r="I4" s="6" t="n"/>
      <c r="J4" s="6" t="n"/>
    </row>
    <row r="5">
      <c r="A5" s="6" t="inlineStr">
        <is>
          <t>1    Common Equity Tier 1 (CET 1) capital</t>
        </is>
      </c>
      <c r="B5" s="6" t="n">
        <v>364.8</v>
      </c>
      <c r="C5" s="6" t="n">
        <v>351.4</v>
      </c>
      <c r="D5" s="6" t="n">
        <v>337.9</v>
      </c>
      <c r="E5" s="6" t="n">
        <v>327.4</v>
      </c>
      <c r="F5" s="6" t="n"/>
      <c r="G5" s="6" t="n"/>
      <c r="H5" s="6" t="n"/>
      <c r="I5" s="6" t="n"/>
      <c r="J5" s="6" t="n"/>
    </row>
    <row r="6">
      <c r="A6" s="6" t="inlineStr">
        <is>
          <t xml:space="preserve">     CET 1 capital as if IFRS 9 transitional arrangements had not been applied</t>
        </is>
      </c>
      <c r="B6" s="6" t="n"/>
      <c r="C6" s="6" t="n">
        <v>351.3</v>
      </c>
      <c r="D6" s="6" t="n">
        <v>335.8</v>
      </c>
      <c r="E6" s="6" t="n"/>
      <c r="F6" s="6" t="n"/>
      <c r="G6" s="6" t="n"/>
      <c r="H6" s="6" t="n"/>
      <c r="I6" s="6" t="n"/>
      <c r="J6" s="6" t="n"/>
    </row>
    <row r="7">
      <c r="A7" s="6" t="inlineStr">
        <is>
          <t>2    Tier 1 capital</t>
        </is>
      </c>
      <c r="B7" s="6" t="n">
        <v>364.8</v>
      </c>
      <c r="C7" s="6" t="n">
        <v>351.4</v>
      </c>
      <c r="D7" s="6" t="n">
        <v>337.9</v>
      </c>
      <c r="E7" s="6" t="n">
        <v>327.4</v>
      </c>
      <c r="F7" s="6" t="n"/>
      <c r="G7" s="6" t="n"/>
      <c r="H7" s="6" t="n"/>
      <c r="I7" s="6" t="n"/>
      <c r="J7" s="6" t="n"/>
    </row>
    <row r="8">
      <c r="A8" s="6" t="inlineStr">
        <is>
          <t xml:space="preserve">     Tier 1 capital as if IFRS 9 transitional arrangements had not been applied</t>
        </is>
      </c>
      <c r="B8" s="6" t="n"/>
      <c r="C8" s="6" t="n">
        <v>351.3</v>
      </c>
      <c r="D8" s="6" t="n">
        <v>335.8</v>
      </c>
      <c r="E8" s="6" t="n"/>
      <c r="F8" s="6" t="n"/>
      <c r="G8" s="6" t="n"/>
      <c r="H8" s="6" t="n"/>
      <c r="I8" s="6" t="n"/>
      <c r="J8" s="6" t="n"/>
    </row>
    <row r="9">
      <c r="A9" s="6" t="inlineStr">
        <is>
          <t>3    Total capital</t>
        </is>
      </c>
      <c r="B9" s="6" t="n">
        <v>428.4</v>
      </c>
      <c r="C9" s="6" t="n">
        <v>415.7</v>
      </c>
      <c r="D9" s="6" t="n">
        <v>397.6</v>
      </c>
      <c r="E9" s="6" t="n">
        <v>377.3</v>
      </c>
      <c r="F9" s="6" t="n"/>
      <c r="G9" s="6" t="n"/>
      <c r="H9" s="6" t="n"/>
      <c r="I9" s="6" t="n"/>
      <c r="J9" s="6" t="n"/>
    </row>
    <row r="10">
      <c r="A10" s="6" t="inlineStr">
        <is>
          <t xml:space="preserve">     Total capital as if IFRS 9 transitional arrangements had not been applied</t>
        </is>
      </c>
      <c r="B10" s="6" t="n"/>
      <c r="C10" s="6" t="n">
        <v>415.6</v>
      </c>
      <c r="D10" s="6" t="n">
        <v>395.5</v>
      </c>
      <c r="E10" s="6" t="n"/>
      <c r="F10" s="6" t="n"/>
      <c r="G10" s="6" t="n"/>
      <c r="H10" s="6" t="n"/>
      <c r="I10" s="6" t="n"/>
      <c r="J10" s="6" t="n"/>
    </row>
    <row r="11">
      <c r="A11" s="5" t="inlineStr">
        <is>
          <t>Risk weighted exposure amounts (£m)</t>
        </is>
      </c>
      <c r="B11" s="6" t="n"/>
      <c r="C11" s="6" t="n"/>
      <c r="D11" s="6" t="n"/>
      <c r="E11" s="6" t="n"/>
      <c r="F11" s="6" t="n"/>
      <c r="G11" s="6" t="n"/>
      <c r="H11" s="6" t="n"/>
      <c r="I11" s="6" t="n"/>
      <c r="J11" s="6" t="n"/>
    </row>
    <row r="12">
      <c r="A12" s="6" t="inlineStr">
        <is>
          <t>4    Total RWEAs</t>
        </is>
      </c>
      <c r="B12" s="6" t="n">
        <v>2827.5</v>
      </c>
      <c r="C12" s="6" t="n">
        <v>2855.7</v>
      </c>
      <c r="D12" s="6" t="n">
        <v>2653.4</v>
      </c>
      <c r="E12" s="6" t="n">
        <v>2335</v>
      </c>
      <c r="F12" s="6" t="n"/>
      <c r="G12" s="6" t="n"/>
      <c r="H12" s="6" t="n"/>
      <c r="I12" s="6" t="n"/>
      <c r="J12" s="6" t="n"/>
    </row>
    <row r="13">
      <c r="A13" s="6" t="inlineStr">
        <is>
          <t xml:space="preserve">     Total RWEAs as if IFRS 9 transitional arrangements had not been applied</t>
        </is>
      </c>
      <c r="B13" s="6" t="n"/>
      <c r="C13" s="6" t="n">
        <v>2853.6</v>
      </c>
      <c r="D13" s="6" t="n">
        <v>2651.7</v>
      </c>
      <c r="E13" s="6" t="n"/>
      <c r="F13" s="6" t="n"/>
      <c r="G13" s="6" t="n"/>
      <c r="H13" s="6" t="n"/>
      <c r="I13" s="6" t="n"/>
      <c r="J13" s="6" t="n"/>
    </row>
    <row r="14">
      <c r="A14" s="5" t="inlineStr">
        <is>
          <t>Capital ratios (as a percentage of risk-weighted exposure amount)</t>
        </is>
      </c>
      <c r="B14" s="6" t="n"/>
      <c r="C14" s="6" t="n"/>
      <c r="D14" s="6" t="n"/>
      <c r="E14" s="6" t="n"/>
      <c r="F14" s="6" t="n"/>
      <c r="G14" s="6" t="n"/>
      <c r="H14" s="6" t="n"/>
      <c r="I14" s="6" t="n"/>
      <c r="J14" s="6" t="n"/>
    </row>
    <row r="15">
      <c r="A15" s="6" t="inlineStr">
        <is>
          <t>5    CET 1 ratio (%)</t>
        </is>
      </c>
      <c r="B15" s="6" t="inlineStr">
        <is>
          <t>12.9%</t>
        </is>
      </c>
      <c r="C15" s="6" t="inlineStr">
        <is>
          <t>12.3%</t>
        </is>
      </c>
      <c r="D15" s="6" t="inlineStr">
        <is>
          <t>12.7%</t>
        </is>
      </c>
      <c r="E15" s="6" t="inlineStr">
        <is>
          <t>14.0%</t>
        </is>
      </c>
      <c r="F15" s="6" t="n"/>
      <c r="G15" s="6" t="n"/>
      <c r="H15" s="6" t="n"/>
      <c r="I15" s="6" t="n"/>
      <c r="J15" s="6" t="n"/>
    </row>
    <row r="16">
      <c r="A16" s="6" t="inlineStr">
        <is>
          <t xml:space="preserve">     CET 1 as if IFRS 9 transitional arrangements had not been applied</t>
        </is>
      </c>
      <c r="B16" s="6" t="n"/>
      <c r="C16" s="6" t="inlineStr">
        <is>
          <t>12.3%</t>
        </is>
      </c>
      <c r="D16" s="6" t="inlineStr">
        <is>
          <t>12.7%</t>
        </is>
      </c>
      <c r="E16" s="6" t="n"/>
      <c r="F16" s="6" t="n"/>
      <c r="G16" s="6" t="n"/>
      <c r="H16" s="6" t="n"/>
      <c r="I16" s="6" t="n"/>
      <c r="J16" s="6" t="n"/>
    </row>
    <row r="17">
      <c r="A17" s="6" t="inlineStr">
        <is>
          <t>6    Tier 1 ratio (%)</t>
        </is>
      </c>
      <c r="B17" s="6" t="inlineStr">
        <is>
          <t>12.9%</t>
        </is>
      </c>
      <c r="C17" s="6" t="inlineStr">
        <is>
          <t>12.3%</t>
        </is>
      </c>
      <c r="D17" s="6" t="inlineStr">
        <is>
          <t>12.7%</t>
        </is>
      </c>
      <c r="E17" s="6" t="inlineStr">
        <is>
          <t>14.0%</t>
        </is>
      </c>
      <c r="F17" s="6" t="n"/>
      <c r="G17" s="6" t="n"/>
      <c r="H17" s="6" t="n"/>
      <c r="I17" s="6" t="n"/>
      <c r="J17" s="6" t="n"/>
    </row>
    <row r="18">
      <c r="A18" s="6" t="inlineStr">
        <is>
          <t xml:space="preserve">     Tier 1 as if IFRS 9 transitional arrangements had not been applied</t>
        </is>
      </c>
      <c r="B18" s="6" t="n"/>
      <c r="C18" s="6" t="inlineStr">
        <is>
          <t>12.3%</t>
        </is>
      </c>
      <c r="D18" s="6" t="inlineStr">
        <is>
          <t>12.7%</t>
        </is>
      </c>
      <c r="E18" s="6" t="n"/>
      <c r="F18" s="6" t="n"/>
      <c r="G18" s="6" t="n"/>
      <c r="H18" s="6" t="n"/>
      <c r="I18" s="6" t="n"/>
      <c r="J18" s="6" t="n"/>
    </row>
    <row r="19">
      <c r="A19" s="6" t="inlineStr">
        <is>
          <t>7    Total capital ratio (%)</t>
        </is>
      </c>
      <c r="B19" s="6" t="inlineStr">
        <is>
          <t>15.2%</t>
        </is>
      </c>
      <c r="C19" s="6" t="inlineStr">
        <is>
          <t>14.6%</t>
        </is>
      </c>
      <c r="D19" s="6" t="inlineStr">
        <is>
          <t>15.0%</t>
        </is>
      </c>
      <c r="E19" s="6" t="inlineStr">
        <is>
          <t>16.2%</t>
        </is>
      </c>
      <c r="F19" s="6" t="n"/>
      <c r="G19" s="6" t="n"/>
      <c r="H19" s="6" t="n"/>
      <c r="I19" s="6" t="n"/>
      <c r="J19" s="6" t="n"/>
    </row>
    <row r="20">
      <c r="A20" s="6" t="inlineStr">
        <is>
          <t xml:space="preserve">     Total Capital as if IFRS 9 transitional arrangements had not been applied</t>
        </is>
      </c>
      <c r="B20" s="6" t="n"/>
      <c r="C20" s="6" t="inlineStr">
        <is>
          <t>14.6%</t>
        </is>
      </c>
      <c r="D20" s="6" t="inlineStr">
        <is>
          <t>14.9%</t>
        </is>
      </c>
      <c r="E20" s="6" t="n"/>
      <c r="F20" s="6" t="n"/>
      <c r="G20" s="6" t="n"/>
      <c r="H20" s="6" t="n"/>
      <c r="I20" s="6" t="n"/>
      <c r="J20" s="6" t="n"/>
    </row>
    <row r="21">
      <c r="A21" s="5" t="inlineStr">
        <is>
          <t>Additional own funds requirements based on SREP (as a percentage of risk-weighted exposure amount)</t>
        </is>
      </c>
      <c r="B21" s="6" t="n"/>
      <c r="C21" s="6" t="n"/>
      <c r="D21" s="6" t="n"/>
      <c r="E21" s="6" t="n"/>
      <c r="F21" s="6" t="n"/>
      <c r="G21" s="6" t="n"/>
      <c r="H21" s="6" t="n"/>
      <c r="I21" s="6" t="n"/>
      <c r="J21" s="6" t="n"/>
    </row>
    <row r="22">
      <c r="A22" s="6" t="inlineStr">
        <is>
          <t>UK 7a    Additional CET1 SREP requirements (%)</t>
        </is>
      </c>
      <c r="B22" s="6" t="inlineStr">
        <is>
          <t>0.6%</t>
        </is>
      </c>
      <c r="C22" s="6" t="inlineStr">
        <is>
          <t>0.6%</t>
        </is>
      </c>
      <c r="D22" s="6" t="inlineStr">
        <is>
          <t>0.6%</t>
        </is>
      </c>
      <c r="E22" s="6" t="inlineStr">
        <is>
          <t>0.6%</t>
        </is>
      </c>
      <c r="F22" s="6" t="n"/>
      <c r="G22" s="6" t="n"/>
      <c r="H22" s="6" t="n"/>
      <c r="I22" s="6" t="n"/>
      <c r="J22" s="6" t="n"/>
    </row>
    <row r="23">
      <c r="A23" s="6" t="inlineStr">
        <is>
          <t>UK 7b    Additional AT1 SREP requirements (%)</t>
        </is>
      </c>
      <c r="B23" s="6" t="inlineStr">
        <is>
          <t>0.2%</t>
        </is>
      </c>
      <c r="C23" s="6" t="inlineStr">
        <is>
          <t>0.2%</t>
        </is>
      </c>
      <c r="D23" s="6" t="inlineStr">
        <is>
          <t>0.2%</t>
        </is>
      </c>
      <c r="E23" s="6" t="inlineStr">
        <is>
          <t>0.2%</t>
        </is>
      </c>
      <c r="F23" s="6" t="n"/>
      <c r="G23" s="6" t="n"/>
      <c r="H23" s="6" t="n"/>
      <c r="I23" s="6" t="n"/>
      <c r="J23" s="6" t="n"/>
    </row>
    <row r="24">
      <c r="A24" s="6" t="inlineStr">
        <is>
          <t>UK 7c    Additional T2 SREP requirements (%)</t>
        </is>
      </c>
      <c r="B24" s="6" t="inlineStr">
        <is>
          <t>0.3%</t>
        </is>
      </c>
      <c r="C24" s="6" t="inlineStr">
        <is>
          <t>0.3%</t>
        </is>
      </c>
      <c r="D24" s="6" t="inlineStr">
        <is>
          <t>0.3%</t>
        </is>
      </c>
      <c r="E24" s="6" t="inlineStr">
        <is>
          <t>0.3%</t>
        </is>
      </c>
      <c r="F24" s="6" t="n"/>
      <c r="G24" s="6" t="n"/>
      <c r="H24" s="6" t="n"/>
      <c r="I24" s="6" t="n"/>
      <c r="J24" s="6" t="n"/>
    </row>
    <row r="25">
      <c r="A25" s="6" t="inlineStr">
        <is>
          <t>UK 7d    Total SREP own funds requirements (%)</t>
        </is>
      </c>
      <c r="B25" s="6" t="inlineStr">
        <is>
          <t>9.0%</t>
        </is>
      </c>
      <c r="C25" s="6" t="inlineStr">
        <is>
          <t>9.0%</t>
        </is>
      </c>
      <c r="D25" s="6" t="inlineStr">
        <is>
          <t>9.0%</t>
        </is>
      </c>
      <c r="E25" s="6" t="inlineStr">
        <is>
          <t>9.0%</t>
        </is>
      </c>
      <c r="F25" s="6" t="n"/>
      <c r="G25" s="6" t="n"/>
      <c r="H25" s="6" t="n"/>
      <c r="I25" s="6" t="n"/>
      <c r="J25" s="6" t="n"/>
    </row>
    <row r="26">
      <c r="A26" s="5" t="inlineStr">
        <is>
          <t>Combined buffer requirement (as a percentage of risk-weighted exposure amount)</t>
        </is>
      </c>
      <c r="B26" s="6" t="n"/>
      <c r="C26" s="6" t="n"/>
      <c r="D26" s="6" t="n"/>
      <c r="E26" s="6" t="n"/>
      <c r="F26" s="6" t="n"/>
      <c r="G26" s="6" t="n"/>
      <c r="H26" s="6" t="n"/>
      <c r="I26" s="6" t="n"/>
      <c r="J26" s="6" t="n"/>
    </row>
    <row r="27">
      <c r="A27" s="6" t="inlineStr">
        <is>
          <t>8    Capital conservation buffer (%)</t>
        </is>
      </c>
      <c r="B27" s="6" t="inlineStr">
        <is>
          <t>2.5%</t>
        </is>
      </c>
      <c r="C27" s="6" t="inlineStr">
        <is>
          <t>2.5%</t>
        </is>
      </c>
      <c r="D27" s="6" t="inlineStr">
        <is>
          <t>2.5%</t>
        </is>
      </c>
      <c r="E27" s="6" t="inlineStr">
        <is>
          <t>2.5%</t>
        </is>
      </c>
      <c r="F27" s="6" t="n"/>
      <c r="G27" s="6" t="n"/>
      <c r="H27" s="6" t="n"/>
      <c r="I27" s="6" t="n"/>
      <c r="J27" s="6" t="n"/>
    </row>
    <row r="28">
      <c r="A28" s="6" t="inlineStr">
        <is>
          <t>9    Institution specific countercyclical capital buffer (%)</t>
        </is>
      </c>
      <c r="B28" s="6" t="inlineStr">
        <is>
          <t>2.0%</t>
        </is>
      </c>
      <c r="C28" s="6" t="inlineStr">
        <is>
          <t>2.0%</t>
        </is>
      </c>
      <c r="D28" s="6" t="inlineStr">
        <is>
          <t>2.0%</t>
        </is>
      </c>
      <c r="E28" s="6" t="inlineStr">
        <is>
          <t>1.0%</t>
        </is>
      </c>
      <c r="F28" s="6" t="n"/>
      <c r="G28" s="6" t="n"/>
      <c r="H28" s="6" t="n"/>
      <c r="I28" s="6" t="n"/>
      <c r="J28" s="6" t="n"/>
    </row>
    <row r="29">
      <c r="A29" s="6" t="inlineStr">
        <is>
          <t>11    Combined buffer requirement (%)</t>
        </is>
      </c>
      <c r="B29" s="6" t="inlineStr">
        <is>
          <t>4.5%</t>
        </is>
      </c>
      <c r="C29" s="6" t="inlineStr">
        <is>
          <t>4.5%</t>
        </is>
      </c>
      <c r="D29" s="6" t="inlineStr">
        <is>
          <t>4.5%</t>
        </is>
      </c>
      <c r="E29" s="6" t="inlineStr">
        <is>
          <t>3.5%</t>
        </is>
      </c>
      <c r="F29" s="6" t="n"/>
      <c r="G29" s="6" t="n"/>
      <c r="H29" s="6" t="n"/>
      <c r="I29" s="6" t="n"/>
      <c r="J29" s="6" t="n"/>
    </row>
    <row r="30">
      <c r="A30" s="6" t="inlineStr">
        <is>
          <t>UK 11a    Overall capital requirements (%)</t>
        </is>
      </c>
      <c r="B30" s="6" t="inlineStr">
        <is>
          <t>13.5%</t>
        </is>
      </c>
      <c r="C30" s="6" t="inlineStr">
        <is>
          <t>13.5%</t>
        </is>
      </c>
      <c r="D30" s="6" t="inlineStr">
        <is>
          <t>13.5%</t>
        </is>
      </c>
      <c r="E30" s="6" t="inlineStr">
        <is>
          <t>12.5%</t>
        </is>
      </c>
      <c r="F30" s="6" t="n"/>
      <c r="G30" s="6" t="n"/>
      <c r="H30" s="6" t="n"/>
      <c r="I30" s="6" t="n"/>
      <c r="J30" s="6" t="n"/>
    </row>
    <row r="31">
      <c r="A31" s="6" t="inlineStr">
        <is>
          <t>12    CET1 available after meeting the total SREP own funds requirements (%)</t>
        </is>
      </c>
      <c r="B31" s="6" t="inlineStr">
        <is>
          <t>7.8%</t>
        </is>
      </c>
      <c r="C31" s="6" t="inlineStr">
        <is>
          <t>7.2%</t>
        </is>
      </c>
      <c r="D31" s="6" t="inlineStr">
        <is>
          <t>7.7%</t>
        </is>
      </c>
      <c r="E31" s="6" t="inlineStr">
        <is>
          <t>8.95%</t>
        </is>
      </c>
      <c r="F31" s="6" t="n"/>
      <c r="G31" s="6" t="n"/>
      <c r="H31" s="6" t="n"/>
      <c r="I31" s="6" t="n"/>
      <c r="J31" s="6" t="n"/>
    </row>
    <row r="32">
      <c r="A32" s="5" t="inlineStr">
        <is>
          <t>Leverage ratio (£m / %)</t>
        </is>
      </c>
      <c r="B32" s="6" t="n"/>
      <c r="C32" s="6" t="n"/>
      <c r="D32" s="6" t="n"/>
      <c r="E32" s="6" t="n"/>
      <c r="F32" s="6" t="n"/>
      <c r="G32" s="6" t="n"/>
      <c r="H32" s="6" t="n"/>
      <c r="I32" s="6" t="n"/>
      <c r="J32" s="6" t="n"/>
    </row>
    <row r="33">
      <c r="A33" s="6" t="inlineStr">
        <is>
          <t>13    Total exposure measure excluding claims on central banks</t>
        </is>
      </c>
      <c r="B33" s="6" t="n">
        <v>3861.6</v>
      </c>
      <c r="C33" s="6" t="n">
        <v>3717.7</v>
      </c>
      <c r="D33" s="6" t="n">
        <v>3472.8</v>
      </c>
      <c r="E33" s="6" t="n">
        <v>3049.9</v>
      </c>
      <c r="F33" s="6" t="n"/>
      <c r="G33" s="6" t="n"/>
      <c r="H33" s="6" t="n"/>
      <c r="I33" s="6" t="n"/>
      <c r="J33" s="6" t="n"/>
    </row>
    <row r="34">
      <c r="A34" s="6" t="inlineStr">
        <is>
          <t>14    Leverage ratio excluding claims on central banks (%)</t>
        </is>
      </c>
      <c r="B34" s="6" t="inlineStr">
        <is>
          <t>9.4%</t>
        </is>
      </c>
      <c r="C34" s="6" t="inlineStr">
        <is>
          <t>9.5%</t>
        </is>
      </c>
      <c r="D34" s="6" t="inlineStr">
        <is>
          <t>9.7%</t>
        </is>
      </c>
      <c r="E34" s="6" t="inlineStr">
        <is>
          <t>10.7%</t>
        </is>
      </c>
      <c r="F34" s="6" t="n"/>
      <c r="G34" s="6" t="n"/>
      <c r="H34" s="6" t="n"/>
      <c r="I34" s="6" t="n"/>
      <c r="J34" s="6" t="n"/>
    </row>
    <row r="35">
      <c r="A35" s="6" t="inlineStr">
        <is>
          <t xml:space="preserve">     Leverage ratio excluding claims on central banks (%) as if IFRS 9 transitional arrangements had not been applied</t>
        </is>
      </c>
      <c r="B35" s="6" t="n"/>
      <c r="C35" s="6" t="inlineStr">
        <is>
          <t>9.5%</t>
        </is>
      </c>
      <c r="D35" s="6" t="inlineStr">
        <is>
          <t>9.7%</t>
        </is>
      </c>
      <c r="E35" s="6" t="n"/>
      <c r="F35" s="6" t="n"/>
      <c r="G35" s="6" t="n"/>
      <c r="H35" s="6" t="n"/>
      <c r="I35" s="6" t="n"/>
      <c r="J35" s="6" t="n"/>
    </row>
    <row r="36">
      <c r="A36" s="5" t="inlineStr">
        <is>
          <t>Liquidity Coverage Ratio (£m / %)</t>
        </is>
      </c>
      <c r="B36" s="6" t="n"/>
      <c r="C36" s="6" t="n"/>
      <c r="D36" s="6" t="n"/>
      <c r="E36" s="6" t="n"/>
      <c r="F36" s="6" t="n"/>
      <c r="G36" s="6" t="n"/>
      <c r="H36" s="6" t="n"/>
      <c r="I36" s="6" t="n"/>
      <c r="J36" s="6" t="n"/>
    </row>
    <row r="37">
      <c r="A37" s="6" t="inlineStr">
        <is>
          <t>15    Total high-quality liquid assets (HQLA) (Weighted value -average)</t>
        </is>
      </c>
      <c r="B37" s="6" t="n">
        <v>443.2</v>
      </c>
      <c r="C37" s="6" t="n">
        <v>427.2</v>
      </c>
      <c r="D37" s="6" t="n">
        <v>358</v>
      </c>
      <c r="E37" s="6" t="n">
        <v>283.6</v>
      </c>
      <c r="F37" s="6" t="n"/>
      <c r="G37" s="6" t="n"/>
      <c r="H37" s="6" t="n"/>
      <c r="I37" s="6" t="n"/>
      <c r="J37" s="6" t="n"/>
    </row>
    <row r="38">
      <c r="A38" s="6" t="inlineStr">
        <is>
          <t>UK 16a    Cash outflows - Total weighted value</t>
        </is>
      </c>
      <c r="B38" s="6" t="n">
        <v>416.4</v>
      </c>
      <c r="C38" s="6" t="n">
        <v>383.3</v>
      </c>
      <c r="D38" s="6" t="n">
        <v>355.1</v>
      </c>
      <c r="E38" s="6" t="n">
        <v>298.3</v>
      </c>
      <c r="F38" s="6" t="n"/>
      <c r="G38" s="6" t="n"/>
      <c r="H38" s="6" t="n"/>
      <c r="I38" s="6" t="n"/>
      <c r="J38" s="6" t="n"/>
    </row>
    <row r="39">
      <c r="A39" s="6" t="inlineStr">
        <is>
          <t>UK 16b    Cash inflows - Total weighted value</t>
        </is>
      </c>
      <c r="B39" s="6" t="n">
        <v>182.7</v>
      </c>
      <c r="C39" s="6" t="n">
        <v>184.4</v>
      </c>
      <c r="D39" s="6" t="n">
        <v>181.1</v>
      </c>
      <c r="E39" s="6" t="n">
        <v>187.3</v>
      </c>
      <c r="F39" s="6" t="n"/>
      <c r="G39" s="6" t="n"/>
      <c r="H39" s="6" t="n"/>
      <c r="I39" s="6" t="n"/>
      <c r="J39" s="6" t="n"/>
    </row>
    <row r="40">
      <c r="A40" s="6" t="inlineStr">
        <is>
          <t>16    Total net cash outflows (adjusted value)</t>
        </is>
      </c>
      <c r="B40" s="6" t="n">
        <v>233.7</v>
      </c>
      <c r="C40" s="6" t="n">
        <v>198.9</v>
      </c>
      <c r="D40" s="6" t="n">
        <v>174</v>
      </c>
      <c r="E40" s="6" t="n">
        <v>112.6</v>
      </c>
      <c r="F40" s="6" t="n"/>
      <c r="G40" s="6" t="n"/>
      <c r="H40" s="6" t="n"/>
      <c r="I40" s="6" t="n"/>
      <c r="J40" s="6" t="n"/>
    </row>
    <row r="41">
      <c r="A41" s="6" t="inlineStr">
        <is>
          <t>17    Liquidity coverage ratio (%)</t>
        </is>
      </c>
      <c r="B41" s="6" t="inlineStr">
        <is>
          <t>190.4%</t>
        </is>
      </c>
      <c r="C41" s="6" t="inlineStr">
        <is>
          <t>219.6%</t>
        </is>
      </c>
      <c r="D41" s="6" t="inlineStr">
        <is>
          <t>208.0%</t>
        </is>
      </c>
      <c r="E41" s="6" t="inlineStr">
        <is>
          <t>270.1%</t>
        </is>
      </c>
      <c r="F41" s="6" t="n"/>
      <c r="G41" s="6" t="n"/>
      <c r="H41" s="6" t="n"/>
      <c r="I41" s="6" t="n"/>
      <c r="J41" s="6" t="n"/>
    </row>
    <row r="42">
      <c r="A42" s="5" t="inlineStr">
        <is>
          <t>Net Stable Funding Ratio (£m / %)</t>
        </is>
      </c>
      <c r="B42" s="6" t="n"/>
      <c r="C42" s="6" t="n"/>
      <c r="D42" s="6" t="n"/>
      <c r="E42" s="6" t="n"/>
      <c r="F42" s="6" t="n"/>
      <c r="G42" s="6" t="n"/>
      <c r="H42" s="6" t="n"/>
      <c r="I42" s="6" t="n"/>
      <c r="J42" s="6" t="n"/>
    </row>
    <row r="43">
      <c r="A43" s="6" t="inlineStr">
        <is>
          <t>18    Total available stable funding</t>
        </is>
      </c>
      <c r="B43" s="6" t="n"/>
      <c r="C43" s="6" t="n"/>
      <c r="D43" s="6" t="n">
        <v>3255.4</v>
      </c>
      <c r="E43" s="6" t="n">
        <v>2820.5</v>
      </c>
      <c r="F43" s="6" t="n"/>
      <c r="G43" s="6" t="n"/>
      <c r="H43" s="6" t="n"/>
      <c r="I43" s="6" t="n"/>
      <c r="J43" s="6" t="n"/>
    </row>
    <row r="44">
      <c r="A44" s="6" t="inlineStr">
        <is>
          <t>19    Total required stable funding</t>
        </is>
      </c>
      <c r="B44" s="6" t="n"/>
      <c r="C44" s="6" t="n"/>
      <c r="D44" s="6" t="n">
        <v>2266.1</v>
      </c>
      <c r="E44" s="6" t="n">
        <v>1846.3</v>
      </c>
      <c r="F44" s="6" t="n"/>
      <c r="G44" s="6" t="n"/>
      <c r="H44" s="6" t="n"/>
      <c r="I44" s="6" t="n"/>
      <c r="J44" s="6" t="n"/>
    </row>
    <row r="45">
      <c r="A45" s="6" t="inlineStr">
        <is>
          <t>20    NSFR ratio (%)</t>
        </is>
      </c>
      <c r="B45" s="6" t="n"/>
      <c r="C45" s="6" t="n"/>
      <c r="D45" s="6" t="inlineStr">
        <is>
          <t>143.6%</t>
        </is>
      </c>
      <c r="E45" s="6" t="inlineStr">
        <is>
          <t>152.8%</t>
        </is>
      </c>
      <c r="F45" s="6" t="n"/>
      <c r="G45" s="6" t="n"/>
      <c r="H45" s="6" t="n"/>
      <c r="I45" s="6" t="n"/>
      <c r="J45" s="6" t="n"/>
    </row>
    <row r="46">
      <c r="A46" s="5" t="inlineStr">
        <is>
          <t>FY2021, FY2020 AND FY2019: NO KM1 TEMPLATE PUBLISHED - those editions print a short unnumbered 'Key Prudential Metrics' summary that fails the row-set test (see the source note below). Left blank, never back-filled from that summary or from the statutory accounts.</t>
        </is>
      </c>
      <c r="B46" s="6" t="n"/>
      <c r="C46" s="6" t="n"/>
      <c r="D46" s="6" t="n"/>
      <c r="E46" s="6" t="n"/>
      <c r="F46" s="6" t="n"/>
      <c r="G46" s="6" t="n"/>
      <c r="H46" s="6" t="n"/>
      <c r="I46" s="6" t="n"/>
      <c r="J46" s="6" t="n"/>
    </row>
    <row r="47">
      <c r="A47" s="5" t="inlineStr">
        <is>
          <t>EARLIER EU/BASEL KM1 (FY2018 and FY2017 editions, column a = year end) - Available capital (amounts) (£m)</t>
        </is>
      </c>
      <c r="B47" s="6" t="n"/>
      <c r="C47" s="6" t="n"/>
      <c r="D47" s="6" t="n"/>
      <c r="E47" s="6" t="n"/>
      <c r="F47" s="6" t="n"/>
      <c r="G47" s="6" t="n"/>
      <c r="H47" s="6" t="n"/>
      <c r="I47" s="6" t="n"/>
      <c r="J47" s="6" t="n"/>
    </row>
    <row r="48">
      <c r="A48" s="6" t="inlineStr">
        <is>
          <t>1    Common Equity Tier 1 (CET1)</t>
        </is>
      </c>
      <c r="B48" s="6" t="n"/>
      <c r="C48" s="6" t="n"/>
      <c r="D48" s="6" t="n"/>
      <c r="E48" s="6" t="n"/>
      <c r="F48" s="6" t="n"/>
      <c r="G48" s="6" t="n"/>
      <c r="H48" s="6" t="n"/>
      <c r="I48" s="6" t="n">
        <v>251.8</v>
      </c>
      <c r="J48" s="6" t="n">
        <v>238.9</v>
      </c>
    </row>
    <row r="49">
      <c r="A49" s="6" t="inlineStr">
        <is>
          <t>1a    Fully loaded ECL accounting model CET1</t>
        </is>
      </c>
      <c r="B49" s="6" t="n"/>
      <c r="C49" s="6" t="n"/>
      <c r="D49" s="6" t="n"/>
      <c r="E49" s="6" t="n"/>
      <c r="F49" s="6" t="n"/>
      <c r="G49" s="6" t="n"/>
      <c r="H49" s="6" t="n"/>
      <c r="I49" s="6" t="n">
        <v>227.3</v>
      </c>
      <c r="J49" s="6" t="n"/>
    </row>
    <row r="50">
      <c r="A50" s="6" t="inlineStr">
        <is>
          <t>2    Tier 1 capital</t>
        </is>
      </c>
      <c r="B50" s="6" t="n"/>
      <c r="C50" s="6" t="n"/>
      <c r="D50" s="6" t="n"/>
      <c r="E50" s="6" t="n"/>
      <c r="F50" s="6" t="n"/>
      <c r="G50" s="6" t="n"/>
      <c r="H50" s="6" t="n"/>
      <c r="I50" s="6" t="n">
        <v>251.8</v>
      </c>
      <c r="J50" s="6" t="n">
        <v>238.9</v>
      </c>
    </row>
    <row r="51">
      <c r="A51" s="6" t="inlineStr">
        <is>
          <t>2a    Fully loaded ECL accounting model Tier 1</t>
        </is>
      </c>
      <c r="B51" s="6" t="n"/>
      <c r="C51" s="6" t="n"/>
      <c r="D51" s="6" t="n"/>
      <c r="E51" s="6" t="n"/>
      <c r="F51" s="6" t="n"/>
      <c r="G51" s="6" t="n"/>
      <c r="H51" s="6" t="n"/>
      <c r="I51" s="6" t="n">
        <v>227.3</v>
      </c>
      <c r="J51" s="6" t="n"/>
    </row>
    <row r="52">
      <c r="A52" s="6" t="inlineStr">
        <is>
          <t>3    Total capital</t>
        </is>
      </c>
      <c r="B52" s="6" t="n"/>
      <c r="C52" s="6" t="n"/>
      <c r="D52" s="6" t="n"/>
      <c r="E52" s="6" t="n"/>
      <c r="F52" s="6" t="n"/>
      <c r="G52" s="6" t="n"/>
      <c r="H52" s="6" t="n"/>
      <c r="I52" s="6" t="n">
        <v>297.5</v>
      </c>
      <c r="J52" s="6" t="n">
        <v>243.3</v>
      </c>
    </row>
    <row r="53">
      <c r="A53" s="6" t="inlineStr">
        <is>
          <t>3a    Fully loaded ECL accounting model total capital</t>
        </is>
      </c>
      <c r="B53" s="6" t="n"/>
      <c r="C53" s="6" t="n"/>
      <c r="D53" s="6" t="n"/>
      <c r="E53" s="6" t="n"/>
      <c r="F53" s="6" t="n"/>
      <c r="G53" s="6" t="n"/>
      <c r="H53" s="6" t="n"/>
      <c r="I53" s="6" t="n">
        <v>273</v>
      </c>
      <c r="J53" s="6" t="n"/>
    </row>
    <row r="54">
      <c r="A54" s="5" t="inlineStr">
        <is>
          <t>Risk weighted assets (amount) (£m)</t>
        </is>
      </c>
      <c r="B54" s="6" t="n"/>
      <c r="C54" s="6" t="n"/>
      <c r="D54" s="6" t="n"/>
      <c r="E54" s="6" t="n"/>
      <c r="F54" s="6" t="n"/>
      <c r="G54" s="6" t="n"/>
      <c r="H54" s="6" t="n"/>
      <c r="I54" s="6" t="n"/>
      <c r="J54" s="6" t="n"/>
    </row>
    <row r="55">
      <c r="A55" s="6" t="inlineStr">
        <is>
          <t>4    Total risk weighted assets (RWA)</t>
        </is>
      </c>
      <c r="B55" s="6" t="n"/>
      <c r="C55" s="6" t="n"/>
      <c r="D55" s="6" t="n"/>
      <c r="E55" s="6" t="n"/>
      <c r="F55" s="6" t="n"/>
      <c r="G55" s="6" t="n"/>
      <c r="H55" s="6" t="n"/>
      <c r="I55" s="6" t="n">
        <v>1824.6</v>
      </c>
      <c r="J55" s="6" t="n">
        <v>1446.1</v>
      </c>
    </row>
    <row r="56">
      <c r="A56" s="5" t="inlineStr">
        <is>
          <t>Risk based capital ratios as a percentage of RWA</t>
        </is>
      </c>
      <c r="B56" s="6" t="n"/>
      <c r="C56" s="6" t="n"/>
      <c r="D56" s="6" t="n"/>
      <c r="E56" s="6" t="n"/>
      <c r="F56" s="6" t="n"/>
      <c r="G56" s="6" t="n"/>
      <c r="H56" s="6" t="n"/>
      <c r="I56" s="6" t="n"/>
      <c r="J56" s="6" t="n"/>
    </row>
    <row r="57">
      <c r="A57" s="6" t="inlineStr">
        <is>
          <t>5    Common Equity Tier 1 (CET1) ratio (%)</t>
        </is>
      </c>
      <c r="B57" s="6" t="n"/>
      <c r="C57" s="6" t="n"/>
      <c r="D57" s="6" t="n"/>
      <c r="E57" s="6" t="n"/>
      <c r="F57" s="6" t="n"/>
      <c r="G57" s="6" t="n"/>
      <c r="H57" s="6" t="n"/>
      <c r="I57" s="6" t="inlineStr">
        <is>
          <t>13.8%</t>
        </is>
      </c>
      <c r="J57" s="6" t="inlineStr">
        <is>
          <t>16.5%</t>
        </is>
      </c>
    </row>
    <row r="58">
      <c r="A58" s="6" t="inlineStr">
        <is>
          <t>5a    Fully loaded ECL accounting model CET1 (%)</t>
        </is>
      </c>
      <c r="B58" s="6" t="n"/>
      <c r="C58" s="6" t="n"/>
      <c r="D58" s="6" t="n"/>
      <c r="E58" s="6" t="n"/>
      <c r="F58" s="6" t="n"/>
      <c r="G58" s="6" t="n"/>
      <c r="H58" s="6" t="n"/>
      <c r="I58" s="6" t="inlineStr">
        <is>
          <t>12.5%</t>
        </is>
      </c>
      <c r="J58" s="6" t="n"/>
    </row>
    <row r="59">
      <c r="A59" s="6" t="inlineStr">
        <is>
          <t>6    Tier 1 ratio (%)</t>
        </is>
      </c>
      <c r="B59" s="6" t="n"/>
      <c r="C59" s="6" t="n"/>
      <c r="D59" s="6" t="n"/>
      <c r="E59" s="6" t="n"/>
      <c r="F59" s="6" t="n"/>
      <c r="G59" s="6" t="n"/>
      <c r="H59" s="6" t="n"/>
      <c r="I59" s="6" t="inlineStr">
        <is>
          <t>13.8%</t>
        </is>
      </c>
      <c r="J59" s="6" t="inlineStr">
        <is>
          <t>16.5%</t>
        </is>
      </c>
    </row>
    <row r="60">
      <c r="A60" s="6" t="inlineStr">
        <is>
          <t>6a    Fully loaded ECL accounting model Tier 1 ratio (%)</t>
        </is>
      </c>
      <c r="B60" s="6" t="n"/>
      <c r="C60" s="6" t="n"/>
      <c r="D60" s="6" t="n"/>
      <c r="E60" s="6" t="n"/>
      <c r="F60" s="6" t="n"/>
      <c r="G60" s="6" t="n"/>
      <c r="H60" s="6" t="n"/>
      <c r="I60" s="6" t="inlineStr">
        <is>
          <t>12.5%</t>
        </is>
      </c>
      <c r="J60" s="6" t="n"/>
    </row>
    <row r="61">
      <c r="A61" s="6" t="inlineStr">
        <is>
          <t>7    Total capital ratio (%)</t>
        </is>
      </c>
      <c r="B61" s="6" t="n"/>
      <c r="C61" s="6" t="n"/>
      <c r="D61" s="6" t="n"/>
      <c r="E61" s="6" t="n"/>
      <c r="F61" s="6" t="n"/>
      <c r="G61" s="6" t="n"/>
      <c r="H61" s="6" t="n"/>
      <c r="I61" s="6" t="inlineStr">
        <is>
          <t>16.3%</t>
        </is>
      </c>
      <c r="J61" s="6" t="inlineStr">
        <is>
          <t>16.8%</t>
        </is>
      </c>
    </row>
    <row r="62">
      <c r="A62" s="6" t="inlineStr">
        <is>
          <t>7a    Fully loaded ECL accounting model total capital ratio (%)</t>
        </is>
      </c>
      <c r="B62" s="6" t="n"/>
      <c r="C62" s="6" t="n"/>
      <c r="D62" s="6" t="n"/>
      <c r="E62" s="6" t="n"/>
      <c r="F62" s="6" t="n"/>
      <c r="G62" s="6" t="n"/>
      <c r="H62" s="6" t="n"/>
      <c r="I62" s="6" t="inlineStr">
        <is>
          <t>15.0%</t>
        </is>
      </c>
      <c r="J62" s="6" t="n"/>
    </row>
    <row r="63">
      <c r="A63" s="5" t="inlineStr">
        <is>
          <t>Additional CET1 buffer requirements as a percentage of RWA</t>
        </is>
      </c>
      <c r="B63" s="6" t="n"/>
      <c r="C63" s="6" t="n"/>
      <c r="D63" s="6" t="n"/>
      <c r="E63" s="6" t="n"/>
      <c r="F63" s="6" t="n"/>
      <c r="G63" s="6" t="n"/>
      <c r="H63" s="6" t="n"/>
      <c r="I63" s="6" t="n"/>
      <c r="J63" s="6" t="n"/>
    </row>
    <row r="64">
      <c r="A64" s="6" t="inlineStr">
        <is>
          <t>8    Capital conservation buffer requirement (2.5% from 2019) (%)</t>
        </is>
      </c>
      <c r="B64" s="6" t="n"/>
      <c r="C64" s="6" t="n"/>
      <c r="D64" s="6" t="n"/>
      <c r="E64" s="6" t="n"/>
      <c r="F64" s="6" t="n"/>
      <c r="G64" s="6" t="n"/>
      <c r="H64" s="6" t="n"/>
      <c r="I64" s="6" t="inlineStr">
        <is>
          <t>1.9%</t>
        </is>
      </c>
      <c r="J64" s="6" t="inlineStr">
        <is>
          <t>1.3%</t>
        </is>
      </c>
    </row>
    <row r="65">
      <c r="A65" s="6" t="inlineStr">
        <is>
          <t>9    Countercyclical buffer requirement (%)</t>
        </is>
      </c>
      <c r="B65" s="6" t="n"/>
      <c r="C65" s="6" t="n"/>
      <c r="D65" s="6" t="n"/>
      <c r="E65" s="6" t="n"/>
      <c r="F65" s="6" t="n"/>
      <c r="G65" s="6" t="n"/>
      <c r="H65" s="6" t="n"/>
      <c r="I65" s="6" t="inlineStr">
        <is>
          <t>1.0%</t>
        </is>
      </c>
      <c r="J65" s="6" t="inlineStr">
        <is>
          <t>0.0%</t>
        </is>
      </c>
    </row>
    <row r="66">
      <c r="A66" s="6" t="inlineStr">
        <is>
          <t>10    Bank G-SIB and/or D-SIB additional requirements (%)</t>
        </is>
      </c>
      <c r="B66" s="6" t="n"/>
      <c r="C66" s="6" t="n"/>
      <c r="D66" s="6" t="n"/>
      <c r="E66" s="6" t="n"/>
      <c r="F66" s="6" t="n"/>
      <c r="G66" s="6" t="n"/>
      <c r="H66" s="6" t="n"/>
      <c r="I66" s="6" t="inlineStr">
        <is>
          <t>0.0%</t>
        </is>
      </c>
      <c r="J66" s="6" t="inlineStr">
        <is>
          <t>0.0%</t>
        </is>
      </c>
    </row>
    <row r="67">
      <c r="A67" s="6" t="inlineStr">
        <is>
          <t>11    Total of bank CET1 specific buffer requirements (rows 8-10) (%)</t>
        </is>
      </c>
      <c r="B67" s="6" t="n"/>
      <c r="C67" s="6" t="n"/>
      <c r="D67" s="6" t="n"/>
      <c r="E67" s="6" t="n"/>
      <c r="F67" s="6" t="n"/>
      <c r="G67" s="6" t="n"/>
      <c r="H67" s="6" t="n"/>
      <c r="I67" s="6" t="inlineStr">
        <is>
          <t>2.9%</t>
        </is>
      </c>
      <c r="J67" s="6" t="inlineStr">
        <is>
          <t>1.3%</t>
        </is>
      </c>
    </row>
    <row r="68">
      <c r="A68" s="6" t="inlineStr">
        <is>
          <t>12    CET1 available after meeting the bank's specific buffer requirements (%)</t>
        </is>
      </c>
      <c r="B68" s="6" t="n"/>
      <c r="C68" s="6" t="n"/>
      <c r="D68" s="6" t="n"/>
      <c r="E68" s="6" t="n"/>
      <c r="F68" s="6" t="n"/>
      <c r="G68" s="6" t="n"/>
      <c r="H68" s="6" t="n"/>
      <c r="I68" s="6" t="inlineStr">
        <is>
          <t>10.9%</t>
        </is>
      </c>
      <c r="J68" s="6" t="inlineStr">
        <is>
          <t>15.3%</t>
        </is>
      </c>
    </row>
    <row r="69">
      <c r="A69" s="5" t="inlineStr">
        <is>
          <t>Basel III leverage ratio (£m / %)</t>
        </is>
      </c>
      <c r="B69" s="6" t="n"/>
      <c r="C69" s="6" t="n"/>
      <c r="D69" s="6" t="n"/>
      <c r="E69" s="6" t="n"/>
      <c r="F69" s="6" t="n"/>
      <c r="G69" s="6" t="n"/>
      <c r="H69" s="6" t="n"/>
      <c r="I69" s="6" t="n"/>
      <c r="J69" s="6" t="n"/>
    </row>
    <row r="70">
      <c r="A70" s="6" t="inlineStr">
        <is>
          <t>13    Total Basel III leverage ratio exposure measure</t>
        </is>
      </c>
      <c r="B70" s="6" t="n"/>
      <c r="C70" s="6" t="n"/>
      <c r="D70" s="6" t="n"/>
      <c r="E70" s="6" t="n"/>
      <c r="F70" s="6" t="n"/>
      <c r="G70" s="6" t="n"/>
      <c r="H70" s="6" t="n"/>
      <c r="I70" s="6" t="n">
        <v>2432.8</v>
      </c>
      <c r="J70" s="6" t="n">
        <v>1942.7</v>
      </c>
    </row>
    <row r="71">
      <c r="A71" s="6" t="inlineStr">
        <is>
          <t>14    Basel III leverage ratio (%) (row 2/row 13)</t>
        </is>
      </c>
      <c r="B71" s="6" t="n"/>
      <c r="C71" s="6" t="n"/>
      <c r="D71" s="6" t="n"/>
      <c r="E71" s="6" t="n"/>
      <c r="F71" s="6" t="n"/>
      <c r="G71" s="6" t="n"/>
      <c r="H71" s="6" t="n"/>
      <c r="I71" s="6" t="inlineStr">
        <is>
          <t>10.4%</t>
        </is>
      </c>
      <c r="J71" s="6" t="inlineStr">
        <is>
          <t>12.3%</t>
        </is>
      </c>
    </row>
    <row r="72">
      <c r="A72" s="6" t="inlineStr">
        <is>
          <t>14a    Fully loaded ECL accounting model Basel III leverage ratio (%) (row 2a/row 13)</t>
        </is>
      </c>
      <c r="B72" s="6" t="n"/>
      <c r="C72" s="6" t="n"/>
      <c r="D72" s="6" t="n"/>
      <c r="E72" s="6" t="n"/>
      <c r="F72" s="6" t="n"/>
      <c r="G72" s="6" t="n"/>
      <c r="H72" s="6" t="n"/>
      <c r="I72" s="6" t="inlineStr">
        <is>
          <t>9.3%</t>
        </is>
      </c>
      <c r="J72" s="6" t="n"/>
    </row>
    <row r="73">
      <c r="A73" s="5" t="inlineStr">
        <is>
          <t>Liquidity Coverage Ratio (£m / %)</t>
        </is>
      </c>
      <c r="B73" s="6" t="n"/>
      <c r="C73" s="6" t="n"/>
      <c r="D73" s="6" t="n"/>
      <c r="E73" s="6" t="n"/>
      <c r="F73" s="6" t="n"/>
      <c r="G73" s="6" t="n"/>
      <c r="H73" s="6" t="n"/>
      <c r="I73" s="6" t="n"/>
      <c r="J73" s="6" t="n"/>
    </row>
    <row r="74">
      <c r="A74" s="6" t="inlineStr">
        <is>
          <t>15    Total HQLA</t>
        </is>
      </c>
      <c r="B74" s="6" t="n"/>
      <c r="C74" s="6" t="n"/>
      <c r="D74" s="6" t="n"/>
      <c r="E74" s="6" t="n"/>
      <c r="F74" s="6" t="n"/>
      <c r="G74" s="6" t="n"/>
      <c r="H74" s="6" t="n"/>
      <c r="I74" s="6" t="n">
        <v>211.2</v>
      </c>
      <c r="J74" s="6" t="n">
        <v>218.7</v>
      </c>
    </row>
    <row r="75">
      <c r="A75" s="6" t="inlineStr">
        <is>
          <t>16    Total net cash outflow</t>
        </is>
      </c>
      <c r="B75" s="6" t="n"/>
      <c r="C75" s="6" t="n"/>
      <c r="D75" s="6" t="n"/>
      <c r="E75" s="6" t="n"/>
      <c r="F75" s="6" t="n"/>
      <c r="G75" s="6" t="n"/>
      <c r="H75" s="6" t="n"/>
      <c r="I75" s="6" t="n">
        <v>33.9</v>
      </c>
      <c r="J75" s="6" t="n">
        <v>29.7</v>
      </c>
    </row>
    <row r="76">
      <c r="A76" s="6" t="inlineStr">
        <is>
          <t>17    LCR ratio (%)</t>
        </is>
      </c>
      <c r="B76" s="6" t="n"/>
      <c r="C76" s="6" t="n"/>
      <c r="D76" s="6" t="n"/>
      <c r="E76" s="6" t="n"/>
      <c r="F76" s="6" t="n"/>
      <c r="G76" s="6" t="n"/>
      <c r="H76" s="6" t="n"/>
      <c r="I76" s="6" t="inlineStr">
        <is>
          <t>623.2%</t>
        </is>
      </c>
      <c r="J76" s="6" t="inlineStr">
        <is>
          <t>736.4%</t>
        </is>
      </c>
    </row>
    <row r="77">
      <c r="A77" s="5" t="inlineStr">
        <is>
          <t>Net Stable Funding Ratio (£m / %)</t>
        </is>
      </c>
      <c r="B77" s="6" t="n"/>
      <c r="C77" s="6" t="n"/>
      <c r="D77" s="6" t="n"/>
      <c r="E77" s="6" t="n"/>
      <c r="F77" s="6" t="n"/>
      <c r="G77" s="6" t="n"/>
      <c r="H77" s="6" t="n"/>
      <c r="I77" s="6" t="n"/>
      <c r="J77" s="6" t="n"/>
    </row>
    <row r="78">
      <c r="A78" s="6" t="inlineStr">
        <is>
          <t>18    Total available stable funding</t>
        </is>
      </c>
      <c r="B78" s="6" t="n"/>
      <c r="C78" s="6" t="n"/>
      <c r="D78" s="6" t="n"/>
      <c r="E78" s="6" t="n"/>
      <c r="F78" s="6" t="n"/>
      <c r="G78" s="6" t="n"/>
      <c r="H78" s="6" t="n"/>
      <c r="I78" s="6" t="n">
        <v>2245.8</v>
      </c>
      <c r="J78" s="6" t="n"/>
    </row>
    <row r="79">
      <c r="A79" s="6" t="inlineStr">
        <is>
          <t>19    Total required stable funding</t>
        </is>
      </c>
      <c r="B79" s="6" t="n"/>
      <c r="C79" s="6" t="n"/>
      <c r="D79" s="6" t="n"/>
      <c r="E79" s="6" t="n"/>
      <c r="F79" s="6" t="n"/>
      <c r="G79" s="6" t="n"/>
      <c r="H79" s="6" t="n"/>
      <c r="I79" s="6" t="n">
        <v>1523.1</v>
      </c>
      <c r="J79" s="6" t="n"/>
    </row>
    <row r="80">
      <c r="A80" s="6" t="inlineStr">
        <is>
          <t>20    NSFR ratio</t>
        </is>
      </c>
      <c r="B80" s="6" t="n"/>
      <c r="C80" s="6" t="n"/>
      <c r="D80" s="6" t="n"/>
      <c r="E80" s="6" t="n"/>
      <c r="F80" s="6" t="n"/>
      <c r="G80" s="6" t="n"/>
      <c r="H80" s="6" t="n"/>
      <c r="I80" s="6" t="inlineStr">
        <is>
          <t>147.4%</t>
        </is>
      </c>
      <c r="J80" s="6" t="n"/>
    </row>
    <row r="82" ht="520" customHeight="1">
      <c r="A82" s="8" t="inlineStr">
        <is>
          <t>Sources - Secure Trust Bank PLC Group key metrics templates, taken from each year's OWN Pillar 3 edition:
FY2025: Pillar 3 Disclosures for the year ended 31 December 2025, section 2 'Key metrics', table headed 'The table below UK KM1/International Financial Reporting Standard ('IFRS') 9-FL presents key metrics...', printed p.4 (PDF p.5), column '31 Dec 2025 / £million' - https://www.securetrustbank.com/investor-relations/document-library/pillar-3-disclosure-2025-final
FY2024: Pillar 3 Disclosures for the year ended 31 December 2024, section 2 'Key metrics', printed p.4 (PDF p.5), column '31 Dec 2024 / £million' - https://www.securetrustbank.com/investor-relations/document-library/pillar-3-disclosure-2024-final
FY2023: Pillar 3 Disclosures for the year ended 31 December 2023, section 2 'Key metrics', rows 1-17 on printed p.4 (PDF p.5) and rows 18-20 continued onto printed p.5 (PDF p.6) under a repeated column header, column '31 Dec 2023 / £million' - https://www.securetrustbank.com/investor-relations/document-library/pillar-3-disclosure-2023-final
FY2022: Pillar 3 Disclosures for the year ended 31 December 2022, section 2 'Key metrics', table introduced 'The table below UK KM1 presents key metrics...', printed p.4 (PDF p.5), column '31 Dec 2022 / £million' - https://www.securetrustbank.com/investor-relations/document-library/pillar-3-disclosure-2022-final
FY2018: Pillar 3 disclosures for the year ended 31 December 2018, section 2.2 'Key Metrics (at consolidated group level)', printed p.4 (PDF p.5), column a '31-Dec-18 / £'m' - https://www.securetrustbank.com/investor-relations/document-library/pillar-3-disclosure-2018-annual
FY2017: Pillar 3 disclosures for the year ended 31 December 2017, section 2.2 'Key Metrics (at consolidated group level)', printed p.5 (PDF p.6), column a '31-Dec-17 / £'m' - https://www.securetrustbank.com/investor-relations/document-library/pillar-3-disclosure-2017-annual
FY2021, FY2020 AND FY2019 PUBLISH NO KM1 - A SOURCED NEGATIVE, NOT A GAP IN THE SEARCH. All three editions were downloaded in full (HTTP 200, Content-Type application/pdf, %PDF magic bytes confirmed) and read, not merely searched. Each prints a section headed 'Key Prudential Metrics' (FY2019/FY2020: 'Key Prudential Metrics and Risk Weighted Assets'; FY2021: 'Key metrics') whose table is SHORT AND UNNUMBERED: an 'Available capital (amounts)' block of three lines, a 'Risk based capital ratios' block of three lines, and - in FY2019 only - a two-line 'Basel III leverage ratio' block. There is no SREP block, no combined-buffer block, no row 12, no LCR rows and no NSFR rows in any of the three; FY2020 and FY2021 carry no risk-weighted-assets amount in that table at all. On the row-set test that table is a summary, not the template, so those three columns are left blank above. The extraction is demonstrably working rather than silently empty: the FY2021 text layer returns 120 occurrences of 'capital' and 118 of 'ratio' against 0 of 'km1', and pdfimages reports a single image in the file (the corporate logo), so no key-metrics table is hiding in a bitmap. Nothing has been back-filled into those years from the summary table, from the CC1/OV1 tables elsewhere in those documents, or from the statutory accounts - the individual Pillar 3 metric sheets in this workbook do source those years from CC1/OV1/LRCom, but that is a different disclosure and is not represented here as a KM1 row.
TWO TEMPLATES, ONE SHEET, NO MERGING. The FY2018 and FY2017 block is the earlier EU/Basel 'Key Metrics' template, not the UK KM1. Its row numbering is the same for rows 1-20 but its content is not comparable at three points: (a) rows 13/14 are the Basel III leverage ratio, whose exposure measure INCLUDES claims on central banks, against the UK basis above which excludes them from 1 January 2022; (b) rows 15-17 are a period observation of HQLA over net cash outflow, against the twelve-month average of month-end observations the UK KM1 requires; (c) both editions footnote row 4 - 'Total Risk Exposure (TRE) has been reported in row 4 rather than Risk Weighted Assets (RWA). TRE represents RWA plus the Operational Risk component.' The figure is reproduced exactly as printed under the label the document uses. That older table also prints FIVE QUARTERLY COLUMNS (a = the year end, b-d = the preceding quarter ends, e = the prior year end); only column a is transcribed, because only column a is that edition's reporting date. The FY2018 edition's column e therefore repeats 31-Dec-17 and the FY2017 edition's column e carries 31-Dec-16, and neither is used.
DASHES AND ABSENT ROWS. In the FY2017 edition the fully-loaded twins 1a/2a/3a/5a/6a/7a/14a are printed as '-' (the Group had not yet made the IFRS 9 transitional election); a dash is reproduced as an empty cell, never as a zero. Rows 18-20 are not printed at all in the FY2017 edition - the FY2018 edition explains why: 'The Net Stable Funding Ratio (NSFR) is required to be disclosed from 30 June 2018 onwards.' The FY2024 and FY2025 editions likewise print no rows 18-20, because the Group joined the SDDT regime in H2 2024 and moved to the reduced SDDT template (FRN 204550 holds PRA Disclosure (CRR) Rule 3.1 and 3.2 permissions, both dated 09/07/2024); it nonetheless continued to publish full annual and half-year Pillar 3 editions. The FY2025 edition also prints no IFRS 9-FL twin rows, stating its figures are 'reported without the application of Article 473a IFRS 9 transitional arrangements'. Secure Trust Bank omits UK 8a, UK 9a, 10, UK 10a and 14a-14e from the UK KM1 entirely, as its own p.3 says it will: 'where specific rows and columns in the tables prescribed by the PRA are not applicable, these are omitted'. Those rows are absent above rather than shown empty, so the sheet reproduces which rows the Bank printed.
OWN-EDITION FIGURES, NOT LATER COMPARATIVES - AND THE FY2022 DIVERGENCE IS REAL. The FY2022 column above is the FY2022 edition's own 31 December 2022 figures. The FY2023 edition reprints that date as a column headed 'Restated1' with different numbers, following a change in accounting policy for Group land and buildings (now at historical cost; see its footnote 1 and note 1.3 of the 2023 Annual Report). Both are correct on their own basis; the divergences are CET1 and Tier 1 capital 327.4 own-edition against 326.9 restated, Total capital 377.3 against 376.8, Total RWEAs 2,335.0 against 2,334.6, Total capital ratio 16.2% against 16.1%, row 13 total exposure measure 3,049.9 against 3,049.4, and row 12 8.95% against 8.9%. Every other row of that date agrees digit-for-digit between the two editions. The own-edition figure is kept above and the restated one is recorded here rather than written over it.
THE FY2021 COLUMN IS BLANK EVEN THOUGH A LATER EDITION PRINTS ONE - AND HERE IS WHAT IT PRINTS. The FY2022 edition's UK KM1 carries a third column headed '31 Dec 2021', populated for rows 1-12 only: CET 1 capital 303.6, Tier 1 capital 303.6, Total capital 350.6, Total RWEAs 2,087.4, CET 1 ratio 14.5%, Tier 1 ratio 14.5%, Total capital ratio 16.8%, UK 7a 0.6%, UK 7b 0.2%, UK 7c 0.3%, UK 7d 9.0%, row 8 2.5%, row 9 0.0%, row 11 2.5%, UK 11a 12.0%, row 12 9.48%; rows 13-20 are empty there, because that edition's footnote 1 says 'Ratios and figures requiring disclosure for the first time under new PS22/21 guidance from 1 January 2022 do not include comparatives', and its footnote 2 says the 2021 figures 'are based on rules applicable prior to 1 January 2022 (CRR regulation no 575/2013)'. Those values are recorded here and NOT written into the FY2021 column above, because a KM1 column on this sheet asserts what the Bank published as its own key-metrics template for that year, and for 2021 it published none. The comparative is quoted so the choice is visible and reversible rather than silent.
SOURCE ARITHMETIC IN THE FY2022 LCR BLOCK. That edition's UK 16a (298.3) less UK 16b (187.3) is 111.0, against the 112.6 it prints on row 16. The published figures are reproduced unchanged; the LCR cap on inflows (75% of outflows) does not explain the difference at these values, so this is recorded as a defect in the source, not reconciled.
HALF-YEAR EDITIONS AS A SECOND OPINION, CHECKED 2026-09-16. Secure Trust Bank publishes an interim Pillar 3 each year carrying the same template with a 30 June column, and every annual edition above reprints that same 30 June date as its middle column. The two document families were compared cell by cell: all 37 populated values on this workbook's 'Interim Pillar 3' sheet (H1 2025 through H1 2022, ten metrics) agree digit-for-digit with the 30 June columns of the FY2025, FY2024, FY2023 and FY2022 annual editions - CET 1 and Tier 1 367.1 / 348.2 / 326.8 / 313.8, Total capital 432.7 / 409.7 / 383.5 / 363.6, Total RWEAs 2,916.8 / 2,735.3 / 2,518.5 / 2,237.1, and the leverage and LCR rows likewise. That is an independent confirmation of a whole column of each annual edition at no extra transcription cost.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KM1 is a Group-level template throughout; no Company-only column exists in any edition.</t>
        </is>
      </c>
    </row>
  </sheetData>
  <mergeCells count="1">
    <mergeCell ref="A82:J8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60"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60"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60"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n">
        <v>0</v>
      </c>
      <c r="J5" s="6" t="n">
        <v>0</v>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n"/>
      <c r="J8" s="6" t="n"/>
    </row>
    <row r="10" ht="260"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2.5 table OV1 'Overview of Risk Weighted Assets', p.7, column a (31/12/18) - https://www.securetrustbank.com/investor-relations/document-library/pillar-3-disclosure-2018-annual
FY2017: Pillar 3 disclosures for the year ended 31 December 2017, Section 2.7 table OV1 'Overview of Risk Weighted Assets', p.10,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report counterparty credit risk, market risk, securitisation and the 250%-risk-weight threshold line as nil ('-'), so the nil CCR cells below are the documents' own nil, not a gap.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60"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publicly disclosed</t>
        </is>
      </c>
      <c r="G4" s="6" t="inlineStr">
        <is>
          <t>Not publicly disclosed</t>
        </is>
      </c>
      <c r="H4" s="6" t="inlineStr">
        <is>
          <t>Not publicly disclosed</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ht="60" customHeight="1">
      <c r="A6"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t>
        </is>
      </c>
    </row>
    <row r="8" ht="230"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publicly disclosed</t>
        </is>
      </c>
      <c r="G4" s="6" t="inlineStr">
        <is>
          <t>Not publicly disclosed</t>
        </is>
      </c>
      <c r="H4" s="6" t="inlineStr">
        <is>
          <t>Not publicly disclosed</t>
        </is>
      </c>
      <c r="I4" s="6" t="inlineStr">
        <is>
          <t>147.4%</t>
        </is>
      </c>
      <c r="J4" s="6" t="inlineStr">
        <is>
          <t>Not applicable</t>
        </is>
      </c>
    </row>
    <row r="5" ht="60"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230"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60" customHeight="1">
      <c r="A24" s="10"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2026-09-16T20:36:17Z</dcterms:created>
  <dcterms:modified xmlns:dcterms="http://purl.org/dc/terms/" xmlns:xsi="http://www.w3.org/2001/XMLSchema-instance" xsi:type="dcterms:W3CDTF">2026-09-16T20:36:17Z</dcterms:modified>
</cp:coreProperties>
</file>