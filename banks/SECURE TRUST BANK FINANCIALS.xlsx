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 xmlns:r="http://schemas.openxmlformats.org/officeDocument/2006/relationships" name="Interim Pillar 3" sheetId="14" state="visible" r:id="rId1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xmlns:a="http://schemas.openxmlformats.org/drawingml/2006/main">
              <a:prstDash val="solid"/>
            </a:ln>
          </spPr>
          <marker>
            <symbol val="none"/>
            <spPr>
              <a:ln xmlns:a="http://schemas.openxmlformats.org/drawingml/2006/main">
                <a:prstDash val="solid"/>
              </a:ln>
            </spPr>
          </marker>
          <cat>
            <numRef>
              <f>'Overview'!$R$5:$V$5</f>
            </numRef>
          </cat>
          <val>
            <numRef>
              <f>'Overview'!$R$6:$V$6</f>
            </numRef>
          </val>
          <smooth val="0"/>
        </ser>
        <ser>
          <idx val="1"/>
          <order val="1"/>
          <tx>
            <strRef>
              <f>'Overview'!Q7</f>
            </strRef>
          </tx>
          <spPr>
            <a:ln xmlns:a="http://schemas.openxmlformats.org/drawingml/2006/main">
              <a:prstDash val="solid"/>
            </a:ln>
          </spPr>
          <marker>
            <symbol val="none"/>
            <spPr>
              <a:ln xmlns:a="http://schemas.openxmlformats.org/drawingml/2006/main">
                <a:prstDash val="solid"/>
              </a:ln>
            </spPr>
          </marker>
          <cat>
            <numRef>
              <f>'Overview'!$R$5:$V$5</f>
            </numRef>
          </cat>
          <val>
            <numRef>
              <f>'Overview'!$R$7:$V$7</f>
            </numRef>
          </val>
          <smooth val="0"/>
        </ser>
        <ser>
          <idx val="2"/>
          <order val="2"/>
          <tx>
            <strRef>
              <f>'Overview'!Q8</f>
            </strRef>
          </tx>
          <spPr>
            <a:ln xmlns:a="http://schemas.openxmlformats.org/drawingml/2006/main">
              <a:prstDash val="solid"/>
            </a:ln>
          </spPr>
          <marker>
            <symbol val="none"/>
            <spPr>
              <a:ln xmlns:a="http://schemas.openxmlformats.org/drawingml/2006/main">
                <a:prstDash val="solid"/>
              </a:ln>
            </spPr>
          </marker>
          <cat>
            <numRef>
              <f>'Overview'!$R$5:$V$5</f>
            </numRef>
          </cat>
          <val>
            <numRef>
              <f>'Overview'!$R$8:$V$8</f>
            </numRef>
          </val>
          <smooth val="0"/>
        </ser>
        <ser>
          <idx val="3"/>
          <order val="3"/>
          <tx>
            <strRef>
              <f>'Overview'!Q9</f>
            </strRef>
          </tx>
          <spPr>
            <a:ln xmlns:a="http://schemas.openxmlformats.org/drawingml/2006/main">
              <a:prstDash val="solid"/>
            </a:ln>
          </spPr>
          <marker>
            <symbol val="none"/>
            <spPr>
              <a:ln xmlns:a="http://schemas.openxmlformats.org/drawingml/2006/main">
                <a:prstDash val="solid"/>
              </a:ln>
            </spPr>
          </marker>
          <cat>
            <numRef>
              <f>'Overview'!$R$5:$V$5</f>
            </numRef>
          </cat>
          <val>
            <numRef>
              <f>'Overview'!$R$9:$V$9</f>
            </numRef>
          </val>
          <smooth val="0"/>
        </ser>
        <ser>
          <idx val="4"/>
          <order val="4"/>
          <tx>
            <strRef>
              <f>'Overview'!Q10</f>
            </strRef>
          </tx>
          <spPr>
            <a:ln xmlns:a="http://schemas.openxmlformats.org/drawingml/2006/main">
              <a:prstDash val="solid"/>
            </a:ln>
          </spPr>
          <marker>
            <symbol val="none"/>
            <spPr>
              <a:ln xmlns:a="http://schemas.openxmlformats.org/drawingml/2006/main">
                <a:prstDash val="solid"/>
              </a:ln>
            </spPr>
          </marker>
          <cat>
            <numRef>
              <f>'Overview'!$R$5:$V$5</f>
            </numRef>
          </cat>
          <val>
            <numRef>
              <f>'Overview'!$R$10:$V$10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21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43</row>
      <rowOff>0</rowOff>
    </from>
    <ext cx="8640000" cy="57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4.xml.rels><Relationships xmlns="http://schemas.openxmlformats.org/package/2006/relationships"><Relationship Type="http://schemas.openxmlformats.org/officeDocument/2006/relationships/hyperlink" Target="https://www.securetrustbank.com/investor-relations/document-library/pillar-3-disclosure-2025-interim" TargetMode="External" Id="rId1"/><Relationship Type="http://schemas.openxmlformats.org/officeDocument/2006/relationships/hyperlink" Target="https://www.securetrustbank.com/investor-relations/document-library/pillar-3-disclosure-2024-interim" TargetMode="External" Id="rId2"/><Relationship Type="http://schemas.openxmlformats.org/officeDocument/2006/relationships/hyperlink" Target="https://www.securetrustbank.com/investor-relations/document-library/pillar-3-disclosure-2023-interim" TargetMode="External" Id="rId3"/><Relationship Type="http://schemas.openxmlformats.org/officeDocument/2006/relationships/hyperlink" Target="https://www.securetrustbank.com/investor-relations/document-library/pillar-3-disclosure-2022-interim" TargetMode="External" Id="rId4"/><Relationship Type="http://schemas.openxmlformats.org/officeDocument/2006/relationships/hyperlink" Target="https://www.securetrustbank.com/investor-relations/document-library/pillar-3-disclosure-2025-interim" TargetMode="External" Id="rId5"/><Relationship Type="http://schemas.openxmlformats.org/officeDocument/2006/relationships/hyperlink" Target="https://www.securetrustbank.com/investor-relations/document-library/pillar-3-disclosure-2024-interim" TargetMode="External" Id="rId6"/><Relationship Type="http://schemas.openxmlformats.org/officeDocument/2006/relationships/hyperlink" Target="https://www.securetrustbank.com/investor-relations/document-library/pillar-3-disclosure-2023-interim" TargetMode="External" Id="rId7"/><Relationship Type="http://schemas.openxmlformats.org/officeDocument/2006/relationships/hyperlink" Target="https://www.securetrustbank.com/investor-relations/document-library/pillar-3-disclosure-2022-interim" TargetMode="External" Id="rId8"/><Relationship Type="http://schemas.openxmlformats.org/officeDocument/2006/relationships/hyperlink" Target="https://www.securetrustbank.com/investor-relations/document-library/pillar-3-disclosure-2025-interim" TargetMode="External" Id="rId9"/><Relationship Type="http://schemas.openxmlformats.org/officeDocument/2006/relationships/hyperlink" Target="https://www.securetrustbank.com/investor-relations/document-library/pillar-3-disclosure-2024-interim" TargetMode="External" Id="rId10"/><Relationship Type="http://schemas.openxmlformats.org/officeDocument/2006/relationships/hyperlink" Target="https://www.securetrustbank.com/investor-relations/document-library/pillar-3-disclosure-2023-interim" TargetMode="External" Id="rId11"/><Relationship Type="http://schemas.openxmlformats.org/officeDocument/2006/relationships/hyperlink" Target="https://www.securetrustbank.com/investor-relations/document-library/pillar-3-disclosure-2022-interim" TargetMode="External" Id="rId12"/><Relationship Type="http://schemas.openxmlformats.org/officeDocument/2006/relationships/hyperlink" Target="https://www.securetrustbank.com/investor-relations/document-library/pillar-3-disclosure-2025-interim" TargetMode="External" Id="rId13"/><Relationship Type="http://schemas.openxmlformats.org/officeDocument/2006/relationships/hyperlink" Target="https://www.securetrustbank.com/investor-relations/document-library/pillar-3-disclosure-2024-interim" TargetMode="External" Id="rId14"/><Relationship Type="http://schemas.openxmlformats.org/officeDocument/2006/relationships/hyperlink" Target="https://www.securetrustbank.com/investor-relations/document-library/pillar-3-disclosure-2023-interim" TargetMode="External" Id="rId15"/><Relationship Type="http://schemas.openxmlformats.org/officeDocument/2006/relationships/hyperlink" Target="https://www.securetrustbank.com/investor-relations/document-library/pillar-3-disclosure-2022-interim" TargetMode="External" Id="rId16"/><Relationship Type="http://schemas.openxmlformats.org/officeDocument/2006/relationships/hyperlink" Target="https://www.securetrustbank.com/investor-relations/document-library/pillar-3-disclosure-2025-interim" TargetMode="External" Id="rId17"/><Relationship Type="http://schemas.openxmlformats.org/officeDocument/2006/relationships/hyperlink" Target="https://www.securetrustbank.com/investor-relations/document-library/pillar-3-disclosure-2024-interim" TargetMode="External" Id="rId18"/><Relationship Type="http://schemas.openxmlformats.org/officeDocument/2006/relationships/hyperlink" Target="https://www.securetrustbank.com/investor-relations/document-library/pillar-3-disclosure-2023-interim" TargetMode="External" Id="rId19"/><Relationship Type="http://schemas.openxmlformats.org/officeDocument/2006/relationships/hyperlink" Target="https://www.securetrustbank.com/investor-relations/document-library/pillar-3-disclosure-2022-interim" TargetMode="External" Id="rId20"/><Relationship Type="http://schemas.openxmlformats.org/officeDocument/2006/relationships/hyperlink" Target="https://www.securetrustbank.com/investor-relations/document-library/pillar-3-disclosure-2025-interim" TargetMode="External" Id="rId21"/><Relationship Type="http://schemas.openxmlformats.org/officeDocument/2006/relationships/hyperlink" Target="https://www.securetrustbank.com/investor-relations/document-library/pillar-3-disclosure-2024-interim" TargetMode="External" Id="rId22"/><Relationship Type="http://schemas.openxmlformats.org/officeDocument/2006/relationships/hyperlink" Target="https://www.securetrustbank.com/investor-relations/document-library/pillar-3-disclosure-2023-interim" TargetMode="External" Id="rId23"/><Relationship Type="http://schemas.openxmlformats.org/officeDocument/2006/relationships/hyperlink" Target="https://www.securetrustbank.com/investor-relations/document-library/pillar-3-disclosure-2022-interim" TargetMode="External" Id="rId24"/><Relationship Type="http://schemas.openxmlformats.org/officeDocument/2006/relationships/hyperlink" Target="https://www.securetrustbank.com/investor-relations/document-library/pillar-3-disclosure-2025-interim" TargetMode="External" Id="rId25"/><Relationship Type="http://schemas.openxmlformats.org/officeDocument/2006/relationships/hyperlink" Target="https://www.securetrustbank.com/investor-relations/document-library/pillar-3-disclosure-2024-interim" TargetMode="External" Id="rId26"/><Relationship Type="http://schemas.openxmlformats.org/officeDocument/2006/relationships/hyperlink" Target="https://www.securetrustbank.com/investor-relations/document-library/pillar-3-disclosure-2023-interim" TargetMode="External" Id="rId27"/><Relationship Type="http://schemas.openxmlformats.org/officeDocument/2006/relationships/hyperlink" Target="https://www.securetrustbank.com/investor-relations/document-library/pillar-3-disclosure-2022-interim" TargetMode="External" Id="rId28"/><Relationship Type="http://schemas.openxmlformats.org/officeDocument/2006/relationships/hyperlink" Target="https://www.securetrustbank.com/investor-relations/document-library/pillar-3-disclosure-2025-interim" TargetMode="External" Id="rId29"/><Relationship Type="http://schemas.openxmlformats.org/officeDocument/2006/relationships/hyperlink" Target="https://www.securetrustbank.com/investor-relations/document-library/pillar-3-disclosure-2024-interim" TargetMode="External" Id="rId30"/><Relationship Type="http://schemas.openxmlformats.org/officeDocument/2006/relationships/hyperlink" Target="https://www.securetrustbank.com/investor-relations/document-library/pillar-3-disclosure-2023-interim" TargetMode="External" Id="rId31"/><Relationship Type="http://schemas.openxmlformats.org/officeDocument/2006/relationships/hyperlink" Target="https://www.securetrustbank.com/investor-relations/document-library/pillar-3-disclosure-2022-interim" TargetMode="External" Id="rId32"/><Relationship Type="http://schemas.openxmlformats.org/officeDocument/2006/relationships/hyperlink" Target="https://www.securetrustbank.com/investor-relations/document-library/pillar-3-disclosure-2025-interim" TargetMode="External" Id="rId33"/><Relationship Type="http://schemas.openxmlformats.org/officeDocument/2006/relationships/hyperlink" Target="https://www.securetrustbank.com/investor-relations/document-library/pillar-3-disclosure-2024-interim" TargetMode="External" Id="rId34"/><Relationship Type="http://schemas.openxmlformats.org/officeDocument/2006/relationships/hyperlink" Target="https://www.securetrustbank.com/investor-relations/document-library/pillar-3-disclosure-2023-interim" TargetMode="External" Id="rId35"/><Relationship Type="http://schemas.openxmlformats.org/officeDocument/2006/relationships/hyperlink" Target="https://www.securetrustbank.com/investor-relations/document-library/pillar-3-disclosure-2022-interim" TargetMode="External" Id="rId36"/><Relationship Type="http://schemas.openxmlformats.org/officeDocument/2006/relationships/hyperlink" Target="https://www.securetrustbank.com/investor-relations/document-library/pillar-3-disclosure-2023-interim" TargetMode="External" Id="rId37"/><Relationship Type="http://schemas.openxmlformats.org/officeDocument/2006/relationships/hyperlink" Target="https://www.securetrustbank.com/investor-relations/document-library/pillar-3-disclosure-2025-interim" TargetMode="External" Id="rId38"/><Relationship Type="http://schemas.openxmlformats.org/officeDocument/2006/relationships/hyperlink" Target="https://www.securetrustbank.com/investor-relations/document-library/pillar-3-disclosure-2024-interim" TargetMode="External" Id="rId39"/><Relationship Type="http://schemas.openxmlformats.org/officeDocument/2006/relationships/hyperlink" Target="https://www.securetrustbank.com/investor-relations/document-library/pillar-3-disclosure-2023-interim" TargetMode="External" Id="rId40"/><Relationship Type="http://schemas.openxmlformats.org/officeDocument/2006/relationships/hyperlink" Target="https://www.securetrustbank.com/investor-relations/document-library/pillar-3-disclosure-2022-interim" TargetMode="External" Id="rId41"/></Relationships>
</file>

<file path=xl/worksheets/sheet1.xml><?xml version="1.0" encoding="utf-8"?>
<worksheet xmlns="http://schemas.openxmlformats.org/spreadsheetml/2006/main">
  <sheetPr>
    <outlinePr summaryBelow="1" summaryRight="1"/>
    <pageSetUpPr/>
  </sheetPr>
  <dimension ref="A1:V1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Secure Trust Bank Public Limited Company — Overview</t>
        </is>
      </c>
    </row>
    <row r="2">
      <c r="A2" s="2" t="inlineStr">
        <is>
          <t>Summary of cash flow and Pillar 3 disclosures across all years covered in this workbook</t>
        </is>
      </c>
    </row>
    <row r="4">
      <c r="A4" s="3" t="inlineStr">
        <is>
          <t>Cash Flow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from/(used in) operating activities</t>
        </is>
      </c>
      <c r="B6" s="5" t="n">
        <v>257</v>
      </c>
      <c r="C6" s="5" t="n">
        <v>111.7</v>
      </c>
      <c r="D6" s="5" t="n">
        <v>-45.4</v>
      </c>
      <c r="E6" s="5" t="n">
        <v>32.7</v>
      </c>
      <c r="F6" s="5" t="n">
        <v>-96.40000000000001</v>
      </c>
      <c r="I6" t="inlineStr">
        <is>
          <t>Net cash from/(used in) operating activities</t>
        </is>
      </c>
      <c r="J6" t="n">
        <v>-96.40000000000001</v>
      </c>
      <c r="K6" t="n">
        <v>32.7</v>
      </c>
      <c r="L6" t="n">
        <v>-45.4</v>
      </c>
      <c r="M6" t="n">
        <v>111.7</v>
      </c>
      <c r="N6" t="n">
        <v>257</v>
      </c>
      <c r="Q6" t="inlineStr">
        <is>
          <t>CET1 Ratio</t>
        </is>
      </c>
      <c r="R6" t="n">
        <v>14.5</v>
      </c>
      <c r="S6" t="n">
        <v>14</v>
      </c>
      <c r="T6" t="n">
        <v>12.7</v>
      </c>
      <c r="U6" t="n">
        <v>12.3</v>
      </c>
      <c r="V6" t="n">
        <v>12.9</v>
      </c>
    </row>
    <row r="7">
      <c r="A7" s="5" t="inlineStr">
        <is>
          <t>Net cash from/(used in) investing activities</t>
        </is>
      </c>
      <c r="B7" s="5" t="n">
        <v>-1.8</v>
      </c>
      <c r="C7" s="5" t="n">
        <v>-1</v>
      </c>
      <c r="D7" s="5" t="n">
        <v>-2.7</v>
      </c>
      <c r="E7" s="5" t="n">
        <v>82.5</v>
      </c>
      <c r="F7" s="5" t="n">
        <v>59.1</v>
      </c>
      <c r="I7" t="inlineStr">
        <is>
          <t>Net cash from/(used in) investing activities</t>
        </is>
      </c>
      <c r="J7" t="n">
        <v>59.1</v>
      </c>
      <c r="K7" t="n">
        <v>82.5</v>
      </c>
      <c r="L7" t="n">
        <v>-2.7</v>
      </c>
      <c r="M7" t="n">
        <v>-1</v>
      </c>
      <c r="N7" t="n">
        <v>-1.8</v>
      </c>
      <c r="Q7" t="inlineStr">
        <is>
          <t>Total Capital Ratio</t>
        </is>
      </c>
      <c r="R7" t="n">
        <v>16.8</v>
      </c>
      <c r="S7" t="n">
        <v>16.2</v>
      </c>
      <c r="T7" t="n">
        <v>15</v>
      </c>
      <c r="U7" t="n">
        <v>14.6</v>
      </c>
      <c r="V7" t="n">
        <v>15.2</v>
      </c>
    </row>
    <row r="8">
      <c r="A8" s="5" t="inlineStr">
        <is>
          <t>Net cash from/(used in) financing activities</t>
        </is>
      </c>
      <c r="B8" s="5" t="n">
        <v>-164.4</v>
      </c>
      <c r="C8" s="5" t="n">
        <v>-42</v>
      </c>
      <c r="D8" s="5" t="n">
        <v>31.5</v>
      </c>
      <c r="E8" s="5" t="n">
        <v>-5</v>
      </c>
      <c r="F8" s="5" t="n">
        <v>101.6</v>
      </c>
      <c r="I8" t="inlineStr">
        <is>
          <t>Net cash from/(used in) financing activities</t>
        </is>
      </c>
      <c r="J8" t="n">
        <v>101.6</v>
      </c>
      <c r="K8" t="n">
        <v>-5</v>
      </c>
      <c r="L8" t="n">
        <v>31.5</v>
      </c>
      <c r="M8" t="n">
        <v>-42</v>
      </c>
      <c r="N8" t="n">
        <v>-164.4</v>
      </c>
      <c r="Q8" t="inlineStr">
        <is>
          <t>Leverage Ratio</t>
        </is>
      </c>
      <c r="R8" t="n">
        <v>10.3</v>
      </c>
      <c r="S8" t="n">
        <v>10.7</v>
      </c>
      <c r="T8" t="n">
        <v>9.699999999999999</v>
      </c>
      <c r="U8" t="n">
        <v>9.5</v>
      </c>
      <c r="V8" t="n">
        <v>9.4</v>
      </c>
    </row>
    <row r="9">
      <c r="A9" s="5" t="inlineStr">
        <is>
          <t>Cash and cash equivalents at end of year</t>
        </is>
      </c>
      <c r="B9" s="5" t="n">
        <v>559.8</v>
      </c>
      <c r="C9" s="5" t="n">
        <v>469</v>
      </c>
      <c r="D9" s="5" t="n">
        <v>400.3</v>
      </c>
      <c r="E9" s="5" t="n">
        <v>416.9</v>
      </c>
      <c r="F9" s="5" t="n">
        <v>306.7</v>
      </c>
      <c r="I9" t="inlineStr">
        <is>
          <t>Cash and cash equivalents at end of year</t>
        </is>
      </c>
      <c r="J9" t="n">
        <v>306.7</v>
      </c>
      <c r="K9" t="n">
        <v>416.9</v>
      </c>
      <c r="L9" t="n">
        <v>400.3</v>
      </c>
      <c r="M9" t="n">
        <v>469</v>
      </c>
      <c r="N9" t="n">
        <v>559.8</v>
      </c>
      <c r="Q9" t="inlineStr">
        <is>
          <t>LCR</t>
        </is>
      </c>
      <c r="S9" t="n">
        <v>270.1</v>
      </c>
      <c r="T9" t="n">
        <v>208</v>
      </c>
      <c r="U9" t="n">
        <v>219.6</v>
      </c>
      <c r="V9" t="n">
        <v>190.4</v>
      </c>
    </row>
    <row r="10">
      <c r="Q10" t="inlineStr">
        <is>
          <t>NSFR</t>
        </is>
      </c>
      <c r="S10" t="n">
        <v>152.8</v>
      </c>
      <c r="T10" t="n">
        <v>143.6</v>
      </c>
    </row>
    <row r="11">
      <c r="A11" s="3" t="inlineStr">
        <is>
          <t>Pillar 3 Key Metrics</t>
        </is>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inlineStr">
        <is>
          <t>12.9%</t>
        </is>
      </c>
      <c r="C13" s="6" t="inlineStr">
        <is>
          <t>12.3%</t>
        </is>
      </c>
      <c r="D13" s="6" t="inlineStr">
        <is>
          <t>12.7%</t>
        </is>
      </c>
      <c r="E13" s="6" t="inlineStr">
        <is>
          <t>14.0%</t>
        </is>
      </c>
      <c r="F13" s="6" t="inlineStr">
        <is>
          <t>14.5%</t>
        </is>
      </c>
    </row>
    <row r="14">
      <c r="A14" s="6" t="inlineStr">
        <is>
          <t>Total Capital Ratio</t>
        </is>
      </c>
      <c r="B14" s="6" t="inlineStr">
        <is>
          <t>15.2%</t>
        </is>
      </c>
      <c r="C14" s="6" t="inlineStr">
        <is>
          <t>14.6%</t>
        </is>
      </c>
      <c r="D14" s="6" t="inlineStr">
        <is>
          <t>15.0%</t>
        </is>
      </c>
      <c r="E14" s="6" t="inlineStr">
        <is>
          <t>16.2%</t>
        </is>
      </c>
      <c r="F14" s="6" t="inlineStr">
        <is>
          <t>16.8%</t>
        </is>
      </c>
    </row>
    <row r="15">
      <c r="A15" s="6" t="inlineStr">
        <is>
          <t>Leverage Ratio</t>
        </is>
      </c>
      <c r="B15" s="6" t="inlineStr">
        <is>
          <t>9.4%</t>
        </is>
      </c>
      <c r="C15" s="6" t="inlineStr">
        <is>
          <t>9.5%</t>
        </is>
      </c>
      <c r="D15" s="6" t="inlineStr">
        <is>
          <t>9.7%</t>
        </is>
      </c>
      <c r="E15" s="6" t="inlineStr">
        <is>
          <t>10.7%</t>
        </is>
      </c>
      <c r="F15" s="6" t="inlineStr">
        <is>
          <t>10.3%</t>
        </is>
      </c>
    </row>
    <row r="16">
      <c r="A16" s="6" t="inlineStr">
        <is>
          <t>LCR</t>
        </is>
      </c>
      <c r="B16" s="6" t="inlineStr">
        <is>
          <t>190.4%</t>
        </is>
      </c>
      <c r="C16" s="6" t="inlineStr">
        <is>
          <t>219.6%</t>
        </is>
      </c>
      <c r="D16" s="6" t="inlineStr">
        <is>
          <t>208.0%</t>
        </is>
      </c>
      <c r="E16" s="6" t="inlineStr">
        <is>
          <t>270.1%</t>
        </is>
      </c>
      <c r="F16" s="6" t="n"/>
    </row>
    <row r="17">
      <c r="A17" s="6" t="inlineStr">
        <is>
          <t>NSFR</t>
        </is>
      </c>
      <c r="B17" s="6" t="n"/>
      <c r="C17" s="6" t="n"/>
      <c r="D17" s="6" t="inlineStr">
        <is>
          <t>143.6%</t>
        </is>
      </c>
      <c r="E17" s="6" t="inlineStr">
        <is>
          <t>152.8%</t>
        </is>
      </c>
      <c r="F17" s="6" t="n"/>
    </row>
    <row r="19" ht="45" customHeight="1">
      <c r="A19" s="7" t="inlineStr">
        <is>
          <t>Note: Group cash flows and Group Pillar 3 metrics are deliberately kept on their respective disclosed bases. FY2021 cash uses the FY2022 restated comparative; blank regulatory cells mean not disclosed, not zero.</t>
        </is>
      </c>
    </row>
  </sheetData>
  <mergeCells count="1">
    <mergeCell ref="A19:F1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Secure Trust Bank PLC - Group Cash Flow Statement</t>
        </is>
      </c>
    </row>
    <row r="2">
      <c r="A2" s="2" t="inlineStr">
        <is>
          <t>Consolidated Group basis, £million; FY2021 uses the restated comparative presented in the FY2022 report.</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Cash flows from operating activities</t>
        </is>
      </c>
      <c r="B4" s="6" t="n"/>
      <c r="C4" s="6" t="n"/>
      <c r="D4" s="6" t="n"/>
      <c r="E4" s="6" t="n"/>
      <c r="F4" s="6" t="n"/>
    </row>
    <row r="5">
      <c r="A5" s="6" t="inlineStr">
        <is>
          <t>Profit for the year</t>
        </is>
      </c>
      <c r="B5" s="6" t="n">
        <v>17.6</v>
      </c>
      <c r="C5" s="6" t="n">
        <v>19.7</v>
      </c>
      <c r="D5" s="6" t="n">
        <v>24.3</v>
      </c>
      <c r="E5" s="6" t="n">
        <v>33.7</v>
      </c>
      <c r="F5" s="6" t="n">
        <v>45.6</v>
      </c>
    </row>
    <row r="6">
      <c r="A6" s="6" t="inlineStr">
        <is>
          <t>Income tax expense</t>
        </is>
      </c>
      <c r="B6" s="6" t="n">
        <v>9.9</v>
      </c>
      <c r="C6" s="6" t="n">
        <v>9.5</v>
      </c>
      <c r="D6" s="6" t="n">
        <v>9.1</v>
      </c>
      <c r="E6" s="6" t="n">
        <v>10.3</v>
      </c>
      <c r="F6" s="6" t="n">
        <v>10.4</v>
      </c>
    </row>
    <row r="7">
      <c r="A7" s="6" t="inlineStr">
        <is>
          <t>Depreciation of property, plant and equipment</t>
        </is>
      </c>
      <c r="B7" s="6" t="n">
        <v>0.8</v>
      </c>
      <c r="C7" s="6" t="n">
        <v>1</v>
      </c>
      <c r="D7" s="6" t="n">
        <v>0.9</v>
      </c>
      <c r="E7" s="6" t="n">
        <v>1.2</v>
      </c>
      <c r="F7" s="6" t="n">
        <v>1.3</v>
      </c>
    </row>
    <row r="8">
      <c r="A8" s="6" t="inlineStr">
        <is>
          <t>Depreciation of right-of-use assets</t>
        </is>
      </c>
      <c r="B8" s="6" t="n">
        <v>1.1</v>
      </c>
      <c r="C8" s="6" t="n">
        <v>1</v>
      </c>
      <c r="D8" s="6" t="n">
        <v>0.7</v>
      </c>
      <c r="E8" s="6" t="n">
        <v>0.7</v>
      </c>
      <c r="F8" s="6" t="n">
        <v>0.7</v>
      </c>
    </row>
    <row r="9">
      <c r="A9" s="6" t="inlineStr">
        <is>
          <t>Amortisation of intangible assets</t>
        </is>
      </c>
      <c r="B9" s="6" t="n">
        <v>1.2</v>
      </c>
      <c r="C9" s="6" t="n">
        <v>1.4</v>
      </c>
      <c r="D9" s="6" t="n">
        <v>1.2</v>
      </c>
      <c r="E9" s="6" t="n">
        <v>1.4</v>
      </c>
      <c r="F9" s="6" t="n">
        <v>1.5</v>
      </c>
    </row>
    <row r="10">
      <c r="A10" s="6" t="inlineStr">
        <is>
          <t>Loss/(gain) on disposals and modifications</t>
        </is>
      </c>
      <c r="B10" s="6" t="n"/>
      <c r="C10" s="6" t="n">
        <v>0</v>
      </c>
      <c r="D10" s="6" t="n">
        <v>0.2</v>
      </c>
      <c r="E10" s="6" t="n">
        <v>-7.5</v>
      </c>
      <c r="F10" s="6" t="n">
        <v>-0.5</v>
      </c>
    </row>
    <row r="11">
      <c r="A11" s="6" t="inlineStr">
        <is>
          <t>Impairment charge on loans and advances</t>
        </is>
      </c>
      <c r="B11" s="6" t="n">
        <v>58</v>
      </c>
      <c r="C11" s="6" t="n">
        <v>61.9</v>
      </c>
      <c r="D11" s="6" t="n">
        <v>43.2</v>
      </c>
      <c r="E11" s="6" t="n">
        <v>39</v>
      </c>
      <c r="F11" s="6" t="n">
        <v>4.5</v>
      </c>
    </row>
    <row r="12">
      <c r="A12" s="6" t="inlineStr">
        <is>
          <t>Share-based compensation</t>
        </is>
      </c>
      <c r="B12" s="6" t="n">
        <v>2</v>
      </c>
      <c r="C12" s="6" t="n">
        <v>2.3</v>
      </c>
      <c r="D12" s="6" t="n">
        <v>1.1</v>
      </c>
      <c r="E12" s="6" t="n">
        <v>2</v>
      </c>
      <c r="F12" s="6" t="n">
        <v>1</v>
      </c>
    </row>
    <row r="13">
      <c r="A13" s="6" t="inlineStr">
        <is>
          <t>Provisions for liabilities and charges</t>
        </is>
      </c>
      <c r="B13" s="6" t="n">
        <v>21.7</v>
      </c>
      <c r="C13" s="6" t="n">
        <v>9.800000000000001</v>
      </c>
      <c r="D13" s="6" t="n">
        <v>8.5</v>
      </c>
      <c r="E13" s="6" t="n"/>
      <c r="F13" s="6" t="n"/>
    </row>
    <row r="14">
      <c r="A14" s="6" t="inlineStr">
        <is>
          <t>Other non-cash items included in profit before tax</t>
        </is>
      </c>
      <c r="B14" s="6" t="n">
        <v>0.2</v>
      </c>
      <c r="C14" s="6" t="n">
        <v>-0.6</v>
      </c>
      <c r="D14" s="6" t="n">
        <v>-0.8</v>
      </c>
      <c r="E14" s="6" t="n">
        <v>1</v>
      </c>
      <c r="F14" s="6" t="n">
        <v>0.4</v>
      </c>
    </row>
    <row r="15">
      <c r="A15" s="6" t="inlineStr">
        <is>
          <t>Loans and advances to customers</t>
        </is>
      </c>
      <c r="B15" s="6" t="n">
        <v>-159</v>
      </c>
      <c r="C15" s="6" t="n">
        <v>-354.8</v>
      </c>
      <c r="D15" s="6" t="n">
        <v>-439</v>
      </c>
      <c r="E15" s="6" t="n">
        <v>-497.1</v>
      </c>
      <c r="F15" s="6" t="n">
        <v>-238.4</v>
      </c>
    </row>
    <row r="16">
      <c r="A16" s="6" t="inlineStr">
        <is>
          <t>Loans and advances to banks and central banks</t>
        </is>
      </c>
      <c r="B16" s="6" t="n">
        <v>-5.1</v>
      </c>
      <c r="C16" s="6" t="n">
        <v>5</v>
      </c>
      <c r="D16" s="6" t="n">
        <v>-1.3</v>
      </c>
      <c r="E16" s="6" t="n">
        <v>0.6</v>
      </c>
      <c r="F16" s="6" t="n">
        <v>-1.9</v>
      </c>
    </row>
    <row r="17">
      <c r="A17" s="6" t="inlineStr">
        <is>
          <t>Other assets</t>
        </is>
      </c>
      <c r="B17" s="6" t="n">
        <v>2.8</v>
      </c>
      <c r="C17" s="6" t="n">
        <v>1.4</v>
      </c>
      <c r="D17" s="6" t="n">
        <v>0.4</v>
      </c>
      <c r="E17" s="6" t="n">
        <v>-1.5</v>
      </c>
      <c r="F17" s="6" t="n">
        <v>6</v>
      </c>
    </row>
    <row r="18">
      <c r="A18" s="6" t="inlineStr">
        <is>
          <t>Deposits from customers</t>
        </is>
      </c>
      <c r="B18" s="6" t="n">
        <v>264.7</v>
      </c>
      <c r="C18" s="6" t="n">
        <v>373.1</v>
      </c>
      <c r="D18" s="6" t="n">
        <v>357.2</v>
      </c>
      <c r="E18" s="6" t="n">
        <v>411.4</v>
      </c>
      <c r="F18" s="6" t="n">
        <v>110.7</v>
      </c>
    </row>
    <row r="19">
      <c r="A19" s="6" t="inlineStr">
        <is>
          <t>Provisions for liabilities and charges utilisation</t>
        </is>
      </c>
      <c r="B19" s="6" t="n">
        <v>-7.6</v>
      </c>
      <c r="C19" s="6" t="n">
        <v>-4.7</v>
      </c>
      <c r="D19" s="6" t="n">
        <v>-4.7</v>
      </c>
      <c r="E19" s="6" t="n">
        <v>-1.1</v>
      </c>
      <c r="F19" s="6" t="n">
        <v>-0.7</v>
      </c>
    </row>
    <row r="20">
      <c r="A20" s="6" t="inlineStr">
        <is>
          <t>Other liabilities</t>
        </is>
      </c>
      <c r="B20" s="6" t="n">
        <v>60.7</v>
      </c>
      <c r="C20" s="6" t="n">
        <v>-5.5</v>
      </c>
      <c r="D20" s="6" t="n">
        <v>-37.8</v>
      </c>
      <c r="E20" s="6" t="n">
        <v>45.6</v>
      </c>
      <c r="F20" s="6" t="n">
        <v>-24.4</v>
      </c>
    </row>
    <row r="21">
      <c r="A21" s="6" t="inlineStr">
        <is>
          <t>Income tax paid</t>
        </is>
      </c>
      <c r="B21" s="6" t="n">
        <v>-12</v>
      </c>
      <c r="C21" s="6" t="n">
        <v>-8.800000000000001</v>
      </c>
      <c r="D21" s="6" t="n">
        <v>-8.6</v>
      </c>
      <c r="E21" s="6" t="n">
        <v>-7</v>
      </c>
      <c r="F21" s="6" t="n">
        <v>-12.6</v>
      </c>
    </row>
    <row r="22">
      <c r="A22" s="5" t="inlineStr">
        <is>
          <t>Net cash inflow/(outflow) from operating activities</t>
        </is>
      </c>
      <c r="B22" s="5" t="n">
        <v>257</v>
      </c>
      <c r="C22" s="5" t="n">
        <v>111.7</v>
      </c>
      <c r="D22" s="5" t="n">
        <v>-45.4</v>
      </c>
      <c r="E22" s="5" t="n">
        <v>32.7</v>
      </c>
      <c r="F22" s="5" t="n">
        <v>-96.40000000000001</v>
      </c>
    </row>
    <row r="23">
      <c r="A23" s="5" t="inlineStr">
        <is>
          <t>Cash flows from investing activities</t>
        </is>
      </c>
      <c r="B23" s="6" t="n"/>
      <c r="C23" s="6" t="n"/>
      <c r="D23" s="6" t="n"/>
      <c r="E23" s="6" t="n"/>
      <c r="F23" s="6" t="n"/>
    </row>
    <row r="24">
      <c r="A24" s="6" t="inlineStr">
        <is>
          <t>Consideration on sale of loan books</t>
        </is>
      </c>
      <c r="B24" s="6" t="n"/>
      <c r="C24" s="6" t="n"/>
      <c r="D24" s="6" t="n">
        <v>0</v>
      </c>
      <c r="E24" s="6" t="n">
        <v>81.90000000000001</v>
      </c>
      <c r="F24" s="6" t="n">
        <v>60.4</v>
      </c>
    </row>
    <row r="25">
      <c r="A25" s="6" t="inlineStr">
        <is>
          <t>Sale of investment property</t>
        </is>
      </c>
      <c r="B25" s="6" t="n"/>
      <c r="C25" s="6" t="n"/>
      <c r="D25" s="6" t="n"/>
      <c r="E25" s="6" t="n">
        <v>3.3</v>
      </c>
      <c r="F25" s="6" t="n"/>
    </row>
    <row r="26">
      <c r="A26" s="6" t="inlineStr">
        <is>
          <t>Maturity and sales of debt securities</t>
        </is>
      </c>
      <c r="B26" s="6" t="n"/>
      <c r="C26" s="6" t="n"/>
      <c r="D26" s="6" t="n"/>
      <c r="E26" s="6" t="n">
        <v>80</v>
      </c>
      <c r="F26" s="6" t="n">
        <v>90</v>
      </c>
    </row>
    <row r="27">
      <c r="A27" s="6" t="inlineStr">
        <is>
          <t>Purchase of debt securities</t>
        </is>
      </c>
      <c r="B27" s="6" t="n"/>
      <c r="C27" s="6" t="n"/>
      <c r="D27" s="6" t="n"/>
      <c r="E27" s="6" t="n">
        <v>-80</v>
      </c>
      <c r="F27" s="6" t="n">
        <v>-90</v>
      </c>
    </row>
    <row r="28">
      <c r="A28" s="6" t="inlineStr">
        <is>
          <t>Purchase of property, plant and equipment and intangible assets</t>
        </is>
      </c>
      <c r="B28" s="6" t="n">
        <v>-1.6</v>
      </c>
      <c r="C28" s="6" t="n">
        <v>-1</v>
      </c>
      <c r="D28" s="6" t="n">
        <v>-2.7</v>
      </c>
      <c r="E28" s="6" t="n">
        <v>-2.7</v>
      </c>
      <c r="F28" s="6" t="n">
        <v>-1.3</v>
      </c>
    </row>
    <row r="29">
      <c r="A29" s="6" t="inlineStr">
        <is>
          <t>Purchase of investment property</t>
        </is>
      </c>
      <c r="B29" s="6" t="n">
        <v>-1.1</v>
      </c>
      <c r="C29" s="6" t="n"/>
      <c r="D29" s="6" t="n"/>
      <c r="E29" s="6" t="n"/>
      <c r="F29" s="6" t="n"/>
    </row>
    <row r="30">
      <c r="A30" s="6" t="inlineStr">
        <is>
          <t>Purchase of debt securities</t>
        </is>
      </c>
      <c r="B30" s="6" t="n">
        <v>-1</v>
      </c>
      <c r="C30" s="6" t="n"/>
      <c r="D30" s="6" t="n"/>
      <c r="E30" s="6" t="n"/>
      <c r="F30" s="6" t="n"/>
    </row>
    <row r="31">
      <c r="A31" s="6" t="inlineStr">
        <is>
          <t>Sale of property, plant and equipment</t>
        </is>
      </c>
      <c r="B31" s="6" t="n">
        <v>1.9</v>
      </c>
      <c r="C31" s="6" t="n"/>
      <c r="D31" s="6" t="n"/>
      <c r="E31" s="6" t="n"/>
      <c r="F31" s="6" t="n"/>
    </row>
    <row r="32">
      <c r="A32" s="5" t="inlineStr">
        <is>
          <t>Net cash inflow/(outflow) from investing activities</t>
        </is>
      </c>
      <c r="B32" s="5" t="n">
        <v>-1.8</v>
      </c>
      <c r="C32" s="5" t="n">
        <v>-1</v>
      </c>
      <c r="D32" s="5" t="n">
        <v>-2.7</v>
      </c>
      <c r="E32" s="5" t="n">
        <v>82.5</v>
      </c>
      <c r="F32" s="5" t="n">
        <v>59.1</v>
      </c>
    </row>
    <row r="33">
      <c r="A33" s="5" t="inlineStr">
        <is>
          <t>Cash flows from financing activities</t>
        </is>
      </c>
      <c r="B33" s="6" t="n"/>
      <c r="C33" s="6" t="n"/>
      <c r="D33" s="6" t="n"/>
      <c r="E33" s="6" t="n"/>
      <c r="F33" s="6" t="n"/>
    </row>
    <row r="34">
      <c r="A34" s="6" t="inlineStr">
        <is>
          <t>Issue of subordinated debt</t>
        </is>
      </c>
      <c r="B34" s="6" t="n"/>
      <c r="C34" s="6" t="n"/>
      <c r="D34" s="6" t="n">
        <v>70</v>
      </c>
      <c r="E34" s="6" t="n"/>
      <c r="F34" s="6" t="n"/>
    </row>
    <row r="35">
      <c r="A35" s="6" t="inlineStr">
        <is>
          <t>Redemption of subordinated debt</t>
        </is>
      </c>
      <c r="B35" s="6" t="n"/>
      <c r="C35" s="6" t="n"/>
      <c r="D35" s="6" t="n">
        <v>-28.8</v>
      </c>
      <c r="E35" s="6" t="n"/>
      <c r="F35" s="6" t="n"/>
    </row>
    <row r="36">
      <c r="A36" s="6" t="inlineStr">
        <is>
          <t>Drawdown/(repayment) of amounts due to banks</t>
        </is>
      </c>
      <c r="B36" s="6" t="n">
        <v>-1.7</v>
      </c>
      <c r="C36" s="6" t="n">
        <v>0.8</v>
      </c>
      <c r="D36" s="6" t="n">
        <v>-0.9</v>
      </c>
      <c r="E36" s="6" t="n">
        <v>7</v>
      </c>
      <c r="F36" s="6" t="n">
        <v>114.4</v>
      </c>
    </row>
    <row r="37">
      <c r="A37" s="6" t="inlineStr">
        <is>
          <t>Drawdown of sale and repurchase agreements</t>
        </is>
      </c>
      <c r="B37" s="6" t="n">
        <v>250</v>
      </c>
      <c r="C37" s="6" t="n">
        <v>125</v>
      </c>
      <c r="D37" s="6" t="n"/>
      <c r="E37" s="6" t="n"/>
      <c r="F37" s="6" t="n"/>
    </row>
    <row r="38">
      <c r="A38" s="6" t="inlineStr">
        <is>
          <t>Repayment of sale and repurchase agreements</t>
        </is>
      </c>
      <c r="B38" s="6" t="n">
        <v>-175</v>
      </c>
      <c r="C38" s="6" t="n"/>
      <c r="D38" s="6" t="n"/>
      <c r="E38" s="6" t="n"/>
      <c r="F38" s="6" t="n"/>
    </row>
    <row r="39">
      <c r="A39" s="6" t="inlineStr">
        <is>
          <t>Repayment of Term Funding Scheme</t>
        </is>
      </c>
      <c r="B39" s="6" t="n">
        <v>-230</v>
      </c>
      <c r="C39" s="6" t="n">
        <v>-160</v>
      </c>
      <c r="D39" s="6" t="n"/>
      <c r="E39" s="6" t="n"/>
      <c r="F39" s="6" t="n"/>
    </row>
    <row r="40">
      <c r="A40" s="6" t="inlineStr">
        <is>
          <t>Purchase of own shares</t>
        </is>
      </c>
      <c r="B40" s="6" t="n">
        <v>-0.2</v>
      </c>
      <c r="C40" s="6" t="n">
        <v>-1.4</v>
      </c>
      <c r="D40" s="6" t="n">
        <v>-1.2</v>
      </c>
      <c r="E40" s="6" t="n">
        <v>-0.3</v>
      </c>
      <c r="F40" s="6" t="n"/>
    </row>
    <row r="41">
      <c r="A41" s="6" t="inlineStr">
        <is>
          <t>Issue of shares</t>
        </is>
      </c>
      <c r="B41" s="6" t="n">
        <v>0.2</v>
      </c>
      <c r="C41" s="6" t="n">
        <v>0.2</v>
      </c>
      <c r="D41" s="6" t="n">
        <v>1.7</v>
      </c>
      <c r="E41" s="6" t="n"/>
      <c r="F41" s="6" t="n"/>
    </row>
    <row r="42">
      <c r="A42" s="6" t="inlineStr">
        <is>
          <t>Dividends paid</t>
        </is>
      </c>
      <c r="B42" s="6" t="n">
        <v>-6.4</v>
      </c>
      <c r="C42" s="6" t="n">
        <v>-5.2</v>
      </c>
      <c r="D42" s="6" t="n">
        <v>-8.4</v>
      </c>
      <c r="E42" s="6" t="n">
        <v>-10.7</v>
      </c>
      <c r="F42" s="6" t="n">
        <v>-11.9</v>
      </c>
    </row>
    <row r="43">
      <c r="A43" s="6" t="inlineStr">
        <is>
          <t>Repayment of lease liabilities</t>
        </is>
      </c>
      <c r="B43" s="6" t="n">
        <v>-1.3</v>
      </c>
      <c r="C43" s="6" t="n">
        <v>-1.4</v>
      </c>
      <c r="D43" s="6" t="n">
        <v>-0.9</v>
      </c>
      <c r="E43" s="6" t="n">
        <v>-1</v>
      </c>
      <c r="F43" s="6" t="n">
        <v>-0.9</v>
      </c>
    </row>
    <row r="44">
      <c r="A44" s="6" t="inlineStr">
        <is>
          <t>Issue of ordinary shares</t>
        </is>
      </c>
      <c r="B44" s="6" t="n"/>
      <c r="C44" s="6" t="n"/>
      <c r="D44" s="6" t="n"/>
      <c r="E44" s="6" t="n"/>
      <c r="F44" s="6" t="n">
        <v>0</v>
      </c>
    </row>
    <row r="45">
      <c r="A45" s="5" t="inlineStr">
        <is>
          <t>Net cash (outflow)/inflow from financing activities</t>
        </is>
      </c>
      <c r="B45" s="5" t="n">
        <v>-164.4</v>
      </c>
      <c r="C45" s="5" t="n">
        <v>-42</v>
      </c>
      <c r="D45" s="5" t="n">
        <v>31.5</v>
      </c>
      <c r="E45" s="5" t="n">
        <v>-5</v>
      </c>
      <c r="F45" s="5" t="n">
        <v>101.6</v>
      </c>
    </row>
    <row r="46">
      <c r="A46" s="5" t="inlineStr">
        <is>
          <t>Net increase/(decrease) in cash and cash equivalents</t>
        </is>
      </c>
      <c r="B46" s="5" t="n">
        <v>90.8</v>
      </c>
      <c r="C46" s="5" t="n">
        <v>68.7</v>
      </c>
      <c r="D46" s="5" t="n">
        <v>-16.6</v>
      </c>
      <c r="E46" s="5" t="n">
        <v>110.2</v>
      </c>
      <c r="F46" s="5" t="n">
        <v>64.3</v>
      </c>
    </row>
    <row r="47">
      <c r="A47" s="6" t="inlineStr">
        <is>
          <t>Cash and cash equivalents at 1 January</t>
        </is>
      </c>
      <c r="B47" s="6" t="n">
        <v>469</v>
      </c>
      <c r="C47" s="6" t="n">
        <v>400.3</v>
      </c>
      <c r="D47" s="6" t="n">
        <v>416.9</v>
      </c>
      <c r="E47" s="6" t="n">
        <v>306.7</v>
      </c>
      <c r="F47" s="6" t="n">
        <v>242.4</v>
      </c>
    </row>
    <row r="48">
      <c r="A48" s="5" t="inlineStr">
        <is>
          <t>Cash and cash equivalents at 31 December</t>
        </is>
      </c>
      <c r="B48" s="5" t="n">
        <v>559.8</v>
      </c>
      <c r="C48" s="5" t="n">
        <v>469</v>
      </c>
      <c r="D48" s="5" t="n">
        <v>400.3</v>
      </c>
      <c r="E48" s="5" t="n">
        <v>416.9</v>
      </c>
      <c r="F48" s="5" t="n">
        <v>306.7</v>
      </c>
    </row>
    <row r="50" ht="250" customHeight="1">
      <c r="A50" s="8" t="inlineStr">
        <is>
          <t>Sources - Secure Trust Bank PLC consolidated Group cash flows, £million:
FY2025: Secure Trust Bank PLC Annual Report &amp; Accounts 2025, consolidated statement of cash flows, pp. 149 - https://www.securetrustbank.com/investor-relations/document-library/reports-and-accounts-2025-final-483796420288
FY2024: Secure Trust Bank PLC Annual Report &amp; Accounts 2024, consolidated statement of cash flows, pp. 133 - https://www.securetrustbank.com/investor-relations/document-library/reports-and-accounts-2024-final
FY2023: Secure Trust Bank PLC Annual Report &amp; Accounts 2023, consolidated statement of cash flows, pp. 119 - https://www.securetrustbank.com/investor-relations/document-library/reports-and-accounts-2023-final
FY2022: Secure Trust Bank PLC Annual Report &amp; Accounts 2022, consolidated statement of cash flows, pp. 125 - https://www.securetrustbank.com/investor-relations/document-library/reports-and-accounts-2022-final
FY2021: Secure Trust Bank PLC Annual Report &amp; Accounts 2021, consolidated statement of cash flows, pp. 125 - https://www.securetrustbank.com/investor-relations/document-library/reports-and-accounts-2021-final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t>
        </is>
      </c>
    </row>
  </sheetData>
  <mergeCells count="1">
    <mergeCell ref="A50:F5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Secure Trust Bank Public Limited Company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t>
        </is>
      </c>
      <c r="B4" s="6" t="n">
        <v>364.8</v>
      </c>
      <c r="C4" s="6" t="n">
        <v>351.4</v>
      </c>
      <c r="D4" s="6" t="n">
        <v>337.9</v>
      </c>
      <c r="E4" s="6" t="n">
        <v>327.4</v>
      </c>
      <c r="F4" s="6" t="n">
        <v>303.6</v>
      </c>
    </row>
    <row r="6" ht="230" customHeight="1">
      <c r="A6"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Regulatory figures are Group figures and are not substituted into Company cash flows.</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Secure Trust Bank Public Limited Company — CET1 Ratio</t>
        </is>
      </c>
    </row>
    <row r="2">
      <c r="A2" s="2" t="inlineStr">
        <is>
          <t>% of RWEA</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12.9%</t>
        </is>
      </c>
      <c r="C4" s="6" t="inlineStr">
        <is>
          <t>12.3%</t>
        </is>
      </c>
      <c r="D4" s="6" t="inlineStr">
        <is>
          <t>12.7%</t>
        </is>
      </c>
      <c r="E4" s="6" t="inlineStr">
        <is>
          <t>14.0%</t>
        </is>
      </c>
      <c r="F4" s="6" t="inlineStr">
        <is>
          <t>14.5%</t>
        </is>
      </c>
    </row>
    <row r="6" ht="230" customHeight="1">
      <c r="A6"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Regulatory figures are Group figures and are not substituted into Company cash flows.</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Secure Trust Bank Public Limited Company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364.8</v>
      </c>
      <c r="C4" s="6" t="n">
        <v>351.4</v>
      </c>
      <c r="D4" s="6" t="n">
        <v>337.9</v>
      </c>
      <c r="E4" s="6" t="n">
        <v>327.4</v>
      </c>
      <c r="F4" s="6" t="n">
        <v>303.6</v>
      </c>
    </row>
    <row r="6" ht="230" customHeight="1">
      <c r="A6"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Regulatory figures are Group figures and are not substituted into Company cash flows.</t>
        </is>
      </c>
    </row>
  </sheetData>
  <mergeCells count="1">
    <mergeCell ref="A6:F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Secure Trust Bank Public Limited Company — Tier 1 Ratio</t>
        </is>
      </c>
    </row>
    <row r="2">
      <c r="A2" s="2" t="inlineStr">
        <is>
          <t>% of RWEA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12.9%</t>
        </is>
      </c>
      <c r="C4" s="6" t="inlineStr">
        <is>
          <t>12.3%</t>
        </is>
      </c>
      <c r="D4" s="6" t="inlineStr">
        <is>
          <t>12.7%</t>
        </is>
      </c>
      <c r="E4" s="6" t="inlineStr">
        <is>
          <t>14.0%</t>
        </is>
      </c>
      <c r="F4" s="6" t="inlineStr">
        <is>
          <t>14.5%</t>
        </is>
      </c>
    </row>
    <row r="6" ht="230" customHeight="1">
      <c r="A6"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Regulatory figures are Group figures and are not substituted into Company cash flows.</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Secure Trust Bank Public Limited Company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428.4</v>
      </c>
      <c r="C4" s="6" t="n">
        <v>415.7</v>
      </c>
      <c r="D4" s="6" t="n">
        <v>397.6</v>
      </c>
      <c r="E4" s="6" t="n">
        <v>377.3</v>
      </c>
      <c r="F4" s="6" t="n">
        <v>350.6</v>
      </c>
    </row>
    <row r="6" ht="230" customHeight="1">
      <c r="A6"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Regulatory figures are Group figures and are not substituted into Company cash flows.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Secure Trust Bank Public Limited Company — Total Capital Ratio</t>
        </is>
      </c>
    </row>
    <row r="2">
      <c r="A2" s="2" t="inlineStr">
        <is>
          <t>% of RWEA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15.2%</t>
        </is>
      </c>
      <c r="C4" s="6" t="inlineStr">
        <is>
          <t>14.6%</t>
        </is>
      </c>
      <c r="D4" s="6" t="inlineStr">
        <is>
          <t>15.0%</t>
        </is>
      </c>
      <c r="E4" s="6" t="inlineStr">
        <is>
          <t>16.2%</t>
        </is>
      </c>
      <c r="F4" s="6" t="inlineStr">
        <is>
          <t>16.8%</t>
        </is>
      </c>
    </row>
    <row r="6" ht="230" customHeight="1">
      <c r="A6"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Regulatory figures are Group figures and are not substituted into Company cash flows.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Secure Trust Bank Public Limited Company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RWEAs</t>
        </is>
      </c>
      <c r="B4" s="6" t="n">
        <v>2827.5</v>
      </c>
      <c r="C4" s="6" t="n">
        <v>2855.7</v>
      </c>
      <c r="D4" s="6" t="n">
        <v>2653.4</v>
      </c>
      <c r="E4" s="6" t="n">
        <v>2335</v>
      </c>
      <c r="F4" s="6" t="n">
        <v>2087.4</v>
      </c>
    </row>
    <row r="6" ht="230" customHeight="1">
      <c r="A6"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Regulatory figures are Group figures and are not substituted into Company cash flows.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Secure Trust Bank Public Limited Company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excluding claims on central banks</t>
        </is>
      </c>
      <c r="B4" s="6" t="inlineStr">
        <is>
          <t>9.4%</t>
        </is>
      </c>
      <c r="C4" s="6" t="inlineStr">
        <is>
          <t>9.5%</t>
        </is>
      </c>
      <c r="D4" s="6" t="inlineStr">
        <is>
          <t>9.7%</t>
        </is>
      </c>
      <c r="E4" s="6" t="inlineStr">
        <is>
          <t>10.7%</t>
        </is>
      </c>
      <c r="F4" s="6" t="inlineStr">
        <is>
          <t>10.3%</t>
        </is>
      </c>
    </row>
    <row r="6" ht="230" customHeight="1">
      <c r="A6"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Regulatory figures are Group figures and are not substituted into Company cash flows.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Secure Trust Bank Public Limited Company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190.4%</t>
        </is>
      </c>
      <c r="C4" s="6" t="inlineStr">
        <is>
          <t>219.6%</t>
        </is>
      </c>
      <c r="D4" s="6" t="inlineStr">
        <is>
          <t>208.0%</t>
        </is>
      </c>
      <c r="E4" s="6" t="inlineStr">
        <is>
          <t>270.1%</t>
        </is>
      </c>
      <c r="F4" s="6" t="inlineStr">
        <is>
          <t>Not publicly disclosed</t>
        </is>
      </c>
    </row>
    <row r="5" ht="60" customHeight="1">
      <c r="A5" s="7" t="inlineStr">
        <is>
          <t>Note: The 2021 Pillar 3 key-metrics table does not disclose an LCR figure; no annual-report proxy is substituted.</t>
        </is>
      </c>
    </row>
    <row r="7" ht="230" customHeight="1">
      <c r="A7"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Regulatory figures are Group figures and are not substituted into Company cash flows.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Secure Trust Bank Public Limited Company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Not publicly disclosed</t>
        </is>
      </c>
      <c r="C4" s="6" t="inlineStr">
        <is>
          <t>Not publicly disclosed</t>
        </is>
      </c>
      <c r="D4" s="6" t="inlineStr">
        <is>
          <t>143.6%</t>
        </is>
      </c>
      <c r="E4" s="6" t="inlineStr">
        <is>
          <t>152.8%</t>
        </is>
      </c>
      <c r="F4" s="6" t="inlineStr">
        <is>
          <t>Not publicly disclosed</t>
        </is>
      </c>
    </row>
    <row r="6" ht="230" customHeight="1">
      <c r="A6"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Regulatory figures are Group figures and are not substituted into Company cash flows.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Secure Trust Bank Public Limited Company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quantitative MREL ratio was located in the reviewed annual reports or Pillar 3 disclosures.</t>
        </is>
      </c>
    </row>
    <row r="7" ht="230" customHeight="1">
      <c r="A7"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Regulatory figures are Group figures and are not substituted into Company cash flows.</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2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s>
  <sheetData>
    <row r="1">
      <c r="A1" s="1" t="inlineStr">
        <is>
          <t>Secure Trust Bank Public Limited Company — Interim Pillar 3</t>
        </is>
      </c>
    </row>
    <row r="2">
      <c r="A2" s="2" t="inlineStr">
        <is>
          <t>Secure Trust Bank PLC Group basis; H1 observations from official interim UK KM1 disclosures.</t>
        </is>
      </c>
    </row>
    <row r="4">
      <c r="A4" s="4" t="inlineStr">
        <is>
          <t>Metric</t>
        </is>
      </c>
      <c r="B4" s="4" t="inlineStr">
        <is>
          <t>Unit</t>
        </is>
      </c>
      <c r="C4" s="4" t="inlineStr">
        <is>
          <t>Basis</t>
        </is>
      </c>
      <c r="D4" s="4" t="inlineStr">
        <is>
          <t>H1 2025</t>
        </is>
      </c>
      <c r="E4" s="4" t="inlineStr">
        <is>
          <t>H1 2024</t>
        </is>
      </c>
      <c r="F4" s="4" t="inlineStr">
        <is>
          <t>H1 2023</t>
        </is>
      </c>
      <c r="G4" s="4" t="inlineStr">
        <is>
          <t>H1 2022</t>
        </is>
      </c>
    </row>
    <row r="5">
      <c r="A5" s="6" t="inlineStr">
        <is>
          <t>CET1 capital</t>
        </is>
      </c>
      <c r="B5" s="6" t="inlineStr">
        <is>
          <t>£m</t>
        </is>
      </c>
      <c r="C5" s="6" t="inlineStr">
        <is>
          <t>Group</t>
        </is>
      </c>
      <c r="D5" s="9" t="n">
        <v>367.1</v>
      </c>
      <c r="E5" s="9" t="n">
        <v>348.2</v>
      </c>
      <c r="F5" s="9" t="n">
        <v>326.8</v>
      </c>
      <c r="G5" s="9" t="n">
        <v>313.8</v>
      </c>
    </row>
    <row r="6">
      <c r="A6" s="6" t="inlineStr">
        <is>
          <t>Tier 1 capital</t>
        </is>
      </c>
      <c r="B6" s="6" t="inlineStr">
        <is>
          <t>£m</t>
        </is>
      </c>
      <c r="C6" s="6" t="inlineStr">
        <is>
          <t>Group</t>
        </is>
      </c>
      <c r="D6" s="9" t="n">
        <v>367.1</v>
      </c>
      <c r="E6" s="9" t="n">
        <v>348.2</v>
      </c>
      <c r="F6" s="9" t="n">
        <v>326.8</v>
      </c>
      <c r="G6" s="9" t="n">
        <v>313.8</v>
      </c>
    </row>
    <row r="7">
      <c r="A7" s="6" t="inlineStr">
        <is>
          <t>Total capital</t>
        </is>
      </c>
      <c r="B7" s="6" t="inlineStr">
        <is>
          <t>£m</t>
        </is>
      </c>
      <c r="C7" s="6" t="inlineStr">
        <is>
          <t>Group</t>
        </is>
      </c>
      <c r="D7" s="9" t="n">
        <v>432.7</v>
      </c>
      <c r="E7" s="9" t="n">
        <v>409.7</v>
      </c>
      <c r="F7" s="9" t="n">
        <v>383.5</v>
      </c>
      <c r="G7" s="9" t="n">
        <v>363.6</v>
      </c>
    </row>
    <row r="8">
      <c r="A8" s="6" t="inlineStr">
        <is>
          <t>Total RWEAs</t>
        </is>
      </c>
      <c r="B8" s="6" t="inlineStr">
        <is>
          <t>£m</t>
        </is>
      </c>
      <c r="C8" s="6" t="inlineStr">
        <is>
          <t>Group</t>
        </is>
      </c>
      <c r="D8" s="9" t="n">
        <v>2916.8</v>
      </c>
      <c r="E8" s="9" t="n">
        <v>2735.3</v>
      </c>
      <c r="F8" s="9" t="n">
        <v>2518.5</v>
      </c>
      <c r="G8" s="9" t="n">
        <v>2237.1</v>
      </c>
    </row>
    <row r="9">
      <c r="A9" s="6" t="inlineStr">
        <is>
          <t>CET1 ratio</t>
        </is>
      </c>
      <c r="B9" s="6" t="inlineStr">
        <is>
          <t>% of RWEA</t>
        </is>
      </c>
      <c r="C9" s="6" t="inlineStr">
        <is>
          <t>Group</t>
        </is>
      </c>
      <c r="D9" s="9" t="inlineStr">
        <is>
          <t>12.6%</t>
        </is>
      </c>
      <c r="E9" s="9" t="inlineStr">
        <is>
          <t>12.7%</t>
        </is>
      </c>
      <c r="F9" s="9" t="inlineStr">
        <is>
          <t>13.0%</t>
        </is>
      </c>
      <c r="G9" s="9" t="inlineStr">
        <is>
          <t>14.0%</t>
        </is>
      </c>
    </row>
    <row r="10">
      <c r="A10" s="6" t="inlineStr">
        <is>
          <t>Tier 1 ratio</t>
        </is>
      </c>
      <c r="B10" s="6" t="inlineStr">
        <is>
          <t>% of RWEA</t>
        </is>
      </c>
      <c r="C10" s="6" t="inlineStr">
        <is>
          <t>Group</t>
        </is>
      </c>
      <c r="D10" s="9" t="inlineStr">
        <is>
          <t>12.6%</t>
        </is>
      </c>
      <c r="E10" s="9" t="inlineStr">
        <is>
          <t>12.7%</t>
        </is>
      </c>
      <c r="F10" s="9" t="inlineStr">
        <is>
          <t>13.0%</t>
        </is>
      </c>
      <c r="G10" s="9" t="inlineStr">
        <is>
          <t>14.0%</t>
        </is>
      </c>
    </row>
    <row r="11">
      <c r="A11" s="6" t="inlineStr">
        <is>
          <t>Total capital ratio</t>
        </is>
      </c>
      <c r="B11" s="6" t="inlineStr">
        <is>
          <t>% of RWEA</t>
        </is>
      </c>
      <c r="C11" s="6" t="inlineStr">
        <is>
          <t>Group</t>
        </is>
      </c>
      <c r="D11" s="9" t="inlineStr">
        <is>
          <t>14.8%</t>
        </is>
      </c>
      <c r="E11" s="9" t="inlineStr">
        <is>
          <t>15.0%</t>
        </is>
      </c>
      <c r="F11" s="9" t="inlineStr">
        <is>
          <t>15.2%</t>
        </is>
      </c>
      <c r="G11" s="9" t="inlineStr">
        <is>
          <t>16.3%</t>
        </is>
      </c>
    </row>
    <row r="12">
      <c r="A12" s="6" t="inlineStr">
        <is>
          <t>Leverage ratio excluding claims on central banks</t>
        </is>
      </c>
      <c r="B12" s="6" t="inlineStr">
        <is>
          <t>%</t>
        </is>
      </c>
      <c r="C12" s="6" t="inlineStr">
        <is>
          <t>Group</t>
        </is>
      </c>
      <c r="D12" s="9" t="inlineStr">
        <is>
          <t>9.3%</t>
        </is>
      </c>
      <c r="E12" s="9" t="inlineStr">
        <is>
          <t>9.9%</t>
        </is>
      </c>
      <c r="F12" s="9" t="inlineStr">
        <is>
          <t>10.1%</t>
        </is>
      </c>
      <c r="G12" s="9" t="inlineStr">
        <is>
          <t>10.6%</t>
        </is>
      </c>
    </row>
    <row r="13">
      <c r="A13" s="6" t="inlineStr">
        <is>
          <t>Liquidity Coverage Ratio</t>
        </is>
      </c>
      <c r="B13" s="6" t="inlineStr">
        <is>
          <t>%</t>
        </is>
      </c>
      <c r="C13" s="6" t="inlineStr">
        <is>
          <t>Group</t>
        </is>
      </c>
      <c r="D13" s="9" t="inlineStr">
        <is>
          <t>193.5%</t>
        </is>
      </c>
      <c r="E13" s="9" t="inlineStr">
        <is>
          <t>216.3%</t>
        </is>
      </c>
      <c r="F13" s="9" t="inlineStr">
        <is>
          <t>217.0%</t>
        </is>
      </c>
      <c r="G13" s="9" t="inlineStr">
        <is>
          <t>363.0%</t>
        </is>
      </c>
    </row>
    <row r="14">
      <c r="A14" s="6" t="inlineStr">
        <is>
          <t>NSFR ratio</t>
        </is>
      </c>
      <c r="B14" s="6" t="inlineStr">
        <is>
          <t>%</t>
        </is>
      </c>
      <c r="C14" s="6" t="inlineStr">
        <is>
          <t>Group</t>
        </is>
      </c>
      <c r="D14" s="6" t="n"/>
      <c r="E14" s="6" t="n"/>
      <c r="F14" s="9" t="inlineStr">
        <is>
          <t>150.9%</t>
        </is>
      </c>
      <c r="G14" s="6" t="n"/>
    </row>
    <row r="17">
      <c r="A17" s="2" t="inlineStr">
        <is>
          <t>Source register</t>
        </is>
      </c>
    </row>
    <row r="18">
      <c r="A18" s="4" t="inlineStr">
        <is>
          <t>Period</t>
        </is>
      </c>
      <c r="B18" s="4" t="inlineStr">
        <is>
          <t>Disclosure type</t>
        </is>
      </c>
      <c r="C18" s="4" t="inlineStr">
        <is>
          <t>Source document</t>
        </is>
      </c>
      <c r="D18" s="4" t="inlineStr">
        <is>
          <t>Page / table</t>
        </is>
      </c>
    </row>
    <row r="19">
      <c r="A19" s="6" t="inlineStr">
        <is>
          <t>H1 2025</t>
        </is>
      </c>
      <c r="B19" s="6" t="inlineStr">
        <is>
          <t>Interim Pillar 3</t>
        </is>
      </c>
      <c r="C19" s="9" t="inlineStr">
        <is>
          <t>H1 2025</t>
        </is>
      </c>
      <c r="D19" s="6" t="inlineStr">
        <is>
          <t>PDF p. 5, UK KM1 / IFRS 9-FL</t>
        </is>
      </c>
    </row>
    <row r="20">
      <c r="A20" s="6" t="inlineStr">
        <is>
          <t>H1 2024</t>
        </is>
      </c>
      <c r="B20" s="6" t="inlineStr">
        <is>
          <t>Interim Pillar 3</t>
        </is>
      </c>
      <c r="C20" s="9" t="inlineStr">
        <is>
          <t>H1 2024</t>
        </is>
      </c>
      <c r="D20" s="6" t="inlineStr">
        <is>
          <t>PDF p. 5, UK KM1 / IFRS 9-FL</t>
        </is>
      </c>
    </row>
    <row r="21">
      <c r="A21" s="6" t="inlineStr">
        <is>
          <t>H1 2023</t>
        </is>
      </c>
      <c r="B21" s="6" t="inlineStr">
        <is>
          <t>Interim Pillar 3</t>
        </is>
      </c>
      <c r="C21" s="9" t="inlineStr">
        <is>
          <t>H1 2023</t>
        </is>
      </c>
      <c r="D21" s="6" t="inlineStr">
        <is>
          <t>PDF p. 5, UK KM1</t>
        </is>
      </c>
    </row>
    <row r="22">
      <c r="A22" s="6" t="inlineStr">
        <is>
          <t>H1 2022</t>
        </is>
      </c>
      <c r="B22" s="6" t="inlineStr">
        <is>
          <t>Interim Pillar 3</t>
        </is>
      </c>
      <c r="C22" s="9" t="inlineStr">
        <is>
          <t>H1 2022</t>
        </is>
      </c>
      <c r="D22" s="6" t="inlineStr">
        <is>
          <t>PDF p. 3, UK KM1</t>
        </is>
      </c>
    </row>
    <row r="24" ht="60" customHeight="1">
      <c r="A24" s="10" t="inlineStr">
        <is>
          <t>Note: Coverage: H1 2022 through H1 2025, covering the four official interim disclosures located. Each disclosure states that Secure Trust Bank PLC and its subsidiaries (the Group) are covered and that Pillar 3 disclosures are issued every six months. No separate H1 2021 Pillar 3 disclosure was located in the official archive; no 2021 interim values are inferred from annual or comparative data. NSFR was not disclosed in the H1 2022, H1 2024, or H1 2025 KM1 tables; those gaps are omitted rather than represented as zero. H1 2023 NSFR is reported. All source-document cells link to the official Secure Trust Bank document-library page for the relevant disclosure.</t>
        </is>
      </c>
    </row>
  </sheetData>
  <mergeCells count="1">
    <mergeCell ref="A24:G24"/>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D6" r:id="rId5"/>
    <hyperlink xmlns:r="http://schemas.openxmlformats.org/officeDocument/2006/relationships" ref="E6" r:id="rId6"/>
    <hyperlink xmlns:r="http://schemas.openxmlformats.org/officeDocument/2006/relationships" ref="F6" r:id="rId7"/>
    <hyperlink xmlns:r="http://schemas.openxmlformats.org/officeDocument/2006/relationships" ref="G6" r:id="rId8"/>
    <hyperlink xmlns:r="http://schemas.openxmlformats.org/officeDocument/2006/relationships" ref="D7" r:id="rId9"/>
    <hyperlink xmlns:r="http://schemas.openxmlformats.org/officeDocument/2006/relationships" ref="E7" r:id="rId10"/>
    <hyperlink xmlns:r="http://schemas.openxmlformats.org/officeDocument/2006/relationships" ref="F7" r:id="rId11"/>
    <hyperlink xmlns:r="http://schemas.openxmlformats.org/officeDocument/2006/relationships" ref="G7" r:id="rId12"/>
    <hyperlink xmlns:r="http://schemas.openxmlformats.org/officeDocument/2006/relationships" ref="D8" r:id="rId13"/>
    <hyperlink xmlns:r="http://schemas.openxmlformats.org/officeDocument/2006/relationships" ref="E8" r:id="rId14"/>
    <hyperlink xmlns:r="http://schemas.openxmlformats.org/officeDocument/2006/relationships" ref="F8" r:id="rId15"/>
    <hyperlink xmlns:r="http://schemas.openxmlformats.org/officeDocument/2006/relationships" ref="G8" r:id="rId16"/>
    <hyperlink xmlns:r="http://schemas.openxmlformats.org/officeDocument/2006/relationships" ref="D9" r:id="rId17"/>
    <hyperlink xmlns:r="http://schemas.openxmlformats.org/officeDocument/2006/relationships" ref="E9" r:id="rId18"/>
    <hyperlink xmlns:r="http://schemas.openxmlformats.org/officeDocument/2006/relationships" ref="F9" r:id="rId19"/>
    <hyperlink xmlns:r="http://schemas.openxmlformats.org/officeDocument/2006/relationships" ref="G9" r:id="rId20"/>
    <hyperlink xmlns:r="http://schemas.openxmlformats.org/officeDocument/2006/relationships" ref="D10" r:id="rId21"/>
    <hyperlink xmlns:r="http://schemas.openxmlformats.org/officeDocument/2006/relationships" ref="E10" r:id="rId22"/>
    <hyperlink xmlns:r="http://schemas.openxmlformats.org/officeDocument/2006/relationships" ref="F10" r:id="rId23"/>
    <hyperlink xmlns:r="http://schemas.openxmlformats.org/officeDocument/2006/relationships" ref="G10" r:id="rId24"/>
    <hyperlink xmlns:r="http://schemas.openxmlformats.org/officeDocument/2006/relationships" ref="D11" r:id="rId25"/>
    <hyperlink xmlns:r="http://schemas.openxmlformats.org/officeDocument/2006/relationships" ref="E11" r:id="rId26"/>
    <hyperlink xmlns:r="http://schemas.openxmlformats.org/officeDocument/2006/relationships" ref="F11" r:id="rId27"/>
    <hyperlink xmlns:r="http://schemas.openxmlformats.org/officeDocument/2006/relationships" ref="G11" r:id="rId28"/>
    <hyperlink xmlns:r="http://schemas.openxmlformats.org/officeDocument/2006/relationships" ref="D12" r:id="rId29"/>
    <hyperlink xmlns:r="http://schemas.openxmlformats.org/officeDocument/2006/relationships" ref="E12" r:id="rId30"/>
    <hyperlink xmlns:r="http://schemas.openxmlformats.org/officeDocument/2006/relationships" ref="F12" r:id="rId31"/>
    <hyperlink xmlns:r="http://schemas.openxmlformats.org/officeDocument/2006/relationships" ref="G12" r:id="rId32"/>
    <hyperlink xmlns:r="http://schemas.openxmlformats.org/officeDocument/2006/relationships" ref="D13" r:id="rId33"/>
    <hyperlink xmlns:r="http://schemas.openxmlformats.org/officeDocument/2006/relationships" ref="E13" r:id="rId34"/>
    <hyperlink xmlns:r="http://schemas.openxmlformats.org/officeDocument/2006/relationships" ref="F13" r:id="rId35"/>
    <hyperlink xmlns:r="http://schemas.openxmlformats.org/officeDocument/2006/relationships" ref="G13" r:id="rId36"/>
    <hyperlink xmlns:r="http://schemas.openxmlformats.org/officeDocument/2006/relationships" ref="F14" r:id="rId37"/>
    <hyperlink xmlns:r="http://schemas.openxmlformats.org/officeDocument/2006/relationships" ref="C19" r:id="rId38"/>
    <hyperlink xmlns:r="http://schemas.openxmlformats.org/officeDocument/2006/relationships" ref="C20" r:id="rId39"/>
    <hyperlink xmlns:r="http://schemas.openxmlformats.org/officeDocument/2006/relationships" ref="C21" r:id="rId40"/>
    <hyperlink xmlns:r="http://schemas.openxmlformats.org/officeDocument/2006/relationships" ref="C22" r:id="rId4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2026-08-29T12:16:57Z</dcterms:created>
  <dcterms:modified xmlns:dcterms="http://purl.org/dc/terms/" xmlns:xsi="http://www.w3.org/2001/XMLSchema-instance" xsi:type="dcterms:W3CDTF">2026-08-29T12:16:57Z</dcterms:modified>
</cp:coreProperties>
</file>