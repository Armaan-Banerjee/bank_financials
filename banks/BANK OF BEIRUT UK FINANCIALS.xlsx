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'Overview'!$AC$18:$AG$18</f>
            </numRef>
          </cat>
          <val>
            <numRef>
              <f>'Overview'!$AC$19:$AG$19</f>
            </numRef>
          </val>
        </ser>
        <ser>
          <idx val="1"/>
          <order val="1"/>
          <tx>
            <strRef>
              <f>'Overview'!AB20</f>
            </strRef>
          </tx>
          <spPr>
            <a:ln xmlns:a="http://schemas.openxmlformats.org/drawingml/2006/main">
              <a:prstDash val="solid"/>
            </a:ln>
          </spPr>
          <cat>
            <numRef>
              <f>'Overview'!$AC$18:$AG$18</f>
            </numRef>
          </cat>
          <val>
            <numRef>
              <f>'Overview'!$AC$20:$AG$20</f>
            </numRef>
          </val>
        </ser>
        <ser>
          <idx val="2"/>
          <order val="2"/>
          <tx>
            <strRef>
              <f>'Overview'!AB21</f>
            </strRef>
          </tx>
          <spPr>
            <a:ln xmlns:a="http://schemas.openxmlformats.org/drawingml/2006/main">
              <a:prstDash val="solid"/>
            </a:ln>
          </spPr>
          <cat>
            <numRef>
              <f>'Overview'!$AC$18:$AG$18</f>
            </numRef>
          </cat>
          <val>
            <numRef>
              <f>'Overview'!$AC$21:$AG$21</f>
            </numRef>
          </val>
        </ser>
        <ser>
          <idx val="3"/>
          <order val="3"/>
          <tx>
            <strRef>
              <f>'Overview'!AB22</f>
            </strRef>
          </tx>
          <spPr>
            <a:ln xmlns:a="http://schemas.openxmlformats.org/drawingml/2006/main">
              <a:prstDash val="solid"/>
            </a:ln>
          </spPr>
          <cat>
            <numRef>
              <f>'Overview'!$AC$18:$AG$18</f>
            </numRef>
          </cat>
          <val>
            <numRef>
              <f>'Overview'!$AC$22:$AG$22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'Overview'!AJ26</f>
            </strRef>
          </tx>
          <spPr>
            <a:ln xmlns:a="http://schemas.openxmlformats.org/drawingml/2006/main">
              <a:prstDash val="solid"/>
            </a:ln>
          </spPr>
          <cat>
            <numRef>
              <f>'Overview'!$AK$25:$AP$25</f>
            </numRef>
          </cat>
          <val>
            <numRef>
              <f>'Overview'!$AK$26:$AP$26</f>
            </numRef>
          </val>
        </ser>
        <ser>
          <idx val="1"/>
          <order val="1"/>
          <tx>
            <strRef>
              <f>'Overview'!AJ27</f>
            </strRef>
          </tx>
          <spPr>
            <a:ln xmlns:a="http://schemas.openxmlformats.org/drawingml/2006/main">
              <a:prstDash val="solid"/>
            </a:ln>
          </spPr>
          <cat>
            <numRef>
              <f>'Overview'!$AK$25:$AP$25</f>
            </numRef>
          </cat>
          <val>
            <numRef>
              <f>'Overview'!$AK$27:$AP$27</f>
            </numRef>
          </val>
        </ser>
        <ser>
          <idx val="2"/>
          <order val="2"/>
          <tx>
            <strRef>
              <f>'Overview'!AJ28</f>
            </strRef>
          </tx>
          <spPr>
            <a:ln xmlns:a="http://schemas.openxmlformats.org/drawingml/2006/main">
              <a:prstDash val="solid"/>
            </a:ln>
          </spPr>
          <cat>
            <numRef>
              <f>'Overview'!$AK$25:$AP$25</f>
            </numRef>
          </cat>
          <val>
            <numRef>
              <f>'Overview'!$AK$28:$AP$28</f>
            </numRef>
          </val>
        </ser>
        <ser>
          <idx val="3"/>
          <order val="3"/>
          <tx>
            <strRef>
              <f>'Overview'!AJ29</f>
            </strRef>
          </tx>
          <spPr>
            <a:ln xmlns:a="http://schemas.openxmlformats.org/drawingml/2006/main">
              <a:prstDash val="solid"/>
            </a:ln>
          </spPr>
          <cat>
            <numRef>
              <f>'Overview'!$AK$25:$AP$25</f>
            </numRef>
          </cat>
          <val>
            <numRef>
              <f>'Overview'!$AK$29:$AP$29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'Overview'!$AT$6:$AX$6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'Overview'!$AT$7:$AX$7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'Overview'!$AT$8:$AX$8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'Overview'!$AT$9:$AX$9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'Overview'!$AT$10:$AX$10</f>
            </numRef>
          </val>
          <smooth val="0"/>
        </ser>
        <ser>
          <idx val="5"/>
          <order val="5"/>
          <tx>
            <strRef>
              <f>'Overview'!AS11</f>
            </strRef>
          </tx>
          <spPr>
            <a:ln xmlns:a="http://schemas.openxmlformats.org/drawingml/2006/main">
              <a:prstDash val="solid"/>
            </a:ln>
          </spPr>
          <marker>
            <symbol val="none"/>
            <spPr>
              <a:ln xmlns:a="http://schemas.openxmlformats.org/drawingml/2006/main">
                <a:prstDash val="solid"/>
              </a:ln>
            </spPr>
          </marker>
          <cat>
            <numRef>
              <f>'Overview'!$AT$5:$AX$5</f>
            </numRef>
          </cat>
          <val>
            <numRef>
              <f>'Overview'!$AT$11:$AX$11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T5" t="inlineStr">
        <is>
          <t>FY2021</t>
        </is>
      </c>
      <c r="AU5" t="inlineStr">
        <is>
          <t>FY2022</t>
        </is>
      </c>
      <c r="AV5" t="inlineStr">
        <is>
          <t>FY2023</t>
        </is>
      </c>
      <c r="AW5" t="inlineStr">
        <is>
          <t>FY2024</t>
        </is>
      </c>
      <c r="AX5" t="inlineStr">
        <is>
          <t>FY2025</t>
        </is>
      </c>
    </row>
    <row r="6">
      <c r="A6" s="5" t="inlineStr">
        <is>
          <t>Total assets</t>
        </is>
      </c>
      <c r="B6" s="5" t="n">
        <v>502094</v>
      </c>
      <c r="C6" s="5" t="n">
        <v>482771</v>
      </c>
      <c r="D6" s="5" t="n">
        <v>367529</v>
      </c>
      <c r="E6" s="5" t="n">
        <v>406004</v>
      </c>
      <c r="F6" s="5" t="n">
        <v>410239</v>
      </c>
      <c r="G6" s="5" t="n">
        <v>520774</v>
      </c>
      <c r="J6" t="inlineStr">
        <is>
          <t>Total assets</t>
        </is>
      </c>
      <c r="K6" t="n">
        <v>520774</v>
      </c>
      <c r="L6" t="n">
        <v>410239</v>
      </c>
      <c r="M6" t="n">
        <v>406004</v>
      </c>
      <c r="N6" t="n">
        <v>367529</v>
      </c>
      <c r="O6" t="n">
        <v>482771</v>
      </c>
      <c r="P6" t="n">
        <v>502094</v>
      </c>
      <c r="AS6" t="inlineStr">
        <is>
          <t>CET1 Ratio</t>
        </is>
      </c>
      <c r="AT6" t="n">
        <v>35.14</v>
      </c>
      <c r="AU6" t="n">
        <v>32.49</v>
      </c>
      <c r="AV6" t="n">
        <v>42.56</v>
      </c>
      <c r="AW6" t="n">
        <v>43.57</v>
      </c>
      <c r="AX6" t="n">
        <v>37.49</v>
      </c>
    </row>
    <row r="7">
      <c r="A7" s="5" t="inlineStr">
        <is>
          <t>Loans and advances to customers</t>
        </is>
      </c>
      <c r="B7" s="5" t="n">
        <v>144331</v>
      </c>
      <c r="C7" s="5" t="n">
        <v>121491</v>
      </c>
      <c r="D7" s="5" t="n">
        <v>121214</v>
      </c>
      <c r="E7" s="5" t="n">
        <v>161651</v>
      </c>
      <c r="F7" s="5" t="n">
        <v>128986</v>
      </c>
      <c r="G7" s="5" t="n">
        <v>178336</v>
      </c>
      <c r="J7" t="inlineStr">
        <is>
          <t>Loans and advances to customers</t>
        </is>
      </c>
      <c r="K7" t="n">
        <v>178336</v>
      </c>
      <c r="L7" t="n">
        <v>128986</v>
      </c>
      <c r="M7" t="n">
        <v>161651</v>
      </c>
      <c r="N7" t="n">
        <v>121214</v>
      </c>
      <c r="O7" t="n">
        <v>121491</v>
      </c>
      <c r="P7" t="n">
        <v>144331</v>
      </c>
      <c r="AS7" t="inlineStr">
        <is>
          <t>Tier 1 Ratio</t>
        </is>
      </c>
      <c r="AT7" t="n">
        <v>35.14</v>
      </c>
      <c r="AU7" t="n">
        <v>32.49</v>
      </c>
      <c r="AV7" t="n">
        <v>42.56</v>
      </c>
      <c r="AW7" t="n">
        <v>43.57</v>
      </c>
      <c r="AX7" t="n">
        <v>37.49</v>
      </c>
    </row>
    <row r="8">
      <c r="A8" s="5" t="inlineStr">
        <is>
          <t>Customer accounts</t>
        </is>
      </c>
      <c r="B8" s="5" t="n">
        <v>167175</v>
      </c>
      <c r="C8" s="5" t="n">
        <v>167963</v>
      </c>
      <c r="D8" s="5" t="n">
        <v>137387</v>
      </c>
      <c r="E8" s="5" t="n">
        <v>175446</v>
      </c>
      <c r="F8" s="5" t="n">
        <v>173317</v>
      </c>
      <c r="G8" s="5" t="n">
        <v>92397</v>
      </c>
      <c r="J8" t="inlineStr">
        <is>
          <t>Customer accounts</t>
        </is>
      </c>
      <c r="K8" t="n">
        <v>92397</v>
      </c>
      <c r="L8" t="n">
        <v>173317</v>
      </c>
      <c r="M8" t="n">
        <v>175446</v>
      </c>
      <c r="N8" t="n">
        <v>137387</v>
      </c>
      <c r="O8" t="n">
        <v>167963</v>
      </c>
      <c r="P8" t="n">
        <v>167175</v>
      </c>
      <c r="AS8" t="inlineStr">
        <is>
          <t>Total Capital Ratio</t>
        </is>
      </c>
      <c r="AT8" t="n">
        <v>45.5</v>
      </c>
      <c r="AU8" t="n">
        <v>42.14</v>
      </c>
      <c r="AV8" t="n">
        <v>48.87</v>
      </c>
      <c r="AW8" t="n">
        <v>49.95</v>
      </c>
      <c r="AX8" t="n">
        <v>41.93</v>
      </c>
    </row>
    <row r="9">
      <c r="A9" s="5" t="inlineStr">
        <is>
          <t>Total equity</t>
        </is>
      </c>
      <c r="B9" s="5" t="n">
        <v>122976</v>
      </c>
      <c r="C9" s="5" t="n">
        <v>120214</v>
      </c>
      <c r="D9" s="5" t="n">
        <v>114995</v>
      </c>
      <c r="E9" s="5" t="n">
        <v>108084</v>
      </c>
      <c r="F9" s="5" t="n">
        <v>104908</v>
      </c>
      <c r="G9" s="5" t="n">
        <v>96604</v>
      </c>
      <c r="J9" t="inlineStr">
        <is>
          <t>Total equity</t>
        </is>
      </c>
      <c r="K9" t="n">
        <v>96604</v>
      </c>
      <c r="L9" t="n">
        <v>104908</v>
      </c>
      <c r="M9" t="n">
        <v>108084</v>
      </c>
      <c r="N9" t="n">
        <v>114995</v>
      </c>
      <c r="O9" t="n">
        <v>120214</v>
      </c>
      <c r="P9" t="n">
        <v>122976</v>
      </c>
      <c r="AS9" t="inlineStr">
        <is>
          <t>Leverage Ratio</t>
        </is>
      </c>
      <c r="AU9" t="n">
        <v>22.88</v>
      </c>
      <c r="AV9" t="n">
        <v>26.38</v>
      </c>
      <c r="AW9" t="n">
        <v>21.19</v>
      </c>
      <c r="AX9" t="n">
        <v>20.42</v>
      </c>
    </row>
    <row r="10">
      <c r="AS10" t="inlineStr">
        <is>
          <t>LCR</t>
        </is>
      </c>
      <c r="AU10" t="n">
        <v>468.51</v>
      </c>
      <c r="AV10" t="n">
        <v>390.7</v>
      </c>
      <c r="AW10" t="n">
        <v>335.52</v>
      </c>
      <c r="AX10" t="n">
        <v>316.67</v>
      </c>
    </row>
    <row r="11">
      <c r="A11" s="3" t="inlineStr">
        <is>
          <t>Profit &amp; Loss Summary (£'000s)</t>
        </is>
      </c>
      <c r="AS11" t="inlineStr">
        <is>
          <t>NSFR</t>
        </is>
      </c>
      <c r="AU11" t="n">
        <v>417.71</v>
      </c>
      <c r="AV11" t="n">
        <v>371.19</v>
      </c>
      <c r="AW11" t="n">
        <v>325.22</v>
      </c>
      <c r="AX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v>18018</v>
      </c>
      <c r="S13" t="inlineStr">
        <is>
          <t>Total income</t>
        </is>
      </c>
      <c r="T13" t="n">
        <v>18018</v>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v>-8149</v>
      </c>
      <c r="S14" t="inlineStr">
        <is>
          <t>Administrative expenses</t>
        </is>
      </c>
      <c r="T14" t="n">
        <v>-8149</v>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v>7426</v>
      </c>
      <c r="S15" t="inlineStr">
        <is>
          <t>Profit for the year</t>
        </is>
      </c>
      <c r="T15" t="n">
        <v>7426</v>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AC18" t="inlineStr">
        <is>
          <t>FY2021</t>
        </is>
      </c>
      <c r="AD18" t="inlineStr">
        <is>
          <t>FY2022</t>
        </is>
      </c>
      <c r="AE18" t="inlineStr">
        <is>
          <t>FY2023</t>
        </is>
      </c>
      <c r="AF18" t="inlineStr">
        <is>
          <t>FY2024</t>
        </is>
      </c>
      <c r="AG18" t="inlineStr">
        <is>
          <t>FY2025</t>
        </is>
      </c>
    </row>
    <row r="19">
      <c r="A19" s="5" t="inlineStr">
        <is>
          <t>Opening equity</t>
        </is>
      </c>
      <c r="B19" s="5" t="n">
        <v>120214</v>
      </c>
      <c r="C19" s="5" t="n">
        <v>114995</v>
      </c>
      <c r="D19" s="5" t="n">
        <v>108084</v>
      </c>
      <c r="E19" s="5" t="n">
        <v>104908</v>
      </c>
      <c r="F19" s="5" t="n">
        <v>103478</v>
      </c>
      <c r="AB19" t="inlineStr">
        <is>
          <t>Opening equity</t>
        </is>
      </c>
      <c r="AC19" t="n">
        <v>103478</v>
      </c>
      <c r="AD19" t="n">
        <v>104908</v>
      </c>
      <c r="AE19" t="n">
        <v>108084</v>
      </c>
      <c r="AF19" t="n">
        <v>114995</v>
      </c>
      <c r="AG19" t="n">
        <v>120214</v>
      </c>
    </row>
    <row r="20">
      <c r="A20" s="5" t="inlineStr">
        <is>
          <t>Total comprehensive income for the year</t>
        </is>
      </c>
      <c r="B20" s="5" t="n">
        <v>7597</v>
      </c>
      <c r="C20" s="5" t="n">
        <v>9670</v>
      </c>
      <c r="D20" s="5" t="n">
        <v>8899</v>
      </c>
      <c r="E20" s="5" t="n">
        <v>3978</v>
      </c>
      <c r="F20" s="5" t="n">
        <v>1430</v>
      </c>
      <c r="AB20" t="inlineStr">
        <is>
          <t>Total comprehensive income for the year</t>
        </is>
      </c>
      <c r="AC20" t="n">
        <v>1430</v>
      </c>
      <c r="AD20" t="n">
        <v>3978</v>
      </c>
      <c r="AE20" t="n">
        <v>8899</v>
      </c>
      <c r="AF20" t="n">
        <v>9670</v>
      </c>
      <c r="AG20" t="n">
        <v>7597</v>
      </c>
    </row>
    <row r="21">
      <c r="A21" s="5" t="inlineStr">
        <is>
          <t>Other movements, net</t>
        </is>
      </c>
      <c r="B21" s="5" t="n">
        <v>-4835</v>
      </c>
      <c r="C21" s="5" t="n">
        <v>-4451</v>
      </c>
      <c r="D21" s="5" t="n">
        <v>-1988</v>
      </c>
      <c r="E21" s="5" t="n">
        <v>-802</v>
      </c>
      <c r="F21" s="5" t="n">
        <v>0</v>
      </c>
      <c r="AB21" t="inlineStr">
        <is>
          <t>Other movements, net</t>
        </is>
      </c>
      <c r="AC21" t="n">
        <v>0</v>
      </c>
      <c r="AD21" t="n">
        <v>-802</v>
      </c>
      <c r="AE21" t="n">
        <v>-1988</v>
      </c>
      <c r="AF21" t="n">
        <v>-4451</v>
      </c>
      <c r="AG21" t="n">
        <v>-4835</v>
      </c>
    </row>
    <row r="22">
      <c r="A22" s="5" t="inlineStr">
        <is>
          <t>Closing equity</t>
        </is>
      </c>
      <c r="B22" s="5" t="n">
        <v>122976</v>
      </c>
      <c r="C22" s="5" t="n">
        <v>120214</v>
      </c>
      <c r="D22" s="5" t="n">
        <v>114995</v>
      </c>
      <c r="E22" s="5" t="n">
        <v>108084</v>
      </c>
      <c r="F22" s="5" t="n">
        <v>104908</v>
      </c>
      <c r="AB22" t="inlineStr">
        <is>
          <t>Closing equity</t>
        </is>
      </c>
      <c r="AC22" t="n">
        <v>104908</v>
      </c>
      <c r="AD22" t="n">
        <v>108084</v>
      </c>
      <c r="AE22" t="n">
        <v>114995</v>
      </c>
      <c r="AF22" t="n">
        <v>120214</v>
      </c>
      <c r="AG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K25" t="inlineStr">
        <is>
          <t>FY2017</t>
        </is>
      </c>
      <c r="AL25" t="inlineStr">
        <is>
          <t>FY2021</t>
        </is>
      </c>
      <c r="AM25" t="inlineStr">
        <is>
          <t>FY2022</t>
        </is>
      </c>
      <c r="AN25" t="inlineStr">
        <is>
          <t>FY2023</t>
        </is>
      </c>
      <c r="AO25" t="inlineStr">
        <is>
          <t>FY2024</t>
        </is>
      </c>
      <c r="AP25" t="inlineStr">
        <is>
          <t>FY2025</t>
        </is>
      </c>
    </row>
    <row r="26">
      <c r="A26" s="5" t="inlineStr">
        <is>
          <t>Net cash (used in)/generated from operating activities</t>
        </is>
      </c>
      <c r="B26" s="5" t="n">
        <v>-529</v>
      </c>
      <c r="C26" s="5" t="n">
        <v>121755</v>
      </c>
      <c r="D26" s="5" t="n">
        <v>22662</v>
      </c>
      <c r="E26" s="5" t="n">
        <v>-25122</v>
      </c>
      <c r="F26" s="5" t="n">
        <v>15041</v>
      </c>
      <c r="G26" s="5" t="n"/>
      <c r="AJ26" t="inlineStr">
        <is>
          <t>Net cash (used in)/generated from operating activities</t>
        </is>
      </c>
      <c r="AL26" t="n">
        <v>15041</v>
      </c>
      <c r="AM26" t="n">
        <v>-25122</v>
      </c>
      <c r="AN26" t="n">
        <v>22662</v>
      </c>
      <c r="AO26" t="n">
        <v>121755</v>
      </c>
      <c r="AP26" t="n">
        <v>-529</v>
      </c>
    </row>
    <row r="27">
      <c r="A27" s="5" t="inlineStr">
        <is>
          <t>Net cash (used in)/generated from investing activities</t>
        </is>
      </c>
      <c r="B27" s="5" t="n">
        <v>-19394</v>
      </c>
      <c r="C27" s="5" t="n">
        <v>-19841</v>
      </c>
      <c r="D27" s="5" t="n">
        <v>-5459</v>
      </c>
      <c r="E27" s="5" t="n">
        <v>-7171</v>
      </c>
      <c r="F27" s="5" t="n">
        <v>318</v>
      </c>
      <c r="G27" s="5" t="n"/>
      <c r="AJ27" t="inlineStr">
        <is>
          <t>Net cash (used in)/generated from investing activities</t>
        </is>
      </c>
      <c r="AL27" t="n">
        <v>318</v>
      </c>
      <c r="AM27" t="n">
        <v>-7171</v>
      </c>
      <c r="AN27" t="n">
        <v>-5459</v>
      </c>
      <c r="AO27" t="n">
        <v>-19841</v>
      </c>
      <c r="AP27" t="n">
        <v>-19394</v>
      </c>
    </row>
    <row r="28">
      <c r="A28" s="5" t="inlineStr">
        <is>
          <t>Net cash (used in)/generated from financing activities</t>
        </is>
      </c>
      <c r="B28" s="5" t="n">
        <v>-4991</v>
      </c>
      <c r="C28" s="5" t="n">
        <v>-4586</v>
      </c>
      <c r="D28" s="5" t="n">
        <v>-19544</v>
      </c>
      <c r="E28" s="5" t="n">
        <v>-944</v>
      </c>
      <c r="F28" s="5" t="n">
        <v>-148</v>
      </c>
      <c r="G28" s="5" t="n"/>
      <c r="AJ28" t="inlineStr">
        <is>
          <t>Net cash (used in)/generated from financing activities</t>
        </is>
      </c>
      <c r="AL28" t="n">
        <v>-148</v>
      </c>
      <c r="AM28" t="n">
        <v>-944</v>
      </c>
      <c r="AN28" t="n">
        <v>-19544</v>
      </c>
      <c r="AO28" t="n">
        <v>-4586</v>
      </c>
      <c r="AP28" t="n">
        <v>-4991</v>
      </c>
    </row>
    <row r="29">
      <c r="A29" s="5" t="inlineStr">
        <is>
          <t>Cash and cash equivalents at end of year</t>
        </is>
      </c>
      <c r="B29" s="5" t="n">
        <v>254772</v>
      </c>
      <c r="C29" s="5" t="n">
        <v>139857</v>
      </c>
      <c r="D29" s="5" t="n">
        <v>97313</v>
      </c>
      <c r="E29" s="5" t="n">
        <v>97866</v>
      </c>
      <c r="F29" s="5" t="n">
        <v>134557</v>
      </c>
      <c r="G29" s="5" t="n">
        <v>105686</v>
      </c>
      <c r="AJ29" t="inlineStr">
        <is>
          <t>Cash and cash equivalents at end of year</t>
        </is>
      </c>
      <c r="AK29" t="n">
        <v>105686</v>
      </c>
      <c r="AL29" t="n">
        <v>134557</v>
      </c>
      <c r="AM29" t="n">
        <v>97866</v>
      </c>
      <c r="AN29" t="n">
        <v>97313</v>
      </c>
      <c r="AO29" t="n">
        <v>139857</v>
      </c>
      <c r="AP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37.49%</t>
        </is>
      </c>
      <c r="C33" s="6" t="inlineStr">
        <is>
          <t>43.57%</t>
        </is>
      </c>
      <c r="D33" s="6" t="inlineStr">
        <is>
          <t>42.56%</t>
        </is>
      </c>
      <c r="E33" s="6" t="inlineStr">
        <is>
          <t>32.49%</t>
        </is>
      </c>
      <c r="F33" s="6" t="inlineStr">
        <is>
          <t>35.14%</t>
        </is>
      </c>
    </row>
    <row r="34">
      <c r="A34" s="6" t="inlineStr">
        <is>
          <t>Tier 1 Ratio</t>
        </is>
      </c>
      <c r="B34" s="6" t="inlineStr">
        <is>
          <t>37.49%</t>
        </is>
      </c>
      <c r="C34" s="6" t="inlineStr">
        <is>
          <t>43.57%</t>
        </is>
      </c>
      <c r="D34" s="6" t="inlineStr">
        <is>
          <t>42.56%</t>
        </is>
      </c>
      <c r="E34" s="6" t="inlineStr">
        <is>
          <t>32.49%</t>
        </is>
      </c>
      <c r="F34" s="6" t="inlineStr">
        <is>
          <t>35.14%</t>
        </is>
      </c>
    </row>
    <row r="35">
      <c r="A35" s="6" t="inlineStr">
        <is>
          <t>Total Capital Ratio</t>
        </is>
      </c>
      <c r="B35" s="6" t="inlineStr">
        <is>
          <t>41.93%</t>
        </is>
      </c>
      <c r="C35" s="6" t="inlineStr">
        <is>
          <t>49.95%</t>
        </is>
      </c>
      <c r="D35" s="6" t="inlineStr">
        <is>
          <t>48.87%</t>
        </is>
      </c>
      <c r="E35" s="6" t="inlineStr">
        <is>
          <t>42.14%</t>
        </is>
      </c>
      <c r="F35" s="6" t="inlineStr">
        <is>
          <t>45.50%</t>
        </is>
      </c>
    </row>
    <row r="36">
      <c r="A36" s="6" t="inlineStr">
        <is>
          <t>Leverage Ratio</t>
        </is>
      </c>
      <c r="B36" s="6" t="inlineStr">
        <is>
          <t>20.42%</t>
        </is>
      </c>
      <c r="C36" s="6" t="inlineStr">
        <is>
          <t>21.19%</t>
        </is>
      </c>
      <c r="D36" s="6" t="inlineStr">
        <is>
          <t>26.38%</t>
        </is>
      </c>
      <c r="E36" s="6" t="inlineStr">
        <is>
          <t>22.88%</t>
        </is>
      </c>
      <c r="F36" s="6" t="n"/>
    </row>
    <row r="37">
      <c r="A37" s="6" t="inlineStr">
        <is>
          <t>LCR</t>
        </is>
      </c>
      <c r="B37" s="6" t="inlineStr">
        <is>
          <t>316.67%</t>
        </is>
      </c>
      <c r="C37" s="6" t="inlineStr">
        <is>
          <t>335.52%</t>
        </is>
      </c>
      <c r="D37" s="6" t="inlineStr">
        <is>
          <t>390.70%</t>
        </is>
      </c>
      <c r="E37" s="6" t="inlineStr">
        <is>
          <t>468.51%</t>
        </is>
      </c>
      <c r="F37" s="6" t="n"/>
    </row>
    <row r="38">
      <c r="A38" s="6" t="inlineStr">
        <is>
          <t>NSFR</t>
        </is>
      </c>
      <c r="B38" s="6" t="inlineStr">
        <is>
          <t>310.42%</t>
        </is>
      </c>
      <c r="C38" s="6" t="inlineStr">
        <is>
          <t>325.22%</t>
        </is>
      </c>
      <c r="D38" s="6" t="inlineStr">
        <is>
          <t>371.19%</t>
        </is>
      </c>
      <c r="E38" s="6" t="inlineStr">
        <is>
          <t>417.71%</t>
        </is>
      </c>
      <c r="F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row>
    <row r="10">
      <c r="A10" s="6" t="inlineStr">
        <is>
          <t>Debt securities at amortised cost</t>
        </is>
      </c>
      <c r="B10" s="6" t="n"/>
      <c r="C10" s="6" t="n"/>
      <c r="D10" s="6" t="n"/>
      <c r="E10" s="6" t="n"/>
      <c r="F10" s="6" t="n"/>
    </row>
    <row r="11">
      <c r="A11" s="6" t="inlineStr">
        <is>
          <t>Financial assets at FVTOCI</t>
        </is>
      </c>
      <c r="B11" s="6" t="n"/>
      <c r="C11" s="6" t="n"/>
      <c r="D11" s="6" t="n"/>
      <c r="E11" s="6" t="n"/>
      <c r="F11" s="6" t="n">
        <v>26631</v>
      </c>
    </row>
    <row r="12">
      <c r="A12" s="6" t="inlineStr">
        <is>
          <t>Derivative assets</t>
        </is>
      </c>
      <c r="B12" s="6" t="n"/>
      <c r="C12" s="6" t="n"/>
      <c r="D12" s="6" t="n">
        <v>47</v>
      </c>
      <c r="E12" s="6" t="n"/>
      <c r="F12" s="6" t="n"/>
    </row>
    <row r="13">
      <c r="A13" s="6" t="inlineStr">
        <is>
          <t>Prepayments and accrued income</t>
        </is>
      </c>
      <c r="B13" s="6" t="n">
        <v>1892</v>
      </c>
      <c r="C13" s="6" t="n">
        <v>1554</v>
      </c>
      <c r="D13" s="6" t="n">
        <v>1057</v>
      </c>
      <c r="E13" s="6" t="n">
        <v>1161</v>
      </c>
      <c r="F13" s="6" t="n">
        <v>983</v>
      </c>
    </row>
    <row r="14">
      <c r="A14" s="6" t="inlineStr">
        <is>
          <t>Current tax assets</t>
        </is>
      </c>
      <c r="B14" s="6" t="n">
        <v>1241</v>
      </c>
      <c r="C14" s="6" t="n">
        <v>406</v>
      </c>
      <c r="D14" s="6" t="n"/>
      <c r="E14" s="6" t="n"/>
      <c r="F14" s="6" t="n"/>
    </row>
    <row r="15">
      <c r="A15" s="6" t="inlineStr">
        <is>
          <t>Land and Buildings</t>
        </is>
      </c>
      <c r="B15" s="6" t="n">
        <v>18289</v>
      </c>
      <c r="C15" s="6" t="n">
        <v>18449</v>
      </c>
      <c r="D15" s="6" t="n">
        <v>18583</v>
      </c>
      <c r="E15" s="6" t="n">
        <v>18649</v>
      </c>
      <c r="F15" s="6" t="n">
        <v>18800</v>
      </c>
    </row>
    <row r="16">
      <c r="A16" s="6" t="inlineStr">
        <is>
          <t>Right-of-use lease assets</t>
        </is>
      </c>
      <c r="B16" s="6" t="n">
        <v>345</v>
      </c>
      <c r="C16" s="6" t="n">
        <v>419</v>
      </c>
      <c r="D16" s="6" t="n">
        <v>531</v>
      </c>
      <c r="E16" s="6" t="n">
        <v>608</v>
      </c>
      <c r="F16" s="6" t="n">
        <v>731</v>
      </c>
    </row>
    <row r="17">
      <c r="A17" s="6" t="inlineStr">
        <is>
          <t>Property and equipment</t>
        </is>
      </c>
      <c r="B17" s="6" t="n">
        <v>631</v>
      </c>
      <c r="C17" s="6" t="n">
        <v>778</v>
      </c>
      <c r="D17" s="6" t="n">
        <v>699</v>
      </c>
      <c r="E17" s="6" t="n">
        <v>855</v>
      </c>
      <c r="F17" s="6" t="n">
        <v>384</v>
      </c>
    </row>
    <row r="18">
      <c r="A18" s="6" t="inlineStr">
        <is>
          <t>Intangible assets</t>
        </is>
      </c>
      <c r="B18" s="6" t="n">
        <v>4559</v>
      </c>
      <c r="C18" s="6" t="n">
        <v>1322</v>
      </c>
      <c r="D18" s="6" t="n">
        <v>83</v>
      </c>
      <c r="E18" s="6" t="n">
        <v>133</v>
      </c>
      <c r="F18" s="6" t="n">
        <v>204</v>
      </c>
    </row>
    <row r="19">
      <c r="A19" s="5" t="inlineStr">
        <is>
          <t>Total assets</t>
        </is>
      </c>
      <c r="B19" s="5" t="n">
        <v>502094</v>
      </c>
      <c r="C19" s="5" t="n">
        <v>482771</v>
      </c>
      <c r="D19" s="5" t="n">
        <v>367529</v>
      </c>
      <c r="E19" s="5" t="n">
        <v>406004</v>
      </c>
      <c r="F19" s="5" t="n">
        <v>410239</v>
      </c>
      <c r="G19" s="6" t="n">
        <v>520774</v>
      </c>
    </row>
    <row r="20">
      <c r="A20" s="5" t="inlineStr">
        <is>
          <t>Liabilities</t>
        </is>
      </c>
      <c r="B20" s="6" t="n"/>
      <c r="C20" s="6" t="n"/>
      <c r="D20" s="6" t="n"/>
      <c r="E20" s="6" t="n"/>
      <c r="F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6" t="n">
        <v>424170</v>
      </c>
    </row>
    <row r="32">
      <c r="A32" s="5" t="inlineStr">
        <is>
          <t>Equity</t>
        </is>
      </c>
      <c r="B32" s="6" t="n"/>
      <c r="C32" s="6" t="n"/>
      <c r="D32" s="6" t="n"/>
      <c r="E32" s="6" t="n"/>
      <c r="F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6" t="n">
        <v>96604</v>
      </c>
    </row>
    <row r="36">
      <c r="A36" s="5" t="inlineStr">
        <is>
          <t>Total liabilities and equity</t>
        </is>
      </c>
      <c r="B36" s="5" t="n">
        <v>502094</v>
      </c>
      <c r="C36" s="5" t="n">
        <v>482771</v>
      </c>
      <c r="D36" s="5" t="n">
        <v>367529</v>
      </c>
      <c r="E36" s="5" t="n">
        <v>406004</v>
      </c>
      <c r="F36" s="5" t="n">
        <v>410239</v>
      </c>
      <c r="G36" s="6" t="n">
        <v>520774</v>
      </c>
    </row>
    <row r="37"/>
    <row r="38" ht="280" customHeight="1">
      <c r="A38"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6"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6" t="n">
        <v>10718</v>
      </c>
    </row>
    <row r="11">
      <c r="A11" s="5" t="inlineStr">
        <is>
          <t>Total income</t>
        </is>
      </c>
      <c r="B11" s="5" t="n">
        <v>24232</v>
      </c>
      <c r="C11" s="5" t="n">
        <v>25029</v>
      </c>
      <c r="D11" s="5" t="n">
        <v>23935</v>
      </c>
      <c r="E11" s="5" t="n">
        <v>17329</v>
      </c>
      <c r="F11" s="5" t="n">
        <v>11625</v>
      </c>
      <c r="G11" s="6" t="n">
        <v>18018</v>
      </c>
    </row>
    <row r="12">
      <c r="A12" s="5" t="inlineStr">
        <is>
          <t>Expenses</t>
        </is>
      </c>
      <c r="B12" s="6" t="n"/>
      <c r="C12" s="6" t="n"/>
      <c r="D12" s="6" t="n"/>
      <c r="E12" s="6" t="n"/>
      <c r="F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6"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row>
    <row r="19">
      <c r="A19" s="5" t="inlineStr">
        <is>
          <t>Profit for the year</t>
        </is>
      </c>
      <c r="B19" s="5" t="n">
        <v>7597</v>
      </c>
      <c r="C19" s="5" t="n">
        <v>9670</v>
      </c>
      <c r="D19" s="5" t="n">
        <v>8899</v>
      </c>
      <c r="E19" s="5" t="n">
        <v>3976</v>
      </c>
      <c r="F19" s="5" t="n">
        <v>1420</v>
      </c>
      <c r="G19" s="6" t="n">
        <v>7426</v>
      </c>
    </row>
    <row r="20">
      <c r="A20" s="5" t="inlineStr">
        <is>
          <t>Other comprehensive income</t>
        </is>
      </c>
      <c r="B20" s="6" t="n"/>
      <c r="C20" s="6" t="n"/>
      <c r="D20" s="6" t="n"/>
      <c r="E20" s="6" t="n"/>
      <c r="F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row>
    <row r="23">
      <c r="A23" s="5" t="inlineStr">
        <is>
          <t>Other comprehensive income for the year, net of tax</t>
        </is>
      </c>
      <c r="B23" s="5" t="n">
        <v>0</v>
      </c>
      <c r="C23" s="5" t="n">
        <v>0</v>
      </c>
      <c r="D23" s="5" t="n">
        <v>0</v>
      </c>
      <c r="E23" s="5" t="n">
        <v>2</v>
      </c>
      <c r="F23" s="5" t="n">
        <v>11</v>
      </c>
      <c r="G23" s="6" t="n">
        <v>29</v>
      </c>
    </row>
    <row r="24">
      <c r="A24" s="5" t="inlineStr">
        <is>
          <t>Total comprehensive income for the year</t>
        </is>
      </c>
      <c r="B24" s="5" t="n">
        <v>7597</v>
      </c>
      <c r="C24" s="5" t="n">
        <v>9670</v>
      </c>
      <c r="D24" s="5" t="n">
        <v>8899</v>
      </c>
      <c r="E24" s="5" t="n">
        <v>3978</v>
      </c>
      <c r="F24" s="5" t="n">
        <v>1430</v>
      </c>
      <c r="G24" s="6" t="n">
        <v>7455</v>
      </c>
    </row>
    <row r="25"/>
    <row r="26" ht="280" customHeight="1">
      <c r="A26"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8" t="inlineStr">
        <is>
          <t>FY2017 (£'000s)</t>
        </is>
      </c>
    </row>
    <row r="4">
      <c r="A4" s="5" t="inlineStr">
        <is>
          <t>Operating activities</t>
        </is>
      </c>
      <c r="B4" s="6" t="n"/>
      <c r="C4" s="6" t="n"/>
      <c r="D4" s="6" t="n"/>
      <c r="E4" s="6" t="n"/>
      <c r="F4" s="6" t="n"/>
    </row>
    <row r="5">
      <c r="A5" s="6" t="inlineStr">
        <is>
          <t>Profit for the year</t>
        </is>
      </c>
      <c r="B5" s="6" t="n">
        <v>7597</v>
      </c>
      <c r="C5" s="6" t="n">
        <v>9670</v>
      </c>
      <c r="D5" s="6" t="n">
        <v>8899</v>
      </c>
      <c r="E5" s="6" t="n">
        <v>3976</v>
      </c>
      <c r="F5" s="6" t="n">
        <v>1420</v>
      </c>
    </row>
    <row r="6">
      <c r="A6" s="6" t="inlineStr">
        <is>
          <t>Taxation</t>
        </is>
      </c>
      <c r="B6" s="6" t="n">
        <v>2586</v>
      </c>
      <c r="C6" s="6" t="n">
        <v>3283</v>
      </c>
      <c r="D6" s="6" t="n">
        <v>2838</v>
      </c>
      <c r="E6" s="6" t="n">
        <v>980</v>
      </c>
      <c r="F6" s="6" t="n">
        <v>737</v>
      </c>
    </row>
    <row r="7">
      <c r="A7" s="6" t="inlineStr">
        <is>
          <t>Treasury Bills discount and interest</t>
        </is>
      </c>
      <c r="B7" s="6" t="n">
        <v>-233</v>
      </c>
      <c r="C7" s="6" t="n">
        <v>-277</v>
      </c>
      <c r="D7" s="6" t="n">
        <v>594</v>
      </c>
      <c r="E7" s="6" t="n">
        <v>0</v>
      </c>
      <c r="F7" s="6" t="n"/>
    </row>
    <row r="8">
      <c r="A8" s="6" t="inlineStr">
        <is>
          <t>Depreciation and amortisation</t>
        </is>
      </c>
      <c r="B8" s="6" t="n">
        <v>1004</v>
      </c>
      <c r="C8" s="6" t="n">
        <v>834</v>
      </c>
      <c r="D8" s="6" t="n">
        <v>750</v>
      </c>
      <c r="E8" s="6" t="n">
        <v>642</v>
      </c>
      <c r="F8" s="6" t="n">
        <v>809</v>
      </c>
    </row>
    <row r="9">
      <c r="A9" s="6" t="inlineStr">
        <is>
          <t>Impairment reversal/(losses) on financial assets</t>
        </is>
      </c>
      <c r="B9" s="6" t="n">
        <v>-368</v>
      </c>
      <c r="C9" s="6" t="n">
        <v>-241</v>
      </c>
      <c r="D9" s="6" t="n">
        <v>736</v>
      </c>
      <c r="E9" s="6" t="n">
        <v>2669</v>
      </c>
      <c r="F9" s="6" t="n">
        <v>297</v>
      </c>
    </row>
    <row r="10">
      <c r="A10" s="6" t="inlineStr">
        <is>
          <t>Finance cost on lease liabilities</t>
        </is>
      </c>
      <c r="B10" s="6" t="n">
        <v>23</v>
      </c>
      <c r="C10" s="6" t="n">
        <v>83</v>
      </c>
      <c r="D10" s="6" t="n">
        <v>32</v>
      </c>
      <c r="E10" s="6" t="n">
        <v>38</v>
      </c>
      <c r="F10" s="6" t="n">
        <v>43</v>
      </c>
    </row>
    <row r="11">
      <c r="A11" s="6" t="inlineStr">
        <is>
          <t>Interest income</t>
        </is>
      </c>
      <c r="B11" s="6" t="n">
        <v>-22273</v>
      </c>
      <c r="C11" s="6" t="n">
        <v>-23830</v>
      </c>
      <c r="D11" s="6" t="n"/>
      <c r="E11" s="6" t="n"/>
      <c r="F11" s="6" t="n"/>
    </row>
    <row r="12">
      <c r="A12" s="6" t="inlineStr">
        <is>
          <t>Interest expense</t>
        </is>
      </c>
      <c r="B12" s="6" t="n">
        <v>6352</v>
      </c>
      <c r="C12" s="6" t="n">
        <v>5875</v>
      </c>
      <c r="D12" s="6" t="n"/>
      <c r="E12" s="6" t="n"/>
      <c r="F12" s="6" t="n"/>
    </row>
    <row r="13">
      <c r="A13" s="5" t="inlineStr">
        <is>
          <t>Operating cash flows before movements in working capital</t>
        </is>
      </c>
      <c r="B13" s="5" t="n">
        <v>-5312</v>
      </c>
      <c r="C13" s="5" t="n">
        <v>-4603</v>
      </c>
      <c r="D13" s="5" t="n">
        <v>13849</v>
      </c>
      <c r="E13" s="5" t="n">
        <v>8304</v>
      </c>
      <c r="F13" s="5" t="n">
        <v>3306</v>
      </c>
    </row>
    <row r="14">
      <c r="A14" s="6" t="inlineStr">
        <is>
          <t>Increase/(Decrease) in prepayments and accrued income</t>
        </is>
      </c>
      <c r="B14" s="6" t="n">
        <v>-337</v>
      </c>
      <c r="C14" s="6" t="n">
        <v>-497</v>
      </c>
      <c r="D14" s="6" t="n">
        <v>104</v>
      </c>
      <c r="E14" s="6" t="n">
        <v>-178</v>
      </c>
      <c r="F14" s="6" t="n">
        <v>-181</v>
      </c>
    </row>
    <row r="15">
      <c r="A15" s="6" t="inlineStr">
        <is>
          <t>(Decrease)/Increase in accruals and deferred income</t>
        </is>
      </c>
      <c r="B15" s="6" t="n">
        <v>-347</v>
      </c>
      <c r="C15" s="6" t="n">
        <v>-170</v>
      </c>
      <c r="D15" s="6" t="n">
        <v>303</v>
      </c>
      <c r="E15" s="6" t="n">
        <v>-31</v>
      </c>
      <c r="F15" s="6" t="n">
        <v>263</v>
      </c>
    </row>
    <row r="16">
      <c r="A16" s="6" t="inlineStr">
        <is>
          <t>Net Increase/(Decrease) in loans and advances to banks and customers</t>
        </is>
      </c>
      <c r="B16" s="6" t="n">
        <v>-24435</v>
      </c>
      <c r="C16" s="6" t="n">
        <v>-54985</v>
      </c>
      <c r="D16" s="6" t="n">
        <v>39905</v>
      </c>
      <c r="E16" s="6" t="n">
        <v>-27093</v>
      </c>
      <c r="F16" s="6" t="n">
        <v>24313</v>
      </c>
    </row>
    <row r="17">
      <c r="A17" s="6" t="inlineStr">
        <is>
          <t>(Decrease)/Increase in deposits by banks and customer accounts</t>
        </is>
      </c>
      <c r="B17" s="6" t="n">
        <v>24806</v>
      </c>
      <c r="C17" s="6" t="n">
        <v>103729</v>
      </c>
      <c r="D17" s="6" t="n">
        <v>-29538</v>
      </c>
      <c r="E17" s="6" t="n">
        <v>-6085</v>
      </c>
      <c r="F17" s="6" t="n">
        <v>-11002</v>
      </c>
    </row>
    <row r="18">
      <c r="A18" s="6" t="inlineStr">
        <is>
          <t>(Decrease)/Increase in other liabilities</t>
        </is>
      </c>
      <c r="B18" s="6" t="n">
        <v>-8938</v>
      </c>
      <c r="C18" s="6" t="n">
        <v>10394</v>
      </c>
      <c r="D18" s="6" t="n">
        <v>-69</v>
      </c>
      <c r="E18" s="6" t="n">
        <v>299</v>
      </c>
      <c r="F18" s="6" t="n">
        <v>-1363</v>
      </c>
    </row>
    <row r="19">
      <c r="A19" s="6" t="inlineStr">
        <is>
          <t>Net (Decrease)/Increase in derivative financial instruments</t>
        </is>
      </c>
      <c r="B19" s="6" t="n">
        <v>-145</v>
      </c>
      <c r="C19" s="6" t="n">
        <v>192</v>
      </c>
      <c r="D19" s="6" t="n">
        <v>-65</v>
      </c>
      <c r="E19" s="6" t="n">
        <v>17</v>
      </c>
      <c r="F19" s="6" t="n"/>
    </row>
    <row r="20">
      <c r="A20" s="6" t="inlineStr">
        <is>
          <t>Interest income received</t>
        </is>
      </c>
      <c r="B20" s="6" t="n">
        <v>23318</v>
      </c>
      <c r="C20" s="6" t="n">
        <v>23628</v>
      </c>
      <c r="D20" s="6" t="n"/>
      <c r="E20" s="6" t="n"/>
      <c r="F20" s="6" t="n"/>
    </row>
    <row r="21">
      <c r="A21" s="6" t="inlineStr">
        <is>
          <t>Interest expense paid</t>
        </is>
      </c>
      <c r="B21" s="6" t="n">
        <v>-6569</v>
      </c>
      <c r="C21" s="6" t="n">
        <v>-6056</v>
      </c>
      <c r="D21" s="6" t="n"/>
      <c r="E21" s="6" t="n"/>
      <c r="F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row>
    <row r="24">
      <c r="A24" s="5" t="inlineStr">
        <is>
          <t>Investing activities</t>
        </is>
      </c>
      <c r="B24" s="6" t="n"/>
      <c r="C24" s="6" t="n"/>
      <c r="D24" s="6" t="n"/>
      <c r="E24" s="6" t="n"/>
      <c r="F24" s="6" t="n"/>
    </row>
    <row r="25">
      <c r="A25" s="6" t="inlineStr">
        <is>
          <t>Purchase of property, equipment and intangible assets</t>
        </is>
      </c>
      <c r="B25" s="6" t="n">
        <v>-3860</v>
      </c>
      <c r="C25" s="6" t="n">
        <v>-1906</v>
      </c>
      <c r="D25" s="6" t="n">
        <v>-355</v>
      </c>
      <c r="E25" s="6" t="n">
        <v>-769</v>
      </c>
      <c r="F25" s="6" t="n">
        <v>-128</v>
      </c>
    </row>
    <row r="26">
      <c r="A26" s="6" t="inlineStr">
        <is>
          <t>Proceeds on maturity of treasury bills and other eligible bills</t>
        </is>
      </c>
      <c r="B26" s="6" t="n">
        <v>340419</v>
      </c>
      <c r="C26" s="6" t="n">
        <v>107809</v>
      </c>
      <c r="D26" s="6" t="n">
        <v>43930</v>
      </c>
      <c r="E26" s="6" t="n">
        <v>39572</v>
      </c>
      <c r="F26" s="6" t="n">
        <v>30077</v>
      </c>
    </row>
    <row r="27">
      <c r="A27" s="6" t="inlineStr">
        <is>
          <t>Purchase of treasury bills and other eligible bills</t>
        </is>
      </c>
      <c r="B27" s="6" t="n">
        <v>-355953</v>
      </c>
      <c r="C27" s="6" t="n">
        <v>-125744</v>
      </c>
      <c r="D27" s="6" t="n">
        <v>-49034</v>
      </c>
      <c r="E27" s="6" t="n">
        <v>-45974</v>
      </c>
      <c r="F27" s="6" t="n">
        <v>-29631</v>
      </c>
    </row>
    <row r="28">
      <c r="A28" s="5" t="inlineStr">
        <is>
          <t>Net cash (used in)/generated from investing activities</t>
        </is>
      </c>
      <c r="B28" s="5" t="n">
        <v>-19394</v>
      </c>
      <c r="C28" s="5" t="n">
        <v>-19841</v>
      </c>
      <c r="D28" s="5" t="n">
        <v>-5459</v>
      </c>
      <c r="E28" s="5" t="n">
        <v>-7171</v>
      </c>
      <c r="F28" s="5" t="n">
        <v>318</v>
      </c>
    </row>
    <row r="29">
      <c r="A29" s="5" t="inlineStr">
        <is>
          <t>Financing activities</t>
        </is>
      </c>
      <c r="B29" s="6" t="n"/>
      <c r="C29" s="6" t="n"/>
      <c r="D29" s="6" t="n"/>
      <c r="E29" s="6" t="n"/>
      <c r="F29" s="6" t="n"/>
    </row>
    <row r="30">
      <c r="A30" s="6" t="inlineStr">
        <is>
          <t>Lease payments under Finance Lease</t>
        </is>
      </c>
      <c r="B30" s="6" t="n">
        <v>-156</v>
      </c>
      <c r="C30" s="6" t="n">
        <v>-136</v>
      </c>
      <c r="D30" s="6" t="n">
        <v>-148</v>
      </c>
      <c r="E30" s="6" t="n">
        <v>-141</v>
      </c>
      <c r="F30" s="6" t="n">
        <v>-148</v>
      </c>
    </row>
    <row r="31">
      <c r="A31" s="6" t="inlineStr">
        <is>
          <t>Subordinated loan redemption</t>
        </is>
      </c>
      <c r="B31" s="6" t="n"/>
      <c r="C31" s="6" t="n"/>
      <c r="D31" s="6" t="n">
        <v>-17408</v>
      </c>
      <c r="E31" s="6" t="n"/>
      <c r="F31" s="6" t="n"/>
    </row>
    <row r="32">
      <c r="A32" s="6" t="inlineStr">
        <is>
          <t>Dividend paid</t>
        </is>
      </c>
      <c r="B32" s="6" t="n">
        <v>-4835</v>
      </c>
      <c r="C32" s="6" t="n">
        <v>-4450</v>
      </c>
      <c r="D32" s="6" t="n">
        <v>-1988</v>
      </c>
      <c r="E32" s="6" t="n">
        <v>-802</v>
      </c>
      <c r="F32" s="6" t="n"/>
    </row>
    <row r="33">
      <c r="A33" s="5" t="inlineStr">
        <is>
          <t>Net cash (used in)/generated from financing activities</t>
        </is>
      </c>
      <c r="B33" s="5" t="n">
        <v>-4991</v>
      </c>
      <c r="C33" s="5" t="n">
        <v>-4586</v>
      </c>
      <c r="D33" s="5" t="n">
        <v>-19544</v>
      </c>
      <c r="E33" s="5" t="n">
        <v>-944</v>
      </c>
      <c r="F33" s="5" t="n">
        <v>-148</v>
      </c>
    </row>
    <row r="34">
      <c r="A34" s="5" t="inlineStr">
        <is>
          <t>Net (decrease)/increase in cash and cash equivalents</t>
        </is>
      </c>
      <c r="B34" s="5" t="n">
        <v>-24915</v>
      </c>
      <c r="C34" s="5" t="n">
        <v>42879</v>
      </c>
      <c r="D34" s="5" t="n">
        <v>-2340</v>
      </c>
      <c r="E34" s="5" t="n">
        <v>-33237</v>
      </c>
      <c r="F34" s="5" t="n">
        <v>15211</v>
      </c>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row>
    <row r="37">
      <c r="A37" s="5" t="inlineStr">
        <is>
          <t>Cash and cash equivalents at the end of the year</t>
        </is>
      </c>
      <c r="B37" s="5" t="n">
        <v>254772</v>
      </c>
      <c r="C37" s="5" t="n">
        <v>139857</v>
      </c>
      <c r="D37" s="5" t="n">
        <v>97313</v>
      </c>
      <c r="E37" s="5" t="n">
        <v>97866</v>
      </c>
      <c r="F37" s="5" t="n">
        <v>134557</v>
      </c>
      <c r="G37" s="6" t="n">
        <v>105686</v>
      </c>
    </row>
    <row r="38"/>
    <row r="39" ht="300" customHeight="1">
      <c r="A39" s="9"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FY2017: Report and Financial Statements 2017, Cash flow statement, pp.23-27 - https://www.bankofbeirut.co.uk/content/uploads/AnnualReport/bankofbeirut-uk2017-annualreport180614103530638~.pdf (headline extension column, figures rounded from £ to £'000).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carrying amount)</t>
        </is>
      </c>
      <c r="B4" s="6" t="n"/>
      <c r="C4" s="6" t="n"/>
      <c r="D4" s="6" t="n"/>
      <c r="E4" s="6" t="n"/>
      <c r="F4" s="6" t="n"/>
    </row>
    <row r="5">
      <c r="A5" s="6" t="inlineStr">
        <is>
          <t>Stage 1 (12-month ECL)</t>
        </is>
      </c>
      <c r="B5" s="6" t="n">
        <v>142128</v>
      </c>
      <c r="C5" s="6" t="n">
        <v>119370</v>
      </c>
      <c r="D5" s="6" t="n">
        <v>114296</v>
      </c>
      <c r="E5" s="6" t="n">
        <v>159945</v>
      </c>
      <c r="F5" s="6" t="n">
        <v>118696</v>
      </c>
    </row>
    <row r="6">
      <c r="A6" s="6" t="inlineStr">
        <is>
          <t>Stage 2 (lifetime ECL, not credit-impaired)</t>
        </is>
      </c>
      <c r="B6" s="6" t="n">
        <v>2024</v>
      </c>
      <c r="C6" s="6" t="n">
        <v>1587</v>
      </c>
      <c r="D6" s="6" t="n">
        <v>7063</v>
      </c>
      <c r="E6" s="6" t="n">
        <v>2050</v>
      </c>
      <c r="F6" s="6" t="n">
        <v>8389</v>
      </c>
    </row>
    <row r="7">
      <c r="A7" s="6" t="inlineStr">
        <is>
          <t>Stage 3 (lifetime ECL, credit-impaired)</t>
        </is>
      </c>
      <c r="B7" s="6" t="n">
        <v>6562</v>
      </c>
      <c r="C7" s="6" t="n">
        <v>10543</v>
      </c>
      <c r="D7" s="6" t="n">
        <v>9952</v>
      </c>
      <c r="E7" s="6" t="n">
        <v>9795</v>
      </c>
      <c r="F7" s="6" t="n">
        <v>8438</v>
      </c>
    </row>
    <row r="8">
      <c r="A8" s="5" t="inlineStr">
        <is>
          <t>Total gross loans and advances to customers</t>
        </is>
      </c>
      <c r="B8" s="5" t="n">
        <v>150714</v>
      </c>
      <c r="C8" s="5" t="n">
        <v>131500</v>
      </c>
      <c r="D8" s="5" t="n">
        <v>131311</v>
      </c>
      <c r="E8" s="5" t="n">
        <v>171790</v>
      </c>
      <c r="F8" s="5" t="n">
        <v>135523</v>
      </c>
    </row>
    <row r="9">
      <c r="A9" s="5" t="inlineStr">
        <is>
          <t>Loss allowance (ECL) by stage</t>
        </is>
      </c>
      <c r="B9" s="6" t="n"/>
      <c r="C9" s="6" t="n"/>
      <c r="D9" s="6" t="n"/>
      <c r="E9" s="6" t="n"/>
      <c r="F9" s="6" t="n"/>
    </row>
    <row r="10">
      <c r="A10" s="6" t="inlineStr">
        <is>
          <t>Stage 1 allowance</t>
        </is>
      </c>
      <c r="B10" s="6" t="n">
        <v>676</v>
      </c>
      <c r="C10" s="6" t="n">
        <v>347</v>
      </c>
      <c r="D10" s="6" t="n">
        <v>391</v>
      </c>
      <c r="E10" s="6" t="n">
        <v>696</v>
      </c>
      <c r="F10" s="6" t="n">
        <v>417</v>
      </c>
    </row>
    <row r="11">
      <c r="A11" s="6" t="inlineStr">
        <is>
          <t>Stage 2 allowance</t>
        </is>
      </c>
      <c r="B11" s="6" t="n">
        <v>42</v>
      </c>
      <c r="C11" s="6" t="n">
        <v>69</v>
      </c>
      <c r="D11" s="6" t="n">
        <v>84</v>
      </c>
      <c r="E11" s="6" t="n">
        <v>268</v>
      </c>
      <c r="F11" s="6" t="n">
        <v>301</v>
      </c>
    </row>
    <row r="12">
      <c r="A12" s="6" t="inlineStr">
        <is>
          <t>Stage 3 allowance</t>
        </is>
      </c>
      <c r="B12" s="6" t="n">
        <v>5812</v>
      </c>
      <c r="C12" s="6" t="n">
        <v>9688</v>
      </c>
      <c r="D12" s="6" t="n">
        <v>9740</v>
      </c>
      <c r="E12" s="6" t="n">
        <v>9340</v>
      </c>
      <c r="F12" s="6" t="n">
        <v>5960</v>
      </c>
    </row>
    <row r="13">
      <c r="A13" s="5" t="inlineStr">
        <is>
          <t>Total loss allowance</t>
        </is>
      </c>
      <c r="B13" s="5" t="n">
        <v>6530</v>
      </c>
      <c r="C13" s="5" t="n">
        <v>10103</v>
      </c>
      <c r="D13" s="5" t="n">
        <v>10215</v>
      </c>
      <c r="E13" s="5" t="n">
        <v>10303</v>
      </c>
      <c r="F13" s="5" t="n">
        <v>6678</v>
      </c>
    </row>
    <row r="14">
      <c r="A14" s="5" t="inlineStr">
        <is>
          <t>Asset quality ratios</t>
        </is>
      </c>
      <c r="B14" s="6" t="n"/>
      <c r="C14" s="6" t="n"/>
      <c r="D14" s="6" t="n"/>
      <c r="E14" s="6" t="n"/>
      <c r="F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row>
    <row r="16">
      <c r="A16" s="6" t="inlineStr">
        <is>
          <t>Stage 3 / NPL ratio (Stage 3 gross / Total gross loans)</t>
        </is>
      </c>
      <c r="B16" s="6" t="inlineStr">
        <is>
          <t>4.35%</t>
        </is>
      </c>
      <c r="C16" s="6" t="inlineStr">
        <is>
          <t>8.02%</t>
        </is>
      </c>
      <c r="D16" s="6" t="inlineStr">
        <is>
          <t>7.58%</t>
        </is>
      </c>
      <c r="E16" s="6" t="inlineStr">
        <is>
          <t>5.70%</t>
        </is>
      </c>
      <c r="F16" s="6" t="inlineStr">
        <is>
          <t>6.23%</t>
        </is>
      </c>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row>
    <row r="19" ht="150" customHeight="1">
      <c r="A19" s="9"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Bank of Beirut (UK) Ltd - KM1 Key Metrics</t>
        </is>
      </c>
    </row>
    <row r="2">
      <c r="A2" s="2" t="inlineStr">
        <is>
          <t>The Bank's own 'Template UK KM1 - Key metrics template', reproduced whole in its own row order, row numbers, labels and precision. Amounts are in plain pounds exactly as published - unrounded and not rescaled; ratios as printed. FY2023-FY2025 come from each year's own edition; FY2022 is the FY2023 edition's comparative column, because the Bank's own FY2022 edition publishes no KM1 template at all. FY2021 and FY2017 are blank because no edition prints them in template form - see the sources note, which also records a restatement across editions and a defect in row 13.</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t>
        </is>
      </c>
      <c r="B5" s="6" t="n">
        <v>110569881</v>
      </c>
      <c r="C5" s="6" t="n">
        <v>108973693</v>
      </c>
      <c r="D5" s="6" t="n">
        <v>105763661</v>
      </c>
      <c r="E5" s="6" t="n">
        <v>103161031</v>
      </c>
    </row>
    <row r="6">
      <c r="A6" s="6" t="inlineStr">
        <is>
          <t>2  Tier 1 capital (£)</t>
        </is>
      </c>
      <c r="B6" s="6" t="n">
        <v>110569881</v>
      </c>
      <c r="C6" s="6" t="n">
        <v>108973693</v>
      </c>
      <c r="D6" s="6" t="n">
        <v>105763661</v>
      </c>
      <c r="E6" s="6" t="n">
        <v>103161031</v>
      </c>
    </row>
    <row r="7">
      <c r="A7" s="6" t="inlineStr">
        <is>
          <t>3  Total capital (£)</t>
        </is>
      </c>
      <c r="B7" s="6" t="n">
        <v>123648458</v>
      </c>
      <c r="C7" s="6" t="n">
        <v>124916300</v>
      </c>
      <c r="D7" s="6" t="n">
        <v>121468412</v>
      </c>
      <c r="E7" s="6" t="n">
        <v>133803218</v>
      </c>
    </row>
    <row r="8">
      <c r="A8" s="5" t="inlineStr">
        <is>
          <t>RISK-WEIGHTED EXPOSURE AMOUNTS</t>
        </is>
      </c>
      <c r="B8" s="6" t="n"/>
      <c r="C8" s="6" t="n"/>
      <c r="D8" s="6" t="n"/>
      <c r="E8" s="6" t="n"/>
    </row>
    <row r="9">
      <c r="A9" s="6" t="inlineStr">
        <is>
          <t>4  Total risk-weighted exposure amount (£)</t>
        </is>
      </c>
      <c r="B9" s="6" t="n">
        <v>294919899</v>
      </c>
      <c r="C9" s="6" t="n">
        <v>250106567</v>
      </c>
      <c r="D9" s="6" t="n">
        <v>248533572</v>
      </c>
      <c r="E9" s="6" t="n">
        <v>317552478</v>
      </c>
    </row>
    <row r="10">
      <c r="A10" s="5" t="inlineStr">
        <is>
          <t>CAPITAL RATIOS (AS A PERCENTAGE OF RISK-WEIGHTED EXPOSURE AMOUNT)</t>
        </is>
      </c>
      <c r="B10" s="6" t="n"/>
      <c r="C10" s="6" t="n"/>
      <c r="D10" s="6" t="n"/>
      <c r="E10" s="6" t="n"/>
    </row>
    <row r="11">
      <c r="A11" s="6" t="inlineStr">
        <is>
          <t>5  Common Equity Tier 1 ratio (%)</t>
        </is>
      </c>
      <c r="B11" s="6" t="inlineStr">
        <is>
          <t>37.49%</t>
        </is>
      </c>
      <c r="C11" s="6" t="inlineStr">
        <is>
          <t>43.57%</t>
        </is>
      </c>
      <c r="D11" s="6" t="inlineStr">
        <is>
          <t>42.56%</t>
        </is>
      </c>
      <c r="E11" s="6" t="inlineStr">
        <is>
          <t>32.49%</t>
        </is>
      </c>
    </row>
    <row r="12">
      <c r="A12" s="6" t="inlineStr">
        <is>
          <t>6  Tier 1 ratio (%)</t>
        </is>
      </c>
      <c r="B12" s="6" t="inlineStr">
        <is>
          <t>37.49%</t>
        </is>
      </c>
      <c r="C12" s="6" t="inlineStr">
        <is>
          <t>43.57%</t>
        </is>
      </c>
      <c r="D12" s="6" t="inlineStr">
        <is>
          <t>42.56%</t>
        </is>
      </c>
      <c r="E12" s="6" t="inlineStr">
        <is>
          <t>32.49%</t>
        </is>
      </c>
    </row>
    <row r="13">
      <c r="A13" s="6" t="inlineStr">
        <is>
          <t>7  Total capital ratio (%)</t>
        </is>
      </c>
      <c r="B13" s="6" t="inlineStr">
        <is>
          <t>41.93%</t>
        </is>
      </c>
      <c r="C13" s="6" t="inlineStr">
        <is>
          <t>49.95%</t>
        </is>
      </c>
      <c r="D13" s="6" t="inlineStr">
        <is>
          <t>48.87%</t>
        </is>
      </c>
      <c r="E13" s="6" t="inlineStr">
        <is>
          <t>42.14%</t>
        </is>
      </c>
    </row>
    <row r="14">
      <c r="A14" s="5" t="inlineStr">
        <is>
          <t>ADDITIONAL OWN FUNDS REQUIREMENTS BASED ON SREP (AS A PERCENTAGE OF RISK-WEIGHTED EXPOSURE AMOUNT)</t>
        </is>
      </c>
      <c r="B14" s="6" t="n"/>
      <c r="C14" s="6" t="n"/>
      <c r="D14" s="6" t="n"/>
      <c r="E14" s="6" t="n"/>
    </row>
    <row r="15">
      <c r="A15" s="6" t="inlineStr">
        <is>
          <t>UK 7d  Total SREP own funds requirements (%)</t>
        </is>
      </c>
      <c r="B15" s="6" t="inlineStr">
        <is>
          <t>14.09%</t>
        </is>
      </c>
      <c r="C15" s="6" t="inlineStr">
        <is>
          <t>14.09%</t>
        </is>
      </c>
      <c r="D15" s="6" t="inlineStr">
        <is>
          <t>12.95%</t>
        </is>
      </c>
      <c r="E15" s="6" t="inlineStr">
        <is>
          <t>12.95%</t>
        </is>
      </c>
    </row>
    <row r="16">
      <c r="A16" s="5" t="inlineStr">
        <is>
          <t>COMBINED BUFFER REQUIREMENT (AS A PERCENTAGE OF RISK-WEIGHTED EXPOSURE AMOUNT)</t>
        </is>
      </c>
      <c r="B16" s="6" t="n"/>
      <c r="C16" s="6" t="n"/>
      <c r="D16" s="6" t="n"/>
      <c r="E16" s="6" t="n"/>
    </row>
    <row r="17">
      <c r="A17" s="6" t="inlineStr">
        <is>
          <t>8  Capital conservation buffer (%)</t>
        </is>
      </c>
      <c r="B17" s="6" t="inlineStr">
        <is>
          <t>2.50%</t>
        </is>
      </c>
      <c r="C17" s="6" t="inlineStr">
        <is>
          <t>2.50%</t>
        </is>
      </c>
      <c r="D17" s="6" t="inlineStr">
        <is>
          <t>2.50%</t>
        </is>
      </c>
      <c r="E17" s="6" t="inlineStr">
        <is>
          <t>2.50%</t>
        </is>
      </c>
    </row>
    <row r="18">
      <c r="A18" s="6" t="inlineStr">
        <is>
          <t>9  Institution specific countercyclical capital buffer (%)</t>
        </is>
      </c>
      <c r="B18" s="6" t="inlineStr">
        <is>
          <t>0.52%</t>
        </is>
      </c>
      <c r="C18" s="6" t="inlineStr">
        <is>
          <t>0.81%</t>
        </is>
      </c>
      <c r="D18" s="6" t="inlineStr">
        <is>
          <t>0.50%</t>
        </is>
      </c>
      <c r="E18" s="6" t="inlineStr">
        <is>
          <t>0.00%</t>
        </is>
      </c>
    </row>
    <row r="19">
      <c r="A19" s="6" t="inlineStr">
        <is>
          <t>11  Combined buffer requirement (%)</t>
        </is>
      </c>
      <c r="B19" s="6" t="inlineStr">
        <is>
          <t>3.02%</t>
        </is>
      </c>
      <c r="C19" s="6" t="inlineStr">
        <is>
          <t>3.31%</t>
        </is>
      </c>
      <c r="D19" s="6" t="inlineStr">
        <is>
          <t>3.00%</t>
        </is>
      </c>
      <c r="E19" s="6" t="inlineStr">
        <is>
          <t>2.50%</t>
        </is>
      </c>
    </row>
    <row r="20">
      <c r="A20" s="6" t="inlineStr">
        <is>
          <t>UK 11a  Overall capital requirements (%)</t>
        </is>
      </c>
      <c r="B20" s="6" t="inlineStr">
        <is>
          <t>17.11%</t>
        </is>
      </c>
      <c r="C20" s="6" t="inlineStr">
        <is>
          <t>17.40%</t>
        </is>
      </c>
      <c r="D20" s="6" t="inlineStr">
        <is>
          <t>15.95%</t>
        </is>
      </c>
      <c r="E20" s="6" t="inlineStr">
        <is>
          <t>15.45%</t>
        </is>
      </c>
    </row>
    <row r="21">
      <c r="A21" s="6" t="inlineStr">
        <is>
          <t>12  CET1 available after meeting the total SREP own funds requirements (%)</t>
        </is>
      </c>
      <c r="B21" s="6" t="inlineStr">
        <is>
          <t>82.89%</t>
        </is>
      </c>
      <c r="C21" s="6" t="inlineStr">
        <is>
          <t>82.60%</t>
        </is>
      </c>
      <c r="D21" s="6" t="inlineStr">
        <is>
          <t>84.05%</t>
        </is>
      </c>
      <c r="E21" s="6" t="inlineStr">
        <is>
          <t>84.55%</t>
        </is>
      </c>
    </row>
    <row r="22">
      <c r="A22" s="5" t="inlineStr">
        <is>
          <t>LEVERAGE RATIO</t>
        </is>
      </c>
      <c r="B22" s="6" t="n"/>
      <c r="C22" s="6" t="n"/>
      <c r="D22" s="6" t="n"/>
      <c r="E22" s="6" t="n"/>
    </row>
    <row r="23">
      <c r="A23" s="6" t="inlineStr">
        <is>
          <t>13  Total exposure measure excluding claims on central banks (£)</t>
        </is>
      </c>
      <c r="B23" s="6" t="n">
        <v>546074420</v>
      </c>
      <c r="C23" s="6" t="n">
        <v>446181573</v>
      </c>
      <c r="D23" s="6" t="n">
        <v>400870711</v>
      </c>
      <c r="E23" s="6" t="n">
        <v>450968994</v>
      </c>
    </row>
    <row r="24">
      <c r="A24" s="6" t="inlineStr">
        <is>
          <t>14  Leverage ratio excluding claims on central banks (%)</t>
        </is>
      </c>
      <c r="B24" s="6" t="inlineStr">
        <is>
          <t>20.42%</t>
        </is>
      </c>
      <c r="C24" s="6" t="inlineStr">
        <is>
          <t>21.19%</t>
        </is>
      </c>
      <c r="D24" s="6" t="inlineStr">
        <is>
          <t>26.38%</t>
        </is>
      </c>
      <c r="E24" s="6" t="inlineStr">
        <is>
          <t>22.88%</t>
        </is>
      </c>
    </row>
    <row r="25">
      <c r="A25" s="5" t="inlineStr">
        <is>
          <t>LIQUIDITY COVERAGE RATIO</t>
        </is>
      </c>
      <c r="B25" s="6" t="n"/>
      <c r="C25" s="6" t="n"/>
      <c r="D25" s="6" t="n"/>
      <c r="E25" s="6" t="n"/>
    </row>
    <row r="26">
      <c r="A26" s="6" t="inlineStr">
        <is>
          <t>15  Total high-quality liquid assets (HQLA) (Weighted value-average) (£)</t>
        </is>
      </c>
      <c r="B26" s="6" t="n">
        <v>152067762</v>
      </c>
      <c r="C26" s="6" t="n">
        <v>125107054</v>
      </c>
      <c r="D26" s="6" t="n">
        <v>93520027</v>
      </c>
      <c r="E26" s="6" t="n">
        <v>95851943</v>
      </c>
    </row>
    <row r="27">
      <c r="A27" s="6" t="inlineStr">
        <is>
          <t>UK 16a  Cash outflows - Total weighted value (£)</t>
        </is>
      </c>
      <c r="B27" s="6" t="n">
        <v>192084585</v>
      </c>
      <c r="C27" s="6" t="n">
        <v>149151238</v>
      </c>
      <c r="D27" s="6" t="n">
        <v>95745955</v>
      </c>
      <c r="E27" s="6" t="n">
        <v>81834689</v>
      </c>
    </row>
    <row r="28">
      <c r="A28" s="6" t="inlineStr">
        <is>
          <t>UK 16b  Cash inflows - Total weighted value (£)</t>
        </is>
      </c>
      <c r="B28" s="6" t="n">
        <v>195820282</v>
      </c>
      <c r="C28" s="6" t="n">
        <v>236297324</v>
      </c>
      <c r="D28" s="6" t="n">
        <v>158792278</v>
      </c>
      <c r="E28" s="6" t="n">
        <v>156978480</v>
      </c>
    </row>
    <row r="29">
      <c r="A29" s="6" t="inlineStr">
        <is>
          <t>16  Total net cash outflows (adjusted value) (£)</t>
        </is>
      </c>
      <c r="B29" s="6" t="n">
        <v>48021146</v>
      </c>
      <c r="C29" s="6" t="n">
        <v>37287810</v>
      </c>
      <c r="D29" s="6" t="n">
        <v>23936489</v>
      </c>
      <c r="E29" s="6" t="n">
        <v>20458672</v>
      </c>
    </row>
    <row r="30">
      <c r="A30" s="6" t="inlineStr">
        <is>
          <t>17  Liquidity coverage ratio (%)</t>
        </is>
      </c>
      <c r="B30" s="6" t="inlineStr">
        <is>
          <t>316.67%</t>
        </is>
      </c>
      <c r="C30" s="6" t="inlineStr">
        <is>
          <t>335.52%</t>
        </is>
      </c>
      <c r="D30" s="6" t="inlineStr">
        <is>
          <t>390.70%</t>
        </is>
      </c>
      <c r="E30" s="6" t="inlineStr">
        <is>
          <t>468.51%</t>
        </is>
      </c>
    </row>
    <row r="31">
      <c r="A31" s="5" t="inlineStr">
        <is>
          <t>NET STABLE FUNDING RATIO</t>
        </is>
      </c>
      <c r="B31" s="6" t="n"/>
      <c r="C31" s="6" t="n"/>
      <c r="D31" s="6" t="n"/>
      <c r="E31" s="6" t="n"/>
    </row>
    <row r="32">
      <c r="A32" s="6" t="inlineStr">
        <is>
          <t>18  Total available stable funding (£)</t>
        </is>
      </c>
      <c r="B32" s="6" t="n">
        <v>252487260</v>
      </c>
      <c r="C32" s="6" t="n">
        <v>255073231</v>
      </c>
      <c r="D32" s="6" t="n">
        <v>228783713</v>
      </c>
      <c r="E32" s="6" t="n">
        <v>266983527</v>
      </c>
    </row>
    <row r="33">
      <c r="A33" s="6" t="inlineStr">
        <is>
          <t>19  Total required stable funding (£)</t>
        </is>
      </c>
      <c r="B33" s="6" t="n">
        <v>81337991</v>
      </c>
      <c r="C33" s="6" t="n">
        <v>78431888</v>
      </c>
      <c r="D33" s="6" t="n">
        <v>61635979</v>
      </c>
      <c r="E33" s="6" t="n">
        <v>63916220</v>
      </c>
    </row>
    <row r="34">
      <c r="A34" s="6" t="inlineStr">
        <is>
          <t>20  NSFR ratio (%)</t>
        </is>
      </c>
      <c r="B34" s="6" t="inlineStr">
        <is>
          <t>310.42%</t>
        </is>
      </c>
      <c r="C34" s="6" t="inlineStr">
        <is>
          <t>325.22%</t>
        </is>
      </c>
      <c r="D34" s="6" t="inlineStr">
        <is>
          <t>371.19%</t>
        </is>
      </c>
      <c r="E34" s="6" t="inlineStr">
        <is>
          <t>417.71%</t>
        </is>
      </c>
    </row>
    <row r="36" ht="300" customHeight="1">
      <c r="A36" s="9" t="inlineStr">
        <is>
          <t>Sources - Bank of Beirut (UK) Ltd's own "Template UK KM1 / Key metrics template", reproduced in the Bank's own row order, row numbers, labels and precision. FY2023, FY2024 and FY2025 each come from the edition in which that year is the reporting year. FY2022 IS THE ONE EXCEPTION AND IS FLAGGED AS SUCH BELOW - it is the FY2023 edition's comparative column, used because the Bank's own FY2022 edition prints no KM1 template at all:
FY2025: Pillar 3 Disclosures - 31 December 2025, p.16, s.3.6 Key Metrics - https://www.bankofbeirut.co.uk/Content/uploads/PillarDisclosure/Bank_of_Beirut_UK_Ltd_-_Pillar_III_Disclosures_-_31_December_2025.pdf
FY2024: Pillar 3 Disclosures - 31 December 2024, p.16, s.3.6 Key Metrics - https://www.bankofbeirut.co.uk/Content/uploads/Announcement/bob-disclosures3-2024.pdf
FY2023: Pillar 3 Disclosures - 31 December 2023, p.17, s.4.2 Key Metrics - https://www.bankofbeirut.co.uk/Content/uploads/Announcement/Bank_of_Beirut_UK_Ltd_-_Pillar_III_Disclosures_-_31_December_2023.pdf
FY2022 (NOT AN OWN-EDITION COLUMN): the SAME Pillar 3 Disclosures - 31 December 2023 document, p.17, s.4.2 Key Metrics, COMPARATIVE COLUMN headed '2022' - https://www.bankofbeirut.co.uk/Content/uploads/Announcement/Bank_of_Beirut_UK_Ltd_-_Pillar_III_Disclosures_-_31_December_2023.pdf
UNIT IS PLAIN POUNDS (£), EXACTLY AS THE BANK PUBLISHES IT. The template's own column header reads '£', not £'000 or £m, and CET1 is printed as 110,569,881. It is reproduced at that scale rather than rescaled, while the eleven single-metric sheets in this workbook are in £m. The cross-check in scripts/verify_workbook.py resolves this without help: amount rows here carry '(£)' in the row label, which is not a scale token, so the KM1 side resolves to units of 1 and the £m side to 1e6, and every amount lands inside the checker's 0.1% tolerance (CET1 110,569,881 against 110.6m differs by 30,119 against a tolerance of 110,570). No cell here has been rounded, converted or recomputed.
WHY FY2022 IS FILLED FROM THE FY2023 EDITION, AND FY2021 AND FY2017 ARE NOT (revised 17 September 2026). THE BANK'S OWN FY2022 EDITION PRINTS NO KM1 TEMPLATE AT ALL - not a template with rows left blank, but no template, and therefore no own-edition disclosure for a later comparative to displace. That absence is a finding, not a failed search (map rules 4, 15 and 16), and it was re-established directly from the document on 17 September 2026 before this column was filled: the FY2022 edition (366,318 bytes, 16pp, HTTP 200, application/pdf, %PDF magic bytes, fully text-native) has NO Key Metrics section at any level of its own contents list, and while extraction from it is RICH - 49 hits for 'capital', 60 for 'ratio', 11 for 'liquidity' - it returns ZERO hits for 'KM1', 'Key Metric', 'CET1' and 'Common Equity'. It is a narrative, pre-template Pillar 3 whose capital disclosure is a five-year ICAAP summary. Nor is it a table hidden in a bitmap (map rule 13): every image in the file is either the 1179x385 masthead on p.1 or a 20x21px bullet glyph.
THE FY2023 EDITION'S COMPARATIVE COLUMN, headed '2022', carries the complete template for that date, and THAT IS WHAT THIS SHEET'S FY2022 NOW CARRIES, in the row structure the FY2023 edition prints it in - which is the same 23-row structure as the FY2023 column beside it, so nothing is reshaped. Every value was read off the FY2023 PDF directly. A reader can tell this column from an own-edition one by the citation above, which names it.
This reverses the treatment this sheet carried until 17 September 2026, which left FY2022 blank and quoted four of its figures in this note instead. The evidence above is unchanged; only the conclusion drawn from it has changed, so that a BLANK on this sheet now means one thing only: the Bank has never published that figure, in any edition, on any basis.
FY2021 AND FY2017 REMAIN BLANK for exactly that reason - no edition anywhere prints them in template form. The 2021, 2020, 2019 and 2018 editions were checked the same way as 2022 and are the same: zero 'KM1', zero 'CET1', their one 'key metric' hit being the phrase 'the key metrics and outputs of these workstreams' in a compliance paragraph. Since the FY2022 edition prints no template, there is no FY2021 comparative column in existence to fill from. The single-metric sheets continue to carry FY2021 under their own citations and on their own stated (pre-KM1 ICAAP) bases, which is why those sheets and this one legitimately differ for that year.
ROWS THE BANK DOES NOT PRINT, in any of the three editions, are omitted rather than shown blank: UK 7a, UK 7b and UK 7c (it prints only the UK 7d total), UK 9a, 10 and UK 10a. Rows 13 and 14 are captioned 'excluding claims on central banks' in all three years, so there is no 1 January 2022 basis break inside this sheet (map rule 5).
EDITIONS RESTATE - the reason for the rule-1 discipline above. Comparing each edition against the next one's comparative column: FY2023 row 9 is 0.50% in its own edition and 0.55% in the FY2024 edition; FY2023 UK 11a is 15.95% against 16.00%; FY2023 row 12 is 84.05% against 84.00%; and FY2024 row 13 is 446,181,573 against 515,479,917 in the FY2025 edition. Capital, RWAs and every ratio bar those agree exactly across editions.
SOURCE DEFECT IN ROW 13, RECORDED NOT CORRECTED (map rule 7). In the FY2024 edition row 13 does not tie to its own printed row 14: 108,973,693 / 446,181,573 = 24.42%, while the edition prints 21.19%. Both neighbouring editions are internally consistent on this row - the FY2025 edition's 2024 comparative (515,479,917) gives 21.14%, and the FY2023 edition's own figure (400,870,711) gives 26.38% exactly as printed - so the FY2024 edition's exposure measure is understated in both its columns. The figure is carried here as the Bank printed it for its own year; the Leverage Ratio sheet's 21.19% is that same edition's printed ratio, so the two sheets agree on the ratio and the defect stays visible.
TYPOGRAPHY: all three editions print row 14 as 'excluding claims on centraI banks', with a capital I in place of the second l. The label above is spelled correctly; no figure is affected.
LATEST-EDITION CHECK, 2026-09-16: the Bank's own Pillar 3 index (https://www.bankofbeirut.co.uk/AboutUs/PillarDisclosures, HTTP 200, not blocked) lists eight editions, 2018 through 2025. The newest is the 31 December 2025 edition already carried here and already cited by this script. NONE NEWER. The index also linked two editions this project had never recorded (2021 and 2019); both were fetched and read for this sheet and neither contains a KM1.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6:E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110.6</v>
      </c>
      <c r="C4" s="6" t="n">
        <v>109</v>
      </c>
      <c r="D4" s="6" t="n">
        <v>105.8</v>
      </c>
      <c r="E4" s="6" t="n">
        <v>103.2</v>
      </c>
      <c r="F4" s="6" t="n">
        <v>104</v>
      </c>
    </row>
    <row r="5" ht="60" customHeight="1">
      <c r="A5" s="7" t="inlineStr">
        <is>
          <t>Note: FY2021 is calculated (Own Funds less Eligible Tier II Capital from the pre-KM1 ICAAP table) - see source note.</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37.49%</t>
        </is>
      </c>
      <c r="C4" s="6" t="inlineStr">
        <is>
          <t>43.57%</t>
        </is>
      </c>
      <c r="D4" s="6" t="inlineStr">
        <is>
          <t>42.56%</t>
        </is>
      </c>
      <c r="E4" s="6" t="inlineStr">
        <is>
          <t>32.49%</t>
        </is>
      </c>
      <c r="F4" s="6" t="inlineStr">
        <is>
          <t>35.14%</t>
        </is>
      </c>
    </row>
    <row r="5" ht="60" customHeight="1">
      <c r="A5" s="7" t="inlineStr">
        <is>
          <t>Note: FY2021 is calculated (CET1 £ / Total Risk Exposure Amount £, pre-KM1 ICAAP basis) rather than directly disclosed as a percentage.</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110.6</v>
      </c>
      <c r="C4" s="6" t="n">
        <v>109</v>
      </c>
      <c r="D4" s="6" t="n">
        <v>105.8</v>
      </c>
      <c r="E4" s="6" t="n">
        <v>103.2</v>
      </c>
      <c r="F4" s="6" t="n">
        <v>104</v>
      </c>
    </row>
    <row r="5" ht="60" customHeight="1">
      <c r="A5" s="7" t="inlineStr">
        <is>
          <t>Note: Tier 1 = CET1 every year (no AT1 instruments ever issued).</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37.49%</t>
        </is>
      </c>
      <c r="C4" s="6" t="inlineStr">
        <is>
          <t>43.57%</t>
        </is>
      </c>
      <c r="D4" s="6" t="inlineStr">
        <is>
          <t>42.56%</t>
        </is>
      </c>
      <c r="E4" s="6" t="inlineStr">
        <is>
          <t>32.49%</t>
        </is>
      </c>
      <c r="F4" s="6" t="inlineStr">
        <is>
          <t>35.14%</t>
        </is>
      </c>
    </row>
    <row r="6" ht="220"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123.6</v>
      </c>
      <c r="C4" s="6" t="n">
        <v>124.9</v>
      </c>
      <c r="D4" s="6" t="n">
        <v>121.5</v>
      </c>
      <c r="E4" s="6" t="n">
        <v>133.8</v>
      </c>
      <c r="F4" s="6" t="n">
        <v>134.6</v>
      </c>
    </row>
    <row r="6" ht="220"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41.93%</t>
        </is>
      </c>
      <c r="C4" s="6" t="inlineStr">
        <is>
          <t>49.95%</t>
        </is>
      </c>
      <c r="D4" s="6" t="inlineStr">
        <is>
          <t>48.87%</t>
        </is>
      </c>
      <c r="E4" s="6" t="inlineStr">
        <is>
          <t>42.14%</t>
        </is>
      </c>
      <c r="F4" s="6" t="inlineStr">
        <is>
          <t>45.50%</t>
        </is>
      </c>
    </row>
    <row r="5" ht="60" customHeight="1">
      <c r="A5" s="7" t="inlineStr">
        <is>
          <t>Note: FY2021 is calculated (Total Capital £ / Total Risk Exposure Amount £, pre-KM1 ICAAP basis).</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294.9</v>
      </c>
      <c r="C4" s="6" t="n">
        <v>250.1</v>
      </c>
      <c r="D4" s="6" t="n">
        <v>248.5</v>
      </c>
      <c r="E4" s="6" t="n">
        <v>317.6</v>
      </c>
      <c r="F4" s="6" t="n">
        <v>295.9</v>
      </c>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(as disclosed)</t>
        </is>
      </c>
      <c r="B4" s="6" t="n"/>
      <c r="C4" s="6" t="n"/>
      <c r="D4" s="6" t="n"/>
      <c r="E4" s="6" t="n"/>
      <c r="F4" s="6" t="n"/>
    </row>
    <row r="5">
      <c r="A5" s="6" t="inlineStr">
        <is>
          <t>Credit risk (excluding CCR/CVA)</t>
        </is>
      </c>
      <c r="B5" s="6" t="n">
        <v>249173</v>
      </c>
      <c r="C5" s="6" t="n">
        <v>208563</v>
      </c>
      <c r="D5" s="6" t="n">
        <v>220069</v>
      </c>
      <c r="E5" s="6" t="n">
        <v>289747</v>
      </c>
      <c r="F5" s="6" t="n"/>
    </row>
    <row r="6">
      <c r="A6" s="6" t="inlineStr">
        <is>
          <t>Counterparty credit risk (CCR/CVA)</t>
        </is>
      </c>
      <c r="B6" s="6" t="n">
        <v>0</v>
      </c>
      <c r="C6" s="6" t="n">
        <v>110</v>
      </c>
      <c r="D6" s="6" t="n">
        <v>151</v>
      </c>
      <c r="E6" s="6" t="n">
        <v>128</v>
      </c>
      <c r="F6" s="6" t="n"/>
    </row>
    <row r="7">
      <c r="A7" s="6" t="inlineStr">
        <is>
          <t>Operational risk</t>
        </is>
      </c>
      <c r="B7" s="6" t="n">
        <v>45747</v>
      </c>
      <c r="C7" s="6" t="n">
        <v>41433</v>
      </c>
      <c r="D7" s="6" t="n">
        <v>28314</v>
      </c>
      <c r="E7" s="6" t="n">
        <v>27678</v>
      </c>
      <c r="F7" s="6" t="n"/>
    </row>
    <row r="8">
      <c r="A8" s="5" t="inlineStr">
        <is>
          <t>Pre-OV1 ICAAP-basis TREA breakdown (FY2021)</t>
        </is>
      </c>
      <c r="B8" s="6" t="n"/>
      <c r="C8" s="6" t="n"/>
      <c r="D8" s="6" t="n"/>
      <c r="E8" s="6" t="n"/>
      <c r="F8" s="6" t="n"/>
    </row>
    <row r="9">
      <c r="A9" s="6" t="inlineStr">
        <is>
          <t>Credit Risk Component (on- and off-balance sheet combined)</t>
        </is>
      </c>
      <c r="B9" s="6" t="n"/>
      <c r="C9" s="6" t="n"/>
      <c r="D9" s="6" t="n"/>
      <c r="E9" s="6" t="n"/>
      <c r="F9" s="6" t="n">
        <v>264718</v>
      </c>
    </row>
    <row r="10">
      <c r="A10" s="6" t="inlineStr">
        <is>
          <t>Operational Risk Exposure Amount</t>
        </is>
      </c>
      <c r="B10" s="6" t="n"/>
      <c r="C10" s="6" t="n"/>
      <c r="D10" s="6" t="n"/>
      <c r="E10" s="6" t="n"/>
      <c r="F10" s="6" t="n">
        <v>31220</v>
      </c>
    </row>
    <row r="11">
      <c r="A11" s="6" t="inlineStr">
        <is>
          <t>Market risk</t>
        </is>
      </c>
      <c r="B11" s="6" t="n"/>
      <c r="C11" s="6" t="n"/>
      <c r="D11" s="6" t="n"/>
      <c r="E11" s="6" t="n"/>
      <c r="F11" s="6" t="n">
        <v>0</v>
      </c>
    </row>
    <row r="12">
      <c r="A12" s="6" t="inlineStr">
        <is>
          <t>CVA</t>
        </is>
      </c>
      <c r="B12" s="6" t="n"/>
      <c r="C12" s="6" t="n"/>
      <c r="D12" s="6" t="n"/>
      <c r="E12" s="6" t="n"/>
      <c r="F12" s="6" t="n">
        <v>0</v>
      </c>
    </row>
    <row r="13">
      <c r="A13" s="5" t="inlineStr">
        <is>
          <t>Total risk-weighted exposure amount</t>
        </is>
      </c>
      <c r="B13" s="5" t="n">
        <v>294920</v>
      </c>
      <c r="C13" s="5" t="n">
        <v>250107</v>
      </c>
      <c r="D13" s="5" t="n">
        <v>248534</v>
      </c>
      <c r="E13" s="5" t="n">
        <v>317552</v>
      </c>
      <c r="F13" s="5" t="n">
        <v>295938</v>
      </c>
    </row>
    <row r="15" ht="260" customHeight="1">
      <c r="A15" s="9"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F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excluding claims on central banks</t>
        </is>
      </c>
      <c r="B4" s="6" t="inlineStr">
        <is>
          <t>20.42%</t>
        </is>
      </c>
      <c r="C4" s="6" t="inlineStr">
        <is>
          <t>21.19%</t>
        </is>
      </c>
      <c r="D4" s="6" t="inlineStr">
        <is>
          <t>26.38%</t>
        </is>
      </c>
      <c r="E4" s="6" t="inlineStr">
        <is>
          <t>22.88%</t>
        </is>
      </c>
    </row>
    <row r="5" ht="60" customHeight="1">
      <c r="A5" s="7" t="inlineStr">
        <is>
          <t>Note: Not disclosed for FY2021 - the pre-KM1 Pillar 3 document lists Leverage Ratio as a tracked KPI but states no numeric value for any year in that edition.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316.67%</t>
        </is>
      </c>
      <c r="C4" s="6" t="inlineStr">
        <is>
          <t>335.52%</t>
        </is>
      </c>
      <c r="D4" s="6" t="inlineStr">
        <is>
          <t>390.70%</t>
        </is>
      </c>
      <c r="E4" s="6" t="inlineStr">
        <is>
          <t>468.51%</t>
        </is>
      </c>
    </row>
    <row r="5" ht="60" customHeight="1">
      <c r="A5" s="7" t="inlineStr">
        <is>
          <t>Note: Not disclosed for FY2021 - see Leverage Ratio sheet note (same pre-KM1 document limitation).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310.42%</t>
        </is>
      </c>
      <c r="C4" s="6" t="inlineStr">
        <is>
          <t>325.22%</t>
        </is>
      </c>
      <c r="D4" s="6" t="inlineStr">
        <is>
          <t>371.19%</t>
        </is>
      </c>
      <c r="E4" s="6" t="inlineStr">
        <is>
          <t>417.71%</t>
        </is>
      </c>
    </row>
    <row r="5" ht="60" customHeight="1">
      <c r="A5" s="7" t="inlineStr">
        <is>
          <t>Note: Not disclosed for FY2021 - see Leverage Ratio sheet note (same pre-KM1 document limitation).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published – zero 'MREL' in the FY2025 Pillar 3 and Annual Report (full text searched 2026-09-19)</t>
        </is>
      </c>
      <c r="C4" s="6" t="inlineStr">
        <is>
          <t>Not published – zero 'MREL' in the FY2024 Pillar 3 and Annual Report (full text searched 2026-09-19)</t>
        </is>
      </c>
      <c r="D4" s="6" t="inlineStr">
        <is>
          <t>Not published – zero 'MREL' in the FY2023 Pillar 3 and Annual Report (full text searched 2026-09-19)</t>
        </is>
      </c>
      <c r="E4" s="6" t="inlineStr">
        <is>
          <t>Not published – zero 'MREL' in the FY2022 Pillar 3 or the FY2023 edition carrying its comparatives (full text searched 2026-09-19)</t>
        </is>
      </c>
      <c r="F4" s="6" t="inlineStr">
        <is>
          <t>Not published – zero 'MREL' in the FY2021 Pillar 3 and Annual Report (full text searched 2026-09-19)</t>
        </is>
      </c>
      <c r="G4" s="6" t="inlineStr">
        <is>
          <t>Not published – zero 'MREL' in the FY2017 Annual Report (searched 2026-09-19); the bank's Pillar 3 index lists no edition before 2018</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 GA-020 RE-CHECK 2026-09-19: the Pillar 3 editions for 2021, 2022, 2023, 2024 and 2025 and the Annual Reports for 2017, 2021, 2023, 2024 and 2025 were full-text searched: zero 'MREL' or 'eligible liabilities' in any (46-80 'capital' hits each); the only 'loss absorbing' hit is the KM1 preamble phrase 'significant loss absorbing and underwriting capacity'.</t>
        </is>
      </c>
    </row>
    <row r="7" ht="15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2026-10-08T23:27:14Z</dcterms:created>
  <dcterms:modified xmlns:dcterms="http://purl.org/dc/terms/" xmlns:xsi="http://www.w3.org/2001/XMLSchema-instance" xsi:type="dcterms:W3CDTF">2026-10-08T23:27:14Z</dcterms:modified>
</cp:coreProperties>
</file>