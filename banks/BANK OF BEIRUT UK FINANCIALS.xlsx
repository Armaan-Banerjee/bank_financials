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B4226"/>
        <bgColor rgb="006B422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3" fillId="2" borderId="1" applyAlignment="1" pivotButton="0" quotePrefix="0" xfId="0">
      <alignment horizontal="left" vertical="center"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of Beirut (UK) Ltd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of Beirut (UK) Ltd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of Beirut (UK) Ltd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'Overview'!$AC$18:$AG$18</f>
            </numRef>
          </cat>
          <val>
            <numRef>
              <f>'Overview'!$AC$19:$AG$19</f>
            </numRef>
          </val>
        </ser>
        <ser>
          <idx val="1"/>
          <order val="1"/>
          <tx>
            <strRef>
              <f>'Overview'!AB20</f>
            </strRef>
          </tx>
          <spPr>
            <a:ln xmlns:a="http://schemas.openxmlformats.org/drawingml/2006/main">
              <a:prstDash val="solid"/>
            </a:ln>
          </spPr>
          <cat>
            <numRef>
              <f>'Overview'!$AC$18:$AG$18</f>
            </numRef>
          </cat>
          <val>
            <numRef>
              <f>'Overview'!$AC$20:$AG$20</f>
            </numRef>
          </val>
        </ser>
        <ser>
          <idx val="2"/>
          <order val="2"/>
          <tx>
            <strRef>
              <f>'Overview'!AB21</f>
            </strRef>
          </tx>
          <spPr>
            <a:ln xmlns:a="http://schemas.openxmlformats.org/drawingml/2006/main">
              <a:prstDash val="solid"/>
            </a:ln>
          </spPr>
          <cat>
            <numRef>
              <f>'Overview'!$AC$18:$AG$18</f>
            </numRef>
          </cat>
          <val>
            <numRef>
              <f>'Overview'!$AC$21:$AG$21</f>
            </numRef>
          </val>
        </ser>
        <ser>
          <idx val="3"/>
          <order val="3"/>
          <tx>
            <strRef>
              <f>'Overview'!AB22</f>
            </strRef>
          </tx>
          <spPr>
            <a:ln xmlns:a="http://schemas.openxmlformats.org/drawingml/2006/main">
              <a:prstDash val="solid"/>
            </a:ln>
          </spPr>
          <cat>
            <numRef>
              <f>'Overview'!$AC$18:$AG$18</f>
            </numRef>
          </cat>
          <val>
            <numRef>
              <f>'Overview'!$AC$22:$AG$22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of Beirut (UK) Ltd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'Overview'!AJ26</f>
            </strRef>
          </tx>
          <spPr>
            <a:ln xmlns:a="http://schemas.openxmlformats.org/drawingml/2006/main">
              <a:prstDash val="solid"/>
            </a:ln>
          </spPr>
          <cat>
            <numRef>
              <f>'Overview'!$AK$25:$AP$25</f>
            </numRef>
          </cat>
          <val>
            <numRef>
              <f>'Overview'!$AK$26:$AP$26</f>
            </numRef>
          </val>
        </ser>
        <ser>
          <idx val="1"/>
          <order val="1"/>
          <tx>
            <strRef>
              <f>'Overview'!AJ27</f>
            </strRef>
          </tx>
          <spPr>
            <a:ln xmlns:a="http://schemas.openxmlformats.org/drawingml/2006/main">
              <a:prstDash val="solid"/>
            </a:ln>
          </spPr>
          <cat>
            <numRef>
              <f>'Overview'!$AK$25:$AP$25</f>
            </numRef>
          </cat>
          <val>
            <numRef>
              <f>'Overview'!$AK$27:$AP$27</f>
            </numRef>
          </val>
        </ser>
        <ser>
          <idx val="2"/>
          <order val="2"/>
          <tx>
            <strRef>
              <f>'Overview'!AJ28</f>
            </strRef>
          </tx>
          <spPr>
            <a:ln xmlns:a="http://schemas.openxmlformats.org/drawingml/2006/main">
              <a:prstDash val="solid"/>
            </a:ln>
          </spPr>
          <cat>
            <numRef>
              <f>'Overview'!$AK$25:$AP$25</f>
            </numRef>
          </cat>
          <val>
            <numRef>
              <f>'Overview'!$AK$28:$AP$28</f>
            </numRef>
          </val>
        </ser>
        <ser>
          <idx val="3"/>
          <order val="3"/>
          <tx>
            <strRef>
              <f>'Overview'!AJ29</f>
            </strRef>
          </tx>
          <spPr>
            <a:ln xmlns:a="http://schemas.openxmlformats.org/drawingml/2006/main">
              <a:prstDash val="solid"/>
            </a:ln>
          </spPr>
          <cat>
            <numRef>
              <f>'Overview'!$AK$25:$AP$25</f>
            </numRef>
          </cat>
          <val>
            <numRef>
              <f>'Overview'!$AK$29:$AP$29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£'000s</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of Beirut (UK) Ltd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'Overview'!AS6</f>
            </strRef>
          </tx>
          <spPr>
            <a:ln xmlns:a="http://schemas.openxmlformats.org/drawingml/2006/main">
              <a:prstDash val="solid"/>
            </a:ln>
          </spPr>
          <marker>
            <symbol val="none"/>
            <spPr>
              <a:ln xmlns:a="http://schemas.openxmlformats.org/drawingml/2006/main">
                <a:prstDash val="solid"/>
              </a:ln>
            </spPr>
          </marker>
          <cat>
            <numRef>
              <f>'Overview'!$AT$5:$AX$5</f>
            </numRef>
          </cat>
          <val>
            <numRef>
              <f>'Overview'!$AT$6:$AX$6</f>
            </numRef>
          </val>
          <smooth val="0"/>
        </ser>
        <ser>
          <idx val="1"/>
          <order val="1"/>
          <tx>
            <strRef>
              <f>'Overview'!AS7</f>
            </strRef>
          </tx>
          <spPr>
            <a:ln xmlns:a="http://schemas.openxmlformats.org/drawingml/2006/main">
              <a:prstDash val="solid"/>
            </a:ln>
          </spPr>
          <marker>
            <symbol val="none"/>
            <spPr>
              <a:ln xmlns:a="http://schemas.openxmlformats.org/drawingml/2006/main">
                <a:prstDash val="solid"/>
              </a:ln>
            </spPr>
          </marker>
          <cat>
            <numRef>
              <f>'Overview'!$AT$5:$AX$5</f>
            </numRef>
          </cat>
          <val>
            <numRef>
              <f>'Overview'!$AT$7:$AX$7</f>
            </numRef>
          </val>
          <smooth val="0"/>
        </ser>
        <ser>
          <idx val="2"/>
          <order val="2"/>
          <tx>
            <strRef>
              <f>'Overview'!AS8</f>
            </strRef>
          </tx>
          <spPr>
            <a:ln xmlns:a="http://schemas.openxmlformats.org/drawingml/2006/main">
              <a:prstDash val="solid"/>
            </a:ln>
          </spPr>
          <marker>
            <symbol val="none"/>
            <spPr>
              <a:ln xmlns:a="http://schemas.openxmlformats.org/drawingml/2006/main">
                <a:prstDash val="solid"/>
              </a:ln>
            </spPr>
          </marker>
          <cat>
            <numRef>
              <f>'Overview'!$AT$5:$AX$5</f>
            </numRef>
          </cat>
          <val>
            <numRef>
              <f>'Overview'!$AT$8:$AX$8</f>
            </numRef>
          </val>
          <smooth val="0"/>
        </ser>
        <ser>
          <idx val="3"/>
          <order val="3"/>
          <tx>
            <strRef>
              <f>'Overview'!AS9</f>
            </strRef>
          </tx>
          <spPr>
            <a:ln xmlns:a="http://schemas.openxmlformats.org/drawingml/2006/main">
              <a:prstDash val="solid"/>
            </a:ln>
          </spPr>
          <marker>
            <symbol val="none"/>
            <spPr>
              <a:ln xmlns:a="http://schemas.openxmlformats.org/drawingml/2006/main">
                <a:prstDash val="solid"/>
              </a:ln>
            </spPr>
          </marker>
          <cat>
            <numRef>
              <f>'Overview'!$AT$5:$AX$5</f>
            </numRef>
          </cat>
          <val>
            <numRef>
              <f>'Overview'!$AT$9:$AX$9</f>
            </numRef>
          </val>
          <smooth val="0"/>
        </ser>
        <ser>
          <idx val="4"/>
          <order val="4"/>
          <tx>
            <strRef>
              <f>'Overview'!AS10</f>
            </strRef>
          </tx>
          <spPr>
            <a:ln xmlns:a="http://schemas.openxmlformats.org/drawingml/2006/main">
              <a:prstDash val="solid"/>
            </a:ln>
          </spPr>
          <marker>
            <symbol val="none"/>
            <spPr>
              <a:ln xmlns:a="http://schemas.openxmlformats.org/drawingml/2006/main">
                <a:prstDash val="solid"/>
              </a:ln>
            </spPr>
          </marker>
          <cat>
            <numRef>
              <f>'Overview'!$AT$5:$AX$5</f>
            </numRef>
          </cat>
          <val>
            <numRef>
              <f>'Overview'!$AT$10:$AX$10</f>
            </numRef>
          </val>
          <smooth val="0"/>
        </ser>
        <ser>
          <idx val="5"/>
          <order val="5"/>
          <tx>
            <strRef>
              <f>'Overview'!AS11</f>
            </strRef>
          </tx>
          <spPr>
            <a:ln xmlns:a="http://schemas.openxmlformats.org/drawingml/2006/main">
              <a:prstDash val="solid"/>
            </a:ln>
          </spPr>
          <marker>
            <symbol val="none"/>
            <spPr>
              <a:ln xmlns:a="http://schemas.openxmlformats.org/drawingml/2006/main">
                <a:prstDash val="solid"/>
              </a:ln>
            </spPr>
          </marker>
          <cat>
            <numRef>
              <f>'Overview'!$AT$5:$AX$5</f>
            </numRef>
          </cat>
          <val>
            <numRef>
              <f>'Overview'!$AT$11:$AX$11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X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s>
  <sheetData>
    <row r="1">
      <c r="A1" s="1" t="inlineStr">
        <is>
          <t>Bank of Beirut (UK) Ltd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(£'000s)</t>
        </is>
      </c>
    </row>
    <row r="5">
      <c r="A5" s="4" t="inlineStr">
        <is>
          <t>Line item</t>
        </is>
      </c>
      <c r="B5" s="4" t="inlineStr">
        <is>
          <t>FY2025</t>
        </is>
      </c>
      <c r="C5" s="4" t="inlineStr">
        <is>
          <t>FY2024</t>
        </is>
      </c>
      <c r="D5" s="4" t="inlineStr">
        <is>
          <t>FY2023</t>
        </is>
      </c>
      <c r="E5" s="4" t="inlineStr">
        <is>
          <t>FY2022</t>
        </is>
      </c>
      <c r="F5" s="4" t="inlineStr">
        <is>
          <t>FY2021</t>
        </is>
      </c>
      <c r="G5" s="4" t="inlineStr">
        <is>
          <t>FY2017</t>
        </is>
      </c>
      <c r="K5" t="inlineStr">
        <is>
          <t>FY2017</t>
        </is>
      </c>
      <c r="L5" t="inlineStr">
        <is>
          <t>FY2021</t>
        </is>
      </c>
      <c r="M5" t="inlineStr">
        <is>
          <t>FY2022</t>
        </is>
      </c>
      <c r="N5" t="inlineStr">
        <is>
          <t>FY2023</t>
        </is>
      </c>
      <c r="O5" t="inlineStr">
        <is>
          <t>FY2024</t>
        </is>
      </c>
      <c r="P5" t="inlineStr">
        <is>
          <t>FY2025</t>
        </is>
      </c>
      <c r="AT5" t="inlineStr">
        <is>
          <t>FY2021</t>
        </is>
      </c>
      <c r="AU5" t="inlineStr">
        <is>
          <t>FY2022</t>
        </is>
      </c>
      <c r="AV5" t="inlineStr">
        <is>
          <t>FY2023</t>
        </is>
      </c>
      <c r="AW5" t="inlineStr">
        <is>
          <t>FY2024</t>
        </is>
      </c>
      <c r="AX5" t="inlineStr">
        <is>
          <t>FY2025</t>
        </is>
      </c>
    </row>
    <row r="6">
      <c r="A6" s="5" t="inlineStr">
        <is>
          <t>Total assets</t>
        </is>
      </c>
      <c r="B6" s="5" t="n">
        <v>502094</v>
      </c>
      <c r="C6" s="5" t="n">
        <v>482771</v>
      </c>
      <c r="D6" s="5" t="n">
        <v>367529</v>
      </c>
      <c r="E6" s="5" t="n">
        <v>406004</v>
      </c>
      <c r="F6" s="5" t="n">
        <v>410239</v>
      </c>
      <c r="G6" s="5" t="n">
        <v>520774</v>
      </c>
      <c r="J6" t="inlineStr">
        <is>
          <t>Total assets</t>
        </is>
      </c>
      <c r="K6" t="n">
        <v>520774</v>
      </c>
      <c r="L6" t="n">
        <v>410239</v>
      </c>
      <c r="M6" t="n">
        <v>406004</v>
      </c>
      <c r="N6" t="n">
        <v>367529</v>
      </c>
      <c r="O6" t="n">
        <v>482771</v>
      </c>
      <c r="P6" t="n">
        <v>502094</v>
      </c>
      <c r="AS6" t="inlineStr">
        <is>
          <t>CET1 Ratio</t>
        </is>
      </c>
      <c r="AT6" t="n">
        <v>35.14</v>
      </c>
      <c r="AU6" t="n">
        <v>32.49</v>
      </c>
      <c r="AV6" t="n">
        <v>42.56</v>
      </c>
      <c r="AW6" t="n">
        <v>43.57</v>
      </c>
      <c r="AX6" t="n">
        <v>37.49</v>
      </c>
    </row>
    <row r="7">
      <c r="A7" s="5" t="inlineStr">
        <is>
          <t>Loans and advances to customers</t>
        </is>
      </c>
      <c r="B7" s="5" t="n">
        <v>144331</v>
      </c>
      <c r="C7" s="5" t="n">
        <v>121491</v>
      </c>
      <c r="D7" s="5" t="n">
        <v>121214</v>
      </c>
      <c r="E7" s="5" t="n">
        <v>161651</v>
      </c>
      <c r="F7" s="5" t="n">
        <v>128986</v>
      </c>
      <c r="G7" s="5" t="n">
        <v>178336</v>
      </c>
      <c r="J7" t="inlineStr">
        <is>
          <t>Loans and advances to customers</t>
        </is>
      </c>
      <c r="K7" t="n">
        <v>178336</v>
      </c>
      <c r="L7" t="n">
        <v>128986</v>
      </c>
      <c r="M7" t="n">
        <v>161651</v>
      </c>
      <c r="N7" t="n">
        <v>121214</v>
      </c>
      <c r="O7" t="n">
        <v>121491</v>
      </c>
      <c r="P7" t="n">
        <v>144331</v>
      </c>
      <c r="AS7" t="inlineStr">
        <is>
          <t>Tier 1 Ratio</t>
        </is>
      </c>
      <c r="AT7" t="n">
        <v>35.14</v>
      </c>
      <c r="AU7" t="n">
        <v>32.49</v>
      </c>
      <c r="AV7" t="n">
        <v>42.56</v>
      </c>
      <c r="AW7" t="n">
        <v>43.57</v>
      </c>
      <c r="AX7" t="n">
        <v>37.49</v>
      </c>
    </row>
    <row r="8">
      <c r="A8" s="5" t="inlineStr">
        <is>
          <t>Customer accounts</t>
        </is>
      </c>
      <c r="B8" s="5" t="n">
        <v>167175</v>
      </c>
      <c r="C8" s="5" t="n">
        <v>167963</v>
      </c>
      <c r="D8" s="5" t="n">
        <v>137387</v>
      </c>
      <c r="E8" s="5" t="n">
        <v>175446</v>
      </c>
      <c r="F8" s="5" t="n">
        <v>173317</v>
      </c>
      <c r="G8" s="5" t="n">
        <v>92397</v>
      </c>
      <c r="J8" t="inlineStr">
        <is>
          <t>Customer accounts</t>
        </is>
      </c>
      <c r="K8" t="n">
        <v>92397</v>
      </c>
      <c r="L8" t="n">
        <v>173317</v>
      </c>
      <c r="M8" t="n">
        <v>175446</v>
      </c>
      <c r="N8" t="n">
        <v>137387</v>
      </c>
      <c r="O8" t="n">
        <v>167963</v>
      </c>
      <c r="P8" t="n">
        <v>167175</v>
      </c>
      <c r="AS8" t="inlineStr">
        <is>
          <t>Total Capital Ratio</t>
        </is>
      </c>
      <c r="AT8" t="n">
        <v>45.5</v>
      </c>
      <c r="AU8" t="n">
        <v>42.14</v>
      </c>
      <c r="AV8" t="n">
        <v>48.87</v>
      </c>
      <c r="AW8" t="n">
        <v>49.95</v>
      </c>
      <c r="AX8" t="n">
        <v>41.93</v>
      </c>
    </row>
    <row r="9">
      <c r="A9" s="5" t="inlineStr">
        <is>
          <t>Total equity</t>
        </is>
      </c>
      <c r="B9" s="5" t="n">
        <v>122976</v>
      </c>
      <c r="C9" s="5" t="n">
        <v>120214</v>
      </c>
      <c r="D9" s="5" t="n">
        <v>114995</v>
      </c>
      <c r="E9" s="5" t="n">
        <v>108084</v>
      </c>
      <c r="F9" s="5" t="n">
        <v>104908</v>
      </c>
      <c r="G9" s="5" t="n">
        <v>96604</v>
      </c>
      <c r="J9" t="inlineStr">
        <is>
          <t>Total equity</t>
        </is>
      </c>
      <c r="K9" t="n">
        <v>96604</v>
      </c>
      <c r="L9" t="n">
        <v>104908</v>
      </c>
      <c r="M9" t="n">
        <v>108084</v>
      </c>
      <c r="N9" t="n">
        <v>114995</v>
      </c>
      <c r="O9" t="n">
        <v>120214</v>
      </c>
      <c r="P9" t="n">
        <v>122976</v>
      </c>
      <c r="AS9" t="inlineStr">
        <is>
          <t>Leverage Ratio</t>
        </is>
      </c>
      <c r="AU9" t="n">
        <v>22.88</v>
      </c>
      <c r="AV9" t="n">
        <v>26.38</v>
      </c>
      <c r="AW9" t="n">
        <v>21.19</v>
      </c>
      <c r="AX9" t="n">
        <v>20.42</v>
      </c>
    </row>
    <row r="10">
      <c r="AS10" t="inlineStr">
        <is>
          <t>LCR</t>
        </is>
      </c>
      <c r="AU10" t="n">
        <v>468.51</v>
      </c>
      <c r="AV10" t="n">
        <v>390.7</v>
      </c>
      <c r="AW10" t="n">
        <v>335.52</v>
      </c>
      <c r="AX10" t="n">
        <v>316.67</v>
      </c>
    </row>
    <row r="11">
      <c r="A11" s="3" t="inlineStr">
        <is>
          <t>Profit &amp; Loss Summary (£'000s)</t>
        </is>
      </c>
      <c r="AS11" t="inlineStr">
        <is>
          <t>NSFR</t>
        </is>
      </c>
      <c r="AU11" t="n">
        <v>417.71</v>
      </c>
      <c r="AV11" t="n">
        <v>371.19</v>
      </c>
      <c r="AW11" t="n">
        <v>325.22</v>
      </c>
      <c r="AX11" t="n">
        <v>310.42</v>
      </c>
    </row>
    <row r="12">
      <c r="A12" s="4" t="inlineStr">
        <is>
          <t>Line item</t>
        </is>
      </c>
      <c r="B12" s="4" t="inlineStr">
        <is>
          <t>FY2025</t>
        </is>
      </c>
      <c r="C12" s="4" t="inlineStr">
        <is>
          <t>FY2024</t>
        </is>
      </c>
      <c r="D12" s="4" t="inlineStr">
        <is>
          <t>FY2023</t>
        </is>
      </c>
      <c r="E12" s="4" t="inlineStr">
        <is>
          <t>FY2022</t>
        </is>
      </c>
      <c r="F12" s="4" t="inlineStr">
        <is>
          <t>FY2021</t>
        </is>
      </c>
      <c r="G12" s="4" t="inlineStr">
        <is>
          <t>FY2017</t>
        </is>
      </c>
      <c r="T12" t="inlineStr">
        <is>
          <t>FY2017</t>
        </is>
      </c>
      <c r="U12" t="inlineStr">
        <is>
          <t>FY2021</t>
        </is>
      </c>
      <c r="V12" t="inlineStr">
        <is>
          <t>FY2022</t>
        </is>
      </c>
      <c r="W12" t="inlineStr">
        <is>
          <t>FY2023</t>
        </is>
      </c>
      <c r="X12" t="inlineStr">
        <is>
          <t>FY2024</t>
        </is>
      </c>
      <c r="Y12" t="inlineStr">
        <is>
          <t>FY2025</t>
        </is>
      </c>
    </row>
    <row r="13">
      <c r="A13" s="5" t="inlineStr">
        <is>
          <t>Total income</t>
        </is>
      </c>
      <c r="B13" s="5" t="n">
        <v>24232</v>
      </c>
      <c r="C13" s="5" t="n">
        <v>25029</v>
      </c>
      <c r="D13" s="5" t="n">
        <v>23935</v>
      </c>
      <c r="E13" s="5" t="n">
        <v>17329</v>
      </c>
      <c r="F13" s="5" t="n">
        <v>11625</v>
      </c>
      <c r="G13" s="5" t="n">
        <v>18018</v>
      </c>
      <c r="S13" t="inlineStr">
        <is>
          <t>Total income</t>
        </is>
      </c>
      <c r="T13" t="n">
        <v>18018</v>
      </c>
      <c r="U13" t="n">
        <v>11625</v>
      </c>
      <c r="V13" t="n">
        <v>17329</v>
      </c>
      <c r="W13" t="n">
        <v>23935</v>
      </c>
      <c r="X13" t="n">
        <v>25029</v>
      </c>
      <c r="Y13" t="n">
        <v>24232</v>
      </c>
    </row>
    <row r="14">
      <c r="A14" s="5" t="inlineStr">
        <is>
          <t>Administrative expenses</t>
        </is>
      </c>
      <c r="B14" s="5" t="n">
        <v>-14398</v>
      </c>
      <c r="C14" s="5" t="n">
        <v>-12234</v>
      </c>
      <c r="D14" s="5" t="n">
        <v>-11303</v>
      </c>
      <c r="E14" s="5" t="n">
        <v>-9666</v>
      </c>
      <c r="F14" s="5" t="n">
        <v>-9127</v>
      </c>
      <c r="G14" s="5" t="n">
        <v>-8149</v>
      </c>
      <c r="S14" t="inlineStr">
        <is>
          <t>Administrative expenses</t>
        </is>
      </c>
      <c r="T14" t="n">
        <v>-8149</v>
      </c>
      <c r="U14" t="n">
        <v>-9127</v>
      </c>
      <c r="V14" t="n">
        <v>-9666</v>
      </c>
      <c r="W14" t="n">
        <v>-11303</v>
      </c>
      <c r="X14" t="n">
        <v>-12234</v>
      </c>
      <c r="Y14" t="n">
        <v>-14398</v>
      </c>
    </row>
    <row r="15">
      <c r="A15" s="5" t="inlineStr">
        <is>
          <t>Profit for the year</t>
        </is>
      </c>
      <c r="B15" s="5" t="n">
        <v>7597</v>
      </c>
      <c r="C15" s="5" t="n">
        <v>9670</v>
      </c>
      <c r="D15" s="5" t="n">
        <v>8899</v>
      </c>
      <c r="E15" s="5" t="n">
        <v>3976</v>
      </c>
      <c r="F15" s="5" t="n">
        <v>1420</v>
      </c>
      <c r="G15" s="5" t="n">
        <v>7426</v>
      </c>
      <c r="S15" t="inlineStr">
        <is>
          <t>Profit for the year</t>
        </is>
      </c>
      <c r="T15" t="n">
        <v>7426</v>
      </c>
      <c r="U15" t="n">
        <v>1420</v>
      </c>
      <c r="V15" t="n">
        <v>3976</v>
      </c>
      <c r="W15" t="n">
        <v>8899</v>
      </c>
      <c r="X15" t="n">
        <v>9670</v>
      </c>
      <c r="Y15" t="n">
        <v>7597</v>
      </c>
    </row>
    <row r="17">
      <c r="A17" s="3" t="inlineStr">
        <is>
          <t>Statement of Changes in Equity Summary (£'000s)</t>
        </is>
      </c>
    </row>
    <row r="18">
      <c r="A18" s="4" t="inlineStr">
        <is>
          <t>Line item</t>
        </is>
      </c>
      <c r="B18" s="4" t="inlineStr">
        <is>
          <t>FY2025</t>
        </is>
      </c>
      <c r="C18" s="4" t="inlineStr">
        <is>
          <t>FY2024</t>
        </is>
      </c>
      <c r="D18" s="4" t="inlineStr">
        <is>
          <t>FY2023</t>
        </is>
      </c>
      <c r="E18" s="4" t="inlineStr">
        <is>
          <t>FY2022</t>
        </is>
      </c>
      <c r="F18" s="4" t="inlineStr">
        <is>
          <t>FY2021</t>
        </is>
      </c>
      <c r="AC18" t="inlineStr">
        <is>
          <t>FY2021</t>
        </is>
      </c>
      <c r="AD18" t="inlineStr">
        <is>
          <t>FY2022</t>
        </is>
      </c>
      <c r="AE18" t="inlineStr">
        <is>
          <t>FY2023</t>
        </is>
      </c>
      <c r="AF18" t="inlineStr">
        <is>
          <t>FY2024</t>
        </is>
      </c>
      <c r="AG18" t="inlineStr">
        <is>
          <t>FY2025</t>
        </is>
      </c>
    </row>
    <row r="19">
      <c r="A19" s="5" t="inlineStr">
        <is>
          <t>Opening equity</t>
        </is>
      </c>
      <c r="B19" s="5" t="n">
        <v>120214</v>
      </c>
      <c r="C19" s="5" t="n">
        <v>114995</v>
      </c>
      <c r="D19" s="5" t="n">
        <v>108084</v>
      </c>
      <c r="E19" s="5" t="n">
        <v>104908</v>
      </c>
      <c r="F19" s="5" t="n">
        <v>103478</v>
      </c>
      <c r="AB19" t="inlineStr">
        <is>
          <t>Opening equity</t>
        </is>
      </c>
      <c r="AC19" t="n">
        <v>103478</v>
      </c>
      <c r="AD19" t="n">
        <v>104908</v>
      </c>
      <c r="AE19" t="n">
        <v>108084</v>
      </c>
      <c r="AF19" t="n">
        <v>114995</v>
      </c>
      <c r="AG19" t="n">
        <v>120214</v>
      </c>
    </row>
    <row r="20">
      <c r="A20" s="5" t="inlineStr">
        <is>
          <t>Total comprehensive income for the year</t>
        </is>
      </c>
      <c r="B20" s="5" t="n">
        <v>7597</v>
      </c>
      <c r="C20" s="5" t="n">
        <v>9670</v>
      </c>
      <c r="D20" s="5" t="n">
        <v>8899</v>
      </c>
      <c r="E20" s="5" t="n">
        <v>3978</v>
      </c>
      <c r="F20" s="5" t="n">
        <v>1430</v>
      </c>
      <c r="AB20" t="inlineStr">
        <is>
          <t>Total comprehensive income for the year</t>
        </is>
      </c>
      <c r="AC20" t="n">
        <v>1430</v>
      </c>
      <c r="AD20" t="n">
        <v>3978</v>
      </c>
      <c r="AE20" t="n">
        <v>8899</v>
      </c>
      <c r="AF20" t="n">
        <v>9670</v>
      </c>
      <c r="AG20" t="n">
        <v>7597</v>
      </c>
    </row>
    <row r="21">
      <c r="A21" s="5" t="inlineStr">
        <is>
          <t>Other movements, net</t>
        </is>
      </c>
      <c r="B21" s="5" t="n">
        <v>-4835</v>
      </c>
      <c r="C21" s="5" t="n">
        <v>-4451</v>
      </c>
      <c r="D21" s="5" t="n">
        <v>-1988</v>
      </c>
      <c r="E21" s="5" t="n">
        <v>-802</v>
      </c>
      <c r="F21" s="5" t="n">
        <v>0</v>
      </c>
      <c r="AB21" t="inlineStr">
        <is>
          <t>Other movements, net</t>
        </is>
      </c>
      <c r="AC21" t="n">
        <v>0</v>
      </c>
      <c r="AD21" t="n">
        <v>-802</v>
      </c>
      <c r="AE21" t="n">
        <v>-1988</v>
      </c>
      <c r="AF21" t="n">
        <v>-4451</v>
      </c>
      <c r="AG21" t="n">
        <v>-4835</v>
      </c>
    </row>
    <row r="22">
      <c r="A22" s="5" t="inlineStr">
        <is>
          <t>Closing equity</t>
        </is>
      </c>
      <c r="B22" s="5" t="n">
        <v>122976</v>
      </c>
      <c r="C22" s="5" t="n">
        <v>120214</v>
      </c>
      <c r="D22" s="5" t="n">
        <v>114995</v>
      </c>
      <c r="E22" s="5" t="n">
        <v>108084</v>
      </c>
      <c r="F22" s="5" t="n">
        <v>104908</v>
      </c>
      <c r="AB22" t="inlineStr">
        <is>
          <t>Closing equity</t>
        </is>
      </c>
      <c r="AC22" t="n">
        <v>104908</v>
      </c>
      <c r="AD22" t="n">
        <v>108084</v>
      </c>
      <c r="AE22" t="n">
        <v>114995</v>
      </c>
      <c r="AF22" t="n">
        <v>120214</v>
      </c>
      <c r="AG22" t="n">
        <v>122976</v>
      </c>
    </row>
    <row r="24">
      <c r="A24" s="3" t="inlineStr">
        <is>
          <t>Cash Flow Summary (£'000s)</t>
        </is>
      </c>
    </row>
    <row r="25">
      <c r="A25" s="4" t="inlineStr">
        <is>
          <t>Line item</t>
        </is>
      </c>
      <c r="B25" s="4" t="inlineStr">
        <is>
          <t>FY2025</t>
        </is>
      </c>
      <c r="C25" s="4" t="inlineStr">
        <is>
          <t>FY2024</t>
        </is>
      </c>
      <c r="D25" s="4" t="inlineStr">
        <is>
          <t>FY2023</t>
        </is>
      </c>
      <c r="E25" s="4" t="inlineStr">
        <is>
          <t>FY2022</t>
        </is>
      </c>
      <c r="F25" s="4" t="inlineStr">
        <is>
          <t>FY2021</t>
        </is>
      </c>
      <c r="G25" s="4" t="inlineStr">
        <is>
          <t>FY2017</t>
        </is>
      </c>
      <c r="AK25" t="inlineStr">
        <is>
          <t>FY2017</t>
        </is>
      </c>
      <c r="AL25" t="inlineStr">
        <is>
          <t>FY2021</t>
        </is>
      </c>
      <c r="AM25" t="inlineStr">
        <is>
          <t>FY2022</t>
        </is>
      </c>
      <c r="AN25" t="inlineStr">
        <is>
          <t>FY2023</t>
        </is>
      </c>
      <c r="AO25" t="inlineStr">
        <is>
          <t>FY2024</t>
        </is>
      </c>
      <c r="AP25" t="inlineStr">
        <is>
          <t>FY2025</t>
        </is>
      </c>
    </row>
    <row r="26">
      <c r="A26" s="5" t="inlineStr">
        <is>
          <t>Net cash (used in)/generated from operating activities</t>
        </is>
      </c>
      <c r="B26" s="5" t="n">
        <v>-529</v>
      </c>
      <c r="C26" s="5" t="n">
        <v>121755</v>
      </c>
      <c r="D26" s="5" t="n">
        <v>22662</v>
      </c>
      <c r="E26" s="5" t="n">
        <v>-25122</v>
      </c>
      <c r="F26" s="5" t="n">
        <v>15041</v>
      </c>
      <c r="G26" s="5" t="n"/>
      <c r="AJ26" t="inlineStr">
        <is>
          <t>Net cash (used in)/generated from operating activities</t>
        </is>
      </c>
      <c r="AL26" t="n">
        <v>15041</v>
      </c>
      <c r="AM26" t="n">
        <v>-25122</v>
      </c>
      <c r="AN26" t="n">
        <v>22662</v>
      </c>
      <c r="AO26" t="n">
        <v>121755</v>
      </c>
      <c r="AP26" t="n">
        <v>-529</v>
      </c>
    </row>
    <row r="27">
      <c r="A27" s="5" t="inlineStr">
        <is>
          <t>Net cash (used in)/generated from investing activities</t>
        </is>
      </c>
      <c r="B27" s="5" t="n">
        <v>-19394</v>
      </c>
      <c r="C27" s="5" t="n">
        <v>-19841</v>
      </c>
      <c r="D27" s="5" t="n">
        <v>-5459</v>
      </c>
      <c r="E27" s="5" t="n">
        <v>-7171</v>
      </c>
      <c r="F27" s="5" t="n">
        <v>318</v>
      </c>
      <c r="G27" s="5" t="n"/>
      <c r="AJ27" t="inlineStr">
        <is>
          <t>Net cash (used in)/generated from investing activities</t>
        </is>
      </c>
      <c r="AL27" t="n">
        <v>318</v>
      </c>
      <c r="AM27" t="n">
        <v>-7171</v>
      </c>
      <c r="AN27" t="n">
        <v>-5459</v>
      </c>
      <c r="AO27" t="n">
        <v>-19841</v>
      </c>
      <c r="AP27" t="n">
        <v>-19394</v>
      </c>
    </row>
    <row r="28">
      <c r="A28" s="5" t="inlineStr">
        <is>
          <t>Net cash (used in)/generated from financing activities</t>
        </is>
      </c>
      <c r="B28" s="5" t="n">
        <v>-4991</v>
      </c>
      <c r="C28" s="5" t="n">
        <v>-4586</v>
      </c>
      <c r="D28" s="5" t="n">
        <v>-19544</v>
      </c>
      <c r="E28" s="5" t="n">
        <v>-944</v>
      </c>
      <c r="F28" s="5" t="n">
        <v>-148</v>
      </c>
      <c r="G28" s="5" t="n"/>
      <c r="AJ28" t="inlineStr">
        <is>
          <t>Net cash (used in)/generated from financing activities</t>
        </is>
      </c>
      <c r="AL28" t="n">
        <v>-148</v>
      </c>
      <c r="AM28" t="n">
        <v>-944</v>
      </c>
      <c r="AN28" t="n">
        <v>-19544</v>
      </c>
      <c r="AO28" t="n">
        <v>-4586</v>
      </c>
      <c r="AP28" t="n">
        <v>-4991</v>
      </c>
    </row>
    <row r="29">
      <c r="A29" s="5" t="inlineStr">
        <is>
          <t>Cash and cash equivalents at end of year</t>
        </is>
      </c>
      <c r="B29" s="5" t="n">
        <v>254772</v>
      </c>
      <c r="C29" s="5" t="n">
        <v>139857</v>
      </c>
      <c r="D29" s="5" t="n">
        <v>97313</v>
      </c>
      <c r="E29" s="5" t="n">
        <v>97866</v>
      </c>
      <c r="F29" s="5" t="n">
        <v>134557</v>
      </c>
      <c r="G29" s="5" t="n">
        <v>105686</v>
      </c>
      <c r="AJ29" t="inlineStr">
        <is>
          <t>Cash and cash equivalents at end of year</t>
        </is>
      </c>
      <c r="AK29" t="n">
        <v>105686</v>
      </c>
      <c r="AL29" t="n">
        <v>134557</v>
      </c>
      <c r="AM29" t="n">
        <v>97866</v>
      </c>
      <c r="AN29" t="n">
        <v>97313</v>
      </c>
      <c r="AO29" t="n">
        <v>139857</v>
      </c>
      <c r="AP29" t="n">
        <v>254772</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37.49%</t>
        </is>
      </c>
      <c r="C33" s="6" t="inlineStr">
        <is>
          <t>43.57%</t>
        </is>
      </c>
      <c r="D33" s="6" t="inlineStr">
        <is>
          <t>42.56%</t>
        </is>
      </c>
      <c r="E33" s="6" t="inlineStr">
        <is>
          <t>32.49%</t>
        </is>
      </c>
      <c r="F33" s="6" t="inlineStr">
        <is>
          <t>35.14%</t>
        </is>
      </c>
    </row>
    <row r="34">
      <c r="A34" s="6" t="inlineStr">
        <is>
          <t>Tier 1 Ratio</t>
        </is>
      </c>
      <c r="B34" s="6" t="inlineStr">
        <is>
          <t>37.49%</t>
        </is>
      </c>
      <c r="C34" s="6" t="inlineStr">
        <is>
          <t>43.57%</t>
        </is>
      </c>
      <c r="D34" s="6" t="inlineStr">
        <is>
          <t>42.56%</t>
        </is>
      </c>
      <c r="E34" s="6" t="inlineStr">
        <is>
          <t>32.49%</t>
        </is>
      </c>
      <c r="F34" s="6" t="inlineStr">
        <is>
          <t>35.14%</t>
        </is>
      </c>
    </row>
    <row r="35">
      <c r="A35" s="6" t="inlineStr">
        <is>
          <t>Total Capital Ratio</t>
        </is>
      </c>
      <c r="B35" s="6" t="inlineStr">
        <is>
          <t>41.93%</t>
        </is>
      </c>
      <c r="C35" s="6" t="inlineStr">
        <is>
          <t>49.95%</t>
        </is>
      </c>
      <c r="D35" s="6" t="inlineStr">
        <is>
          <t>48.87%</t>
        </is>
      </c>
      <c r="E35" s="6" t="inlineStr">
        <is>
          <t>42.14%</t>
        </is>
      </c>
      <c r="F35" s="6" t="inlineStr">
        <is>
          <t>45.50%</t>
        </is>
      </c>
    </row>
    <row r="36">
      <c r="A36" s="6" t="inlineStr">
        <is>
          <t>Leverage Ratio</t>
        </is>
      </c>
      <c r="B36" s="6" t="inlineStr">
        <is>
          <t>20.42%</t>
        </is>
      </c>
      <c r="C36" s="6" t="inlineStr">
        <is>
          <t>21.19%</t>
        </is>
      </c>
      <c r="D36" s="6" t="inlineStr">
        <is>
          <t>26.38%</t>
        </is>
      </c>
      <c r="E36" s="6" t="inlineStr">
        <is>
          <t>22.88%</t>
        </is>
      </c>
      <c r="F36" s="6" t="n"/>
    </row>
    <row r="37">
      <c r="A37" s="6" t="inlineStr">
        <is>
          <t>LCR</t>
        </is>
      </c>
      <c r="B37" s="6" t="inlineStr">
        <is>
          <t>316.67%</t>
        </is>
      </c>
      <c r="C37" s="6" t="inlineStr">
        <is>
          <t>335.52%</t>
        </is>
      </c>
      <c r="D37" s="6" t="inlineStr">
        <is>
          <t>390.70%</t>
        </is>
      </c>
      <c r="E37" s="6" t="inlineStr">
        <is>
          <t>468.51%</t>
        </is>
      </c>
      <c r="F37" s="6" t="n"/>
    </row>
    <row r="38">
      <c r="A38" s="6" t="inlineStr">
        <is>
          <t>NSFR</t>
        </is>
      </c>
      <c r="B38" s="6" t="inlineStr">
        <is>
          <t>310.42%</t>
        </is>
      </c>
      <c r="C38" s="6" t="inlineStr">
        <is>
          <t>325.22%</t>
        </is>
      </c>
      <c r="D38" s="6" t="inlineStr">
        <is>
          <t>371.19%</t>
        </is>
      </c>
      <c r="E38" s="6" t="inlineStr">
        <is>
          <t>417.71%</t>
        </is>
      </c>
      <c r="F38" s="6" t="n"/>
    </row>
    <row r="40" ht="52" customHeight="1">
      <c r="A40" s="7" t="inlineStr">
        <is>
          <t>Note: Figures are duplicated from the detail sheets for at-a-glance trend viewing; see each sheet's own source citation for the underlying document/page. Leverage/LCR/NSFR are blank for FY2021 (pre-KM1 disclosure with no numeric values published that year). Cash flow FY2024-FY2025 has a genuine, fully explained (not guessed) presentational break - see the Cash Flow Statement sheet's source note. Balance Sheet/P&amp;L/Statement of Changes in Equity headline blocks added per the project's spend/risk lens: 'Loans and advances to customers' and 'Customer accounts' as the capital-allocation view, 'Administrative expenses' as the operating-cost view.</t>
        </is>
      </c>
    </row>
  </sheetData>
  <mergeCells count="1">
    <mergeCell ref="A40:G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Beirut (UK) Ltd — Balance Sheet</t>
        </is>
      </c>
    </row>
    <row r="2">
      <c r="A2" s="2" t="inlineStr">
        <is>
          <t>Entity-level basis, £'000s (converted from source £). Full 5 years.</t>
        </is>
      </c>
    </row>
    <row r="3">
      <c r="A3" s="4" t="inlineStr">
        <is>
          <t>Line item</t>
        </is>
      </c>
      <c r="B3" s="4" t="inlineStr">
        <is>
          <t>FY2025 (£'000)</t>
        </is>
      </c>
      <c r="C3" s="4" t="inlineStr">
        <is>
          <t>FY2024 (£'000)</t>
        </is>
      </c>
      <c r="D3" s="4" t="inlineStr">
        <is>
          <t>FY2023 (£'000)</t>
        </is>
      </c>
      <c r="E3" s="4" t="inlineStr">
        <is>
          <t>FY2022 (£'000)</t>
        </is>
      </c>
      <c r="F3" s="4" t="inlineStr">
        <is>
          <t>FY2021 (£'000)</t>
        </is>
      </c>
      <c r="G3" s="8" t="inlineStr">
        <is>
          <t>FY2017 (£'000)</t>
        </is>
      </c>
    </row>
    <row r="4">
      <c r="A4" s="5" t="inlineStr">
        <is>
          <t>Assets</t>
        </is>
      </c>
      <c r="B4" s="6" t="n"/>
      <c r="C4" s="6" t="n"/>
      <c r="D4" s="6" t="n"/>
      <c r="E4" s="6" t="n"/>
      <c r="F4" s="6" t="n"/>
    </row>
    <row r="5">
      <c r="A5" s="6" t="inlineStr">
        <is>
          <t>Cash and balances at banks</t>
        </is>
      </c>
      <c r="B5" s="6" t="n">
        <v>254772</v>
      </c>
      <c r="C5" s="6" t="n">
        <v>276518</v>
      </c>
      <c r="D5" s="6" t="n">
        <v>97313</v>
      </c>
      <c r="E5" s="6" t="n">
        <v>97866</v>
      </c>
      <c r="F5" s="6" t="n">
        <v>134557</v>
      </c>
      <c r="G5" s="6" t="n">
        <v>105686</v>
      </c>
    </row>
    <row r="6">
      <c r="A6" s="6" t="inlineStr">
        <is>
          <t>Placements with banks</t>
        </is>
      </c>
      <c r="B6" s="6" t="n">
        <v>3554</v>
      </c>
      <c r="C6" s="6" t="n">
        <v>3005</v>
      </c>
      <c r="D6" s="6" t="n">
        <v>84957</v>
      </c>
      <c r="E6" s="6" t="n">
        <v>85207</v>
      </c>
      <c r="F6" s="6" t="n">
        <v>90779</v>
      </c>
      <c r="G6" s="6" t="n">
        <v>181949</v>
      </c>
    </row>
    <row r="7">
      <c r="A7" s="6" t="inlineStr">
        <is>
          <t>Loans and advances to customers</t>
        </is>
      </c>
      <c r="B7" s="6" t="n">
        <v>144331</v>
      </c>
      <c r="C7" s="6" t="n">
        <v>121491</v>
      </c>
      <c r="D7" s="6" t="n">
        <v>121214</v>
      </c>
      <c r="E7" s="6" t="n">
        <v>161651</v>
      </c>
      <c r="F7" s="6" t="n">
        <v>128986</v>
      </c>
      <c r="G7" s="6" t="n">
        <v>178336</v>
      </c>
    </row>
    <row r="8">
      <c r="A8" s="6" t="inlineStr">
        <is>
          <t>Customers' acceptances</t>
        </is>
      </c>
      <c r="B8" s="6" t="n">
        <v>3581</v>
      </c>
      <c r="C8" s="6" t="n">
        <v>1783</v>
      </c>
      <c r="D8" s="6" t="n">
        <v>4492</v>
      </c>
      <c r="E8" s="6" t="n">
        <v>4089</v>
      </c>
      <c r="F8" s="6" t="n">
        <v>8186</v>
      </c>
      <c r="G8" s="6" t="n">
        <v>8425</v>
      </c>
    </row>
    <row r="9">
      <c r="A9" s="6" t="inlineStr">
        <is>
          <t>Financial assets at amortised cost</t>
        </is>
      </c>
      <c r="B9" s="6" t="n">
        <v>68899</v>
      </c>
      <c r="C9" s="6" t="n">
        <v>57046</v>
      </c>
      <c r="D9" s="6" t="n">
        <v>38551</v>
      </c>
      <c r="E9" s="6" t="n">
        <v>35784</v>
      </c>
      <c r="F9" s="6" t="n"/>
    </row>
    <row r="10">
      <c r="A10" s="6" t="inlineStr">
        <is>
          <t>Debt securities at amortised cost</t>
        </is>
      </c>
      <c r="B10" s="6" t="n"/>
      <c r="C10" s="6" t="n"/>
      <c r="D10" s="6" t="n"/>
      <c r="E10" s="6" t="n"/>
      <c r="F10" s="6" t="n"/>
    </row>
    <row r="11">
      <c r="A11" s="6" t="inlineStr">
        <is>
          <t>Financial assets at FVTOCI</t>
        </is>
      </c>
      <c r="B11" s="6" t="n"/>
      <c r="C11" s="6" t="n"/>
      <c r="D11" s="6" t="n"/>
      <c r="E11" s="6" t="n"/>
      <c r="F11" s="6" t="n">
        <v>26631</v>
      </c>
    </row>
    <row r="12">
      <c r="A12" s="6" t="inlineStr">
        <is>
          <t>Derivative assets</t>
        </is>
      </c>
      <c r="B12" s="6" t="n"/>
      <c r="C12" s="6" t="n"/>
      <c r="D12" s="6" t="n">
        <v>47</v>
      </c>
      <c r="E12" s="6" t="n"/>
      <c r="F12" s="6" t="n"/>
    </row>
    <row r="13">
      <c r="A13" s="6" t="inlineStr">
        <is>
          <t>Prepayments and accrued income</t>
        </is>
      </c>
      <c r="B13" s="6" t="n">
        <v>1892</v>
      </c>
      <c r="C13" s="6" t="n">
        <v>1554</v>
      </c>
      <c r="D13" s="6" t="n">
        <v>1057</v>
      </c>
      <c r="E13" s="6" t="n">
        <v>1161</v>
      </c>
      <c r="F13" s="6" t="n">
        <v>983</v>
      </c>
    </row>
    <row r="14">
      <c r="A14" s="6" t="inlineStr">
        <is>
          <t>Current tax assets</t>
        </is>
      </c>
      <c r="B14" s="6" t="n">
        <v>1241</v>
      </c>
      <c r="C14" s="6" t="n">
        <v>406</v>
      </c>
      <c r="D14" s="6" t="n"/>
      <c r="E14" s="6" t="n"/>
      <c r="F14" s="6" t="n"/>
    </row>
    <row r="15">
      <c r="A15" s="6" t="inlineStr">
        <is>
          <t>Land and Buildings</t>
        </is>
      </c>
      <c r="B15" s="6" t="n">
        <v>18289</v>
      </c>
      <c r="C15" s="6" t="n">
        <v>18449</v>
      </c>
      <c r="D15" s="6" t="n">
        <v>18583</v>
      </c>
      <c r="E15" s="6" t="n">
        <v>18649</v>
      </c>
      <c r="F15" s="6" t="n">
        <v>18800</v>
      </c>
    </row>
    <row r="16">
      <c r="A16" s="6" t="inlineStr">
        <is>
          <t>Right-of-use lease assets</t>
        </is>
      </c>
      <c r="B16" s="6" t="n">
        <v>345</v>
      </c>
      <c r="C16" s="6" t="n">
        <v>419</v>
      </c>
      <c r="D16" s="6" t="n">
        <v>531</v>
      </c>
      <c r="E16" s="6" t="n">
        <v>608</v>
      </c>
      <c r="F16" s="6" t="n">
        <v>731</v>
      </c>
    </row>
    <row r="17">
      <c r="A17" s="6" t="inlineStr">
        <is>
          <t>Property and equipment</t>
        </is>
      </c>
      <c r="B17" s="6" t="n">
        <v>631</v>
      </c>
      <c r="C17" s="6" t="n">
        <v>778</v>
      </c>
      <c r="D17" s="6" t="n">
        <v>699</v>
      </c>
      <c r="E17" s="6" t="n">
        <v>855</v>
      </c>
      <c r="F17" s="6" t="n">
        <v>384</v>
      </c>
    </row>
    <row r="18">
      <c r="A18" s="6" t="inlineStr">
        <is>
          <t>Intangible assets</t>
        </is>
      </c>
      <c r="B18" s="6" t="n">
        <v>4559</v>
      </c>
      <c r="C18" s="6" t="n">
        <v>1322</v>
      </c>
      <c r="D18" s="6" t="n">
        <v>83</v>
      </c>
      <c r="E18" s="6" t="n">
        <v>133</v>
      </c>
      <c r="F18" s="6" t="n">
        <v>204</v>
      </c>
    </row>
    <row r="19">
      <c r="A19" s="5" t="inlineStr">
        <is>
          <t>Total assets</t>
        </is>
      </c>
      <c r="B19" s="5" t="n">
        <v>502094</v>
      </c>
      <c r="C19" s="5" t="n">
        <v>482771</v>
      </c>
      <c r="D19" s="5" t="n">
        <v>367529</v>
      </c>
      <c r="E19" s="5" t="n">
        <v>406004</v>
      </c>
      <c r="F19" s="5" t="n">
        <v>410239</v>
      </c>
      <c r="G19" s="6" t="n">
        <v>520774</v>
      </c>
    </row>
    <row r="20">
      <c r="A20" s="5" t="inlineStr">
        <is>
          <t>Liabilities</t>
        </is>
      </c>
      <c r="B20" s="6" t="n"/>
      <c r="C20" s="6" t="n"/>
      <c r="D20" s="6" t="n"/>
      <c r="E20" s="6" t="n"/>
      <c r="F20" s="6" t="n"/>
    </row>
    <row r="21">
      <c r="A21" s="6" t="inlineStr">
        <is>
          <t>Deposits by banks</t>
        </is>
      </c>
      <c r="B21" s="6" t="n">
        <v>187647</v>
      </c>
      <c r="C21" s="6" t="n">
        <v>162269</v>
      </c>
      <c r="D21" s="6" t="n">
        <v>89116</v>
      </c>
      <c r="E21" s="6" t="n">
        <v>80596</v>
      </c>
      <c r="F21" s="6" t="n">
        <v>88810</v>
      </c>
      <c r="G21" s="6" t="n">
        <v>306972</v>
      </c>
    </row>
    <row r="22">
      <c r="A22" s="6" t="inlineStr">
        <is>
          <t>Customer accounts</t>
        </is>
      </c>
      <c r="B22" s="6" t="n">
        <v>167175</v>
      </c>
      <c r="C22" s="6" t="n">
        <v>167963</v>
      </c>
      <c r="D22" s="6" t="n">
        <v>137387</v>
      </c>
      <c r="E22" s="6" t="n">
        <v>175446</v>
      </c>
      <c r="F22" s="6" t="n">
        <v>173317</v>
      </c>
      <c r="G22" s="6" t="n">
        <v>92397</v>
      </c>
    </row>
    <row r="23">
      <c r="A23" s="6" t="inlineStr">
        <is>
          <t>Acceptances payable</t>
        </is>
      </c>
      <c r="B23" s="6" t="n">
        <v>3587</v>
      </c>
      <c r="C23" s="6" t="n">
        <v>1797</v>
      </c>
      <c r="D23" s="6" t="n">
        <v>4498</v>
      </c>
      <c r="E23" s="6" t="n">
        <v>4098</v>
      </c>
      <c r="F23" s="6" t="n">
        <v>8218</v>
      </c>
      <c r="G23" s="6" t="n">
        <v>8425</v>
      </c>
    </row>
    <row r="24">
      <c r="A24" s="6" t="inlineStr">
        <is>
          <t>Derivative liabilities</t>
        </is>
      </c>
      <c r="B24" s="6" t="n"/>
      <c r="C24" s="6" t="n">
        <v>145</v>
      </c>
      <c r="D24" s="6" t="n"/>
      <c r="E24" s="6" t="n">
        <v>17</v>
      </c>
      <c r="F24" s="6" t="n"/>
      <c r="G24" s="6" t="n">
        <v>16</v>
      </c>
    </row>
    <row r="25">
      <c r="A25" s="6" t="inlineStr">
        <is>
          <t>Accruals and deferred income</t>
        </is>
      </c>
      <c r="B25" s="6" t="n">
        <v>316</v>
      </c>
      <c r="C25" s="6" t="n">
        <v>663</v>
      </c>
      <c r="D25" s="6" t="n">
        <v>833</v>
      </c>
      <c r="E25" s="6" t="n">
        <v>530</v>
      </c>
      <c r="F25" s="6" t="n">
        <v>560</v>
      </c>
      <c r="G25" s="6" t="n">
        <v>312</v>
      </c>
    </row>
    <row r="26">
      <c r="A26" s="6" t="inlineStr">
        <is>
          <t>Lease liabilities</t>
        </is>
      </c>
      <c r="B26" s="6" t="n">
        <v>388</v>
      </c>
      <c r="C26" s="6" t="n">
        <v>479</v>
      </c>
      <c r="D26" s="6" t="n">
        <v>588</v>
      </c>
      <c r="E26" s="6" t="n">
        <v>655</v>
      </c>
      <c r="F26" s="6" t="n">
        <v>765</v>
      </c>
    </row>
    <row r="27">
      <c r="A27" s="6" t="inlineStr">
        <is>
          <t>Other liabilities</t>
        </is>
      </c>
      <c r="B27" s="6" t="n">
        <v>3341</v>
      </c>
      <c r="C27" s="6" t="n">
        <v>12280</v>
      </c>
      <c r="D27" s="6" t="n">
        <v>1886</v>
      </c>
      <c r="E27" s="6" t="n">
        <v>1954</v>
      </c>
      <c r="F27" s="6" t="n">
        <v>1655</v>
      </c>
      <c r="G27" s="6" t="n">
        <v>13</v>
      </c>
    </row>
    <row r="28">
      <c r="A28" s="6" t="inlineStr">
        <is>
          <t>Current tax liability</t>
        </is>
      </c>
      <c r="B28" s="6" t="n">
        <v>47</v>
      </c>
      <c r="C28" s="6" t="n">
        <v>56</v>
      </c>
      <c r="D28" s="6" t="n">
        <v>1386</v>
      </c>
      <c r="E28" s="6" t="n">
        <v>417</v>
      </c>
      <c r="F28" s="6" t="n">
        <v>132</v>
      </c>
      <c r="G28" s="6" t="n">
        <v>1014</v>
      </c>
    </row>
    <row r="29">
      <c r="A29" s="6" t="inlineStr">
        <is>
          <t>Deferred tax liability</t>
        </is>
      </c>
      <c r="B29" s="6" t="n">
        <v>1970</v>
      </c>
      <c r="C29" s="6" t="n">
        <v>1121</v>
      </c>
      <c r="D29" s="6" t="n">
        <v>699</v>
      </c>
      <c r="E29" s="6" t="n">
        <v>657</v>
      </c>
      <c r="F29" s="6" t="n">
        <v>450</v>
      </c>
      <c r="G29" s="6" t="n">
        <v>39</v>
      </c>
    </row>
    <row r="30">
      <c r="A30" s="6" t="inlineStr">
        <is>
          <t>Subordinated loan</t>
        </is>
      </c>
      <c r="B30" s="6" t="n">
        <v>14646</v>
      </c>
      <c r="C30" s="6" t="n">
        <v>15784</v>
      </c>
      <c r="D30" s="6" t="n">
        <v>16141</v>
      </c>
      <c r="E30" s="6" t="n">
        <v>33549</v>
      </c>
      <c r="F30" s="6" t="n">
        <v>31424</v>
      </c>
      <c r="G30" s="6" t="n">
        <v>14827</v>
      </c>
    </row>
    <row r="31">
      <c r="A31" s="5" t="inlineStr">
        <is>
          <t>Total liabilities</t>
        </is>
      </c>
      <c r="B31" s="5" t="n">
        <v>379117</v>
      </c>
      <c r="C31" s="5" t="n">
        <v>362557</v>
      </c>
      <c r="D31" s="5" t="n">
        <v>252533</v>
      </c>
      <c r="E31" s="5" t="n">
        <v>297920</v>
      </c>
      <c r="F31" s="5" t="n">
        <v>305331</v>
      </c>
      <c r="G31" s="6" t="n">
        <v>424170</v>
      </c>
    </row>
    <row r="32">
      <c r="A32" s="5" t="inlineStr">
        <is>
          <t>Equity</t>
        </is>
      </c>
      <c r="B32" s="6" t="n"/>
      <c r="C32" s="6" t="n"/>
      <c r="D32" s="6" t="n"/>
      <c r="E32" s="6" t="n"/>
      <c r="F32" s="6" t="n"/>
    </row>
    <row r="33">
      <c r="A33" s="6" t="inlineStr">
        <is>
          <t>Called up share capital</t>
        </is>
      </c>
      <c r="B33" s="6" t="n">
        <v>34150</v>
      </c>
      <c r="C33" s="6" t="n">
        <v>34150</v>
      </c>
      <c r="D33" s="6" t="n">
        <v>34150</v>
      </c>
      <c r="E33" s="6" t="n">
        <v>34150</v>
      </c>
      <c r="F33" s="6" t="n">
        <v>34150</v>
      </c>
      <c r="G33" s="6" t="n">
        <v>34150</v>
      </c>
    </row>
    <row r="34">
      <c r="A34" s="6" t="inlineStr">
        <is>
          <t>Retained earnings</t>
        </is>
      </c>
      <c r="B34" s="6" t="n">
        <v>88826</v>
      </c>
      <c r="C34" s="6" t="n">
        <v>86064</v>
      </c>
      <c r="D34" s="6" t="n">
        <v>80845</v>
      </c>
      <c r="E34" s="6" t="n">
        <v>73934</v>
      </c>
      <c r="F34" s="6" t="n">
        <v>70758</v>
      </c>
      <c r="G34" s="6" t="n">
        <v>62454</v>
      </c>
    </row>
    <row r="35">
      <c r="A35" s="5" t="inlineStr">
        <is>
          <t>Total equity</t>
        </is>
      </c>
      <c r="B35" s="5" t="n">
        <v>122976</v>
      </c>
      <c r="C35" s="5" t="n">
        <v>120214</v>
      </c>
      <c r="D35" s="5" t="n">
        <v>114995</v>
      </c>
      <c r="E35" s="5" t="n">
        <v>108084</v>
      </c>
      <c r="F35" s="5" t="n">
        <v>104908</v>
      </c>
      <c r="G35" s="6" t="n">
        <v>96604</v>
      </c>
    </row>
    <row r="36">
      <c r="A36" s="5" t="inlineStr">
        <is>
          <t>Total liabilities and equity</t>
        </is>
      </c>
      <c r="B36" s="5" t="n">
        <v>502094</v>
      </c>
      <c r="C36" s="5" t="n">
        <v>482771</v>
      </c>
      <c r="D36" s="5" t="n">
        <v>367529</v>
      </c>
      <c r="E36" s="5" t="n">
        <v>406004</v>
      </c>
      <c r="F36" s="5" t="n">
        <v>410239</v>
      </c>
      <c r="G36" s="6" t="n">
        <v>520774</v>
      </c>
    </row>
    <row r="37"/>
    <row r="38" ht="338" customHeight="1">
      <c r="A38" s="9" t="inlineStr">
        <is>
          <t>Sources - Bank of Beirut (UK) Ltd's own Balance Sheet / Income Statement / Statement of Changes in Equity, converted from £ to £'000s (rounded to nearest £'000), all years:
FY2025/FY2024: Annual Report and Financial Statements 2025, Income Statement p.29, Statement of Other Comprehensive Income p.30, Balance Sheet p.31, Statement of Changes in Equity p.32 - https://www.bankofbeirut.co.uk/Content/uploads/AnnualReport/Annual_Report_and_Financial_Statements_2025_-_for_publishing.pdf
FY2023/FY2022: Annual Report and Financial Statements 2023, Income Statement p.30, Statement of Other Comprehensive Income p.31, Balance Sheet p.32, Statement of Changes in Equity p.33 (FY2022 is that report's own FY2022 comparative column) - https://www.bankofbeirut.co.uk/Content/Uploads/AnnualReport/Annual%20Report%20and%20Financial%20Statements%202023%20-%20for%20publishing240429124230700~.pdf
FY2021: Annual Report &amp; Financial Statements 2021, Income Statement/OCI p.28, Balance Sheet p.29, Statement of Changes in Equity p.30 - https://www.bankofbeirut.co.uk/Content/uploads/AnnualReport/Bank_of_beirut_UK_Annual_Report_-_2021_.pdf
FY2017: Report and Financial Statements 2017, Income Statement / Statement of Other Comprehensive Income / Balance sheet, pp.23-27 - https://www.bankofbeirut.co.uk/content/uploads/AnnualReport/bankofbeirut-uk2017-annualreport180614103530638~.pdf. FY2017 is a headline extension column: only the Balance Sheet and Income Statement line items disclosed in that report are carried; its Statement of Changes in Equity is not transcribed, and no Pillar 3 metric is inferred for FY2017 (those sheets are deliberately blank for that year, as the Bank published no pre-UK-KM1 Pillar 3 disclosure).
PRESENTATIONAL BREAK: FY2021's Balance Sheet carries 'Debt securities at amortised cost' and 'Financial assets at FVTOCI' as separate lines; FY2022 onward consolidates everything into a single 'Financial assets at amortised cost' line - a genuine reclassification of the investment portfolio, not merged here (each year's own report structure kept). FY2021 and FY2023's own Balance Sheets carry no 'Derivative assets/liabilities' line (nil that year); FY2022/FY2024 do.
ROUNDING ARTIFACT: FY2021's Statement of Changes in Equity's own Profit-for-year (£1,419,884 -&gt; £1,420k) and OCI-for-year (£10,501 -&gt; £11k) rows sum to £1,431k against that year's own reported Total comprehensive income of £1,430,385 (-&gt; £1,430k) - a £1k rounding artifact from independently rounding each component to the nearest £'000, not a source-document error (the underlying unrounded figures tie exactly: 1,419,884 + 10,501 = 1,430,385).
FY2025's and FY2023's own Balance Sheet Total assets figures (£502,093,745 -&gt; £502,094k; £367,528,644 -&gt; £367,529k) are each £1k more than Total liabilities + Total equity independently rounded (£379,117k + £122,976k = £502,093k; £252,533k + £114,995k = £367,528k) - same rounding-artifact class as above, not an imbalance in the source (both years' unrounded figures tie exactly).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1">
    <mergeCell ref="A38:F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Bank of Beirut (UK) Ltd — Profit &amp; Loss</t>
        </is>
      </c>
    </row>
    <row r="2">
      <c r="A2" s="2" t="inlineStr">
        <is>
          <t>Entity-level basis, £'000s (converted from source £). Full 5 years.</t>
        </is>
      </c>
    </row>
    <row r="3">
      <c r="A3" s="4" t="inlineStr">
        <is>
          <t>Line item</t>
        </is>
      </c>
      <c r="B3" s="4" t="inlineStr">
        <is>
          <t>FY2025 (£'000)</t>
        </is>
      </c>
      <c r="C3" s="4" t="inlineStr">
        <is>
          <t>FY2024 (£'000)</t>
        </is>
      </c>
      <c r="D3" s="4" t="inlineStr">
        <is>
          <t>FY2023 (£'000)</t>
        </is>
      </c>
      <c r="E3" s="4" t="inlineStr">
        <is>
          <t>FY2022 (£'000)</t>
        </is>
      </c>
      <c r="F3" s="4" t="inlineStr">
        <is>
          <t>FY2021 (£'000)</t>
        </is>
      </c>
      <c r="G3" s="8" t="inlineStr">
        <is>
          <t>FY2017 (£'000)</t>
        </is>
      </c>
    </row>
    <row r="4">
      <c r="A4" s="5" t="inlineStr">
        <is>
          <t>Income</t>
        </is>
      </c>
      <c r="B4" s="6" t="n"/>
      <c r="C4" s="6" t="n"/>
      <c r="D4" s="6" t="n"/>
      <c r="E4" s="6" t="n"/>
      <c r="F4" s="6" t="n"/>
    </row>
    <row r="5">
      <c r="A5" s="6" t="inlineStr">
        <is>
          <t>Interest income</t>
        </is>
      </c>
      <c r="B5" s="6" t="n">
        <v>22273</v>
      </c>
      <c r="C5" s="6" t="n">
        <v>23830</v>
      </c>
      <c r="D5" s="6" t="n">
        <v>20688</v>
      </c>
      <c r="E5" s="6" t="n">
        <v>11195</v>
      </c>
      <c r="F5" s="6" t="n">
        <v>6286</v>
      </c>
      <c r="G5" s="6" t="n">
        <v>10879</v>
      </c>
    </row>
    <row r="6">
      <c r="A6" s="6" t="inlineStr">
        <is>
          <t>Interest expense</t>
        </is>
      </c>
      <c r="B6" s="6" t="n">
        <v>-6352</v>
      </c>
      <c r="C6" s="6" t="n">
        <v>-5875</v>
      </c>
      <c r="D6" s="6" t="n">
        <v>-4270</v>
      </c>
      <c r="E6" s="6" t="n">
        <v>-2956</v>
      </c>
      <c r="F6" s="6" t="n">
        <v>-2676</v>
      </c>
      <c r="G6" s="6" t="n">
        <v>-3579</v>
      </c>
    </row>
    <row r="7">
      <c r="A7" s="5" t="inlineStr">
        <is>
          <t>Net interest income</t>
        </is>
      </c>
      <c r="B7" s="5" t="n">
        <v>15921</v>
      </c>
      <c r="C7" s="5" t="n">
        <v>17955</v>
      </c>
      <c r="D7" s="5" t="n">
        <v>16418</v>
      </c>
      <c r="E7" s="5" t="n">
        <v>8239</v>
      </c>
      <c r="F7" s="5" t="n">
        <v>3610</v>
      </c>
      <c r="G7" s="6" t="n">
        <v>7301</v>
      </c>
    </row>
    <row r="8">
      <c r="A8" s="6" t="inlineStr">
        <is>
          <t>Fees and commission income (net)</t>
        </is>
      </c>
      <c r="B8" s="6" t="n">
        <v>7359</v>
      </c>
      <c r="C8" s="6" t="n">
        <v>6186</v>
      </c>
      <c r="D8" s="6" t="n">
        <v>6476</v>
      </c>
      <c r="E8" s="6" t="n">
        <v>8211</v>
      </c>
      <c r="F8" s="6" t="n">
        <v>7427</v>
      </c>
      <c r="G8" s="6" t="n">
        <v>10179</v>
      </c>
    </row>
    <row r="9">
      <c r="A9" s="6" t="inlineStr">
        <is>
          <t>Foreign exchange income</t>
        </is>
      </c>
      <c r="B9" s="6" t="n">
        <v>952</v>
      </c>
      <c r="C9" s="6" t="n">
        <v>888</v>
      </c>
      <c r="D9" s="6" t="n">
        <v>1041</v>
      </c>
      <c r="E9" s="6" t="n">
        <v>880</v>
      </c>
      <c r="F9" s="6" t="n">
        <v>588</v>
      </c>
      <c r="G9" s="6" t="n">
        <v>539</v>
      </c>
    </row>
    <row r="10">
      <c r="A10" s="5" t="inlineStr">
        <is>
          <t>Total non-interest income</t>
        </is>
      </c>
      <c r="B10" s="5" t="n">
        <v>8311</v>
      </c>
      <c r="C10" s="5" t="n">
        <v>7073</v>
      </c>
      <c r="D10" s="5" t="n">
        <v>7517</v>
      </c>
      <c r="E10" s="5" t="n">
        <v>9090</v>
      </c>
      <c r="F10" s="5" t="n">
        <v>8015</v>
      </c>
      <c r="G10" s="6" t="n">
        <v>10718</v>
      </c>
    </row>
    <row r="11">
      <c r="A11" s="5" t="inlineStr">
        <is>
          <t>Total income</t>
        </is>
      </c>
      <c r="B11" s="5" t="n">
        <v>24232</v>
      </c>
      <c r="C11" s="5" t="n">
        <v>25029</v>
      </c>
      <c r="D11" s="5" t="n">
        <v>23935</v>
      </c>
      <c r="E11" s="5" t="n">
        <v>17329</v>
      </c>
      <c r="F11" s="5" t="n">
        <v>11625</v>
      </c>
      <c r="G11" s="6" t="n">
        <v>18018</v>
      </c>
    </row>
    <row r="12">
      <c r="A12" s="5" t="inlineStr">
        <is>
          <t>Expenses</t>
        </is>
      </c>
      <c r="B12" s="6" t="n"/>
      <c r="C12" s="6" t="n"/>
      <c r="D12" s="6" t="n"/>
      <c r="E12" s="6" t="n"/>
      <c r="F12" s="6" t="n"/>
    </row>
    <row r="13">
      <c r="A13" s="6" t="inlineStr">
        <is>
          <t>Administrative expenses</t>
        </is>
      </c>
      <c r="B13" s="6" t="n">
        <v>-14398</v>
      </c>
      <c r="C13" s="6" t="n">
        <v>-12234</v>
      </c>
      <c r="D13" s="6" t="n">
        <v>-11303</v>
      </c>
      <c r="E13" s="6" t="n">
        <v>-9666</v>
      </c>
      <c r="F13" s="6" t="n">
        <v>-9127</v>
      </c>
      <c r="G13" s="6" t="n">
        <v>-8149</v>
      </c>
    </row>
    <row r="14">
      <c r="A14" s="6" t="inlineStr">
        <is>
          <t>Finance cost</t>
        </is>
      </c>
      <c r="B14" s="6" t="n">
        <v>-23</v>
      </c>
      <c r="C14" s="6" t="n">
        <v>-83</v>
      </c>
      <c r="D14" s="6" t="n">
        <v>-32</v>
      </c>
      <c r="E14" s="6" t="n">
        <v>-38</v>
      </c>
      <c r="F14" s="6" t="n">
        <v>-43</v>
      </c>
    </row>
    <row r="15">
      <c r="A15" s="6" t="inlineStr">
        <is>
          <t>Net impairment (losses)/reversal on financial assets</t>
        </is>
      </c>
      <c r="B15" s="6" t="n">
        <v>368</v>
      </c>
      <c r="C15" s="6" t="n">
        <v>241</v>
      </c>
      <c r="D15" s="6" t="n">
        <v>-736</v>
      </c>
      <c r="E15" s="6" t="n">
        <v>-2669</v>
      </c>
      <c r="F15" s="6" t="n">
        <v>-297</v>
      </c>
      <c r="G15" s="6" t="n">
        <v>-500</v>
      </c>
    </row>
    <row r="16">
      <c r="A16" s="5" t="inlineStr">
        <is>
          <t>Profit before taxation</t>
        </is>
      </c>
      <c r="B16" s="5" t="n">
        <v>10177</v>
      </c>
      <c r="C16" s="5" t="n">
        <v>12953</v>
      </c>
      <c r="D16" s="5" t="n">
        <v>11864</v>
      </c>
      <c r="E16" s="5" t="n">
        <v>4956</v>
      </c>
      <c r="F16" s="5" t="n">
        <v>2157</v>
      </c>
      <c r="G16" s="6" t="n">
        <v>9369</v>
      </c>
    </row>
    <row r="17">
      <c r="A17" s="6" t="inlineStr">
        <is>
          <t>Taxation</t>
        </is>
      </c>
      <c r="B17" s="6" t="n">
        <v>-2581</v>
      </c>
      <c r="C17" s="6" t="n">
        <v>-3283</v>
      </c>
      <c r="D17" s="6" t="n">
        <v>-2838</v>
      </c>
      <c r="E17" s="6" t="n">
        <v>-980</v>
      </c>
      <c r="F17" s="6" t="n">
        <v>-737</v>
      </c>
      <c r="G17" s="6" t="n">
        <v>-1943</v>
      </c>
    </row>
    <row r="18">
      <c r="A18" s="6" t="inlineStr">
        <is>
          <t>Discontinued operations (Frankfurt Branch)</t>
        </is>
      </c>
      <c r="B18" s="6" t="n"/>
      <c r="C18" s="6" t="n"/>
      <c r="D18" s="6" t="n">
        <v>-127</v>
      </c>
      <c r="E18" s="6" t="n"/>
      <c r="F18" s="6" t="n"/>
    </row>
    <row r="19">
      <c r="A19" s="5" t="inlineStr">
        <is>
          <t>Profit for the year</t>
        </is>
      </c>
      <c r="B19" s="5" t="n">
        <v>7597</v>
      </c>
      <c r="C19" s="5" t="n">
        <v>9670</v>
      </c>
      <c r="D19" s="5" t="n">
        <v>8899</v>
      </c>
      <c r="E19" s="5" t="n">
        <v>3976</v>
      </c>
      <c r="F19" s="5" t="n">
        <v>1420</v>
      </c>
      <c r="G19" s="6" t="n">
        <v>7426</v>
      </c>
    </row>
    <row r="20">
      <c r="A20" s="5" t="inlineStr">
        <is>
          <t>Other comprehensive income</t>
        </is>
      </c>
      <c r="B20" s="6" t="n"/>
      <c r="C20" s="6" t="n"/>
      <c r="D20" s="6" t="n"/>
      <c r="E20" s="6" t="n"/>
      <c r="F20" s="6" t="n"/>
    </row>
    <row r="21">
      <c r="A21" s="6" t="inlineStr">
        <is>
          <t>Financial assets at FVOCI - gains arising during the year</t>
        </is>
      </c>
      <c r="B21" s="6" t="n"/>
      <c r="C21" s="6" t="n"/>
      <c r="D21" s="6" t="n"/>
      <c r="E21" s="6" t="n">
        <v>3</v>
      </c>
      <c r="F21" s="6" t="n">
        <v>13</v>
      </c>
      <c r="G21" s="6" t="n">
        <v>-6</v>
      </c>
    </row>
    <row r="22">
      <c r="A22" s="6" t="inlineStr">
        <is>
          <t>Income tax relating to items that may be reclassified</t>
        </is>
      </c>
      <c r="B22" s="6" t="n"/>
      <c r="C22" s="6" t="n"/>
      <c r="D22" s="6" t="n"/>
      <c r="E22" s="6" t="n">
        <v>-1</v>
      </c>
      <c r="F22" s="6" t="n">
        <v>-2</v>
      </c>
    </row>
    <row r="23">
      <c r="A23" s="5" t="inlineStr">
        <is>
          <t>Other comprehensive income for the year, net of tax</t>
        </is>
      </c>
      <c r="B23" s="5" t="n">
        <v>0</v>
      </c>
      <c r="C23" s="5" t="n">
        <v>0</v>
      </c>
      <c r="D23" s="5" t="n">
        <v>0</v>
      </c>
      <c r="E23" s="5" t="n">
        <v>2</v>
      </c>
      <c r="F23" s="5" t="n">
        <v>11</v>
      </c>
      <c r="G23" s="6" t="n">
        <v>29</v>
      </c>
    </row>
    <row r="24">
      <c r="A24" s="5" t="inlineStr">
        <is>
          <t>Total comprehensive income for the year</t>
        </is>
      </c>
      <c r="B24" s="5" t="n">
        <v>7597</v>
      </c>
      <c r="C24" s="5" t="n">
        <v>9670</v>
      </c>
      <c r="D24" s="5" t="n">
        <v>8899</v>
      </c>
      <c r="E24" s="5" t="n">
        <v>3978</v>
      </c>
      <c r="F24" s="5" t="n">
        <v>1430</v>
      </c>
      <c r="G24" s="6" t="n">
        <v>7455</v>
      </c>
    </row>
    <row r="25"/>
    <row r="26" ht="338" customHeight="1">
      <c r="A26" s="9" t="inlineStr">
        <is>
          <t>Sources - Bank of Beirut (UK) Ltd's own Balance Sheet / Income Statement / Statement of Changes in Equity, converted from £ to £'000s (rounded to nearest £'000), all years:
FY2025/FY2024: Annual Report and Financial Statements 2025, Income Statement p.29, Statement of Other Comprehensive Income p.30, Balance Sheet p.31, Statement of Changes in Equity p.32 - https://www.bankofbeirut.co.uk/Content/uploads/AnnualReport/Annual_Report_and_Financial_Statements_2025_-_for_publishing.pdf
FY2023/FY2022: Annual Report and Financial Statements 2023, Income Statement p.30, Statement of Other Comprehensive Income p.31, Balance Sheet p.32, Statement of Changes in Equity p.33 (FY2022 is that report's own FY2022 comparative column) - https://www.bankofbeirut.co.uk/Content/Uploads/AnnualReport/Annual%20Report%20and%20Financial%20Statements%202023%20-%20for%20publishing240429124230700~.pdf
FY2021: Annual Report &amp; Financial Statements 2021, Income Statement/OCI p.28, Balance Sheet p.29, Statement of Changes in Equity p.30 - https://www.bankofbeirut.co.uk/Content/uploads/AnnualReport/Bank_of_beirut_UK_Annual_Report_-_2021_.pdf
FY2017: Report and Financial Statements 2017, Income Statement / Statement of Other Comprehensive Income / Balance sheet, pp.23-27 - https://www.bankofbeirut.co.uk/content/uploads/AnnualReport/bankofbeirut-uk2017-annualreport180614103530638~.pdf. FY2017 is a headline extension column: only the Balance Sheet and Income Statement line items disclosed in that report are carried; its Statement of Changes in Equity is not transcribed, and no Pillar 3 metric is inferred for FY2017 (those sheets are deliberately blank for that year, as the Bank published no pre-UK-KM1 Pillar 3 disclosure).
PRESENTATIONAL BREAK: FY2021's Balance Sheet carries 'Debt securities at amortised cost' and 'Financial assets at FVTOCI' as separate lines; FY2022 onward consolidates everything into a single 'Financial assets at amortised cost' line - a genuine reclassification of the investment portfolio, not merged here (each year's own report structure kept). FY2021 and FY2023's own Balance Sheets carry no 'Derivative assets/liabilities' line (nil that year); FY2022/FY2024 do.
ROUNDING ARTIFACT: FY2021's Statement of Changes in Equity's own Profit-for-year (£1,419,884 -&gt; £1,420k) and OCI-for-year (£10,501 -&gt; £11k) rows sum to £1,431k against that year's own reported Total comprehensive income of £1,430,385 (-&gt; £1,430k) - a £1k rounding artifact from independently rounding each component to the nearest £'000, not a source-document error (the underlying unrounded figures tie exactly: 1,419,884 + 10,501 = 1,430,385).
FY2025's and FY2023's own Balance Sheet Total assets figures (£502,093,745 -&gt; £502,094k; £367,528,644 -&gt; £367,529k) are each £1k more than Total liabilities + Total equity independently rounded (£379,117k + £122,976k = £502,093k; £252,533k + £114,995k = £367,528k) - same rounding-artifact class as above, not an imbalance in the source (both years' unrounded figures tie exactly).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1">
    <mergeCell ref="A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Bank of Beirut (UK) Ltd — Statement of Changes in Equity</t>
        </is>
      </c>
    </row>
    <row r="2">
      <c r="A2" s="2" t="inlineStr">
        <is>
          <t>Entity-level basis, £'000s (converted from source £), chronological. Full 5 years, 1 Jan 2021 - 31 Dec 2025.</t>
        </is>
      </c>
    </row>
    <row r="3">
      <c r="A3" s="4" t="inlineStr">
        <is>
          <t>Movement</t>
        </is>
      </c>
      <c r="B3" s="4" t="inlineStr">
        <is>
          <t>Called up share capital</t>
        </is>
      </c>
      <c r="C3" s="4" t="inlineStr">
        <is>
          <t>Retained earnings</t>
        </is>
      </c>
      <c r="D3" s="4" t="inlineStr">
        <is>
          <t>Total equity</t>
        </is>
      </c>
    </row>
    <row r="4">
      <c r="A4" s="6" t="inlineStr">
        <is>
          <t>As at 1 January 2021</t>
        </is>
      </c>
      <c r="B4" s="6" t="n">
        <v>34150</v>
      </c>
      <c r="C4" s="6" t="n">
        <v>69328</v>
      </c>
      <c r="D4" s="6" t="n">
        <v>103478</v>
      </c>
    </row>
    <row r="5">
      <c r="A5" s="6" t="inlineStr">
        <is>
          <t>Profit for the year</t>
        </is>
      </c>
      <c r="B5" s="6" t="n">
        <v>0</v>
      </c>
      <c r="C5" s="6" t="n">
        <v>1420</v>
      </c>
      <c r="D5" s="6" t="n">
        <v>1420</v>
      </c>
    </row>
    <row r="6">
      <c r="A6" s="6" t="inlineStr">
        <is>
          <t>Other comprehensive income for the year</t>
        </is>
      </c>
      <c r="B6" s="6" t="n">
        <v>0</v>
      </c>
      <c r="C6" s="6" t="n">
        <v>11</v>
      </c>
      <c r="D6" s="6" t="n">
        <v>11</v>
      </c>
    </row>
    <row r="7">
      <c r="A7" s="5" t="inlineStr">
        <is>
          <t>As at 31 December 2021</t>
        </is>
      </c>
      <c r="B7" s="5" t="n">
        <v>34150</v>
      </c>
      <c r="C7" s="5" t="n">
        <v>70758</v>
      </c>
      <c r="D7" s="5" t="n">
        <v>104908</v>
      </c>
    </row>
    <row r="8">
      <c r="A8" s="6" t="inlineStr">
        <is>
          <t>Dividend paid</t>
        </is>
      </c>
      <c r="B8" s="6" t="n">
        <v>0</v>
      </c>
      <c r="C8" s="6" t="n">
        <v>-802</v>
      </c>
      <c r="D8" s="6" t="n">
        <v>-802</v>
      </c>
    </row>
    <row r="9">
      <c r="A9" s="6" t="inlineStr">
        <is>
          <t>Profit for the year</t>
        </is>
      </c>
      <c r="B9" s="6" t="n">
        <v>0</v>
      </c>
      <c r="C9" s="6" t="n">
        <v>3976</v>
      </c>
      <c r="D9" s="6" t="n">
        <v>3976</v>
      </c>
    </row>
    <row r="10">
      <c r="A10" s="6" t="inlineStr">
        <is>
          <t>Other comprehensive income for the year</t>
        </is>
      </c>
      <c r="B10" s="6" t="n">
        <v>0</v>
      </c>
      <c r="C10" s="6" t="n">
        <v>2</v>
      </c>
      <c r="D10" s="6" t="n">
        <v>2</v>
      </c>
    </row>
    <row r="11">
      <c r="A11" s="5" t="inlineStr">
        <is>
          <t>As at 31 December 2022</t>
        </is>
      </c>
      <c r="B11" s="5" t="n">
        <v>34150</v>
      </c>
      <c r="C11" s="5" t="n">
        <v>73934</v>
      </c>
      <c r="D11" s="5" t="n">
        <v>108084</v>
      </c>
    </row>
    <row r="12">
      <c r="A12" s="6" t="inlineStr">
        <is>
          <t>Dividend paid</t>
        </is>
      </c>
      <c r="B12" s="6" t="n">
        <v>0</v>
      </c>
      <c r="C12" s="6" t="n">
        <v>-1988</v>
      </c>
      <c r="D12" s="6" t="n">
        <v>-1988</v>
      </c>
    </row>
    <row r="13">
      <c r="A13" s="6" t="inlineStr">
        <is>
          <t>Profit for the year</t>
        </is>
      </c>
      <c r="B13" s="6" t="n">
        <v>0</v>
      </c>
      <c r="C13" s="6" t="n">
        <v>8899</v>
      </c>
      <c r="D13" s="6" t="n">
        <v>8899</v>
      </c>
    </row>
    <row r="14">
      <c r="A14" s="5" t="inlineStr">
        <is>
          <t>As at 31 December 2023</t>
        </is>
      </c>
      <c r="B14" s="5" t="n">
        <v>34150</v>
      </c>
      <c r="C14" s="5" t="n">
        <v>80845</v>
      </c>
      <c r="D14" s="5" t="n">
        <v>114995</v>
      </c>
    </row>
    <row r="15">
      <c r="A15" s="6" t="inlineStr">
        <is>
          <t>Other adjustment</t>
        </is>
      </c>
      <c r="B15" s="6" t="n">
        <v>0</v>
      </c>
      <c r="C15" s="6" t="n">
        <v>-1</v>
      </c>
      <c r="D15" s="6" t="n">
        <v>-1</v>
      </c>
    </row>
    <row r="16">
      <c r="A16" s="6" t="inlineStr">
        <is>
          <t>Dividend paid</t>
        </is>
      </c>
      <c r="B16" s="6" t="n">
        <v>0</v>
      </c>
      <c r="C16" s="6" t="n">
        <v>-4450</v>
      </c>
      <c r="D16" s="6" t="n">
        <v>-4450</v>
      </c>
    </row>
    <row r="17">
      <c r="A17" s="6" t="inlineStr">
        <is>
          <t>Profit for the year</t>
        </is>
      </c>
      <c r="B17" s="6" t="n">
        <v>0</v>
      </c>
      <c r="C17" s="6" t="n">
        <v>9670</v>
      </c>
      <c r="D17" s="6" t="n">
        <v>9670</v>
      </c>
    </row>
    <row r="18">
      <c r="A18" s="5" t="inlineStr">
        <is>
          <t>As at 31 December 2024</t>
        </is>
      </c>
      <c r="B18" s="5" t="n">
        <v>34150</v>
      </c>
      <c r="C18" s="5" t="n">
        <v>86064</v>
      </c>
      <c r="D18" s="5" t="n">
        <v>120214</v>
      </c>
    </row>
    <row r="19">
      <c r="A19" s="6" t="inlineStr">
        <is>
          <t>Dividend paid</t>
        </is>
      </c>
      <c r="B19" s="6" t="n">
        <v>0</v>
      </c>
      <c r="C19" s="6" t="n">
        <v>-4835</v>
      </c>
      <c r="D19" s="6" t="n">
        <v>-4835</v>
      </c>
    </row>
    <row r="20">
      <c r="A20" s="6" t="inlineStr">
        <is>
          <t>Profit for the year</t>
        </is>
      </c>
      <c r="B20" s="6" t="n">
        <v>0</v>
      </c>
      <c r="C20" s="6" t="n">
        <v>7597</v>
      </c>
      <c r="D20" s="6" t="n">
        <v>7597</v>
      </c>
    </row>
    <row r="21">
      <c r="A21" s="5" t="inlineStr">
        <is>
          <t>As at 31 December 2025</t>
        </is>
      </c>
      <c r="B21" s="5" t="n">
        <v>34150</v>
      </c>
      <c r="C21" s="5" t="n">
        <v>88826</v>
      </c>
      <c r="D21" s="5" t="n">
        <v>122976</v>
      </c>
    </row>
    <row r="23" ht="364" customHeight="1">
      <c r="A23" s="9" t="inlineStr">
        <is>
          <t>Sources - Bank of Beirut (UK) Ltd's own Balance Sheet / Income Statement / Statement of Changes in Equity, converted from £ to £'000s (rounded to nearest £'000), all years:
FY2025/FY2024: Annual Report and Financial Statements 2025, Income Statement p.29, Statement of Other Comprehensive Income p.30, Balance Sheet p.31, Statement of Changes in Equity p.32 - https://www.bankofbeirut.co.uk/Content/uploads/AnnualReport/Annual_Report_and_Financial_Statements_2025_-_for_publishing.pdf
FY2023/FY2022: Annual Report and Financial Statements 2023, Income Statement p.30, Statement of Other Comprehensive Income p.31, Balance Sheet p.32, Statement of Changes in Equity p.33 (FY2022 is that report's own FY2022 comparative column) - https://www.bankofbeirut.co.uk/Content/Uploads/AnnualReport/Annual%20Report%20and%20Financial%20Statements%202023%20-%20for%20publishing240429124230700~.pdf
FY2021: Annual Report &amp; Financial Statements 2021, Income Statement/OCI p.28, Balance Sheet p.29, Statement of Changes in Equity p.30 - https://www.bankofbeirut.co.uk/Content/uploads/AnnualReport/Bank_of_beirut_UK_Annual_Report_-_2021_.pdf
FY2017: Report and Financial Statements 2017, Income Statement / Statement of Other Comprehensive Income / Balance sheet, pp.23-27 - https://www.bankofbeirut.co.uk/content/uploads/AnnualReport/bankofbeirut-uk2017-annualreport180614103530638~.pdf. FY2017 is a headline extension column: only the Balance Sheet and Income Statement line items disclosed in that report are carried; its Statement of Changes in Equity is not transcribed, and no Pillar 3 metric is inferred for FY2017 (those sheets are deliberately blank for that year, as the Bank published no pre-UK-KM1 Pillar 3 disclosure).
PRESENTATIONAL BREAK: FY2021's Balance Sheet carries 'Debt securities at amortised cost' and 'Financial assets at FVTOCI' as separate lines; FY2022 onward consolidates everything into a single 'Financial assets at amortised cost' line - a genuine reclassification of the investment portfolio, not merged here (each year's own report structure kept). FY2021 and FY2023's own Balance Sheets carry no 'Derivative assets/liabilities' line (nil that year); FY2022/FY2024 do.
ROUNDING ARTIFACT: FY2021's Statement of Changes in Equity's own Profit-for-year (£1,419,884 -&gt; £1,420k) and OCI-for-year (£10,501 -&gt; £11k) rows sum to £1,431k against that year's own reported Total comprehensive income of £1,430,385 (-&gt; £1,430k) - a £1k rounding artifact from independently rounding each component to the nearest £'000, not a source-document error (the underlying unrounded figures tie exactly: 1,419,884 + 10,501 = 1,430,385).
FY2025's and FY2023's own Balance Sheet Total assets figures (£502,093,745 -&gt; £502,094k; £367,528,644 -&gt; £367,529k) are each £1k more than Total liabilities + Total equity independently rounded (£379,117k + £122,976k = £502,093k; £252,533k + £114,995k = £367,528k) - same rounding-artifact class as above, not an imbalance in the source (both years' unrounded figures tie exactly).</t>
        </is>
      </c>
    </row>
    <row r="25" ht="150" customHeight="1">
      <c r="A25" s="9" t="inlineStr">
        <is>
          <t>(continued)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23:D23"/>
    <mergeCell ref="A25:D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Bank of Beirut (UK) Ltd — Cash Flow Statement</t>
        </is>
      </c>
    </row>
    <row r="2">
      <c r="A2" s="2" t="inlineStr">
        <is>
          <t>Entity-level basis, £'000s (converted from source £). Full 5 years, no cash-flow exemption.</t>
        </is>
      </c>
    </row>
    <row r="3">
      <c r="A3" s="4" t="inlineStr">
        <is>
          <t>Line item</t>
        </is>
      </c>
      <c r="B3" s="4" t="inlineStr">
        <is>
          <t>FY2025 (£'000s)</t>
        </is>
      </c>
      <c r="C3" s="4" t="inlineStr">
        <is>
          <t>FY2024 (£'000s)</t>
        </is>
      </c>
      <c r="D3" s="4" t="inlineStr">
        <is>
          <t>FY2023 (£'000s)</t>
        </is>
      </c>
      <c r="E3" s="4" t="inlineStr">
        <is>
          <t>FY2022 (£'000s)</t>
        </is>
      </c>
      <c r="F3" s="4" t="inlineStr">
        <is>
          <t>FY2021 (£'000s)</t>
        </is>
      </c>
      <c r="G3" s="8" t="inlineStr">
        <is>
          <t>FY2017 (£'000s)</t>
        </is>
      </c>
    </row>
    <row r="4">
      <c r="A4" s="5" t="inlineStr">
        <is>
          <t>Operating activities</t>
        </is>
      </c>
      <c r="B4" s="6" t="n"/>
      <c r="C4" s="6" t="n"/>
      <c r="D4" s="6" t="n"/>
      <c r="E4" s="6" t="n"/>
      <c r="F4" s="6" t="n"/>
    </row>
    <row r="5">
      <c r="A5" s="6" t="inlineStr">
        <is>
          <t>Profit for the year</t>
        </is>
      </c>
      <c r="B5" s="6" t="n">
        <v>7597</v>
      </c>
      <c r="C5" s="6" t="n">
        <v>9670</v>
      </c>
      <c r="D5" s="6" t="n">
        <v>8899</v>
      </c>
      <c r="E5" s="6" t="n">
        <v>3976</v>
      </c>
      <c r="F5" s="6" t="n">
        <v>1420</v>
      </c>
    </row>
    <row r="6">
      <c r="A6" s="6" t="inlineStr">
        <is>
          <t>Taxation</t>
        </is>
      </c>
      <c r="B6" s="6" t="n">
        <v>2586</v>
      </c>
      <c r="C6" s="6" t="n">
        <v>3283</v>
      </c>
      <c r="D6" s="6" t="n">
        <v>2838</v>
      </c>
      <c r="E6" s="6" t="n">
        <v>980</v>
      </c>
      <c r="F6" s="6" t="n">
        <v>737</v>
      </c>
    </row>
    <row r="7">
      <c r="A7" s="6" t="inlineStr">
        <is>
          <t>Treasury Bills discount and interest</t>
        </is>
      </c>
      <c r="B7" s="6" t="n">
        <v>-233</v>
      </c>
      <c r="C7" s="6" t="n">
        <v>-277</v>
      </c>
      <c r="D7" s="6" t="n">
        <v>594</v>
      </c>
      <c r="E7" s="6" t="n">
        <v>0</v>
      </c>
      <c r="F7" s="6" t="n"/>
    </row>
    <row r="8">
      <c r="A8" s="6" t="inlineStr">
        <is>
          <t>Depreciation and amortisation</t>
        </is>
      </c>
      <c r="B8" s="6" t="n">
        <v>1004</v>
      </c>
      <c r="C8" s="6" t="n">
        <v>834</v>
      </c>
      <c r="D8" s="6" t="n">
        <v>750</v>
      </c>
      <c r="E8" s="6" t="n">
        <v>642</v>
      </c>
      <c r="F8" s="6" t="n">
        <v>809</v>
      </c>
    </row>
    <row r="9">
      <c r="A9" s="6" t="inlineStr">
        <is>
          <t>Impairment reversal/(losses) on financial assets</t>
        </is>
      </c>
      <c r="B9" s="6" t="n">
        <v>-368</v>
      </c>
      <c r="C9" s="6" t="n">
        <v>-241</v>
      </c>
      <c r="D9" s="6" t="n">
        <v>736</v>
      </c>
      <c r="E9" s="6" t="n">
        <v>2669</v>
      </c>
      <c r="F9" s="6" t="n">
        <v>297</v>
      </c>
    </row>
    <row r="10">
      <c r="A10" s="6" t="inlineStr">
        <is>
          <t>Finance cost on lease liabilities</t>
        </is>
      </c>
      <c r="B10" s="6" t="n">
        <v>23</v>
      </c>
      <c r="C10" s="6" t="n">
        <v>83</v>
      </c>
      <c r="D10" s="6" t="n">
        <v>32</v>
      </c>
      <c r="E10" s="6" t="n">
        <v>38</v>
      </c>
      <c r="F10" s="6" t="n">
        <v>43</v>
      </c>
    </row>
    <row r="11">
      <c r="A11" s="6" t="inlineStr">
        <is>
          <t>Interest income</t>
        </is>
      </c>
      <c r="B11" s="6" t="n">
        <v>-22273</v>
      </c>
      <c r="C11" s="6" t="n">
        <v>-23830</v>
      </c>
      <c r="D11" s="6" t="n"/>
      <c r="E11" s="6" t="n"/>
      <c r="F11" s="6" t="n"/>
    </row>
    <row r="12">
      <c r="A12" s="6" t="inlineStr">
        <is>
          <t>Interest expense</t>
        </is>
      </c>
      <c r="B12" s="6" t="n">
        <v>6352</v>
      </c>
      <c r="C12" s="6" t="n">
        <v>5875</v>
      </c>
      <c r="D12" s="6" t="n"/>
      <c r="E12" s="6" t="n"/>
      <c r="F12" s="6" t="n"/>
    </row>
    <row r="13">
      <c r="A13" s="5" t="inlineStr">
        <is>
          <t>Operating cash flows before movements in working capital</t>
        </is>
      </c>
      <c r="B13" s="5" t="n">
        <v>-5312</v>
      </c>
      <c r="C13" s="5" t="n">
        <v>-4603</v>
      </c>
      <c r="D13" s="5" t="n">
        <v>13849</v>
      </c>
      <c r="E13" s="5" t="n">
        <v>8304</v>
      </c>
      <c r="F13" s="5" t="n">
        <v>3306</v>
      </c>
    </row>
    <row r="14">
      <c r="A14" s="6" t="inlineStr">
        <is>
          <t>Increase/(Decrease) in prepayments and accrued income</t>
        </is>
      </c>
      <c r="B14" s="6" t="n">
        <v>-337</v>
      </c>
      <c r="C14" s="6" t="n">
        <v>-497</v>
      </c>
      <c r="D14" s="6" t="n">
        <v>104</v>
      </c>
      <c r="E14" s="6" t="n">
        <v>-178</v>
      </c>
      <c r="F14" s="6" t="n">
        <v>-181</v>
      </c>
    </row>
    <row r="15">
      <c r="A15" s="6" t="inlineStr">
        <is>
          <t>(Decrease)/Increase in accruals and deferred income</t>
        </is>
      </c>
      <c r="B15" s="6" t="n">
        <v>-347</v>
      </c>
      <c r="C15" s="6" t="n">
        <v>-170</v>
      </c>
      <c r="D15" s="6" t="n">
        <v>303</v>
      </c>
      <c r="E15" s="6" t="n">
        <v>-31</v>
      </c>
      <c r="F15" s="6" t="n">
        <v>263</v>
      </c>
    </row>
    <row r="16">
      <c r="A16" s="6" t="inlineStr">
        <is>
          <t>Net Increase/(Decrease) in loans and advances to banks and customers</t>
        </is>
      </c>
      <c r="B16" s="6" t="n">
        <v>-24435</v>
      </c>
      <c r="C16" s="6" t="n">
        <v>-54985</v>
      </c>
      <c r="D16" s="6" t="n">
        <v>39905</v>
      </c>
      <c r="E16" s="6" t="n">
        <v>-27093</v>
      </c>
      <c r="F16" s="6" t="n">
        <v>24313</v>
      </c>
    </row>
    <row r="17">
      <c r="A17" s="6" t="inlineStr">
        <is>
          <t>(Decrease)/Increase in deposits by banks and customer accounts</t>
        </is>
      </c>
      <c r="B17" s="6" t="n">
        <v>24806</v>
      </c>
      <c r="C17" s="6" t="n">
        <v>103729</v>
      </c>
      <c r="D17" s="6" t="n">
        <v>-29538</v>
      </c>
      <c r="E17" s="6" t="n">
        <v>-6085</v>
      </c>
      <c r="F17" s="6" t="n">
        <v>-11002</v>
      </c>
    </row>
    <row r="18">
      <c r="A18" s="6" t="inlineStr">
        <is>
          <t>(Decrease)/Increase in other liabilities</t>
        </is>
      </c>
      <c r="B18" s="6" t="n">
        <v>-8938</v>
      </c>
      <c r="C18" s="6" t="n">
        <v>10394</v>
      </c>
      <c r="D18" s="6" t="n">
        <v>-69</v>
      </c>
      <c r="E18" s="6" t="n">
        <v>299</v>
      </c>
      <c r="F18" s="6" t="n">
        <v>-1363</v>
      </c>
    </row>
    <row r="19">
      <c r="A19" s="6" t="inlineStr">
        <is>
          <t>Net (Decrease)/Increase in derivative financial instruments</t>
        </is>
      </c>
      <c r="B19" s="6" t="n">
        <v>-145</v>
      </c>
      <c r="C19" s="6" t="n">
        <v>192</v>
      </c>
      <c r="D19" s="6" t="n">
        <v>-65</v>
      </c>
      <c r="E19" s="6" t="n">
        <v>17</v>
      </c>
      <c r="F19" s="6" t="n"/>
    </row>
    <row r="20">
      <c r="A20" s="6" t="inlineStr">
        <is>
          <t>Interest income received</t>
        </is>
      </c>
      <c r="B20" s="6" t="n">
        <v>23318</v>
      </c>
      <c r="C20" s="6" t="n">
        <v>23628</v>
      </c>
      <c r="D20" s="6" t="n"/>
      <c r="E20" s="6" t="n"/>
      <c r="F20" s="6" t="n"/>
    </row>
    <row r="21">
      <c r="A21" s="6" t="inlineStr">
        <is>
          <t>Interest expense paid</t>
        </is>
      </c>
      <c r="B21" s="6" t="n">
        <v>-6569</v>
      </c>
      <c r="C21" s="6" t="n">
        <v>-6056</v>
      </c>
      <c r="D21" s="6" t="n"/>
      <c r="E21" s="6" t="n"/>
      <c r="F21" s="6" t="n"/>
    </row>
    <row r="22">
      <c r="A22" s="6" t="inlineStr">
        <is>
          <t>Corporation tax paid</t>
        </is>
      </c>
      <c r="B22" s="6" t="n">
        <v>-2571</v>
      </c>
      <c r="C22" s="6" t="n">
        <v>-4710</v>
      </c>
      <c r="D22" s="6" t="n">
        <v>-1828</v>
      </c>
      <c r="E22" s="6" t="n">
        <v>-356</v>
      </c>
      <c r="F22" s="6" t="n">
        <v>-295</v>
      </c>
      <c r="G22" s="6" t="n">
        <v>-1782</v>
      </c>
    </row>
    <row r="23">
      <c r="A23" s="5" t="inlineStr">
        <is>
          <t>Net cash (used in)/generated from operating activities</t>
        </is>
      </c>
      <c r="B23" s="5" t="n">
        <v>-529</v>
      </c>
      <c r="C23" s="5" t="n">
        <v>121755</v>
      </c>
      <c r="D23" s="5" t="n">
        <v>22662</v>
      </c>
      <c r="E23" s="5" t="n">
        <v>-25122</v>
      </c>
      <c r="F23" s="5" t="n">
        <v>15041</v>
      </c>
    </row>
    <row r="24">
      <c r="A24" s="5" t="inlineStr">
        <is>
          <t>Investing activities</t>
        </is>
      </c>
      <c r="B24" s="6" t="n"/>
      <c r="C24" s="6" t="n"/>
      <c r="D24" s="6" t="n"/>
      <c r="E24" s="6" t="n"/>
      <c r="F24" s="6" t="n"/>
    </row>
    <row r="25">
      <c r="A25" s="6" t="inlineStr">
        <is>
          <t>Purchase of property, equipment and intangible assets</t>
        </is>
      </c>
      <c r="B25" s="6" t="n">
        <v>-3860</v>
      </c>
      <c r="C25" s="6" t="n">
        <v>-1906</v>
      </c>
      <c r="D25" s="6" t="n">
        <v>-355</v>
      </c>
      <c r="E25" s="6" t="n">
        <v>-769</v>
      </c>
      <c r="F25" s="6" t="n">
        <v>-128</v>
      </c>
    </row>
    <row r="26">
      <c r="A26" s="6" t="inlineStr">
        <is>
          <t>Proceeds on maturity of treasury bills and other eligible bills</t>
        </is>
      </c>
      <c r="B26" s="6" t="n">
        <v>340419</v>
      </c>
      <c r="C26" s="6" t="n">
        <v>107809</v>
      </c>
      <c r="D26" s="6" t="n">
        <v>43930</v>
      </c>
      <c r="E26" s="6" t="n">
        <v>39572</v>
      </c>
      <c r="F26" s="6" t="n">
        <v>30077</v>
      </c>
    </row>
    <row r="27">
      <c r="A27" s="6" t="inlineStr">
        <is>
          <t>Purchase of treasury bills and other eligible bills</t>
        </is>
      </c>
      <c r="B27" s="6" t="n">
        <v>-355953</v>
      </c>
      <c r="C27" s="6" t="n">
        <v>-125744</v>
      </c>
      <c r="D27" s="6" t="n">
        <v>-49034</v>
      </c>
      <c r="E27" s="6" t="n">
        <v>-45974</v>
      </c>
      <c r="F27" s="6" t="n">
        <v>-29631</v>
      </c>
    </row>
    <row r="28">
      <c r="A28" s="5" t="inlineStr">
        <is>
          <t>Net cash (used in)/generated from investing activities</t>
        </is>
      </c>
      <c r="B28" s="5" t="n">
        <v>-19394</v>
      </c>
      <c r="C28" s="5" t="n">
        <v>-19841</v>
      </c>
      <c r="D28" s="5" t="n">
        <v>-5459</v>
      </c>
      <c r="E28" s="5" t="n">
        <v>-7171</v>
      </c>
      <c r="F28" s="5" t="n">
        <v>318</v>
      </c>
    </row>
    <row r="29">
      <c r="A29" s="5" t="inlineStr">
        <is>
          <t>Financing activities</t>
        </is>
      </c>
      <c r="B29" s="6" t="n"/>
      <c r="C29" s="6" t="n"/>
      <c r="D29" s="6" t="n"/>
      <c r="E29" s="6" t="n"/>
      <c r="F29" s="6" t="n"/>
    </row>
    <row r="30">
      <c r="A30" s="6" t="inlineStr">
        <is>
          <t>Lease payments under Finance Lease</t>
        </is>
      </c>
      <c r="B30" s="6" t="n">
        <v>-156</v>
      </c>
      <c r="C30" s="6" t="n">
        <v>-136</v>
      </c>
      <c r="D30" s="6" t="n">
        <v>-148</v>
      </c>
      <c r="E30" s="6" t="n">
        <v>-141</v>
      </c>
      <c r="F30" s="6" t="n">
        <v>-148</v>
      </c>
    </row>
    <row r="31">
      <c r="A31" s="6" t="inlineStr">
        <is>
          <t>Subordinated loan redemption</t>
        </is>
      </c>
      <c r="B31" s="6" t="n"/>
      <c r="C31" s="6" t="n"/>
      <c r="D31" s="6" t="n">
        <v>-17408</v>
      </c>
      <c r="E31" s="6" t="n"/>
      <c r="F31" s="6" t="n"/>
    </row>
    <row r="32">
      <c r="A32" s="6" t="inlineStr">
        <is>
          <t>Dividend paid</t>
        </is>
      </c>
      <c r="B32" s="6" t="n">
        <v>-4835</v>
      </c>
      <c r="C32" s="6" t="n">
        <v>-4450</v>
      </c>
      <c r="D32" s="6" t="n">
        <v>-1988</v>
      </c>
      <c r="E32" s="6" t="n">
        <v>-802</v>
      </c>
      <c r="F32" s="6" t="n"/>
    </row>
    <row r="33">
      <c r="A33" s="5" t="inlineStr">
        <is>
          <t>Net cash (used in)/generated from financing activities</t>
        </is>
      </c>
      <c r="B33" s="5" t="n">
        <v>-4991</v>
      </c>
      <c r="C33" s="5" t="n">
        <v>-4586</v>
      </c>
      <c r="D33" s="5" t="n">
        <v>-19544</v>
      </c>
      <c r="E33" s="5" t="n">
        <v>-944</v>
      </c>
      <c r="F33" s="5" t="n">
        <v>-148</v>
      </c>
    </row>
    <row r="34">
      <c r="A34" s="5" t="inlineStr">
        <is>
          <t>Net (decrease)/increase in cash and cash equivalents</t>
        </is>
      </c>
      <c r="B34" s="5" t="n">
        <v>-24915</v>
      </c>
      <c r="C34" s="5" t="n">
        <v>42879</v>
      </c>
      <c r="D34" s="5" t="n">
        <v>-2340</v>
      </c>
      <c r="E34" s="5" t="n">
        <v>-33237</v>
      </c>
      <c r="F34" s="5" t="n">
        <v>15211</v>
      </c>
    </row>
    <row r="35">
      <c r="A35" s="6" t="inlineStr">
        <is>
          <t>Cash and cash equivalents at the beginning of the year</t>
        </is>
      </c>
      <c r="B35" s="6" t="n">
        <v>276518</v>
      </c>
      <c r="C35" s="6" t="n">
        <v>97313</v>
      </c>
      <c r="D35" s="6" t="n">
        <v>97866</v>
      </c>
      <c r="E35" s="6" t="n">
        <v>134557</v>
      </c>
      <c r="F35" s="6" t="n">
        <v>118590</v>
      </c>
      <c r="G35" s="6" t="n">
        <v>96052</v>
      </c>
    </row>
    <row r="36">
      <c r="A36" s="6" t="inlineStr">
        <is>
          <t>Effect of exchange rate changes on cash and cash equivalents</t>
        </is>
      </c>
      <c r="B36" s="6" t="n">
        <v>3169</v>
      </c>
      <c r="C36" s="6" t="n">
        <v>-335</v>
      </c>
      <c r="D36" s="6" t="n">
        <v>1787</v>
      </c>
      <c r="E36" s="6" t="n">
        <v>-3454</v>
      </c>
      <c r="F36" s="6" t="n">
        <v>755</v>
      </c>
    </row>
    <row r="37">
      <c r="A37" s="5" t="inlineStr">
        <is>
          <t>Cash and cash equivalents at the end of the year</t>
        </is>
      </c>
      <c r="B37" s="5" t="n">
        <v>254772</v>
      </c>
      <c r="C37" s="5" t="n">
        <v>139857</v>
      </c>
      <c r="D37" s="5" t="n">
        <v>97313</v>
      </c>
      <c r="E37" s="5" t="n">
        <v>97866</v>
      </c>
      <c r="F37" s="5" t="n">
        <v>134557</v>
      </c>
      <c r="G37" s="6" t="n">
        <v>105686</v>
      </c>
    </row>
    <row r="38"/>
    <row r="39" ht="300" customHeight="1">
      <c r="A39" s="9" t="inlineStr">
        <is>
          <t>Sources - Bank of Beirut (UK) Ltd's own Cash Flow Statement, converted from £ to £'000s (rounded), all years:
FY2025/FY2024: Annual Report and Financial Statements 2025, p.33 - https://www.bankofbeirut.co.uk/Content/uploads/AnnualReport/Annual_Report_and_Financial_Statements_2025_-_for_publishing.pdf
FY2023: Annual Report and Financial Statements 2023, p.34 - https://www.bankofbeirut.co.uk/Content/Uploads/AnnualReport/Annual%20Report%20and%20Financial%20Statements%202023%20-%20for%20publishing240429124230700~.pdf
FY2022: sourced from the Annual Report and Financial Statements 2023's own FY2022 comparative column, p.34 - https://www.bankofbeirut.co.uk/Content/Uploads/AnnualReport/Annual%20Report%20and%20Financial%20Statements%202023%20-%20for%20publishing240429124230700~.pdf
FY2021: Annual Report &amp; Financial Statements 2021, p.31 - https://www.bankofbeirut.co.uk/Content/uploads/AnnualReport/Bank_of_beirut_UK_Annual_Report_-_2021_.pdf
FY2017: Report and Financial Statements 2017, Cash flow statement, pp.23-27 - https://www.bankofbeirut.co.uk/content/uploads/AnnualReport/bankofbeirut-uk2017-annualreport180614103530638~.pdf (headline extension column, figures rounded from £ to £'000).
GENUINE UNRESOLVED PRESENTATIONAL BREAK: FY2024's own report (Annual Report 2024, p.34/p.33 Balance Sheet) states 'Cash and balances at banks' at FY2024 year-end as £139,856,747, matching FY2023's own year-end figure of £97,312,901 as that year's opening balance - fully self-consistent. But the FY2025 report's own FY2024 comparative restates BOTH the FY2024 balance-sheet cash figure and the cash-flow opening balance to £276,517,994 - a £136.7m increase. Tracing this: the FY2025 report's FY2024 comparative 'Placements with banks' balance-sheet line also drops from its FY2024-report-original £139,666,071 to a restated £3,004,824 in the same amount as the cash increase (£139,666,071 - £3,004,824 = £136,661,247, matching the cash increase to the pound). This is evidence of a genuine reclassification - most of 'Placements with banks' moved into 'Cash and balances at banks' from FY2025 onward, with FY2024 restated for comparability - not an error. Per this project's convention, each column below keeps ITS OWN report's originally-published figures (FY2024 = £139,857k as originally stated, FY2025's own opening balance = £276,518k as its own report states) rather than force-blending the two; the reconciling difference is fully explained above, unlike the unexplained gap left at Arab Bank Europe.
One immaterial £1k rounding artifact in the FY2021 report's own tail chain (kept as printed).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1">
    <mergeCell ref="A39:F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Bank of Beirut (UK) Ltd — Asset Quality / Credit Risk Disclosures</t>
        </is>
      </c>
    </row>
    <row r="2">
      <c r="A2" s="2" t="inlineStr">
        <is>
          <t>Entity-level basis, £'000s (converted from source £). Full 5 years.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 book by IFRS 9 stage (gross carrying amount)</t>
        </is>
      </c>
      <c r="B4" s="6" t="n"/>
      <c r="C4" s="6" t="n"/>
      <c r="D4" s="6" t="n"/>
      <c r="E4" s="6" t="n"/>
      <c r="F4" s="6" t="n"/>
    </row>
    <row r="5">
      <c r="A5" s="6" t="inlineStr">
        <is>
          <t>Stage 1 (12-month ECL)</t>
        </is>
      </c>
      <c r="B5" s="6" t="n">
        <v>142128</v>
      </c>
      <c r="C5" s="6" t="n">
        <v>119370</v>
      </c>
      <c r="D5" s="6" t="n">
        <v>114296</v>
      </c>
      <c r="E5" s="6" t="n">
        <v>159945</v>
      </c>
      <c r="F5" s="6" t="n">
        <v>118696</v>
      </c>
    </row>
    <row r="6">
      <c r="A6" s="6" t="inlineStr">
        <is>
          <t>Stage 2 (lifetime ECL, not credit-impaired)</t>
        </is>
      </c>
      <c r="B6" s="6" t="n">
        <v>2024</v>
      </c>
      <c r="C6" s="6" t="n">
        <v>1587</v>
      </c>
      <c r="D6" s="6" t="n">
        <v>7063</v>
      </c>
      <c r="E6" s="6" t="n">
        <v>2050</v>
      </c>
      <c r="F6" s="6" t="n">
        <v>8389</v>
      </c>
    </row>
    <row r="7">
      <c r="A7" s="6" t="inlineStr">
        <is>
          <t>Stage 3 (lifetime ECL, credit-impaired)</t>
        </is>
      </c>
      <c r="B7" s="6" t="n">
        <v>6562</v>
      </c>
      <c r="C7" s="6" t="n">
        <v>10543</v>
      </c>
      <c r="D7" s="6" t="n">
        <v>9952</v>
      </c>
      <c r="E7" s="6" t="n">
        <v>9795</v>
      </c>
      <c r="F7" s="6" t="n">
        <v>8438</v>
      </c>
    </row>
    <row r="8">
      <c r="A8" s="5" t="inlineStr">
        <is>
          <t>Total gross loans and advances to customers</t>
        </is>
      </c>
      <c r="B8" s="5" t="n">
        <v>150714</v>
      </c>
      <c r="C8" s="5" t="n">
        <v>131500</v>
      </c>
      <c r="D8" s="5" t="n">
        <v>131311</v>
      </c>
      <c r="E8" s="5" t="n">
        <v>171790</v>
      </c>
      <c r="F8" s="5" t="n">
        <v>135523</v>
      </c>
    </row>
    <row r="9">
      <c r="A9" s="5" t="inlineStr">
        <is>
          <t>Loss allowance (ECL) by stage</t>
        </is>
      </c>
      <c r="B9" s="6" t="n"/>
      <c r="C9" s="6" t="n"/>
      <c r="D9" s="6" t="n"/>
      <c r="E9" s="6" t="n"/>
      <c r="F9" s="6" t="n"/>
    </row>
    <row r="10">
      <c r="A10" s="6" t="inlineStr">
        <is>
          <t>Stage 1 allowance</t>
        </is>
      </c>
      <c r="B10" s="6" t="n">
        <v>676</v>
      </c>
      <c r="C10" s="6" t="n">
        <v>347</v>
      </c>
      <c r="D10" s="6" t="n">
        <v>391</v>
      </c>
      <c r="E10" s="6" t="n">
        <v>696</v>
      </c>
      <c r="F10" s="6" t="n">
        <v>417</v>
      </c>
    </row>
    <row r="11">
      <c r="A11" s="6" t="inlineStr">
        <is>
          <t>Stage 2 allowance</t>
        </is>
      </c>
      <c r="B11" s="6" t="n">
        <v>42</v>
      </c>
      <c r="C11" s="6" t="n">
        <v>69</v>
      </c>
      <c r="D11" s="6" t="n">
        <v>84</v>
      </c>
      <c r="E11" s="6" t="n">
        <v>268</v>
      </c>
      <c r="F11" s="6" t="n">
        <v>301</v>
      </c>
    </row>
    <row r="12">
      <c r="A12" s="6" t="inlineStr">
        <is>
          <t>Stage 3 allowance</t>
        </is>
      </c>
      <c r="B12" s="6" t="n">
        <v>5812</v>
      </c>
      <c r="C12" s="6" t="n">
        <v>9688</v>
      </c>
      <c r="D12" s="6" t="n">
        <v>9740</v>
      </c>
      <c r="E12" s="6" t="n">
        <v>9340</v>
      </c>
      <c r="F12" s="6" t="n">
        <v>5960</v>
      </c>
    </row>
    <row r="13">
      <c r="A13" s="5" t="inlineStr">
        <is>
          <t>Total loss allowance</t>
        </is>
      </c>
      <c r="B13" s="5" t="n">
        <v>6530</v>
      </c>
      <c r="C13" s="5" t="n">
        <v>10103</v>
      </c>
      <c r="D13" s="5" t="n">
        <v>10215</v>
      </c>
      <c r="E13" s="5" t="n">
        <v>10303</v>
      </c>
      <c r="F13" s="5" t="n">
        <v>6678</v>
      </c>
    </row>
    <row r="14">
      <c r="A14" s="5" t="inlineStr">
        <is>
          <t>Asset quality ratios</t>
        </is>
      </c>
      <c r="B14" s="6" t="n"/>
      <c r="C14" s="6" t="n"/>
      <c r="D14" s="6" t="n"/>
      <c r="E14" s="6" t="n"/>
      <c r="F14" s="6" t="n"/>
    </row>
    <row r="15">
      <c r="A15" s="6" t="inlineStr">
        <is>
          <t>ECL coverage ratio (Total allowance / Total gross loans)</t>
        </is>
      </c>
      <c r="B15" s="6" t="inlineStr">
        <is>
          <t>4.33%</t>
        </is>
      </c>
      <c r="C15" s="6" t="inlineStr">
        <is>
          <t>7.68%</t>
        </is>
      </c>
      <c r="D15" s="6" t="inlineStr">
        <is>
          <t>7.78%</t>
        </is>
      </c>
      <c r="E15" s="6" t="inlineStr">
        <is>
          <t>6.00%</t>
        </is>
      </c>
      <c r="F15" s="6" t="inlineStr">
        <is>
          <t>4.93%</t>
        </is>
      </c>
    </row>
    <row r="16">
      <c r="A16" s="6" t="inlineStr">
        <is>
          <t>Stage 3 / NPL ratio (Stage 3 gross / Total gross loans)</t>
        </is>
      </c>
      <c r="B16" s="6" t="inlineStr">
        <is>
          <t>4.35%</t>
        </is>
      </c>
      <c r="C16" s="6" t="inlineStr">
        <is>
          <t>8.02%</t>
        </is>
      </c>
      <c r="D16" s="6" t="inlineStr">
        <is>
          <t>7.58%</t>
        </is>
      </c>
      <c r="E16" s="6" t="inlineStr">
        <is>
          <t>5.70%</t>
        </is>
      </c>
      <c r="F16" s="6" t="inlineStr">
        <is>
          <t>6.23%</t>
        </is>
      </c>
    </row>
    <row r="17">
      <c r="A17" s="6" t="inlineStr">
        <is>
          <t>Stage 3 coverage ratio (Stage 3 allowance / Stage 3 gross)</t>
        </is>
      </c>
      <c r="B17" s="6" t="inlineStr">
        <is>
          <t>88.57%</t>
        </is>
      </c>
      <c r="C17" s="6" t="inlineStr">
        <is>
          <t>91.89%</t>
        </is>
      </c>
      <c r="D17" s="6" t="inlineStr">
        <is>
          <t>97.87%</t>
        </is>
      </c>
      <c r="E17" s="6" t="inlineStr">
        <is>
          <t>95.35%</t>
        </is>
      </c>
      <c r="F17" s="6" t="inlineStr">
        <is>
          <t>70.65%</t>
        </is>
      </c>
    </row>
    <row r="19" ht="195" customHeight="1">
      <c r="A19" s="9" t="inlineStr">
        <is>
          <t>Sources - Bank of Beirut (UK) Ltd's own IFRS 9 credit risk note (loans and advances to customers), £'000s (converted from source £, rounded), all years:
FY2025/FY2024: Annual Report and Financial Statements 2025, Note 28.1 Credit risk - https://www.bankofbeirut.co.uk/Content/uploads/AnnualReport/Annual_Report_and_Financial_Statements_2025_-_for_publishing.pdf
FY2023/FY2022: Annual Report and Financial Statements 2023, Note 30.1 Credit risk - https://www.bankofbeirut.co.uk/Content/Uploads/AnnualReport/Annual%20Report%20and%20Financial%20Statements%202023%20-%20for%20publishing240429124230700~.pdf
FY2021: Annual Report &amp; Financial Statements 2021, Note 30.1 Credit risk - https://www.bankofbeirut.co.uk/Content/uploads/AnnualReport/Bank_of_beirut_UK_Annual_Report_-_2021_.pdf
No by-product loan breakdown exists in any year's notes - only the IFRS 9 stage view (all lending is to customers as a single class; the Bank does not sub-segment by retail/corporate/sector in its published financial statements). Ratios are calculated from each year's own unrounded £ figures, not from the rounded £'000s shown here, to avoid compounding rounding error.
IMMATERIAL RECONCILING DIFFERENCE: each year's Total gross carrying amount below is £90k-£150k (~0.1%) higher than that year's Balance Sheet 'Loans and advances to customers' net-of-ECL figure would suggest (Total gross - Total ECL allowance) - most likely accrued interest or fee adjustments not captured in the credit-risk note's gross carrying table; both source tables are self-consistent within themselves, this is a genuine small gap between two notes in the Bank's own reports, not a transcription error here.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1">
    <mergeCell ref="A19:F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of Beirut (UK) Ltd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Return on equity - average equity basis</t>
        </is>
      </c>
      <c r="B4" s="6" t="inlineStr">
        <is>
          <t>6.25%</t>
        </is>
      </c>
      <c r="C4" s="6" t="inlineStr">
        <is>
          <t>8.22%</t>
        </is>
      </c>
      <c r="D4" s="6" t="inlineStr">
        <is>
          <t>7.98%</t>
        </is>
      </c>
      <c r="E4" s="6" t="inlineStr">
        <is>
          <t>3.73%</t>
        </is>
      </c>
      <c r="F4" s="6" t="n"/>
      <c r="G4" s="6" t="n"/>
    </row>
    <row r="5">
      <c r="A5" s="6" t="inlineStr">
        <is>
          <t>Return on equity - year-end equity basis</t>
        </is>
      </c>
      <c r="B5" s="6" t="inlineStr">
        <is>
          <t>6.18%</t>
        </is>
      </c>
      <c r="C5" s="6" t="inlineStr">
        <is>
          <t>8.04%</t>
        </is>
      </c>
      <c r="D5" s="6" t="inlineStr">
        <is>
          <t>7.74%</t>
        </is>
      </c>
      <c r="E5" s="6" t="inlineStr">
        <is>
          <t>3.68%</t>
        </is>
      </c>
      <c r="F5" s="6" t="inlineStr">
        <is>
          <t>1.35%</t>
        </is>
      </c>
      <c r="G5" s="6" t="n"/>
    </row>
    <row r="6">
      <c r="A6" s="6" t="inlineStr">
        <is>
          <t>Return on assets - average assets basis</t>
        </is>
      </c>
      <c r="B6" s="6" t="inlineStr">
        <is>
          <t>1.54%</t>
        </is>
      </c>
      <c r="C6" s="6" t="inlineStr">
        <is>
          <t>2.27%</t>
        </is>
      </c>
      <c r="D6" s="6" t="inlineStr">
        <is>
          <t>2.30%</t>
        </is>
      </c>
      <c r="E6" s="6" t="inlineStr">
        <is>
          <t>0.97%</t>
        </is>
      </c>
      <c r="F6" s="6" t="n"/>
      <c r="G6" s="6" t="n"/>
    </row>
    <row r="7">
      <c r="A7" s="6" t="inlineStr">
        <is>
          <t>Return on assets - year-end assets basis</t>
        </is>
      </c>
      <c r="B7" s="6" t="inlineStr">
        <is>
          <t>1.51%</t>
        </is>
      </c>
      <c r="C7" s="6" t="inlineStr">
        <is>
          <t>2.00%</t>
        </is>
      </c>
      <c r="D7" s="6" t="inlineStr">
        <is>
          <t>2.42%</t>
        </is>
      </c>
      <c r="E7" s="6" t="inlineStr">
        <is>
          <t>0.98%</t>
        </is>
      </c>
      <c r="F7" s="6" t="inlineStr">
        <is>
          <t>0.35%</t>
        </is>
      </c>
      <c r="G7" s="6" t="n"/>
    </row>
    <row r="8">
      <c r="A8" s="6" t="inlineStr">
        <is>
          <t>Return on Average Equity (as published)</t>
        </is>
      </c>
      <c r="B8" s="6" t="n"/>
      <c r="C8" s="6" t="n"/>
      <c r="D8" s="6" t="n"/>
      <c r="E8" s="6" t="n"/>
      <c r="F8" s="6" t="n"/>
      <c r="G8" s="6" t="inlineStr">
        <is>
          <t>7.85%</t>
        </is>
      </c>
    </row>
    <row r="9" ht="221"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Average Equity: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FY2017 HAS NO AVERAGE-BASIS RATIO, AND THAT IS CORRECT. An average denominator needs an opening balance, and FY2017 is the oldest column this workbook carries, so there is no prior year to open from. The blank is structural, not a missing figure. The year-end basis is shown for FY2017 because it needs only the closing balance.
FIGURES THE BANK PUBLISHED ONLY AS A LATER EDITION'S COMPARATIVE, AND WHY THEY ARE NOT IN THE CELLS ABOVE. FY2016 Return on Average Equity 5.96%.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9"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Bank of Beirut (UK) Ltd's Annual Report and Accounts for each year; see the source cells on the Balance Sheet and Profit &amp; Loss sheets for the exact document, page and table behind every input to every percentage above.
The '(as published)' rows are quoted verbatim from Bank of Beirut (UK) Ltd's own disclosures and are recorded, with the exact document, page and verification state for each, in research/profitability/published_returns.jsonl under ‘BANK OF BEIRUT UK’.</t>
        </is>
      </c>
    </row>
  </sheetData>
  <mergeCells count="2">
    <mergeCell ref="A11:G11"/>
    <mergeCell ref="A9:G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s>
  <sheetData>
    <row r="1">
      <c r="A1" s="1" t="inlineStr">
        <is>
          <t>Bank of Beirut (UK) Ltd - KM1 Key Metrics</t>
        </is>
      </c>
    </row>
    <row r="2">
      <c r="A2" s="2" t="inlineStr">
        <is>
          <t>The Bank's own 'Template UK KM1 - Key metrics template', reproduced whole in its own row order, row numbers, labels and precision. Amounts are in plain pounds exactly as published - unrounded and not rescaled; ratios as printed. FY2023-FY2025 come from each year's own edition; FY2022 is the FY2023 edition's comparative column, because the Bank's own FY2022 edition publishes no KM1 template at all. FY2021 and FY2017 are blank because no edition prints them in template form - see the sources note, which also records a restatement across editions and a defect in row 13.</t>
        </is>
      </c>
    </row>
    <row r="3">
      <c r="A3" s="4" t="inlineStr">
        <is>
          <t>Line item</t>
        </is>
      </c>
      <c r="B3" s="4" t="inlineStr">
        <is>
          <t>FY2025</t>
        </is>
      </c>
      <c r="C3" s="4" t="inlineStr">
        <is>
          <t>FY2024</t>
        </is>
      </c>
      <c r="D3" s="4" t="inlineStr">
        <is>
          <t>FY2023</t>
        </is>
      </c>
      <c r="E3" s="4" t="inlineStr">
        <is>
          <t>FY2022</t>
        </is>
      </c>
    </row>
    <row r="4">
      <c r="A4" s="5" t="inlineStr">
        <is>
          <t>AVAILABLE OWN FUNDS (AMOUNTS)</t>
        </is>
      </c>
      <c r="B4" s="6" t="n"/>
      <c r="C4" s="6" t="n"/>
      <c r="D4" s="6" t="n"/>
      <c r="E4" s="6" t="n"/>
    </row>
    <row r="5">
      <c r="A5" s="6" t="inlineStr">
        <is>
          <t>1  Common Equity Tier 1 (CET1) capital (£)</t>
        </is>
      </c>
      <c r="B5" s="6" t="n">
        <v>110569881</v>
      </c>
      <c r="C5" s="6" t="n">
        <v>108973693</v>
      </c>
      <c r="D5" s="6" t="n">
        <v>105763661</v>
      </c>
      <c r="E5" s="6" t="n">
        <v>103161031</v>
      </c>
    </row>
    <row r="6">
      <c r="A6" s="6" t="inlineStr">
        <is>
          <t>2  Tier 1 capital (£)</t>
        </is>
      </c>
      <c r="B6" s="6" t="n">
        <v>110569881</v>
      </c>
      <c r="C6" s="6" t="n">
        <v>108973693</v>
      </c>
      <c r="D6" s="6" t="n">
        <v>105763661</v>
      </c>
      <c r="E6" s="6" t="n">
        <v>103161031</v>
      </c>
    </row>
    <row r="7">
      <c r="A7" s="6" t="inlineStr">
        <is>
          <t>3  Total capital (£)</t>
        </is>
      </c>
      <c r="B7" s="6" t="n">
        <v>123648458</v>
      </c>
      <c r="C7" s="6" t="n">
        <v>124916300</v>
      </c>
      <c r="D7" s="6" t="n">
        <v>121468412</v>
      </c>
      <c r="E7" s="6" t="n">
        <v>133803218</v>
      </c>
    </row>
    <row r="8">
      <c r="A8" s="5" t="inlineStr">
        <is>
          <t>RISK-WEIGHTED EXPOSURE AMOUNTS</t>
        </is>
      </c>
      <c r="B8" s="6" t="n"/>
      <c r="C8" s="6" t="n"/>
      <c r="D8" s="6" t="n"/>
      <c r="E8" s="6" t="n"/>
    </row>
    <row r="9">
      <c r="A9" s="6" t="inlineStr">
        <is>
          <t>4  Total risk-weighted exposure amount (£)</t>
        </is>
      </c>
      <c r="B9" s="6" t="n">
        <v>294919899</v>
      </c>
      <c r="C9" s="6" t="n">
        <v>250106567</v>
      </c>
      <c r="D9" s="6" t="n">
        <v>248533572</v>
      </c>
      <c r="E9" s="6" t="n">
        <v>317552478</v>
      </c>
    </row>
    <row r="10">
      <c r="A10" s="5" t="inlineStr">
        <is>
          <t>CAPITAL RATIOS (AS A PERCENTAGE OF RISK-WEIGHTED EXPOSURE AMOUNT)</t>
        </is>
      </c>
      <c r="B10" s="6" t="n"/>
      <c r="C10" s="6" t="n"/>
      <c r="D10" s="6" t="n"/>
      <c r="E10" s="6" t="n"/>
    </row>
    <row r="11">
      <c r="A11" s="6" t="inlineStr">
        <is>
          <t>5  Common Equity Tier 1 ratio (%)</t>
        </is>
      </c>
      <c r="B11" s="6" t="inlineStr">
        <is>
          <t>37.49%</t>
        </is>
      </c>
      <c r="C11" s="6" t="inlineStr">
        <is>
          <t>43.57%</t>
        </is>
      </c>
      <c r="D11" s="6" t="inlineStr">
        <is>
          <t>42.56%</t>
        </is>
      </c>
      <c r="E11" s="6" t="inlineStr">
        <is>
          <t>32.49%</t>
        </is>
      </c>
    </row>
    <row r="12">
      <c r="A12" s="6" t="inlineStr">
        <is>
          <t>6  Tier 1 ratio (%)</t>
        </is>
      </c>
      <c r="B12" s="6" t="inlineStr">
        <is>
          <t>37.49%</t>
        </is>
      </c>
      <c r="C12" s="6" t="inlineStr">
        <is>
          <t>43.57%</t>
        </is>
      </c>
      <c r="D12" s="6" t="inlineStr">
        <is>
          <t>42.56%</t>
        </is>
      </c>
      <c r="E12" s="6" t="inlineStr">
        <is>
          <t>32.49%</t>
        </is>
      </c>
    </row>
    <row r="13">
      <c r="A13" s="6" t="inlineStr">
        <is>
          <t>7  Total capital ratio (%)</t>
        </is>
      </c>
      <c r="B13" s="6" t="inlineStr">
        <is>
          <t>41.93%</t>
        </is>
      </c>
      <c r="C13" s="6" t="inlineStr">
        <is>
          <t>49.95%</t>
        </is>
      </c>
      <c r="D13" s="6" t="inlineStr">
        <is>
          <t>48.87%</t>
        </is>
      </c>
      <c r="E13" s="6" t="inlineStr">
        <is>
          <t>42.14%</t>
        </is>
      </c>
    </row>
    <row r="14">
      <c r="A14" s="5" t="inlineStr">
        <is>
          <t>ADDITIONAL OWN FUNDS REQUIREMENTS BASED ON SREP (AS A PERCENTAGE OF RISK-WEIGHTED EXPOSURE AMOUNT)</t>
        </is>
      </c>
      <c r="B14" s="6" t="n"/>
      <c r="C14" s="6" t="n"/>
      <c r="D14" s="6" t="n"/>
      <c r="E14" s="6" t="n"/>
    </row>
    <row r="15">
      <c r="A15" s="6" t="inlineStr">
        <is>
          <t>UK 7d  Total SREP own funds requirements (%)</t>
        </is>
      </c>
      <c r="B15" s="6" t="inlineStr">
        <is>
          <t>14.09%</t>
        </is>
      </c>
      <c r="C15" s="6" t="inlineStr">
        <is>
          <t>14.09%</t>
        </is>
      </c>
      <c r="D15" s="6" t="inlineStr">
        <is>
          <t>12.95%</t>
        </is>
      </c>
      <c r="E15" s="6" t="inlineStr">
        <is>
          <t>12.95%</t>
        </is>
      </c>
    </row>
    <row r="16">
      <c r="A16" s="5" t="inlineStr">
        <is>
          <t>COMBINED BUFFER REQUIREMENT (AS A PERCENTAGE OF RISK-WEIGHTED EXPOSURE AMOUNT)</t>
        </is>
      </c>
      <c r="B16" s="6" t="n"/>
      <c r="C16" s="6" t="n"/>
      <c r="D16" s="6" t="n"/>
      <c r="E16" s="6" t="n"/>
    </row>
    <row r="17">
      <c r="A17" s="6" t="inlineStr">
        <is>
          <t>8  Capital conservation buffer (%)</t>
        </is>
      </c>
      <c r="B17" s="6" t="inlineStr">
        <is>
          <t>2.50%</t>
        </is>
      </c>
      <c r="C17" s="6" t="inlineStr">
        <is>
          <t>2.50%</t>
        </is>
      </c>
      <c r="D17" s="6" t="inlineStr">
        <is>
          <t>2.50%</t>
        </is>
      </c>
      <c r="E17" s="6" t="inlineStr">
        <is>
          <t>2.50%</t>
        </is>
      </c>
    </row>
    <row r="18">
      <c r="A18" s="6" t="inlineStr">
        <is>
          <t>9  Institution specific countercyclical capital buffer (%)</t>
        </is>
      </c>
      <c r="B18" s="6" t="inlineStr">
        <is>
          <t>0.52%</t>
        </is>
      </c>
      <c r="C18" s="6" t="inlineStr">
        <is>
          <t>0.81%</t>
        </is>
      </c>
      <c r="D18" s="6" t="inlineStr">
        <is>
          <t>0.50%</t>
        </is>
      </c>
      <c r="E18" s="6" t="inlineStr">
        <is>
          <t>0.00%</t>
        </is>
      </c>
    </row>
    <row r="19">
      <c r="A19" s="6" t="inlineStr">
        <is>
          <t>11  Combined buffer requirement (%)</t>
        </is>
      </c>
      <c r="B19" s="6" t="inlineStr">
        <is>
          <t>3.02%</t>
        </is>
      </c>
      <c r="C19" s="6" t="inlineStr">
        <is>
          <t>3.31%</t>
        </is>
      </c>
      <c r="D19" s="6" t="inlineStr">
        <is>
          <t>3.00%</t>
        </is>
      </c>
      <c r="E19" s="6" t="inlineStr">
        <is>
          <t>2.50%</t>
        </is>
      </c>
    </row>
    <row r="20">
      <c r="A20" s="6" t="inlineStr">
        <is>
          <t>UK 11a  Overall capital requirements (%)</t>
        </is>
      </c>
      <c r="B20" s="6" t="inlineStr">
        <is>
          <t>17.11%</t>
        </is>
      </c>
      <c r="C20" s="6" t="inlineStr">
        <is>
          <t>17.40%</t>
        </is>
      </c>
      <c r="D20" s="6" t="inlineStr">
        <is>
          <t>15.95%</t>
        </is>
      </c>
      <c r="E20" s="6" t="inlineStr">
        <is>
          <t>15.45%</t>
        </is>
      </c>
    </row>
    <row r="21">
      <c r="A21" s="6" t="inlineStr">
        <is>
          <t>12  CET1 available after meeting the total SREP own funds requirements (%)</t>
        </is>
      </c>
      <c r="B21" s="6" t="inlineStr">
        <is>
          <t>82.89%</t>
        </is>
      </c>
      <c r="C21" s="6" t="inlineStr">
        <is>
          <t>82.60%</t>
        </is>
      </c>
      <c r="D21" s="6" t="inlineStr">
        <is>
          <t>84.05%</t>
        </is>
      </c>
      <c r="E21" s="6" t="inlineStr">
        <is>
          <t>84.55%</t>
        </is>
      </c>
    </row>
    <row r="22">
      <c r="A22" s="5" t="inlineStr">
        <is>
          <t>LEVERAGE RATIO</t>
        </is>
      </c>
      <c r="B22" s="6" t="n"/>
      <c r="C22" s="6" t="n"/>
      <c r="D22" s="6" t="n"/>
      <c r="E22" s="6" t="n"/>
    </row>
    <row r="23">
      <c r="A23" s="6" t="inlineStr">
        <is>
          <t>13  Total exposure measure excluding claims on central banks (£)</t>
        </is>
      </c>
      <c r="B23" s="6" t="n">
        <v>546074420</v>
      </c>
      <c r="C23" s="6" t="n">
        <v>446181573</v>
      </c>
      <c r="D23" s="6" t="n">
        <v>400870711</v>
      </c>
      <c r="E23" s="6" t="n">
        <v>450968994</v>
      </c>
    </row>
    <row r="24">
      <c r="A24" s="6" t="inlineStr">
        <is>
          <t>14  Leverage ratio excluding claims on central banks (%)</t>
        </is>
      </c>
      <c r="B24" s="6" t="inlineStr">
        <is>
          <t>20.42%</t>
        </is>
      </c>
      <c r="C24" s="6" t="inlineStr">
        <is>
          <t>21.19%</t>
        </is>
      </c>
      <c r="D24" s="6" t="inlineStr">
        <is>
          <t>26.38%</t>
        </is>
      </c>
      <c r="E24" s="6" t="inlineStr">
        <is>
          <t>22.88%</t>
        </is>
      </c>
    </row>
    <row r="25">
      <c r="A25" s="5" t="inlineStr">
        <is>
          <t>LIQUIDITY COVERAGE RATIO</t>
        </is>
      </c>
      <c r="B25" s="6" t="n"/>
      <c r="C25" s="6" t="n"/>
      <c r="D25" s="6" t="n"/>
      <c r="E25" s="6" t="n"/>
    </row>
    <row r="26">
      <c r="A26" s="6" t="inlineStr">
        <is>
          <t>15  Total high-quality liquid assets (HQLA) (Weighted value-average) (£)</t>
        </is>
      </c>
      <c r="B26" s="6" t="n">
        <v>152067762</v>
      </c>
      <c r="C26" s="6" t="n">
        <v>125107054</v>
      </c>
      <c r="D26" s="6" t="n">
        <v>93520027</v>
      </c>
      <c r="E26" s="6" t="n">
        <v>95851943</v>
      </c>
    </row>
    <row r="27">
      <c r="A27" s="6" t="inlineStr">
        <is>
          <t>UK 16a  Cash outflows - Total weighted value (£)</t>
        </is>
      </c>
      <c r="B27" s="6" t="n">
        <v>192084585</v>
      </c>
      <c r="C27" s="6" t="n">
        <v>149151238</v>
      </c>
      <c r="D27" s="6" t="n">
        <v>95745955</v>
      </c>
      <c r="E27" s="6" t="n">
        <v>81834689</v>
      </c>
    </row>
    <row r="28">
      <c r="A28" s="6" t="inlineStr">
        <is>
          <t>UK 16b  Cash inflows - Total weighted value (£)</t>
        </is>
      </c>
      <c r="B28" s="6" t="n">
        <v>195820282</v>
      </c>
      <c r="C28" s="6" t="n">
        <v>236297324</v>
      </c>
      <c r="D28" s="6" t="n">
        <v>158792278</v>
      </c>
      <c r="E28" s="6" t="n">
        <v>156978480</v>
      </c>
    </row>
    <row r="29">
      <c r="A29" s="6" t="inlineStr">
        <is>
          <t>16  Total net cash outflows (adjusted value) (£)</t>
        </is>
      </c>
      <c r="B29" s="6" t="n">
        <v>48021146</v>
      </c>
      <c r="C29" s="6" t="n">
        <v>37287810</v>
      </c>
      <c r="D29" s="6" t="n">
        <v>23936489</v>
      </c>
      <c r="E29" s="6" t="n">
        <v>20458672</v>
      </c>
    </row>
    <row r="30">
      <c r="A30" s="6" t="inlineStr">
        <is>
          <t>17  Liquidity coverage ratio (%)</t>
        </is>
      </c>
      <c r="B30" s="6" t="inlineStr">
        <is>
          <t>316.67%</t>
        </is>
      </c>
      <c r="C30" s="6" t="inlineStr">
        <is>
          <t>335.52%</t>
        </is>
      </c>
      <c r="D30" s="6" t="inlineStr">
        <is>
          <t>390.70%</t>
        </is>
      </c>
      <c r="E30" s="6" t="inlineStr">
        <is>
          <t>468.51%</t>
        </is>
      </c>
    </row>
    <row r="31">
      <c r="A31" s="5" t="inlineStr">
        <is>
          <t>NET STABLE FUNDING RATIO</t>
        </is>
      </c>
      <c r="B31" s="6" t="n"/>
      <c r="C31" s="6" t="n"/>
      <c r="D31" s="6" t="n"/>
      <c r="E31" s="6" t="n"/>
    </row>
    <row r="32">
      <c r="A32" s="6" t="inlineStr">
        <is>
          <t>18  Total available stable funding (£)</t>
        </is>
      </c>
      <c r="B32" s="6" t="n">
        <v>252487260</v>
      </c>
      <c r="C32" s="6" t="n">
        <v>255073231</v>
      </c>
      <c r="D32" s="6" t="n">
        <v>228783713</v>
      </c>
      <c r="E32" s="6" t="n">
        <v>266983527</v>
      </c>
    </row>
    <row r="33">
      <c r="A33" s="6" t="inlineStr">
        <is>
          <t>19  Total required stable funding (£)</t>
        </is>
      </c>
      <c r="B33" s="6" t="n">
        <v>81337991</v>
      </c>
      <c r="C33" s="6" t="n">
        <v>78431888</v>
      </c>
      <c r="D33" s="6" t="n">
        <v>61635979</v>
      </c>
      <c r="E33" s="6" t="n">
        <v>63916220</v>
      </c>
    </row>
    <row r="34">
      <c r="A34" s="6" t="inlineStr">
        <is>
          <t>20  NSFR ratio (%)</t>
        </is>
      </c>
      <c r="B34" s="6" t="inlineStr">
        <is>
          <t>310.42%</t>
        </is>
      </c>
      <c r="C34" s="6" t="inlineStr">
        <is>
          <t>325.22%</t>
        </is>
      </c>
      <c r="D34" s="6" t="inlineStr">
        <is>
          <t>371.19%</t>
        </is>
      </c>
      <c r="E34" s="6" t="inlineStr">
        <is>
          <t>417.71%</t>
        </is>
      </c>
    </row>
    <row r="36" ht="377" customHeight="1">
      <c r="A36" s="9" t="inlineStr">
        <is>
          <t>Sources - Bank of Beirut (UK) Ltd's own "Template UK KM1 / Key metrics template", reproduced in the Bank's own row order, row numbers, labels and precision. FY2023, FY2024 and FY2025 each come from the edition in which that year is the reporting year. FY2022 IS THE ONE EXCEPTION AND IS FLAGGED AS SUCH BELOW - it is the FY2023 edition's comparative column, used because the Bank's own FY2022 edition prints no KM1 template at all:
FY2025: Pillar 3 Disclosures - 31 December 2025, p.16, s.3.6 Key Metrics - https://www.bankofbeirut.co.uk/Content/uploads/PillarDisclosure/Bank_of_Beirut_UK_Ltd_-_Pillar_III_Disclosures_-_31_December_2025.pdf
FY2024: Pillar 3 Disclosures - 31 December 2024, p.16, s.3.6 Key Metrics - https://www.bankofbeirut.co.uk/Content/uploads/Announcement/bob-disclosures3-2024.pdf
FY2023: Pillar 3 Disclosures - 31 December 2023, p.17, s.4.2 Key Metrics - https://www.bankofbeirut.co.uk/Content/uploads/Announcement/Bank_of_Beirut_UK_Ltd_-_Pillar_III_Disclosures_-_31_December_2023.pdf
FY2022 (NOT AN OWN-EDITION COLUMN): the SAME Pillar 3 Disclosures - 31 December 2023 document, p.17, s.4.2 Key Metrics, COMPARATIVE COLUMN headed '2022' - https://www.bankofbeirut.co.uk/Content/uploads/Announcement/Bank_of_Beirut_UK_Ltd_-_Pillar_III_Disclosures_-_31_December_2023.pdf
UNIT IS PLAIN POUNDS (£), EXACTLY AS THE BANK PUBLISHES IT. The template's own column header reads '£', not £'000 or £m, and CET1 is printed as 110,569,881. It is reproduced at that scale rather than rescaled, while the eleven single-metric sheets in this workbook are in £m. The cross-check in scripts/verify_workbook.py resolves this without help: amount rows here carry '(£)' in the row label, which is not a scale token, so the KM1 side resolves to units of 1 and the £m side to 1e6, and every amount lands inside the checker's 0.1% tolerance (CET1 110,569,881 against 110.6m differs by 30,119 against a tolerance of 110,570). No cell here has been rounded, converted or recomputed.
WHY FY2022 IS FILLED FROM THE FY2023 EDITION, AND FY2021 AND FY2017 ARE NOT (revised 17 September 2026). THE BANK'S OWN FY2022 EDITION PRINTS NO KM1 TEMPLATE AT ALL - not a template with rows left blank, but no template, and therefore no own-edition disclosure for a later comparative to displace. That absence is a finding, not a failed search (map rules 4, 15 and 16), and it was re-established directly from the document on 17 September 2026 before this column was filled: the FY2022 edition (366,318 bytes, 16pp, HTTP 200, application/pdf, %PDF magic bytes, fully text-native) has NO Key Metrics section at any level of its own contents list, and while extraction from it is RICH - 49 hits for 'capital', 60 for 'ratio', 11 for 'liquidity' - it returns ZERO hits for 'KM1', 'Key Metric', 'CET1' and 'Common Equity'. It is a narrative, pre-template Pillar 3 whose capital disclosure is a five-year ICAAP summary. Nor is it a table hidden in a bitmap (map rule 13): every image in the file is either the 1179x385 masthead on p.1 or a 20x21px bullet glyph.
THE FY2023 EDITION'S COMPARATIVE COLUMN, headed '2022', carries the complete template for that date, and THAT IS WHAT THIS SHEET'S FY2022 NOW CARRIES, in the row structure the FY2023 edition prints it in - which is the same 23-row structure as the FY2023 column beside it, so nothing is reshaped. Every value was read off the FY2023 PDF directly. A reader can tell this column from an own-edition one by the citation above, which names it.
This reverses the treatment this sheet carried until 17 September 2026, which left FY2022 blank and quoted four of its figures in this note instead. The evidence above is unchanged; only the conclusion drawn from it has changed, so that a BLANK on this sheet now means one thing only: the Bank has never published that figure, in any edition, on any basis.</t>
        </is>
      </c>
    </row>
    <row r="38" ht="390" customHeight="1">
      <c r="A38" s="9" t="inlineStr">
        <is>
          <t>(continued)
FY2021 AND FY2017 REMAIN BLANK for exactly that reason - no edition anywhere prints them in template form. The 2021, 2020, 2019 and 2018 editions were checked the same way as 2022 and are the same: zero 'KM1', zero 'CET1', their one 'key metric' hit being the phrase 'the key metrics and outputs of these workstreams' in a compliance paragraph. Since the FY2022 edition prints no template, there is no FY2021 comparative column in existence to fill from. The single-metric sheets continue to carry FY2021 under their own citations and on their own stated (pre-KM1 ICAAP) bases, which is why those sheets and this one legitimately differ for that year.
ROWS THE BANK DOES NOT PRINT, in any of the three editions, are omitted rather than shown blank: UK 7a, UK 7b and UK 7c (it prints only the UK 7d total), UK 9a, 10 and UK 10a. Rows 13 and 14 are captioned 'excluding claims on central banks' in all three years, so there is no 1 January 2022 basis break inside this sheet (map rule 5).
EDITIONS RESTATE - the reason for the rule-1 discipline above. Comparing each edition against the next one's comparative column: FY2023 row 9 is 0.50% in its own edition and 0.55% in the FY2024 edition; FY2023 UK 11a is 15.95% against 16.00%; FY2023 row 12 is 84.05% against 84.00%; and FY2024 row 13 is 446,181,573 against 515,479,917 in the FY2025 edition. Capital, RWAs and every ratio bar those agree exactly across editions.
SOURCE DEFECT IN ROW 13, RECORDED NOT CORRECTED (map rule 7). In the FY2024 edition row 13 does not tie to its own printed row 14: 108,973,693 / 446,181,573 = 24.42%, while the edition prints 21.19%. Both neighbouring editions are internally consistent on this row - the FY2025 edition's 2024 comparative (515,479,917) gives 21.14%, and the FY2023 edition's own figure (400,870,711) gives 26.38% exactly as printed - so the FY2024 edition's exposure measure is understated in both its columns. The figure is carried here as the Bank printed it for its own year; the Leverage Ratio sheet's 21.19% is that same edition's printed ratio, so the two sheets agree on the ratio and the defect stays visible.
TYPOGRAPHY: all three editions print row 14 as 'excluding claims on centraI banks', with a capital I in place of the second l. The label above is spelled correctly; no figure is affected.
LATEST-EDITION CHECK, 2026-09-16: the Bank's own Pillar 3 index (https://www.bankofbeirut.co.uk/AboutUs/PillarDisclosures, HTTP 200, not blocked) lists eight editions, 2018 through 2025. The newest is the 31 December 2025 edition already carried here and already cited by this script. NONE NEWER. The index also linked two editions this project had never recorded (2021 and 2019); both were fetched and read for this sheet and neither contains a KM1.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36:E36"/>
    <mergeCell ref="A38:E3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Beirut (UK) Ltd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110.6</v>
      </c>
      <c r="C4" s="6" t="n">
        <v>109</v>
      </c>
      <c r="D4" s="6" t="n">
        <v>105.8</v>
      </c>
      <c r="E4" s="6" t="n">
        <v>103.2</v>
      </c>
      <c r="F4" s="6" t="n">
        <v>104</v>
      </c>
    </row>
    <row r="5" ht="30" customHeight="1">
      <c r="A5" s="7" t="inlineStr">
        <is>
          <t>Note: FY2021 is calculated (Own Funds less Eligible Tier II Capital from the pre-KM1 ICAAP table) - see source note.</t>
        </is>
      </c>
    </row>
    <row r="7" ht="299"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Beirut (UK) Ltd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37.49%</t>
        </is>
      </c>
      <c r="C4" s="6" t="inlineStr">
        <is>
          <t>43.57%</t>
        </is>
      </c>
      <c r="D4" s="6" t="inlineStr">
        <is>
          <t>42.56%</t>
        </is>
      </c>
      <c r="E4" s="6" t="inlineStr">
        <is>
          <t>32.49%</t>
        </is>
      </c>
      <c r="F4" s="6" t="inlineStr">
        <is>
          <t>35.14%</t>
        </is>
      </c>
    </row>
    <row r="5" ht="30" customHeight="1">
      <c r="A5" s="7" t="inlineStr">
        <is>
          <t>Note: FY2021 is calculated (CET1 £ / Total Risk Exposure Amount £, pre-KM1 ICAAP basis) rather than directly disclosed as a percentage.</t>
        </is>
      </c>
    </row>
    <row r="7" ht="299"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Beirut (UK) Ltd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110.6</v>
      </c>
      <c r="C4" s="6" t="n">
        <v>109</v>
      </c>
      <c r="D4" s="6" t="n">
        <v>105.8</v>
      </c>
      <c r="E4" s="6" t="n">
        <v>103.2</v>
      </c>
      <c r="F4" s="6" t="n">
        <v>104</v>
      </c>
    </row>
    <row r="5" ht="30" customHeight="1">
      <c r="A5" s="7" t="inlineStr">
        <is>
          <t>Note: Tier 1 = CET1 every year (no AT1 instruments ever issued).</t>
        </is>
      </c>
    </row>
    <row r="7" ht="299"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Beirut (UK) Ltd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37.49%</t>
        </is>
      </c>
      <c r="C4" s="6" t="inlineStr">
        <is>
          <t>43.57%</t>
        </is>
      </c>
      <c r="D4" s="6" t="inlineStr">
        <is>
          <t>42.56%</t>
        </is>
      </c>
      <c r="E4" s="6" t="inlineStr">
        <is>
          <t>32.49%</t>
        </is>
      </c>
      <c r="F4" s="6" t="inlineStr">
        <is>
          <t>35.14%</t>
        </is>
      </c>
    </row>
    <row r="6" ht="299" customHeight="1">
      <c r="A6"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Beirut (UK) Ltd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123.6</v>
      </c>
      <c r="C4" s="6" t="n">
        <v>124.9</v>
      </c>
      <c r="D4" s="6" t="n">
        <v>121.5</v>
      </c>
      <c r="E4" s="6" t="n">
        <v>133.8</v>
      </c>
      <c r="F4" s="6" t="n">
        <v>134.6</v>
      </c>
    </row>
    <row r="6" ht="299" customHeight="1">
      <c r="A6"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Beirut (UK) Ltd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41.93%</t>
        </is>
      </c>
      <c r="C4" s="6" t="inlineStr">
        <is>
          <t>49.95%</t>
        </is>
      </c>
      <c r="D4" s="6" t="inlineStr">
        <is>
          <t>48.87%</t>
        </is>
      </c>
      <c r="E4" s="6" t="inlineStr">
        <is>
          <t>42.14%</t>
        </is>
      </c>
      <c r="F4" s="6" t="inlineStr">
        <is>
          <t>45.50%</t>
        </is>
      </c>
    </row>
    <row r="5" ht="30" customHeight="1">
      <c r="A5" s="7" t="inlineStr">
        <is>
          <t>Note: FY2021 is calculated (Total Capital £ / Total Risk Exposure Amount £, pre-KM1 ICAAP basis).</t>
        </is>
      </c>
    </row>
    <row r="7" ht="299"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Beirut (UK) Ltd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294.9</v>
      </c>
      <c r="C4" s="6" t="n">
        <v>250.1</v>
      </c>
      <c r="D4" s="6" t="n">
        <v>248.5</v>
      </c>
      <c r="E4" s="6" t="n">
        <v>317.6</v>
      </c>
      <c r="F4" s="6" t="n">
        <v>295.9</v>
      </c>
    </row>
    <row r="5" ht="30" customHeight="1">
      <c r="A5" s="7" t="inlineStr">
        <is>
          <t>Note: FY2022 (£317.6m) is on the KM1/COREP basis; the same year's ICAAP-basis figure in the FY2022 Pillar 3 document's own 5-year table is £314.6m - a ~1% methodology difference, KM1 used for consistency with FY2023 onward. FY2021 (£295.9m) is on the older ICAAP basis only (no KM1 equivalent exists for that year).</t>
        </is>
      </c>
    </row>
    <row r="7" ht="299"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5:F5"/>
    <mergeCell ref="A7:F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Bank of Beirut (UK) Ltd — RWA Breakdown</t>
        </is>
      </c>
    </row>
    <row r="2">
      <c r="A2" s="2" t="inlineStr">
        <is>
          <t>Entity-level basis, £'000s. UK OV1 template FY2022-FY2025; older pre-OV1 ICAAP-basis breakdown for FY2021.</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UK OV1 — Overview of risk weighted exposure amounts (as disclosed)</t>
        </is>
      </c>
      <c r="B4" s="6" t="n"/>
      <c r="C4" s="6" t="n"/>
      <c r="D4" s="6" t="n"/>
      <c r="E4" s="6" t="n"/>
      <c r="F4" s="6" t="n"/>
    </row>
    <row r="5">
      <c r="A5" s="6" t="inlineStr">
        <is>
          <t>Credit risk (excluding CCR/CVA)</t>
        </is>
      </c>
      <c r="B5" s="6" t="n">
        <v>249173</v>
      </c>
      <c r="C5" s="6" t="n">
        <v>208563</v>
      </c>
      <c r="D5" s="6" t="n">
        <v>220069</v>
      </c>
      <c r="E5" s="6" t="n">
        <v>289747</v>
      </c>
      <c r="F5" s="6" t="n"/>
    </row>
    <row r="6">
      <c r="A6" s="6" t="inlineStr">
        <is>
          <t>Counterparty credit risk (CCR/CVA)</t>
        </is>
      </c>
      <c r="B6" s="6" t="n">
        <v>0</v>
      </c>
      <c r="C6" s="6" t="n">
        <v>110</v>
      </c>
      <c r="D6" s="6" t="n">
        <v>151</v>
      </c>
      <c r="E6" s="6" t="n">
        <v>128</v>
      </c>
      <c r="F6" s="6" t="n"/>
    </row>
    <row r="7">
      <c r="A7" s="6" t="inlineStr">
        <is>
          <t>Operational risk</t>
        </is>
      </c>
      <c r="B7" s="6" t="n">
        <v>45747</v>
      </c>
      <c r="C7" s="6" t="n">
        <v>41433</v>
      </c>
      <c r="D7" s="6" t="n">
        <v>28314</v>
      </c>
      <c r="E7" s="6" t="n">
        <v>27678</v>
      </c>
      <c r="F7" s="6" t="n"/>
    </row>
    <row r="8">
      <c r="A8" s="5" t="inlineStr">
        <is>
          <t>Pre-OV1 ICAAP-basis TREA breakdown (FY2021)</t>
        </is>
      </c>
      <c r="B8" s="6" t="n"/>
      <c r="C8" s="6" t="n"/>
      <c r="D8" s="6" t="n"/>
      <c r="E8" s="6" t="n"/>
      <c r="F8" s="6" t="n"/>
    </row>
    <row r="9">
      <c r="A9" s="6" t="inlineStr">
        <is>
          <t>Credit Risk Component (on- and off-balance sheet combined)</t>
        </is>
      </c>
      <c r="B9" s="6" t="n"/>
      <c r="C9" s="6" t="n"/>
      <c r="D9" s="6" t="n"/>
      <c r="E9" s="6" t="n"/>
      <c r="F9" s="6" t="n">
        <v>264718</v>
      </c>
    </row>
    <row r="10">
      <c r="A10" s="6" t="inlineStr">
        <is>
          <t>Operational Risk Exposure Amount</t>
        </is>
      </c>
      <c r="B10" s="6" t="n"/>
      <c r="C10" s="6" t="n"/>
      <c r="D10" s="6" t="n"/>
      <c r="E10" s="6" t="n"/>
      <c r="F10" s="6" t="n">
        <v>31220</v>
      </c>
    </row>
    <row r="11">
      <c r="A11" s="6" t="inlineStr">
        <is>
          <t>Market risk</t>
        </is>
      </c>
      <c r="B11" s="6" t="n"/>
      <c r="C11" s="6" t="n"/>
      <c r="D11" s="6" t="n"/>
      <c r="E11" s="6" t="n"/>
      <c r="F11" s="6" t="n">
        <v>0</v>
      </c>
    </row>
    <row r="12">
      <c r="A12" s="6" t="inlineStr">
        <is>
          <t>CVA</t>
        </is>
      </c>
      <c r="B12" s="6" t="n"/>
      <c r="C12" s="6" t="n"/>
      <c r="D12" s="6" t="n"/>
      <c r="E12" s="6" t="n"/>
      <c r="F12" s="6" t="n">
        <v>0</v>
      </c>
    </row>
    <row r="13">
      <c r="A13" s="5" t="inlineStr">
        <is>
          <t>Total risk-weighted exposure amount</t>
        </is>
      </c>
      <c r="B13" s="5" t="n">
        <v>294920</v>
      </c>
      <c r="C13" s="5" t="n">
        <v>250107</v>
      </c>
      <c r="D13" s="5" t="n">
        <v>248534</v>
      </c>
      <c r="E13" s="5" t="n">
        <v>317552</v>
      </c>
      <c r="F13" s="5" t="n">
        <v>295938</v>
      </c>
    </row>
    <row r="15" ht="260" customHeight="1">
      <c r="A15" s="9" t="inlineStr">
        <is>
          <t>Sources - Bank of Beirut (UK) Ltd's own Pillar 3 Disclosures, £'000s, all years:
FY2025/FY2024: Pillar 3 Disclosures - 31 December 2025, s.3.5 'Overview of Risk Weighted Exposures Amounts (RWEA)', Template UK OV1 (FY2024 is that table's own FY2024 comparative column) - https://www.bankofbeirut.co.uk/Content/uploads/PillarDisclosure/Bank_of_Beirut_UK_Ltd_-_Pillar_III_Disclosures_-_31_December_2025.pdf
FY2023/FY2022: Pillar 3 Disclosures - 31 December 2023, s.4.1 'Overview of Risk Weighted Exposures Amounts (RWEA)', Template UK OV1 (FY2022 is that table's own FY2022 comparative column) - https://www.bankofbeirut.co.uk/Content/uploads/Announcement/Bank_of_Beirut_UK_Ltd_-_Pillar_III_Disclosures_-_31_December_2023.pdf
FY2021: Pillar 3 Disclosures - 31 December 2022, s.4.1.2 'Total Risk Exposure Amount (TREA) breakdown' (pre-KM1/OV1 ICAAP-basis 5-year table, own FY2021 column) - https://www.bankofbeirut.co.uk/Content/uploads/Announcement/Bank_of_Beirut_UK_Ltd_-_Pillar_III_Disclosures_-_31DEC2022_-_Final.pdf
CORRECTION (fresh re-verification, 2026-09-12): the prior version of this sheet claimed no category-level breakdown was disclosed in any year. That was wrong - a full UK OV1 template (Credit risk excl. CCR/CVA, Counterparty credit risk/CVA, Operational risk) is published every year FY2022-FY2025 (the FY2023 Pillar 3 Disclosures document's own s.4.1, checked directly, carries the FY2022 comparative; the FY2025 document's own s.3.5 carries the FY2024 comparative), and FY2021's older pre-OV1 TREA breakdown (Credit Risk Component, Operational Risk Exposure Amount, CVA, Market risk) is in the FY2022 document's own s.4.1.2 5-year table. Every year's Total ties to the Total RWAs sheet's own figure (FY2022's OV1-basis £317,552k vs the FY2022 document's own ICAAP-basis £314,615k is the same ~1% methodology difference already documented on the Total RWAs sheet - KM1/OV1 basis used here for consistency). The Bank has no trading book (explicitly stated in the FY2025 document), so no separate market-risk RWA line is carried under the OV1 template FY2022-FY2025; FY2021's own table does carry an explicit Market risk = nil line.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1">
    <mergeCell ref="A15:F1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Bank of Beirut (UK) Ltd — Leverage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Leverage ratio excluding claims on central banks</t>
        </is>
      </c>
      <c r="B4" s="6" t="inlineStr">
        <is>
          <t>20.42%</t>
        </is>
      </c>
      <c r="C4" s="6" t="inlineStr">
        <is>
          <t>21.19%</t>
        </is>
      </c>
      <c r="D4" s="6" t="inlineStr">
        <is>
          <t>26.38%</t>
        </is>
      </c>
      <c r="E4" s="6" t="inlineStr">
        <is>
          <t>22.88%</t>
        </is>
      </c>
    </row>
    <row r="5" ht="169" customHeight="1">
      <c r="A5" s="7" t="inlineStr">
        <is>
          <t xml:space="preserve">Note: Not disclosed for FY2021 - the pre-KM1 Pillar 3 document lists Leverage Ratio as a tracked KPI but states no numeric value for any year in that edition.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5 source URLs cited on this sheet and its KM1 sheet were re-fetched on 2026-10-09 (4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12"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5:E5"/>
    <mergeCell ref="A7:E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Bank of Beirut (UK) Ltd — LCR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Liquidity Coverage Ratio</t>
        </is>
      </c>
      <c r="B4" s="6" t="inlineStr">
        <is>
          <t>316.67%</t>
        </is>
      </c>
      <c r="C4" s="6" t="inlineStr">
        <is>
          <t>335.52%</t>
        </is>
      </c>
      <c r="D4" s="6" t="inlineStr">
        <is>
          <t>390.70%</t>
        </is>
      </c>
      <c r="E4" s="6" t="inlineStr">
        <is>
          <t>468.51%</t>
        </is>
      </c>
    </row>
    <row r="5" ht="30" customHeight="1">
      <c r="A5" s="7" t="inlineStr">
        <is>
          <t>Note: Not disclosed for FY2021 - see Leverage Ratio sheet note (same pre-KM1 document limitation).</t>
        </is>
      </c>
    </row>
    <row r="7" ht="312"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5:E5"/>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Bank of Beirut (UK) Ltd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310.42%</t>
        </is>
      </c>
      <c r="C4" s="6" t="inlineStr">
        <is>
          <t>325.22%</t>
        </is>
      </c>
      <c r="D4" s="6" t="inlineStr">
        <is>
          <t>371.19%</t>
        </is>
      </c>
      <c r="E4" s="6" t="inlineStr">
        <is>
          <t>417.71%</t>
        </is>
      </c>
    </row>
    <row r="5" ht="30" customHeight="1">
      <c r="A5" s="7" t="inlineStr">
        <is>
          <t>Note: Not disclosed for FY2021 - see Leverage Ratio sheet note (same pre-KM1 document limitation).</t>
        </is>
      </c>
    </row>
    <row r="7" ht="312"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5:E5"/>
    <mergeCell ref="A7:E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of Beirut (UK) Ltd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MREL Ratio</t>
        </is>
      </c>
      <c r="B4" s="6" t="inlineStr">
        <is>
          <t>Not published – zero 'MREL' in the FY2025 Pillar 3 and Annual Report (full text searched 2026-09-19)</t>
        </is>
      </c>
      <c r="C4" s="6" t="inlineStr">
        <is>
          <t>Not published – zero 'MREL' in the FY2024 Pillar 3 and Annual Report (full text searched 2026-09-19)</t>
        </is>
      </c>
      <c r="D4" s="6" t="inlineStr">
        <is>
          <t>Not published – zero 'MREL' in the FY2023 Pillar 3 and Annual Report (full text searched 2026-09-19)</t>
        </is>
      </c>
      <c r="E4" s="6" t="inlineStr">
        <is>
          <t>Not published – zero 'MREL' in the FY2022 Pillar 3 or the FY2023 edition carrying its comparatives (full text searched 2026-09-19)</t>
        </is>
      </c>
      <c r="F4" s="6" t="inlineStr">
        <is>
          <t>Not published – zero 'MREL' in the FY2021 Pillar 3 and Annual Report (full text searched 2026-09-19)</t>
        </is>
      </c>
      <c r="G4" s="6" t="inlineStr">
        <is>
          <t>Not published – zero 'MREL' in the FY2017 Annual Report (searched 2026-09-19); the bank's Pillar 3 index lists no edition before 2018</t>
        </is>
      </c>
    </row>
    <row r="5" ht="52" customHeight="1">
      <c r="A5" s="7" t="inlineStr">
        <is>
          <t>Note: MREL is not mentioned anywhere in any of the 5 Pillar 3 Disclosures reviewed (searched directly, no hits any year) - consistent with a bank of this size not being its own resolution entity under the Bank of England's MREL framework. GA-020 RE-CHECK 2026-09-19: the Pillar 3 editions for 2021, 2022, 2023, 2024 and 2025 and the Annual Reports for 2017, 2021, 2023, 2024 and 2025 were full-text searched: zero 'MREL' or 'eligible liabilities' in any (46-80 'capital' hits each); the only 'loss absorbing' hit is the KM1 preamble phrase 'significant loss absorbing and underwriting capacity'.</t>
        </is>
      </c>
    </row>
    <row r="7" ht="260" customHeight="1">
      <c r="A7" s="9" t="inlineStr">
        <is>
          <t>Sources - Bank of Beirut (UK) Ltd's own Pillar 3 Disclosures, £m capital amounts / % ratios, all years:
FY2025: Pillar 3 Disclosures - 31 December 2025, s.3.6 Key Metrics (UK KM1 template) - https://www.bankofbeirut.co.uk/Content/uploads/PillarDisclosure/Bank_of_Beirut_UK_Ltd_-_Pillar_III_Disclosures_-_31_December_2025.pdf
FY2024: Pillar 3 Disclosures - 31 December 2024, s.3.6 Key Metrics (UK KM1 template) - https://www.bankofbeirut.co.uk/Content/uploads/Announcement/bob-disclosures3-2024.pdf
FY2023: Pillar 3 Disclosures - 31 December 2023, s.4.2 Key Metrics (UK KM1 template) - https://www.bankofbeirut.co.uk/Content/uploads/Announcement/Bank_of_Beirut_UK_Ltd_-_Pillar_III_Disclosures_-_31_December_2023.pdf
FY2022: sourced from the FY2023 Pillar 3 Disclosures' own FY2022 KM1 comparative column - https://www.bankofbeirut.co.uk/Content/uploads/Announcement/Bank_of_Beirut_UK_Ltd_-_Pillar_III_Disclosures_-_31_December_2023.pdf. Capital £ figures independently cross-checked against the FY2022 Pillar 3 Disclosures' own 5-year ICAAP summary table (s.4.1) - https://www.bankofbeirut.co.uk/Content/uploads/Announcement/Bank_of_Beirut_UK_Ltd_-_Pillar_III_Disclosures_-_31DEC2022_-_Final.pdf - and match to the pound (CET1 £103,161,031 both sources); that document's TREA is on a different ICAAP basis (£314.6m) vs the KM1/COREP basis used here (£317.6m), a ~1% difference, KM1 basis used throughout for consistency with FY2023 onward.
FY2021: calculated from the FY2022 Pillar 3 Disclosures' own 5-year ICAAP summary table (s.4.1), which predates this bank's adoption of the KM1 template - https://www.bankofbeirut.co.uk/Content/uploads/Announcement/Bank_of_Beirut_UK_Ltd_-_Pillar_III_Disclosures_-_31DEC2022_-_Final.pdf. CET1 = Own Funds Capital Resources less Eligible Tier II Capital; ratios = £ amount / Total Risk Exposure Amount (Memo line), consistent with this project's convention of calculating a ratio from disclosed £ figures where no % is directly stated (see Bank of Ireland UK). No Leverage/LCR/NSFR/MREL numeric figures exist in this pre-KM1 document (narrative KPI list only, no values) - left blank rather than guessed.
No document at any year mentions MREL.
ENTITY NOTE: Bank of Beirut (UK) Ltd (FRN 219523, Companies House 04406777, matches Banks List 2608.xlsx exactly) is a UK-incorporated subsidiary of Bank of Beirut SAL (Lebanon). Despite Lebanon's severe banking-sector crisis since 2019, this UK entity remains Active at Companies House with unqualified audit opinions and no going-concern qualification in any of the 5 Annual Reports reviewed (FY2021-FY2025) - the parent's distress has not visibly affected this subsidiary's own filings or capital position. Reports in GBP throughout, no FX conversion needed.</t>
        </is>
      </c>
    </row>
  </sheetData>
  <mergeCells count="2">
    <mergeCell ref="A7:G7"/>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2026-10-26T09:35:55Z</dcterms:created>
  <dcterms:modified xmlns:dcterms="http://purl.org/dc/terms/" xmlns:xsi="http://www.w3.org/2001/XMLSchema-instance" xsi:type="dcterms:W3CDTF">2026-10-26T09:35:55Z</dcterms:modified>
</cp:coreProperties>
</file>