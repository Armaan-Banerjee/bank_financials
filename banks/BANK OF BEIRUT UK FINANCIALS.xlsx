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502094</v>
      </c>
      <c r="C6" s="5" t="n">
        <v>482771</v>
      </c>
      <c r="D6" s="5" t="n">
        <v>367529</v>
      </c>
      <c r="E6" s="5" t="n">
        <v>406004</v>
      </c>
      <c r="F6" s="5" t="n">
        <v>410239</v>
      </c>
      <c r="G6" s="5" t="n"/>
      <c r="J6" t="inlineStr">
        <is>
          <t>Total assets</t>
        </is>
      </c>
      <c r="L6" t="n">
        <v>410239</v>
      </c>
      <c r="M6" t="n">
        <v>406004</v>
      </c>
      <c r="N6" t="n">
        <v>367529</v>
      </c>
      <c r="O6" t="n">
        <v>482771</v>
      </c>
      <c r="P6" t="n">
        <v>502094</v>
      </c>
      <c r="AT6" t="inlineStr">
        <is>
          <t>CET1 Ratio</t>
        </is>
      </c>
      <c r="AV6" t="n">
        <v>35.14</v>
      </c>
      <c r="AW6" t="n">
        <v>32.49</v>
      </c>
      <c r="AX6" t="n">
        <v>42.56</v>
      </c>
      <c r="AY6" t="n">
        <v>43.57</v>
      </c>
      <c r="AZ6" t="n">
        <v>37.49</v>
      </c>
    </row>
    <row r="7">
      <c r="A7" s="5" t="inlineStr">
        <is>
          <t>Loans and advances to customers</t>
        </is>
      </c>
      <c r="B7" s="5" t="n">
        <v>144331</v>
      </c>
      <c r="C7" s="5" t="n">
        <v>121491</v>
      </c>
      <c r="D7" s="5" t="n">
        <v>121214</v>
      </c>
      <c r="E7" s="5" t="n">
        <v>161651</v>
      </c>
      <c r="F7" s="5" t="n">
        <v>128986</v>
      </c>
      <c r="G7" s="5" t="n"/>
      <c r="J7" t="inlineStr">
        <is>
          <t>Loans and advances to customers</t>
        </is>
      </c>
      <c r="L7" t="n">
        <v>128986</v>
      </c>
      <c r="M7" t="n">
        <v>161651</v>
      </c>
      <c r="N7" t="n">
        <v>121214</v>
      </c>
      <c r="O7" t="n">
        <v>121491</v>
      </c>
      <c r="P7" t="n">
        <v>144331</v>
      </c>
      <c r="AT7" t="inlineStr">
        <is>
          <t>Tier 1 Ratio</t>
        </is>
      </c>
      <c r="AV7" t="n">
        <v>35.14</v>
      </c>
      <c r="AW7" t="n">
        <v>32.49</v>
      </c>
      <c r="AX7" t="n">
        <v>42.56</v>
      </c>
      <c r="AY7" t="n">
        <v>43.57</v>
      </c>
      <c r="AZ7" t="n">
        <v>37.49</v>
      </c>
    </row>
    <row r="8">
      <c r="A8" s="5" t="inlineStr">
        <is>
          <t>Customer accounts</t>
        </is>
      </c>
      <c r="B8" s="5" t="n">
        <v>167175</v>
      </c>
      <c r="C8" s="5" t="n">
        <v>167963</v>
      </c>
      <c r="D8" s="5" t="n">
        <v>137387</v>
      </c>
      <c r="E8" s="5" t="n">
        <v>175446</v>
      </c>
      <c r="F8" s="5" t="n">
        <v>173317</v>
      </c>
      <c r="G8" s="5" t="n"/>
      <c r="J8" t="inlineStr">
        <is>
          <t>Customer accounts</t>
        </is>
      </c>
      <c r="L8" t="n">
        <v>173317</v>
      </c>
      <c r="M8" t="n">
        <v>175446</v>
      </c>
      <c r="N8" t="n">
        <v>137387</v>
      </c>
      <c r="O8" t="n">
        <v>167963</v>
      </c>
      <c r="P8" t="n">
        <v>167175</v>
      </c>
      <c r="AT8" t="inlineStr">
        <is>
          <t>Total Capital Ratio</t>
        </is>
      </c>
      <c r="AV8" t="n">
        <v>45.5</v>
      </c>
      <c r="AW8" t="n">
        <v>42.14</v>
      </c>
      <c r="AX8" t="n">
        <v>48.87</v>
      </c>
      <c r="AY8" t="n">
        <v>49.95</v>
      </c>
      <c r="AZ8" t="n">
        <v>41.93</v>
      </c>
    </row>
    <row r="9">
      <c r="A9" s="5" t="inlineStr">
        <is>
          <t>Total equity</t>
        </is>
      </c>
      <c r="B9" s="5" t="n">
        <v>122976</v>
      </c>
      <c r="C9" s="5" t="n">
        <v>120214</v>
      </c>
      <c r="D9" s="5" t="n">
        <v>114995</v>
      </c>
      <c r="E9" s="5" t="n">
        <v>108084</v>
      </c>
      <c r="F9" s="5" t="n">
        <v>104908</v>
      </c>
      <c r="G9" s="5" t="n"/>
      <c r="J9" t="inlineStr">
        <is>
          <t>Total equity</t>
        </is>
      </c>
      <c r="L9" t="n">
        <v>104908</v>
      </c>
      <c r="M9" t="n">
        <v>108084</v>
      </c>
      <c r="N9" t="n">
        <v>114995</v>
      </c>
      <c r="O9" t="n">
        <v>120214</v>
      </c>
      <c r="P9" t="n">
        <v>122976</v>
      </c>
      <c r="AT9" t="inlineStr">
        <is>
          <t>Leverage Ratio</t>
        </is>
      </c>
      <c r="AW9" t="n">
        <v>22.88</v>
      </c>
      <c r="AX9" t="n">
        <v>26.38</v>
      </c>
      <c r="AY9" t="n">
        <v>21.19</v>
      </c>
      <c r="AZ9" t="n">
        <v>20.42</v>
      </c>
    </row>
    <row r="10">
      <c r="AT10" t="inlineStr">
        <is>
          <t>LCR</t>
        </is>
      </c>
      <c r="AW10" t="n">
        <v>468.51</v>
      </c>
      <c r="AX10" t="n">
        <v>390.7</v>
      </c>
      <c r="AY10" t="n">
        <v>335.52</v>
      </c>
      <c r="AZ10" t="n">
        <v>316.67</v>
      </c>
    </row>
    <row r="11">
      <c r="A11" s="3" t="inlineStr">
        <is>
          <t>Profit &amp; Loss Summary (£'000s)</t>
        </is>
      </c>
      <c r="AT11" t="inlineStr">
        <is>
          <t>NSFR</t>
        </is>
      </c>
      <c r="AW11" t="n">
        <v>417.71</v>
      </c>
      <c r="AX11" t="n">
        <v>371.19</v>
      </c>
      <c r="AY11" t="n">
        <v>325.22</v>
      </c>
      <c r="AZ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c r="S13" t="inlineStr">
        <is>
          <t>Total income</t>
        </is>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c r="S14" t="inlineStr">
        <is>
          <t>Administrative expenses</t>
        </is>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c r="S15" t="inlineStr">
        <is>
          <t>Profit for the year</t>
        </is>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120214</v>
      </c>
      <c r="C19" s="5" t="n">
        <v>114995</v>
      </c>
      <c r="D19" s="5" t="n">
        <v>108084</v>
      </c>
      <c r="E19" s="5" t="n">
        <v>104908</v>
      </c>
      <c r="F19" s="5" t="n">
        <v>103478</v>
      </c>
      <c r="G19" s="5" t="n"/>
      <c r="AB19" t="inlineStr">
        <is>
          <t>Opening equity</t>
        </is>
      </c>
      <c r="AD19" t="n">
        <v>103478</v>
      </c>
      <c r="AE19" t="n">
        <v>104908</v>
      </c>
      <c r="AF19" t="n">
        <v>108084</v>
      </c>
      <c r="AG19" t="n">
        <v>114995</v>
      </c>
      <c r="AH19" t="n">
        <v>120214</v>
      </c>
    </row>
    <row r="20">
      <c r="A20" s="5" t="inlineStr">
        <is>
          <t>Total comprehensive income for the year</t>
        </is>
      </c>
      <c r="B20" s="5" t="n">
        <v>7597</v>
      </c>
      <c r="C20" s="5" t="n">
        <v>9670</v>
      </c>
      <c r="D20" s="5" t="n">
        <v>8899</v>
      </c>
      <c r="E20" s="5" t="n">
        <v>3978</v>
      </c>
      <c r="F20" s="5" t="n">
        <v>1430</v>
      </c>
      <c r="G20" s="5" t="n"/>
      <c r="AB20" t="inlineStr">
        <is>
          <t>Total comprehensive income for the year</t>
        </is>
      </c>
      <c r="AD20" t="n">
        <v>1430</v>
      </c>
      <c r="AE20" t="n">
        <v>3978</v>
      </c>
      <c r="AF20" t="n">
        <v>8899</v>
      </c>
      <c r="AG20" t="n">
        <v>9670</v>
      </c>
      <c r="AH20" t="n">
        <v>7597</v>
      </c>
    </row>
    <row r="21">
      <c r="A21" s="5" t="inlineStr">
        <is>
          <t>Other movements, net</t>
        </is>
      </c>
      <c r="B21" s="5" t="n">
        <v>-4835</v>
      </c>
      <c r="C21" s="5" t="n">
        <v>-4451</v>
      </c>
      <c r="D21" s="5" t="n">
        <v>-1988</v>
      </c>
      <c r="E21" s="5" t="n">
        <v>-802</v>
      </c>
      <c r="F21" s="5" t="n">
        <v>0</v>
      </c>
      <c r="G21" s="5" t="n"/>
      <c r="AB21" t="inlineStr">
        <is>
          <t>Other movements, net</t>
        </is>
      </c>
      <c r="AD21" t="n">
        <v>0</v>
      </c>
      <c r="AE21" t="n">
        <v>-802</v>
      </c>
      <c r="AF21" t="n">
        <v>-1988</v>
      </c>
      <c r="AG21" t="n">
        <v>-4451</v>
      </c>
      <c r="AH21" t="n">
        <v>-4835</v>
      </c>
    </row>
    <row r="22">
      <c r="A22" s="5" t="inlineStr">
        <is>
          <t>Closing equity</t>
        </is>
      </c>
      <c r="B22" s="5" t="n">
        <v>122976</v>
      </c>
      <c r="C22" s="5" t="n">
        <v>120214</v>
      </c>
      <c r="D22" s="5" t="n">
        <v>114995</v>
      </c>
      <c r="E22" s="5" t="n">
        <v>108084</v>
      </c>
      <c r="F22" s="5" t="n">
        <v>104908</v>
      </c>
      <c r="G22" s="5" t="n"/>
      <c r="AB22" t="inlineStr">
        <is>
          <t>Closing equity</t>
        </is>
      </c>
      <c r="AD22" t="n">
        <v>104908</v>
      </c>
      <c r="AE22" t="n">
        <v>108084</v>
      </c>
      <c r="AF22" t="n">
        <v>114995</v>
      </c>
      <c r="AG22" t="n">
        <v>120214</v>
      </c>
      <c r="AH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(used in)/generated from operating activities</t>
        </is>
      </c>
      <c r="B26" s="5" t="n">
        <v>-529</v>
      </c>
      <c r="C26" s="5" t="n">
        <v>121755</v>
      </c>
      <c r="D26" s="5" t="n">
        <v>22662</v>
      </c>
      <c r="E26" s="5" t="n">
        <v>-25122</v>
      </c>
      <c r="F26" s="5" t="n">
        <v>15041</v>
      </c>
      <c r="G26" s="5" t="n"/>
      <c r="AK26" t="inlineStr">
        <is>
          <t>Net cash (used in)/generated from operating activities</t>
        </is>
      </c>
      <c r="AM26" t="n">
        <v>15041</v>
      </c>
      <c r="AN26" t="n">
        <v>-25122</v>
      </c>
      <c r="AO26" t="n">
        <v>22662</v>
      </c>
      <c r="AP26" t="n">
        <v>121755</v>
      </c>
      <c r="AQ26" t="n">
        <v>-529</v>
      </c>
    </row>
    <row r="27">
      <c r="A27" s="5" t="inlineStr">
        <is>
          <t>Net cash (used in)/generated from investing activities</t>
        </is>
      </c>
      <c r="B27" s="5" t="n">
        <v>-19394</v>
      </c>
      <c r="C27" s="5" t="n">
        <v>-19841</v>
      </c>
      <c r="D27" s="5" t="n">
        <v>-5459</v>
      </c>
      <c r="E27" s="5" t="n">
        <v>-7171</v>
      </c>
      <c r="F27" s="5" t="n">
        <v>318</v>
      </c>
      <c r="G27" s="5" t="n"/>
      <c r="AK27" t="inlineStr">
        <is>
          <t>Net cash (used in)/generated from investing activities</t>
        </is>
      </c>
      <c r="AM27" t="n">
        <v>318</v>
      </c>
      <c r="AN27" t="n">
        <v>-7171</v>
      </c>
      <c r="AO27" t="n">
        <v>-5459</v>
      </c>
      <c r="AP27" t="n">
        <v>-19841</v>
      </c>
      <c r="AQ27" t="n">
        <v>-19394</v>
      </c>
    </row>
    <row r="28">
      <c r="A28" s="5" t="inlineStr">
        <is>
          <t>Net cash (used in)/generated from financing activities</t>
        </is>
      </c>
      <c r="B28" s="5" t="n">
        <v>-4991</v>
      </c>
      <c r="C28" s="5" t="n">
        <v>-4586</v>
      </c>
      <c r="D28" s="5" t="n">
        <v>-19544</v>
      </c>
      <c r="E28" s="5" t="n">
        <v>-944</v>
      </c>
      <c r="F28" s="5" t="n">
        <v>-148</v>
      </c>
      <c r="G28" s="5" t="n"/>
      <c r="AK28" t="inlineStr">
        <is>
          <t>Net cash (used in)/generated from financing activities</t>
        </is>
      </c>
      <c r="AM28" t="n">
        <v>-148</v>
      </c>
      <c r="AN28" t="n">
        <v>-944</v>
      </c>
      <c r="AO28" t="n">
        <v>-19544</v>
      </c>
      <c r="AP28" t="n">
        <v>-4586</v>
      </c>
      <c r="AQ28" t="n">
        <v>-4991</v>
      </c>
    </row>
    <row r="29">
      <c r="A29" s="5" t="inlineStr">
        <is>
          <t>Cash and cash equivalents at end of year</t>
        </is>
      </c>
      <c r="B29" s="5" t="n">
        <v>254772</v>
      </c>
      <c r="C29" s="5" t="n">
        <v>139857</v>
      </c>
      <c r="D29" s="5" t="n">
        <v>97313</v>
      </c>
      <c r="E29" s="5" t="n">
        <v>97866</v>
      </c>
      <c r="F29" s="5" t="n">
        <v>134557</v>
      </c>
      <c r="G29" s="5" t="n"/>
      <c r="AK29" t="inlineStr">
        <is>
          <t>Cash and cash equivalents at end of year</t>
        </is>
      </c>
      <c r="AM29" t="n">
        <v>134557</v>
      </c>
      <c r="AN29" t="n">
        <v>97866</v>
      </c>
      <c r="AO29" t="n">
        <v>97313</v>
      </c>
      <c r="AP29" t="n">
        <v>139857</v>
      </c>
      <c r="AQ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37.49%</t>
        </is>
      </c>
      <c r="C33" s="6" t="inlineStr">
        <is>
          <t>43.57%</t>
        </is>
      </c>
      <c r="D33" s="6" t="inlineStr">
        <is>
          <t>42.56%</t>
        </is>
      </c>
      <c r="E33" s="6" t="inlineStr">
        <is>
          <t>32.49%</t>
        </is>
      </c>
      <c r="F33" s="6" t="inlineStr">
        <is>
          <t>35.14%</t>
        </is>
      </c>
      <c r="G33" s="6" t="n"/>
    </row>
    <row r="34">
      <c r="A34" s="6" t="inlineStr">
        <is>
          <t>Tier 1 Ratio</t>
        </is>
      </c>
      <c r="B34" s="6" t="inlineStr">
        <is>
          <t>37.49%</t>
        </is>
      </c>
      <c r="C34" s="6" t="inlineStr">
        <is>
          <t>43.57%</t>
        </is>
      </c>
      <c r="D34" s="6" t="inlineStr">
        <is>
          <t>42.56%</t>
        </is>
      </c>
      <c r="E34" s="6" t="inlineStr">
        <is>
          <t>32.49%</t>
        </is>
      </c>
      <c r="F34" s="6" t="inlineStr">
        <is>
          <t>35.14%</t>
        </is>
      </c>
      <c r="G34" s="6" t="n"/>
    </row>
    <row r="35">
      <c r="A35" s="6" t="inlineStr">
        <is>
          <t>Total Capital Ratio</t>
        </is>
      </c>
      <c r="B35" s="6" t="inlineStr">
        <is>
          <t>41.93%</t>
        </is>
      </c>
      <c r="C35" s="6" t="inlineStr">
        <is>
          <t>49.95%</t>
        </is>
      </c>
      <c r="D35" s="6" t="inlineStr">
        <is>
          <t>48.87%</t>
        </is>
      </c>
      <c r="E35" s="6" t="inlineStr">
        <is>
          <t>42.14%</t>
        </is>
      </c>
      <c r="F35" s="6" t="inlineStr">
        <is>
          <t>45.50%</t>
        </is>
      </c>
      <c r="G35" s="6" t="n"/>
    </row>
    <row r="36">
      <c r="A36" s="6" t="inlineStr">
        <is>
          <t>Leverage Ratio</t>
        </is>
      </c>
      <c r="B36" s="6" t="inlineStr">
        <is>
          <t>20.42%</t>
        </is>
      </c>
      <c r="C36" s="6" t="inlineStr">
        <is>
          <t>21.19%</t>
        </is>
      </c>
      <c r="D36" s="6" t="inlineStr">
        <is>
          <t>26.38%</t>
        </is>
      </c>
      <c r="E36" s="6" t="inlineStr">
        <is>
          <t>22.88%</t>
        </is>
      </c>
      <c r="F36" s="6" t="n"/>
      <c r="G36" s="6" t="n"/>
    </row>
    <row r="37">
      <c r="A37" s="6" t="inlineStr">
        <is>
          <t>LCR</t>
        </is>
      </c>
      <c r="B37" s="6" t="inlineStr">
        <is>
          <t>316.67%</t>
        </is>
      </c>
      <c r="C37" s="6" t="inlineStr">
        <is>
          <t>335.52%</t>
        </is>
      </c>
      <c r="D37" s="6" t="inlineStr">
        <is>
          <t>390.70%</t>
        </is>
      </c>
      <c r="E37" s="6" t="inlineStr">
        <is>
          <t>468.51%</t>
        </is>
      </c>
      <c r="F37" s="6" t="n"/>
      <c r="G37" s="6" t="n"/>
    </row>
    <row r="38">
      <c r="A38" s="6" t="inlineStr">
        <is>
          <t>NSFR</t>
        </is>
      </c>
      <c r="B38" s="6" t="inlineStr">
        <is>
          <t>310.42%</t>
        </is>
      </c>
      <c r="C38" s="6" t="inlineStr">
        <is>
          <t>325.22%</t>
        </is>
      </c>
      <c r="D38" s="6" t="inlineStr">
        <is>
          <t>371.19%</t>
        </is>
      </c>
      <c r="E38" s="6" t="inlineStr">
        <is>
          <t>417.71%</t>
        </is>
      </c>
      <c r="F38" s="6" t="n"/>
      <c r="G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c r="G9" s="6" t="n"/>
    </row>
    <row r="10">
      <c r="A10" s="6" t="inlineStr">
        <is>
          <t>Debt securities at amortised cost</t>
        </is>
      </c>
      <c r="B10" s="6" t="n"/>
      <c r="C10" s="6" t="n"/>
      <c r="D10" s="6" t="n"/>
      <c r="E10" s="6" t="n"/>
      <c r="F10" s="6" t="n"/>
      <c r="G10" s="6" t="n"/>
    </row>
    <row r="11">
      <c r="A11" s="6" t="inlineStr">
        <is>
          <t>Financial assets at FVTOCI</t>
        </is>
      </c>
      <c r="B11" s="6" t="n"/>
      <c r="C11" s="6" t="n"/>
      <c r="D11" s="6" t="n"/>
      <c r="E11" s="6" t="n"/>
      <c r="F11" s="6" t="n">
        <v>26631</v>
      </c>
      <c r="G11" s="6" t="n"/>
    </row>
    <row r="12">
      <c r="A12" s="6" t="inlineStr">
        <is>
          <t>Derivative assets</t>
        </is>
      </c>
      <c r="B12" s="6" t="n"/>
      <c r="C12" s="6" t="n"/>
      <c r="D12" s="6" t="n">
        <v>47</v>
      </c>
      <c r="E12" s="6" t="n"/>
      <c r="F12" s="6" t="n"/>
      <c r="G12" s="6" t="n"/>
    </row>
    <row r="13">
      <c r="A13" s="6" t="inlineStr">
        <is>
          <t>Prepayments and accrued income</t>
        </is>
      </c>
      <c r="B13" s="6" t="n">
        <v>1892</v>
      </c>
      <c r="C13" s="6" t="n">
        <v>1554</v>
      </c>
      <c r="D13" s="6" t="n">
        <v>1057</v>
      </c>
      <c r="E13" s="6" t="n">
        <v>1161</v>
      </c>
      <c r="F13" s="6" t="n">
        <v>983</v>
      </c>
      <c r="G13" s="6" t="n"/>
    </row>
    <row r="14">
      <c r="A14" s="6" t="inlineStr">
        <is>
          <t>Current tax assets</t>
        </is>
      </c>
      <c r="B14" s="6" t="n">
        <v>1241</v>
      </c>
      <c r="C14" s="6" t="n">
        <v>406</v>
      </c>
      <c r="D14" s="6" t="n"/>
      <c r="E14" s="6" t="n"/>
      <c r="F14" s="6" t="n"/>
      <c r="G14" s="6" t="n"/>
    </row>
    <row r="15">
      <c r="A15" s="6" t="inlineStr">
        <is>
          <t>Land and Buildings</t>
        </is>
      </c>
      <c r="B15" s="6" t="n">
        <v>18289</v>
      </c>
      <c r="C15" s="6" t="n">
        <v>18449</v>
      </c>
      <c r="D15" s="6" t="n">
        <v>18583</v>
      </c>
      <c r="E15" s="6" t="n">
        <v>18649</v>
      </c>
      <c r="F15" s="6" t="n">
        <v>18800</v>
      </c>
      <c r="G15" s="6" t="n"/>
    </row>
    <row r="16">
      <c r="A16" s="6" t="inlineStr">
        <is>
          <t>Right-of-use lease assets</t>
        </is>
      </c>
      <c r="B16" s="6" t="n">
        <v>345</v>
      </c>
      <c r="C16" s="6" t="n">
        <v>419</v>
      </c>
      <c r="D16" s="6" t="n">
        <v>531</v>
      </c>
      <c r="E16" s="6" t="n">
        <v>608</v>
      </c>
      <c r="F16" s="6" t="n">
        <v>731</v>
      </c>
      <c r="G16" s="6" t="n"/>
    </row>
    <row r="17">
      <c r="A17" s="6" t="inlineStr">
        <is>
          <t>Property and equipment</t>
        </is>
      </c>
      <c r="B17" s="6" t="n">
        <v>631</v>
      </c>
      <c r="C17" s="6" t="n">
        <v>778</v>
      </c>
      <c r="D17" s="6" t="n">
        <v>699</v>
      </c>
      <c r="E17" s="6" t="n">
        <v>855</v>
      </c>
      <c r="F17" s="6" t="n">
        <v>384</v>
      </c>
      <c r="G17" s="6" t="n"/>
    </row>
    <row r="18">
      <c r="A18" s="6" t="inlineStr">
        <is>
          <t>Intangible assets</t>
        </is>
      </c>
      <c r="B18" s="6" t="n">
        <v>4559</v>
      </c>
      <c r="C18" s="6" t="n">
        <v>1322</v>
      </c>
      <c r="D18" s="6" t="n">
        <v>83</v>
      </c>
      <c r="E18" s="6" t="n">
        <v>133</v>
      </c>
      <c r="F18" s="6" t="n">
        <v>204</v>
      </c>
      <c r="G18" s="6" t="n"/>
    </row>
    <row r="19">
      <c r="A19" s="5" t="inlineStr">
        <is>
          <t>Total assets</t>
        </is>
      </c>
      <c r="B19" s="5" t="n">
        <v>502094</v>
      </c>
      <c r="C19" s="5" t="n">
        <v>482771</v>
      </c>
      <c r="D19" s="5" t="n">
        <v>367529</v>
      </c>
      <c r="E19" s="5" t="n">
        <v>406004</v>
      </c>
      <c r="F19" s="5" t="n">
        <v>410239</v>
      </c>
      <c r="G19" s="5" t="n">
        <v>520774</v>
      </c>
    </row>
    <row r="20">
      <c r="A20" s="5" t="inlineStr">
        <is>
          <t>Liabilities</t>
        </is>
      </c>
      <c r="B20" s="6" t="n"/>
      <c r="C20" s="6" t="n"/>
      <c r="D20" s="6" t="n"/>
      <c r="E20" s="6" t="n"/>
      <c r="F20" s="6" t="n"/>
      <c r="G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c r="G26" s="6" t="n"/>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5" t="n">
        <v>424170</v>
      </c>
    </row>
    <row r="32">
      <c r="A32" s="5" t="inlineStr">
        <is>
          <t>Equity</t>
        </is>
      </c>
      <c r="B32" s="6" t="n"/>
      <c r="C32" s="6" t="n"/>
      <c r="D32" s="6" t="n"/>
      <c r="E32" s="6" t="n"/>
      <c r="F32" s="6" t="n"/>
      <c r="G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5" t="n">
        <v>96604</v>
      </c>
    </row>
    <row r="36">
      <c r="A36" s="5" t="inlineStr">
        <is>
          <t>Total liabilities and equity</t>
        </is>
      </c>
      <c r="B36" s="5" t="n">
        <v>502094</v>
      </c>
      <c r="C36" s="5" t="n">
        <v>482771</v>
      </c>
      <c r="D36" s="5" t="n">
        <v>367529</v>
      </c>
      <c r="E36" s="5" t="n">
        <v>406004</v>
      </c>
      <c r="F36" s="5" t="n">
        <v>410239</v>
      </c>
      <c r="G36" s="5" t="n">
        <v>520774</v>
      </c>
    </row>
    <row r="37"/>
    <row r="38" ht="280" customHeight="1">
      <c r="A38"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5"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5" t="n">
        <v>10718</v>
      </c>
    </row>
    <row r="11">
      <c r="A11" s="5" t="inlineStr">
        <is>
          <t>Total income</t>
        </is>
      </c>
      <c r="B11" s="5" t="n">
        <v>24232</v>
      </c>
      <c r="C11" s="5" t="n">
        <v>25029</v>
      </c>
      <c r="D11" s="5" t="n">
        <v>23935</v>
      </c>
      <c r="E11" s="5" t="n">
        <v>17329</v>
      </c>
      <c r="F11" s="5" t="n">
        <v>11625</v>
      </c>
      <c r="G11" s="5" t="n">
        <v>18018</v>
      </c>
    </row>
    <row r="12">
      <c r="A12" s="5" t="inlineStr">
        <is>
          <t>Expenses</t>
        </is>
      </c>
      <c r="B12" s="6" t="n"/>
      <c r="C12" s="6" t="n"/>
      <c r="D12" s="6" t="n"/>
      <c r="E12" s="6" t="n"/>
      <c r="F12" s="6" t="n"/>
      <c r="G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c r="G14" s="6" t="n"/>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5"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c r="G18" s="6" t="n"/>
    </row>
    <row r="19">
      <c r="A19" s="5" t="inlineStr">
        <is>
          <t>Profit for the year</t>
        </is>
      </c>
      <c r="B19" s="5" t="n">
        <v>7597</v>
      </c>
      <c r="C19" s="5" t="n">
        <v>9670</v>
      </c>
      <c r="D19" s="5" t="n">
        <v>8899</v>
      </c>
      <c r="E19" s="5" t="n">
        <v>3976</v>
      </c>
      <c r="F19" s="5" t="n">
        <v>1420</v>
      </c>
      <c r="G19" s="5" t="n">
        <v>7426</v>
      </c>
    </row>
    <row r="20">
      <c r="A20" s="5" t="inlineStr">
        <is>
          <t>Other comprehensive income</t>
        </is>
      </c>
      <c r="B20" s="6" t="n"/>
      <c r="C20" s="6" t="n"/>
      <c r="D20" s="6" t="n"/>
      <c r="E20" s="6" t="n"/>
      <c r="F20" s="6" t="n"/>
      <c r="G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c r="G22" s="6" t="n"/>
    </row>
    <row r="23">
      <c r="A23" s="5" t="inlineStr">
        <is>
          <t>Other comprehensive income for the year, net of tax</t>
        </is>
      </c>
      <c r="B23" s="5" t="n">
        <v>0</v>
      </c>
      <c r="C23" s="5" t="n">
        <v>0</v>
      </c>
      <c r="D23" s="5" t="n">
        <v>0</v>
      </c>
      <c r="E23" s="5" t="n">
        <v>2</v>
      </c>
      <c r="F23" s="5" t="n">
        <v>11</v>
      </c>
      <c r="G23" s="5" t="n">
        <v>29</v>
      </c>
    </row>
    <row r="24">
      <c r="A24" s="5" t="inlineStr">
        <is>
          <t>Total comprehensive income for the year</t>
        </is>
      </c>
      <c r="B24" s="5" t="n">
        <v>7597</v>
      </c>
      <c r="C24" s="5" t="n">
        <v>9670</v>
      </c>
      <c r="D24" s="5" t="n">
        <v>8899</v>
      </c>
      <c r="E24" s="5" t="n">
        <v>3978</v>
      </c>
      <c r="F24" s="5" t="n">
        <v>1430</v>
      </c>
      <c r="G24" s="5" t="n">
        <v>7455</v>
      </c>
    </row>
    <row r="25"/>
    <row r="26" ht="280" customHeight="1">
      <c r="A26"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G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FY2017 (£'000s)</t>
        </is>
      </c>
    </row>
    <row r="4">
      <c r="A4" s="5" t="inlineStr">
        <is>
          <t>Operating activities</t>
        </is>
      </c>
      <c r="B4" s="6" t="n"/>
      <c r="C4" s="6" t="n"/>
      <c r="D4" s="6" t="n"/>
      <c r="E4" s="6" t="n"/>
      <c r="F4" s="6" t="n"/>
      <c r="G4" s="6" t="n"/>
    </row>
    <row r="5">
      <c r="A5" s="6" t="inlineStr">
        <is>
          <t>Profit for the year</t>
        </is>
      </c>
      <c r="B5" s="6" t="n">
        <v>7597</v>
      </c>
      <c r="C5" s="6" t="n">
        <v>9670</v>
      </c>
      <c r="D5" s="6" t="n">
        <v>8899</v>
      </c>
      <c r="E5" s="6" t="n">
        <v>3976</v>
      </c>
      <c r="F5" s="6" t="n">
        <v>1420</v>
      </c>
      <c r="G5" s="6" t="n"/>
    </row>
    <row r="6">
      <c r="A6" s="6" t="inlineStr">
        <is>
          <t>Taxation</t>
        </is>
      </c>
      <c r="B6" s="6" t="n">
        <v>2586</v>
      </c>
      <c r="C6" s="6" t="n">
        <v>3283</v>
      </c>
      <c r="D6" s="6" t="n">
        <v>2838</v>
      </c>
      <c r="E6" s="6" t="n">
        <v>980</v>
      </c>
      <c r="F6" s="6" t="n">
        <v>737</v>
      </c>
      <c r="G6" s="6" t="n"/>
    </row>
    <row r="7">
      <c r="A7" s="6" t="inlineStr">
        <is>
          <t>Treasury Bills discount and interest</t>
        </is>
      </c>
      <c r="B7" s="6" t="n">
        <v>-233</v>
      </c>
      <c r="C7" s="6" t="n">
        <v>-277</v>
      </c>
      <c r="D7" s="6" t="n">
        <v>594</v>
      </c>
      <c r="E7" s="6" t="n">
        <v>0</v>
      </c>
      <c r="F7" s="6" t="n"/>
      <c r="G7" s="6" t="n"/>
    </row>
    <row r="8">
      <c r="A8" s="6" t="inlineStr">
        <is>
          <t>Depreciation and amortisation</t>
        </is>
      </c>
      <c r="B8" s="6" t="n">
        <v>1004</v>
      </c>
      <c r="C8" s="6" t="n">
        <v>834</v>
      </c>
      <c r="D8" s="6" t="n">
        <v>750</v>
      </c>
      <c r="E8" s="6" t="n">
        <v>642</v>
      </c>
      <c r="F8" s="6" t="n">
        <v>809</v>
      </c>
      <c r="G8" s="6" t="n"/>
    </row>
    <row r="9">
      <c r="A9" s="6" t="inlineStr">
        <is>
          <t>Impairment reversal/(losses) on financial assets</t>
        </is>
      </c>
      <c r="B9" s="6" t="n">
        <v>-368</v>
      </c>
      <c r="C9" s="6" t="n">
        <v>-241</v>
      </c>
      <c r="D9" s="6" t="n">
        <v>736</v>
      </c>
      <c r="E9" s="6" t="n">
        <v>2669</v>
      </c>
      <c r="F9" s="6" t="n">
        <v>297</v>
      </c>
      <c r="G9" s="6" t="n"/>
    </row>
    <row r="10">
      <c r="A10" s="6" t="inlineStr">
        <is>
          <t>Finance cost on lease liabilities</t>
        </is>
      </c>
      <c r="B10" s="6" t="n">
        <v>23</v>
      </c>
      <c r="C10" s="6" t="n">
        <v>83</v>
      </c>
      <c r="D10" s="6" t="n">
        <v>32</v>
      </c>
      <c r="E10" s="6" t="n">
        <v>38</v>
      </c>
      <c r="F10" s="6" t="n">
        <v>43</v>
      </c>
      <c r="G10" s="6" t="n"/>
    </row>
    <row r="11">
      <c r="A11" s="6" t="inlineStr">
        <is>
          <t>Interest income</t>
        </is>
      </c>
      <c r="B11" s="6" t="n">
        <v>-22273</v>
      </c>
      <c r="C11" s="6" t="n">
        <v>-23830</v>
      </c>
      <c r="D11" s="6" t="n"/>
      <c r="E11" s="6" t="n"/>
      <c r="F11" s="6" t="n"/>
      <c r="G11" s="6" t="n"/>
    </row>
    <row r="12">
      <c r="A12" s="6" t="inlineStr">
        <is>
          <t>Interest expense</t>
        </is>
      </c>
      <c r="B12" s="6" t="n">
        <v>6352</v>
      </c>
      <c r="C12" s="6" t="n">
        <v>5875</v>
      </c>
      <c r="D12" s="6" t="n"/>
      <c r="E12" s="6" t="n"/>
      <c r="F12" s="6" t="n"/>
      <c r="G12" s="6" t="n"/>
    </row>
    <row r="13">
      <c r="A13" s="5" t="inlineStr">
        <is>
          <t>Operating cash flows before movements in working capital</t>
        </is>
      </c>
      <c r="B13" s="5" t="n">
        <v>-5312</v>
      </c>
      <c r="C13" s="5" t="n">
        <v>-4603</v>
      </c>
      <c r="D13" s="5" t="n">
        <v>13849</v>
      </c>
      <c r="E13" s="5" t="n">
        <v>8304</v>
      </c>
      <c r="F13" s="5" t="n">
        <v>3306</v>
      </c>
      <c r="G13" s="5" t="n"/>
    </row>
    <row r="14">
      <c r="A14" s="6" t="inlineStr">
        <is>
          <t>Increase/(Decrease) in prepayments and accrued income</t>
        </is>
      </c>
      <c r="B14" s="6" t="n">
        <v>-337</v>
      </c>
      <c r="C14" s="6" t="n">
        <v>-497</v>
      </c>
      <c r="D14" s="6" t="n">
        <v>104</v>
      </c>
      <c r="E14" s="6" t="n">
        <v>-178</v>
      </c>
      <c r="F14" s="6" t="n">
        <v>-181</v>
      </c>
      <c r="G14" s="6" t="n"/>
    </row>
    <row r="15">
      <c r="A15" s="6" t="inlineStr">
        <is>
          <t>(Decrease)/Increase in accruals and deferred income</t>
        </is>
      </c>
      <c r="B15" s="6" t="n">
        <v>-347</v>
      </c>
      <c r="C15" s="6" t="n">
        <v>-170</v>
      </c>
      <c r="D15" s="6" t="n">
        <v>303</v>
      </c>
      <c r="E15" s="6" t="n">
        <v>-31</v>
      </c>
      <c r="F15" s="6" t="n">
        <v>263</v>
      </c>
      <c r="G15" s="6" t="n"/>
    </row>
    <row r="16">
      <c r="A16" s="6" t="inlineStr">
        <is>
          <t>Net Increase/(Decrease) in loans and advances to banks and customers</t>
        </is>
      </c>
      <c r="B16" s="6" t="n">
        <v>-24435</v>
      </c>
      <c r="C16" s="6" t="n">
        <v>-54985</v>
      </c>
      <c r="D16" s="6" t="n">
        <v>39905</v>
      </c>
      <c r="E16" s="6" t="n">
        <v>-27093</v>
      </c>
      <c r="F16" s="6" t="n">
        <v>24313</v>
      </c>
      <c r="G16" s="6" t="n"/>
    </row>
    <row r="17">
      <c r="A17" s="6" t="inlineStr">
        <is>
          <t>(Decrease)/Increase in deposits by banks and customer accounts</t>
        </is>
      </c>
      <c r="B17" s="6" t="n">
        <v>24806</v>
      </c>
      <c r="C17" s="6" t="n">
        <v>103729</v>
      </c>
      <c r="D17" s="6" t="n">
        <v>-29538</v>
      </c>
      <c r="E17" s="6" t="n">
        <v>-6085</v>
      </c>
      <c r="F17" s="6" t="n">
        <v>-11002</v>
      </c>
      <c r="G17" s="6" t="n"/>
    </row>
    <row r="18">
      <c r="A18" s="6" t="inlineStr">
        <is>
          <t>(Decrease)/Increase in other liabilities</t>
        </is>
      </c>
      <c r="B18" s="6" t="n">
        <v>-8938</v>
      </c>
      <c r="C18" s="6" t="n">
        <v>10394</v>
      </c>
      <c r="D18" s="6" t="n">
        <v>-69</v>
      </c>
      <c r="E18" s="6" t="n">
        <v>299</v>
      </c>
      <c r="F18" s="6" t="n">
        <v>-1363</v>
      </c>
      <c r="G18" s="6" t="n"/>
    </row>
    <row r="19">
      <c r="A19" s="6" t="inlineStr">
        <is>
          <t>Net (Decrease)/Increase in derivative financial instruments</t>
        </is>
      </c>
      <c r="B19" s="6" t="n">
        <v>-145</v>
      </c>
      <c r="C19" s="6" t="n">
        <v>192</v>
      </c>
      <c r="D19" s="6" t="n">
        <v>-65</v>
      </c>
      <c r="E19" s="6" t="n">
        <v>17</v>
      </c>
      <c r="F19" s="6" t="n"/>
      <c r="G19" s="6" t="n"/>
    </row>
    <row r="20">
      <c r="A20" s="6" t="inlineStr">
        <is>
          <t>Interest income received</t>
        </is>
      </c>
      <c r="B20" s="6" t="n">
        <v>23318</v>
      </c>
      <c r="C20" s="6" t="n">
        <v>23628</v>
      </c>
      <c r="D20" s="6" t="n"/>
      <c r="E20" s="6" t="n"/>
      <c r="F20" s="6" t="n"/>
      <c r="G20" s="6" t="n"/>
    </row>
    <row r="21">
      <c r="A21" s="6" t="inlineStr">
        <is>
          <t>Interest expense paid</t>
        </is>
      </c>
      <c r="B21" s="6" t="n">
        <v>-6569</v>
      </c>
      <c r="C21" s="6" t="n">
        <v>-6056</v>
      </c>
      <c r="D21" s="6" t="n"/>
      <c r="E21" s="6" t="n"/>
      <c r="F21" s="6" t="n"/>
      <c r="G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c r="G23" s="5" t="n"/>
    </row>
    <row r="24">
      <c r="A24" s="5" t="inlineStr">
        <is>
          <t>Investing activities</t>
        </is>
      </c>
      <c r="B24" s="6" t="n"/>
      <c r="C24" s="6" t="n"/>
      <c r="D24" s="6" t="n"/>
      <c r="E24" s="6" t="n"/>
      <c r="F24" s="6" t="n"/>
      <c r="G24" s="6" t="n"/>
    </row>
    <row r="25">
      <c r="A25" s="6" t="inlineStr">
        <is>
          <t>Purchase of property, equipment and intangible assets</t>
        </is>
      </c>
      <c r="B25" s="6" t="n">
        <v>-3860</v>
      </c>
      <c r="C25" s="6" t="n">
        <v>-1906</v>
      </c>
      <c r="D25" s="6" t="n">
        <v>-355</v>
      </c>
      <c r="E25" s="6" t="n">
        <v>-769</v>
      </c>
      <c r="F25" s="6" t="n">
        <v>-128</v>
      </c>
      <c r="G25" s="6" t="n"/>
    </row>
    <row r="26">
      <c r="A26" s="6" t="inlineStr">
        <is>
          <t>Proceeds on maturity of treasury bills and other eligible bills</t>
        </is>
      </c>
      <c r="B26" s="6" t="n">
        <v>340419</v>
      </c>
      <c r="C26" s="6" t="n">
        <v>107809</v>
      </c>
      <c r="D26" s="6" t="n">
        <v>43930</v>
      </c>
      <c r="E26" s="6" t="n">
        <v>39572</v>
      </c>
      <c r="F26" s="6" t="n">
        <v>30077</v>
      </c>
      <c r="G26" s="6" t="n"/>
    </row>
    <row r="27">
      <c r="A27" s="6" t="inlineStr">
        <is>
          <t>Purchase of treasury bills and other eligible bills</t>
        </is>
      </c>
      <c r="B27" s="6" t="n">
        <v>-355953</v>
      </c>
      <c r="C27" s="6" t="n">
        <v>-125744</v>
      </c>
      <c r="D27" s="6" t="n">
        <v>-49034</v>
      </c>
      <c r="E27" s="6" t="n">
        <v>-45974</v>
      </c>
      <c r="F27" s="6" t="n">
        <v>-29631</v>
      </c>
      <c r="G27" s="6" t="n"/>
    </row>
    <row r="28">
      <c r="A28" s="5" t="inlineStr">
        <is>
          <t>Net cash (used in)/generated from investing activities</t>
        </is>
      </c>
      <c r="B28" s="5" t="n">
        <v>-19394</v>
      </c>
      <c r="C28" s="5" t="n">
        <v>-19841</v>
      </c>
      <c r="D28" s="5" t="n">
        <v>-5459</v>
      </c>
      <c r="E28" s="5" t="n">
        <v>-7171</v>
      </c>
      <c r="F28" s="5" t="n">
        <v>318</v>
      </c>
      <c r="G28" s="5" t="n"/>
    </row>
    <row r="29">
      <c r="A29" s="5" t="inlineStr">
        <is>
          <t>Financing activities</t>
        </is>
      </c>
      <c r="B29" s="6" t="n"/>
      <c r="C29" s="6" t="n"/>
      <c r="D29" s="6" t="n"/>
      <c r="E29" s="6" t="n"/>
      <c r="F29" s="6" t="n"/>
      <c r="G29" s="6" t="n"/>
    </row>
    <row r="30">
      <c r="A30" s="6" t="inlineStr">
        <is>
          <t>Lease payments under Finance Lease</t>
        </is>
      </c>
      <c r="B30" s="6" t="n">
        <v>-156</v>
      </c>
      <c r="C30" s="6" t="n">
        <v>-136</v>
      </c>
      <c r="D30" s="6" t="n">
        <v>-148</v>
      </c>
      <c r="E30" s="6" t="n">
        <v>-141</v>
      </c>
      <c r="F30" s="6" t="n">
        <v>-148</v>
      </c>
      <c r="G30" s="6" t="n"/>
    </row>
    <row r="31">
      <c r="A31" s="6" t="inlineStr">
        <is>
          <t>Subordinated loan redemption</t>
        </is>
      </c>
      <c r="B31" s="6" t="n"/>
      <c r="C31" s="6" t="n"/>
      <c r="D31" s="6" t="n">
        <v>-17408</v>
      </c>
      <c r="E31" s="6" t="n"/>
      <c r="F31" s="6" t="n"/>
      <c r="G31" s="6" t="n"/>
    </row>
    <row r="32">
      <c r="A32" s="6" t="inlineStr">
        <is>
          <t>Dividend paid</t>
        </is>
      </c>
      <c r="B32" s="6" t="n">
        <v>-4835</v>
      </c>
      <c r="C32" s="6" t="n">
        <v>-4450</v>
      </c>
      <c r="D32" s="6" t="n">
        <v>-1988</v>
      </c>
      <c r="E32" s="6" t="n">
        <v>-802</v>
      </c>
      <c r="F32" s="6" t="n"/>
      <c r="G32" s="6" t="n"/>
    </row>
    <row r="33">
      <c r="A33" s="5" t="inlineStr">
        <is>
          <t>Net cash (used in)/generated from financing activities</t>
        </is>
      </c>
      <c r="B33" s="5" t="n">
        <v>-4991</v>
      </c>
      <c r="C33" s="5" t="n">
        <v>-4586</v>
      </c>
      <c r="D33" s="5" t="n">
        <v>-19544</v>
      </c>
      <c r="E33" s="5" t="n">
        <v>-944</v>
      </c>
      <c r="F33" s="5" t="n">
        <v>-148</v>
      </c>
      <c r="G33" s="5" t="n"/>
    </row>
    <row r="34">
      <c r="A34" s="5" t="inlineStr">
        <is>
          <t>Net (decrease)/increase in cash and cash equivalents</t>
        </is>
      </c>
      <c r="B34" s="5" t="n">
        <v>-24915</v>
      </c>
      <c r="C34" s="5" t="n">
        <v>42879</v>
      </c>
      <c r="D34" s="5" t="n">
        <v>-2340</v>
      </c>
      <c r="E34" s="5" t="n">
        <v>-33237</v>
      </c>
      <c r="F34" s="5" t="n">
        <v>15211</v>
      </c>
      <c r="G34" s="5" t="n"/>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c r="G36" s="6" t="n"/>
    </row>
    <row r="37">
      <c r="A37" s="5" t="inlineStr">
        <is>
          <t>Cash and cash equivalents at the end of the year</t>
        </is>
      </c>
      <c r="B37" s="5" t="n">
        <v>254772</v>
      </c>
      <c r="C37" s="5" t="n">
        <v>139857</v>
      </c>
      <c r="D37" s="5" t="n">
        <v>97313</v>
      </c>
      <c r="E37" s="5" t="n">
        <v>97866</v>
      </c>
      <c r="F37" s="5" t="n">
        <v>134557</v>
      </c>
      <c r="G37" s="5" t="n">
        <v>105686</v>
      </c>
    </row>
    <row r="38"/>
    <row r="39" ht="300" customHeight="1">
      <c r="A39" s="8"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G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carrying amount)</t>
        </is>
      </c>
      <c r="B4" s="6" t="n"/>
      <c r="C4" s="6" t="n"/>
      <c r="D4" s="6" t="n"/>
      <c r="E4" s="6" t="n"/>
      <c r="F4" s="6" t="n"/>
      <c r="G4" s="6" t="n"/>
    </row>
    <row r="5">
      <c r="A5" s="6" t="inlineStr">
        <is>
          <t>Stage 1 (12-month ECL)</t>
        </is>
      </c>
      <c r="B5" s="6" t="n">
        <v>142128</v>
      </c>
      <c r="C5" s="6" t="n">
        <v>119370</v>
      </c>
      <c r="D5" s="6" t="n">
        <v>114296</v>
      </c>
      <c r="E5" s="6" t="n">
        <v>159945</v>
      </c>
      <c r="F5" s="6" t="n">
        <v>118696</v>
      </c>
      <c r="G5" s="6" t="n"/>
    </row>
    <row r="6">
      <c r="A6" s="6" t="inlineStr">
        <is>
          <t>Stage 2 (lifetime ECL, not credit-impaired)</t>
        </is>
      </c>
      <c r="B6" s="6" t="n">
        <v>2024</v>
      </c>
      <c r="C6" s="6" t="n">
        <v>1587</v>
      </c>
      <c r="D6" s="6" t="n">
        <v>7063</v>
      </c>
      <c r="E6" s="6" t="n">
        <v>2050</v>
      </c>
      <c r="F6" s="6" t="n">
        <v>8389</v>
      </c>
      <c r="G6" s="6" t="n"/>
    </row>
    <row r="7">
      <c r="A7" s="6" t="inlineStr">
        <is>
          <t>Stage 3 (lifetime ECL, credit-impaired)</t>
        </is>
      </c>
      <c r="B7" s="6" t="n">
        <v>6562</v>
      </c>
      <c r="C7" s="6" t="n">
        <v>10543</v>
      </c>
      <c r="D7" s="6" t="n">
        <v>9952</v>
      </c>
      <c r="E7" s="6" t="n">
        <v>9795</v>
      </c>
      <c r="F7" s="6" t="n">
        <v>8438</v>
      </c>
      <c r="G7" s="6" t="n"/>
    </row>
    <row r="8">
      <c r="A8" s="5" t="inlineStr">
        <is>
          <t>Total gross loans and advances to customers</t>
        </is>
      </c>
      <c r="B8" s="5" t="n">
        <v>150714</v>
      </c>
      <c r="C8" s="5" t="n">
        <v>131500</v>
      </c>
      <c r="D8" s="5" t="n">
        <v>131311</v>
      </c>
      <c r="E8" s="5" t="n">
        <v>171790</v>
      </c>
      <c r="F8" s="5" t="n">
        <v>135523</v>
      </c>
      <c r="G8" s="5" t="n"/>
    </row>
    <row r="9">
      <c r="A9" s="5" t="inlineStr">
        <is>
          <t>Loss allowance (ECL) by stage</t>
        </is>
      </c>
      <c r="B9" s="6" t="n"/>
      <c r="C9" s="6" t="n"/>
      <c r="D9" s="6" t="n"/>
      <c r="E9" s="6" t="n"/>
      <c r="F9" s="6" t="n"/>
      <c r="G9" s="6" t="n"/>
    </row>
    <row r="10">
      <c r="A10" s="6" t="inlineStr">
        <is>
          <t>Stage 1 allowance</t>
        </is>
      </c>
      <c r="B10" s="6" t="n">
        <v>676</v>
      </c>
      <c r="C10" s="6" t="n">
        <v>347</v>
      </c>
      <c r="D10" s="6" t="n">
        <v>391</v>
      </c>
      <c r="E10" s="6" t="n">
        <v>696</v>
      </c>
      <c r="F10" s="6" t="n">
        <v>417</v>
      </c>
      <c r="G10" s="6" t="n"/>
    </row>
    <row r="11">
      <c r="A11" s="6" t="inlineStr">
        <is>
          <t>Stage 2 allowance</t>
        </is>
      </c>
      <c r="B11" s="6" t="n">
        <v>42</v>
      </c>
      <c r="C11" s="6" t="n">
        <v>69</v>
      </c>
      <c r="D11" s="6" t="n">
        <v>84</v>
      </c>
      <c r="E11" s="6" t="n">
        <v>268</v>
      </c>
      <c r="F11" s="6" t="n">
        <v>301</v>
      </c>
      <c r="G11" s="6" t="n"/>
    </row>
    <row r="12">
      <c r="A12" s="6" t="inlineStr">
        <is>
          <t>Stage 3 allowance</t>
        </is>
      </c>
      <c r="B12" s="6" t="n">
        <v>5812</v>
      </c>
      <c r="C12" s="6" t="n">
        <v>9688</v>
      </c>
      <c r="D12" s="6" t="n">
        <v>9740</v>
      </c>
      <c r="E12" s="6" t="n">
        <v>9340</v>
      </c>
      <c r="F12" s="6" t="n">
        <v>5960</v>
      </c>
      <c r="G12" s="6" t="n"/>
    </row>
    <row r="13">
      <c r="A13" s="5" t="inlineStr">
        <is>
          <t>Total loss allowance</t>
        </is>
      </c>
      <c r="B13" s="5" t="n">
        <v>6530</v>
      </c>
      <c r="C13" s="5" t="n">
        <v>10103</v>
      </c>
      <c r="D13" s="5" t="n">
        <v>10215</v>
      </c>
      <c r="E13" s="5" t="n">
        <v>10303</v>
      </c>
      <c r="F13" s="5" t="n">
        <v>6678</v>
      </c>
      <c r="G13" s="5" t="n"/>
    </row>
    <row r="14">
      <c r="A14" s="5" t="inlineStr">
        <is>
          <t>Asset quality ratios</t>
        </is>
      </c>
      <c r="B14" s="6" t="n"/>
      <c r="C14" s="6" t="n"/>
      <c r="D14" s="6" t="n"/>
      <c r="E14" s="6" t="n"/>
      <c r="F14" s="6" t="n"/>
      <c r="G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c r="G15" s="6" t="n"/>
    </row>
    <row r="16">
      <c r="A16" s="6" t="inlineStr">
        <is>
          <t>Stage 3 / NPL ratio (Stage 3 gross / Total gross loans)</t>
        </is>
      </c>
      <c r="B16" s="6" t="inlineStr">
        <is>
          <t>4.35%</t>
        </is>
      </c>
      <c r="C16" s="6" t="inlineStr">
        <is>
          <t>8.02%</t>
        </is>
      </c>
      <c r="D16" s="6" t="inlineStr">
        <is>
          <t>7.58%</t>
        </is>
      </c>
      <c r="E16" s="6" t="inlineStr">
        <is>
          <t>5.70%</t>
        </is>
      </c>
      <c r="F16" s="6" t="inlineStr">
        <is>
          <t>6.23%</t>
        </is>
      </c>
      <c r="G16" s="6" t="n"/>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c r="G17" s="6" t="n"/>
    </row>
    <row r="19" ht="150" customHeight="1">
      <c r="A19" s="8"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v>110.6</v>
      </c>
      <c r="C4" s="6" t="n">
        <v>109</v>
      </c>
      <c r="D4" s="6" t="n">
        <v>105.8</v>
      </c>
      <c r="E4" s="6" t="n">
        <v>103.2</v>
      </c>
      <c r="F4" s="6" t="n">
        <v>104</v>
      </c>
      <c r="G4" s="6" t="n"/>
    </row>
    <row r="5" ht="60" customHeight="1">
      <c r="A5" s="7" t="inlineStr">
        <is>
          <t>Note: FY2021 is calculated (Own Funds less Eligible Tier II Capital from the pre-KM1 ICAAP table) - see source note.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37.49%</t>
        </is>
      </c>
      <c r="C4" s="6" t="inlineStr">
        <is>
          <t>43.57%</t>
        </is>
      </c>
      <c r="D4" s="6" t="inlineStr">
        <is>
          <t>42.56%</t>
        </is>
      </c>
      <c r="E4" s="6" t="inlineStr">
        <is>
          <t>32.49%</t>
        </is>
      </c>
      <c r="F4" s="6" t="inlineStr">
        <is>
          <t>35.14%</t>
        </is>
      </c>
      <c r="G4" s="6" t="n"/>
    </row>
    <row r="5" ht="60" customHeight="1">
      <c r="A5" s="7" t="inlineStr">
        <is>
          <t>Note: FY2021 is calculated (CET1 £ / Total Risk Exposure Amount £, pre-KM1 ICAAP basis) rather than directly disclosed as a percentage.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v>110.6</v>
      </c>
      <c r="C4" s="6" t="n">
        <v>109</v>
      </c>
      <c r="D4" s="6" t="n">
        <v>105.8</v>
      </c>
      <c r="E4" s="6" t="n">
        <v>103.2</v>
      </c>
      <c r="F4" s="6" t="n">
        <v>104</v>
      </c>
      <c r="G4" s="6" t="n"/>
    </row>
    <row r="5" ht="60" customHeight="1">
      <c r="A5" s="7" t="inlineStr">
        <is>
          <t>Note: Tier 1 = CET1 every year (no AT1 instruments ever issued).</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37.49%</t>
        </is>
      </c>
      <c r="C4" s="6" t="inlineStr">
        <is>
          <t>43.57%</t>
        </is>
      </c>
      <c r="D4" s="6" t="inlineStr">
        <is>
          <t>42.56%</t>
        </is>
      </c>
      <c r="E4" s="6" t="inlineStr">
        <is>
          <t>32.49%</t>
        </is>
      </c>
      <c r="F4" s="6" t="inlineStr">
        <is>
          <t>35.14%</t>
        </is>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123.6</v>
      </c>
      <c r="C4" s="6" t="n">
        <v>124.9</v>
      </c>
      <c r="D4" s="6" t="n">
        <v>121.5</v>
      </c>
      <c r="E4" s="6" t="n">
        <v>133.8</v>
      </c>
      <c r="F4" s="6" t="n">
        <v>134.6</v>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41.93%</t>
        </is>
      </c>
      <c r="C4" s="6" t="inlineStr">
        <is>
          <t>49.95%</t>
        </is>
      </c>
      <c r="D4" s="6" t="inlineStr">
        <is>
          <t>48.87%</t>
        </is>
      </c>
      <c r="E4" s="6" t="inlineStr">
        <is>
          <t>42.14%</t>
        </is>
      </c>
      <c r="F4" s="6" t="inlineStr">
        <is>
          <t>45.50%</t>
        </is>
      </c>
      <c r="G4" s="6" t="n"/>
    </row>
    <row r="5" ht="60" customHeight="1">
      <c r="A5" s="7" t="inlineStr">
        <is>
          <t>Note: FY2021 is calculated (Total Capital £ / Total Risk Exposure Amount £, pre-KM1 ICAAP basis).</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v>294.9</v>
      </c>
      <c r="C4" s="6" t="n">
        <v>250.1</v>
      </c>
      <c r="D4" s="6" t="n">
        <v>248.5</v>
      </c>
      <c r="E4" s="6" t="n">
        <v>317.6</v>
      </c>
      <c r="F4" s="6" t="n">
        <v>295.9</v>
      </c>
      <c r="G4" s="6" t="n"/>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RWA Breakdown</t>
        </is>
      </c>
    </row>
    <row r="2">
      <c r="A2" s="2" t="inlineStr">
        <is>
          <t>Entity-level basis, £'000s. UK OV1 template FY2022-FY2025; older pre-OV1 ICAAP-basis breakdown for FY2021.</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UK OV1 — Overview of risk weighted exposure amounts (as disclosed)</t>
        </is>
      </c>
      <c r="B4" s="6" t="n"/>
      <c r="C4" s="6" t="n"/>
      <c r="D4" s="6" t="n"/>
      <c r="E4" s="6" t="n"/>
      <c r="F4" s="6" t="n"/>
      <c r="G4" s="6" t="n"/>
    </row>
    <row r="5">
      <c r="A5" s="6" t="inlineStr">
        <is>
          <t>Credit risk (excluding CCR/CVA)</t>
        </is>
      </c>
      <c r="B5" s="6" t="n">
        <v>249173</v>
      </c>
      <c r="C5" s="6" t="n">
        <v>208563</v>
      </c>
      <c r="D5" s="6" t="n">
        <v>220069</v>
      </c>
      <c r="E5" s="6" t="n">
        <v>289747</v>
      </c>
      <c r="F5" s="6" t="n"/>
      <c r="G5" s="6" t="n"/>
    </row>
    <row r="6">
      <c r="A6" s="6" t="inlineStr">
        <is>
          <t>Counterparty credit risk (CCR/CVA)</t>
        </is>
      </c>
      <c r="B6" s="6" t="n">
        <v>0</v>
      </c>
      <c r="C6" s="6" t="n">
        <v>110</v>
      </c>
      <c r="D6" s="6" t="n">
        <v>151</v>
      </c>
      <c r="E6" s="6" t="n">
        <v>128</v>
      </c>
      <c r="F6" s="6" t="n"/>
      <c r="G6" s="6" t="n"/>
    </row>
    <row r="7">
      <c r="A7" s="6" t="inlineStr">
        <is>
          <t>Operational risk</t>
        </is>
      </c>
      <c r="B7" s="6" t="n">
        <v>45747</v>
      </c>
      <c r="C7" s="6" t="n">
        <v>41433</v>
      </c>
      <c r="D7" s="6" t="n">
        <v>28314</v>
      </c>
      <c r="E7" s="6" t="n">
        <v>27678</v>
      </c>
      <c r="F7" s="6" t="n"/>
      <c r="G7" s="6" t="n"/>
    </row>
    <row r="8">
      <c r="A8" s="5" t="inlineStr">
        <is>
          <t>Pre-OV1 ICAAP-basis TREA breakdown (FY2021)</t>
        </is>
      </c>
      <c r="B8" s="6" t="n"/>
      <c r="C8" s="6" t="n"/>
      <c r="D8" s="6" t="n"/>
      <c r="E8" s="6" t="n"/>
      <c r="F8" s="6" t="n"/>
      <c r="G8" s="6" t="n"/>
    </row>
    <row r="9">
      <c r="A9" s="6" t="inlineStr">
        <is>
          <t>Credit Risk Component (on- and off-balance sheet combined)</t>
        </is>
      </c>
      <c r="B9" s="6" t="n"/>
      <c r="C9" s="6" t="n"/>
      <c r="D9" s="6" t="n"/>
      <c r="E9" s="6" t="n"/>
      <c r="F9" s="6" t="n">
        <v>264718</v>
      </c>
      <c r="G9" s="6" t="n"/>
    </row>
    <row r="10">
      <c r="A10" s="6" t="inlineStr">
        <is>
          <t>Operational Risk Exposure Amount</t>
        </is>
      </c>
      <c r="B10" s="6" t="n"/>
      <c r="C10" s="6" t="n"/>
      <c r="D10" s="6" t="n"/>
      <c r="E10" s="6" t="n"/>
      <c r="F10" s="6" t="n">
        <v>31220</v>
      </c>
      <c r="G10" s="6" t="n"/>
    </row>
    <row r="11">
      <c r="A11" s="6" t="inlineStr">
        <is>
          <t>Market risk</t>
        </is>
      </c>
      <c r="B11" s="6" t="n"/>
      <c r="C11" s="6" t="n"/>
      <c r="D11" s="6" t="n"/>
      <c r="E11" s="6" t="n"/>
      <c r="F11" s="6" t="n">
        <v>0</v>
      </c>
      <c r="G11" s="6" t="n"/>
    </row>
    <row r="12">
      <c r="A12" s="6" t="inlineStr">
        <is>
          <t>CVA</t>
        </is>
      </c>
      <c r="B12" s="6" t="n"/>
      <c r="C12" s="6" t="n"/>
      <c r="D12" s="6" t="n"/>
      <c r="E12" s="6" t="n"/>
      <c r="F12" s="6" t="n">
        <v>0</v>
      </c>
      <c r="G12" s="6" t="n"/>
    </row>
    <row r="13">
      <c r="A13" s="5" t="inlineStr">
        <is>
          <t>Total risk-weighted exposure amount</t>
        </is>
      </c>
      <c r="B13" s="5" t="n">
        <v>294920</v>
      </c>
      <c r="C13" s="5" t="n">
        <v>250107</v>
      </c>
      <c r="D13" s="5" t="n">
        <v>248534</v>
      </c>
      <c r="E13" s="5" t="n">
        <v>317552</v>
      </c>
      <c r="F13" s="5" t="n">
        <v>295938</v>
      </c>
      <c r="G13" s="5" t="n"/>
    </row>
    <row r="15" ht="260" customHeight="1">
      <c r="A15" s="8" t="inlineStr">
        <is>
          <t>Sources - Bank of Beirut (UK) Ltd's own Pillar 3 Disclosures, £'000s, all years:
FY2025/FY2024: Pillar 3 Disclosures - 31 December 2025, s.3.5 'Overview of Risk Weighted Exposures Amounts (RWEA)', Template UK OV1 (FY2024 is that table's own FY2024 comparative column) - https://www.bankofbeirut.co.uk/Content/uploads/PillarDisclosure/Bank_of_Beirut_UK_Ltd_-_Pillar_III_Disclosures_-_31_December_2025.pdf
FY2023/FY2022: Pillar 3 Disclosures - 31 December 2023, s.4.1 'Overview of Risk Weighted Exposures Amounts (RWEA)', Template UK OV1 (FY2022 is that table's own FY2022 comparative column) - https://www.bankofbeirut.co.uk/Content/uploads/Announcement/Bank_of_Beirut_UK_Ltd_-_Pillar_III_Disclosures_-_31_December_2023.pdf
FY2021: Pillar 3 Disclosures - 31 December 2022, s.4.1.2 'Total Risk Exposure Amount (TREA) breakdown' (pre-KM1/OV1 ICAAP-basis 5-year table, own FY2021 column) - https://www.bankofbeirut.co.uk/Content/uploads/Announcement/Bank_of_Beirut_UK_Ltd_-_Pillar_III_Disclosures_-_31DEC2022_-_Final.pdf
CORRECTION (fresh re-verification, 2026-09-12): the prior version of this sheet claimed no category-level breakdown was disclosed in any year. That was wrong - a full UK OV1 template (Credit risk excl. CCR/CVA, Counterparty credit risk/CVA, Operational risk) is published every year FY2022-FY2025 (the FY2023 Pillar 3 Disclosures document's own s.4.1, checked directly, carries the FY2022 comparative; the FY2025 document's own s.3.5 carries the FY2024 comparative), and FY2021's older pre-OV1 TREA breakdown (Credit Risk Component, Operational Risk Exposure Amount, CVA, Market risk) is in the FY2022 document's own s.4.1.2 5-year table. Every year's Total ties to the Total RWAs sheet's own figure (FY2022's OV1-basis £317,552k vs the FY2022 document's own ICAAP-basis £314,615k is the same ~1% methodology difference already documented on the Total RWAs sheet - KM1/OV1 basis used here for consistency). The Bank has no trading book (explicitly stated in the FY2025 document), so no separate market-risk RWA line is carried under the OV1 template FY2022-FY2025; FY2021's own table does carry an explicit Market risk = nil line.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5:G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20.42%</t>
        </is>
      </c>
      <c r="C4" s="6" t="inlineStr">
        <is>
          <t>21.19%</t>
        </is>
      </c>
      <c r="D4" s="6" t="inlineStr">
        <is>
          <t>26.38%</t>
        </is>
      </c>
      <c r="E4" s="6" t="inlineStr">
        <is>
          <t>22.88%</t>
        </is>
      </c>
      <c r="F4" s="6" t="n"/>
      <c r="G4" s="6" t="n"/>
    </row>
    <row r="5" ht="60" customHeight="1">
      <c r="A5" s="7" t="inlineStr">
        <is>
          <t>Note: Not disclosed for FY2021 - the pre-KM1 Pillar 3 document lists Leverage Ratio as a tracked KPI but states no numeric value for any year in that edition.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316.67%</t>
        </is>
      </c>
      <c r="C4" s="6" t="inlineStr">
        <is>
          <t>335.52%</t>
        </is>
      </c>
      <c r="D4" s="6" t="inlineStr">
        <is>
          <t>390.70%</t>
        </is>
      </c>
      <c r="E4" s="6" t="inlineStr">
        <is>
          <t>468.51%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inlineStr">
        <is>
          <t>310.42%</t>
        </is>
      </c>
      <c r="C4" s="6" t="inlineStr">
        <is>
          <t>325.22%</t>
        </is>
      </c>
      <c r="D4" s="6" t="inlineStr">
        <is>
          <t>371.19%</t>
        </is>
      </c>
      <c r="E4" s="6" t="inlineStr">
        <is>
          <t>417.71%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t>
        </is>
      </c>
    </row>
    <row r="7" ht="15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2026-09-12T17:18:48Z</dcterms:created>
  <dcterms:modified xmlns:dcterms="http://purl.org/dc/terms/" xmlns:xsi="http://www.w3.org/2001/XMLSchema-instance" xsi:type="dcterms:W3CDTF">2026-09-12T17:18:48Z</dcterms:modified>
</cp:coreProperties>
</file>