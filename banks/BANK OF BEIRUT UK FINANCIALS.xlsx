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c r="G9" s="6" t="n"/>
    </row>
    <row r="10">
      <c r="A10" s="6" t="inlineStr">
        <is>
          <t>Debt securities at amortised cost</t>
        </is>
      </c>
      <c r="B10" s="6" t="n"/>
      <c r="C10" s="6" t="n"/>
      <c r="D10" s="6" t="n"/>
      <c r="E10" s="6" t="n"/>
      <c r="F10" s="6" t="n"/>
      <c r="G10" s="6" t="n"/>
    </row>
    <row r="11">
      <c r="A11" s="6" t="inlineStr">
        <is>
          <t>Financial assets at FVTOCI</t>
        </is>
      </c>
      <c r="B11" s="6" t="n"/>
      <c r="C11" s="6" t="n"/>
      <c r="D11" s="6" t="n"/>
      <c r="E11" s="6" t="n"/>
      <c r="F11" s="6" t="n">
        <v>26631</v>
      </c>
      <c r="G11" s="6" t="n"/>
    </row>
    <row r="12">
      <c r="A12" s="6" t="inlineStr">
        <is>
          <t>Derivative assets</t>
        </is>
      </c>
      <c r="B12" s="6" t="n"/>
      <c r="C12" s="6" t="n"/>
      <c r="D12" s="6" t="n">
        <v>47</v>
      </c>
      <c r="E12" s="6" t="n"/>
      <c r="F12" s="6" t="n"/>
      <c r="G12" s="6" t="n"/>
    </row>
    <row r="13">
      <c r="A13" s="6" t="inlineStr">
        <is>
          <t>Prepayments and accrued income</t>
        </is>
      </c>
      <c r="B13" s="6" t="n">
        <v>1892</v>
      </c>
      <c r="C13" s="6" t="n">
        <v>1554</v>
      </c>
      <c r="D13" s="6" t="n">
        <v>1057</v>
      </c>
      <c r="E13" s="6" t="n">
        <v>1161</v>
      </c>
      <c r="F13" s="6" t="n">
        <v>983</v>
      </c>
      <c r="G13" s="6" t="n"/>
    </row>
    <row r="14">
      <c r="A14" s="6" t="inlineStr">
        <is>
          <t>Current tax assets</t>
        </is>
      </c>
      <c r="B14" s="6" t="n">
        <v>1241</v>
      </c>
      <c r="C14" s="6" t="n">
        <v>406</v>
      </c>
      <c r="D14" s="6" t="n"/>
      <c r="E14" s="6" t="n"/>
      <c r="F14" s="6" t="n"/>
      <c r="G14" s="6" t="n"/>
    </row>
    <row r="15">
      <c r="A15" s="6" t="inlineStr">
        <is>
          <t>Land and Buildings</t>
        </is>
      </c>
      <c r="B15" s="6" t="n">
        <v>18289</v>
      </c>
      <c r="C15" s="6" t="n">
        <v>18449</v>
      </c>
      <c r="D15" s="6" t="n">
        <v>18583</v>
      </c>
      <c r="E15" s="6" t="n">
        <v>18649</v>
      </c>
      <c r="F15" s="6" t="n">
        <v>18800</v>
      </c>
      <c r="G15" s="6" t="n"/>
    </row>
    <row r="16">
      <c r="A16" s="6" t="inlineStr">
        <is>
          <t>Right-of-use lease assets</t>
        </is>
      </c>
      <c r="B16" s="6" t="n">
        <v>345</v>
      </c>
      <c r="C16" s="6" t="n">
        <v>419</v>
      </c>
      <c r="D16" s="6" t="n">
        <v>531</v>
      </c>
      <c r="E16" s="6" t="n">
        <v>608</v>
      </c>
      <c r="F16" s="6" t="n">
        <v>731</v>
      </c>
      <c r="G16" s="6" t="n"/>
    </row>
    <row r="17">
      <c r="A17" s="6" t="inlineStr">
        <is>
          <t>Property and equipment</t>
        </is>
      </c>
      <c r="B17" s="6" t="n">
        <v>631</v>
      </c>
      <c r="C17" s="6" t="n">
        <v>778</v>
      </c>
      <c r="D17" s="6" t="n">
        <v>699</v>
      </c>
      <c r="E17" s="6" t="n">
        <v>855</v>
      </c>
      <c r="F17" s="6" t="n">
        <v>384</v>
      </c>
      <c r="G17" s="6" t="n"/>
    </row>
    <row r="18">
      <c r="A18" s="6" t="inlineStr">
        <is>
          <t>Intangible assets</t>
        </is>
      </c>
      <c r="B18" s="6" t="n">
        <v>4559</v>
      </c>
      <c r="C18" s="6" t="n">
        <v>1322</v>
      </c>
      <c r="D18" s="6" t="n">
        <v>83</v>
      </c>
      <c r="E18" s="6" t="n">
        <v>133</v>
      </c>
      <c r="F18" s="6" t="n">
        <v>204</v>
      </c>
      <c r="G18" s="6" t="n"/>
    </row>
    <row r="19">
      <c r="A19" s="5" t="inlineStr">
        <is>
          <t>Total assets</t>
        </is>
      </c>
      <c r="B19" s="5" t="n">
        <v>502094</v>
      </c>
      <c r="C19" s="5" t="n">
        <v>482771</v>
      </c>
      <c r="D19" s="5" t="n">
        <v>367529</v>
      </c>
      <c r="E19" s="5" t="n">
        <v>406004</v>
      </c>
      <c r="F19" s="5" t="n">
        <v>410239</v>
      </c>
      <c r="G19" s="5" t="n">
        <v>520774</v>
      </c>
    </row>
    <row r="20">
      <c r="A20" s="5" t="inlineStr">
        <is>
          <t>Liabilities</t>
        </is>
      </c>
      <c r="B20" s="6" t="n"/>
      <c r="C20" s="6" t="n"/>
      <c r="D20" s="6" t="n"/>
      <c r="E20" s="6" t="n"/>
      <c r="F20" s="6" t="n"/>
      <c r="G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c r="G26" s="6" t="n"/>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5" t="n">
        <v>424170</v>
      </c>
    </row>
    <row r="32">
      <c r="A32" s="5" t="inlineStr">
        <is>
          <t>Equity</t>
        </is>
      </c>
      <c r="B32" s="6" t="n"/>
      <c r="C32" s="6" t="n"/>
      <c r="D32" s="6" t="n"/>
      <c r="E32" s="6" t="n"/>
      <c r="F32" s="6" t="n"/>
      <c r="G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5" t="n">
        <v>96604</v>
      </c>
    </row>
    <row r="36">
      <c r="A36" s="5" t="inlineStr">
        <is>
          <t>Total liabilities and equity</t>
        </is>
      </c>
      <c r="B36" s="5" t="n">
        <v>502094</v>
      </c>
      <c r="C36" s="5" t="n">
        <v>482771</v>
      </c>
      <c r="D36" s="5" t="n">
        <v>367529</v>
      </c>
      <c r="E36" s="5" t="n">
        <v>406004</v>
      </c>
      <c r="F36" s="5" t="n">
        <v>410239</v>
      </c>
      <c r="G36" s="5" t="n">
        <v>520774</v>
      </c>
    </row>
    <row r="37"/>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5"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5" t="n">
        <v>10718</v>
      </c>
    </row>
    <row r="11">
      <c r="A11" s="5" t="inlineStr">
        <is>
          <t>Total income</t>
        </is>
      </c>
      <c r="B11" s="5" t="n">
        <v>24232</v>
      </c>
      <c r="C11" s="5" t="n">
        <v>25029</v>
      </c>
      <c r="D11" s="5" t="n">
        <v>23935</v>
      </c>
      <c r="E11" s="5" t="n">
        <v>17329</v>
      </c>
      <c r="F11" s="5" t="n">
        <v>11625</v>
      </c>
      <c r="G11" s="5" t="n">
        <v>18018</v>
      </c>
    </row>
    <row r="12">
      <c r="A12" s="5" t="inlineStr">
        <is>
          <t>Expenses</t>
        </is>
      </c>
      <c r="B12" s="6" t="n"/>
      <c r="C12" s="6" t="n"/>
      <c r="D12" s="6" t="n"/>
      <c r="E12" s="6" t="n"/>
      <c r="F12" s="6" t="n"/>
      <c r="G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c r="G14" s="6" t="n"/>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5"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c r="G18" s="6" t="n"/>
    </row>
    <row r="19">
      <c r="A19" s="5" t="inlineStr">
        <is>
          <t>Profit for the year</t>
        </is>
      </c>
      <c r="B19" s="5" t="n">
        <v>7597</v>
      </c>
      <c r="C19" s="5" t="n">
        <v>9670</v>
      </c>
      <c r="D19" s="5" t="n">
        <v>8899</v>
      </c>
      <c r="E19" s="5" t="n">
        <v>3976</v>
      </c>
      <c r="F19" s="5" t="n">
        <v>1420</v>
      </c>
      <c r="G19" s="5" t="n">
        <v>7426</v>
      </c>
    </row>
    <row r="20">
      <c r="A20" s="5" t="inlineStr">
        <is>
          <t>Other comprehensive income</t>
        </is>
      </c>
      <c r="B20" s="6" t="n"/>
      <c r="C20" s="6" t="n"/>
      <c r="D20" s="6" t="n"/>
      <c r="E20" s="6" t="n"/>
      <c r="F20" s="6" t="n"/>
      <c r="G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c r="G22" s="6" t="n"/>
    </row>
    <row r="23">
      <c r="A23" s="5" t="inlineStr">
        <is>
          <t>Other comprehensive income for the year, net of tax</t>
        </is>
      </c>
      <c r="B23" s="5" t="n">
        <v>0</v>
      </c>
      <c r="C23" s="5" t="n">
        <v>0</v>
      </c>
      <c r="D23" s="5" t="n">
        <v>0</v>
      </c>
      <c r="E23" s="5" t="n">
        <v>2</v>
      </c>
      <c r="F23" s="5" t="n">
        <v>11</v>
      </c>
      <c r="G23" s="5" t="n">
        <v>29</v>
      </c>
    </row>
    <row r="24">
      <c r="A24" s="5" t="inlineStr">
        <is>
          <t>Total comprehensive income for the year</t>
        </is>
      </c>
      <c r="B24" s="5" t="n">
        <v>7597</v>
      </c>
      <c r="C24" s="5" t="n">
        <v>9670</v>
      </c>
      <c r="D24" s="5" t="n">
        <v>8899</v>
      </c>
      <c r="E24" s="5" t="n">
        <v>3978</v>
      </c>
      <c r="F24" s="5" t="n">
        <v>1430</v>
      </c>
      <c r="G24" s="5" t="n">
        <v>7455</v>
      </c>
    </row>
    <row r="25"/>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G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FY2017 (£'000s)</t>
        </is>
      </c>
    </row>
    <row r="4">
      <c r="A4" s="5" t="inlineStr">
        <is>
          <t>Operating activities</t>
        </is>
      </c>
      <c r="B4" s="6" t="n"/>
      <c r="C4" s="6" t="n"/>
      <c r="D4" s="6" t="n"/>
      <c r="E4" s="6" t="n"/>
      <c r="F4" s="6" t="n"/>
      <c r="G4" s="6" t="n"/>
    </row>
    <row r="5">
      <c r="A5" s="6" t="inlineStr">
        <is>
          <t>Profit for the year</t>
        </is>
      </c>
      <c r="B5" s="6" t="n">
        <v>7597</v>
      </c>
      <c r="C5" s="6" t="n">
        <v>9670</v>
      </c>
      <c r="D5" s="6" t="n">
        <v>8899</v>
      </c>
      <c r="E5" s="6" t="n">
        <v>3976</v>
      </c>
      <c r="F5" s="6" t="n">
        <v>1420</v>
      </c>
      <c r="G5" s="6" t="n"/>
    </row>
    <row r="6">
      <c r="A6" s="6" t="inlineStr">
        <is>
          <t>Taxation</t>
        </is>
      </c>
      <c r="B6" s="6" t="n">
        <v>2586</v>
      </c>
      <c r="C6" s="6" t="n">
        <v>3283</v>
      </c>
      <c r="D6" s="6" t="n">
        <v>2838</v>
      </c>
      <c r="E6" s="6" t="n">
        <v>980</v>
      </c>
      <c r="F6" s="6" t="n">
        <v>737</v>
      </c>
      <c r="G6" s="6" t="n"/>
    </row>
    <row r="7">
      <c r="A7" s="6" t="inlineStr">
        <is>
          <t>Treasury Bills discount and interest</t>
        </is>
      </c>
      <c r="B7" s="6" t="n">
        <v>-233</v>
      </c>
      <c r="C7" s="6" t="n">
        <v>-277</v>
      </c>
      <c r="D7" s="6" t="n">
        <v>594</v>
      </c>
      <c r="E7" s="6" t="n">
        <v>0</v>
      </c>
      <c r="F7" s="6" t="n"/>
      <c r="G7" s="6" t="n"/>
    </row>
    <row r="8">
      <c r="A8" s="6" t="inlineStr">
        <is>
          <t>Depreciation and amortisation</t>
        </is>
      </c>
      <c r="B8" s="6" t="n">
        <v>1004</v>
      </c>
      <c r="C8" s="6" t="n">
        <v>834</v>
      </c>
      <c r="D8" s="6" t="n">
        <v>750</v>
      </c>
      <c r="E8" s="6" t="n">
        <v>642</v>
      </c>
      <c r="F8" s="6" t="n">
        <v>809</v>
      </c>
      <c r="G8" s="6" t="n"/>
    </row>
    <row r="9">
      <c r="A9" s="6" t="inlineStr">
        <is>
          <t>Impairment reversal/(losses) on financial assets</t>
        </is>
      </c>
      <c r="B9" s="6" t="n">
        <v>-368</v>
      </c>
      <c r="C9" s="6" t="n">
        <v>-241</v>
      </c>
      <c r="D9" s="6" t="n">
        <v>736</v>
      </c>
      <c r="E9" s="6" t="n">
        <v>2669</v>
      </c>
      <c r="F9" s="6" t="n">
        <v>297</v>
      </c>
      <c r="G9" s="6" t="n"/>
    </row>
    <row r="10">
      <c r="A10" s="6" t="inlineStr">
        <is>
          <t>Finance cost on lease liabilities</t>
        </is>
      </c>
      <c r="B10" s="6" t="n">
        <v>23</v>
      </c>
      <c r="C10" s="6" t="n">
        <v>83</v>
      </c>
      <c r="D10" s="6" t="n">
        <v>32</v>
      </c>
      <c r="E10" s="6" t="n">
        <v>38</v>
      </c>
      <c r="F10" s="6" t="n">
        <v>43</v>
      </c>
      <c r="G10" s="6" t="n"/>
    </row>
    <row r="11">
      <c r="A11" s="6" t="inlineStr">
        <is>
          <t>Interest income</t>
        </is>
      </c>
      <c r="B11" s="6" t="n">
        <v>-22273</v>
      </c>
      <c r="C11" s="6" t="n">
        <v>-23830</v>
      </c>
      <c r="D11" s="6" t="n"/>
      <c r="E11" s="6" t="n"/>
      <c r="F11" s="6" t="n"/>
      <c r="G11" s="6" t="n"/>
    </row>
    <row r="12">
      <c r="A12" s="6" t="inlineStr">
        <is>
          <t>Interest expense</t>
        </is>
      </c>
      <c r="B12" s="6" t="n">
        <v>6352</v>
      </c>
      <c r="C12" s="6" t="n">
        <v>5875</v>
      </c>
      <c r="D12" s="6" t="n"/>
      <c r="E12" s="6" t="n"/>
      <c r="F12" s="6" t="n"/>
      <c r="G12" s="6" t="n"/>
    </row>
    <row r="13">
      <c r="A13" s="5" t="inlineStr">
        <is>
          <t>Operating cash flows before movements in working capital</t>
        </is>
      </c>
      <c r="B13" s="5" t="n">
        <v>-5312</v>
      </c>
      <c r="C13" s="5" t="n">
        <v>-4603</v>
      </c>
      <c r="D13" s="5" t="n">
        <v>13849</v>
      </c>
      <c r="E13" s="5" t="n">
        <v>8304</v>
      </c>
      <c r="F13" s="5" t="n">
        <v>3306</v>
      </c>
      <c r="G13" s="5" t="n"/>
    </row>
    <row r="14">
      <c r="A14" s="6" t="inlineStr">
        <is>
          <t>Increase/(Decrease) in prepayments and accrued income</t>
        </is>
      </c>
      <c r="B14" s="6" t="n">
        <v>-337</v>
      </c>
      <c r="C14" s="6" t="n">
        <v>-497</v>
      </c>
      <c r="D14" s="6" t="n">
        <v>104</v>
      </c>
      <c r="E14" s="6" t="n">
        <v>-178</v>
      </c>
      <c r="F14" s="6" t="n">
        <v>-181</v>
      </c>
      <c r="G14" s="6" t="n"/>
    </row>
    <row r="15">
      <c r="A15" s="6" t="inlineStr">
        <is>
          <t>(Decrease)/Increase in accruals and deferred income</t>
        </is>
      </c>
      <c r="B15" s="6" t="n">
        <v>-347</v>
      </c>
      <c r="C15" s="6" t="n">
        <v>-170</v>
      </c>
      <c r="D15" s="6" t="n">
        <v>303</v>
      </c>
      <c r="E15" s="6" t="n">
        <v>-31</v>
      </c>
      <c r="F15" s="6" t="n">
        <v>263</v>
      </c>
      <c r="G15" s="6" t="n"/>
    </row>
    <row r="16">
      <c r="A16" s="6" t="inlineStr">
        <is>
          <t>Net Increase/(Decrease) in loans and advances to banks and customers</t>
        </is>
      </c>
      <c r="B16" s="6" t="n">
        <v>-24435</v>
      </c>
      <c r="C16" s="6" t="n">
        <v>-54985</v>
      </c>
      <c r="D16" s="6" t="n">
        <v>39905</v>
      </c>
      <c r="E16" s="6" t="n">
        <v>-27093</v>
      </c>
      <c r="F16" s="6" t="n">
        <v>24313</v>
      </c>
      <c r="G16" s="6" t="n"/>
    </row>
    <row r="17">
      <c r="A17" s="6" t="inlineStr">
        <is>
          <t>(Decrease)/Increase in deposits by banks and customer accounts</t>
        </is>
      </c>
      <c r="B17" s="6" t="n">
        <v>24806</v>
      </c>
      <c r="C17" s="6" t="n">
        <v>103729</v>
      </c>
      <c r="D17" s="6" t="n">
        <v>-29538</v>
      </c>
      <c r="E17" s="6" t="n">
        <v>-6085</v>
      </c>
      <c r="F17" s="6" t="n">
        <v>-11002</v>
      </c>
      <c r="G17" s="6" t="n"/>
    </row>
    <row r="18">
      <c r="A18" s="6" t="inlineStr">
        <is>
          <t>(Decrease)/Increase in other liabilities</t>
        </is>
      </c>
      <c r="B18" s="6" t="n">
        <v>-8938</v>
      </c>
      <c r="C18" s="6" t="n">
        <v>10394</v>
      </c>
      <c r="D18" s="6" t="n">
        <v>-69</v>
      </c>
      <c r="E18" s="6" t="n">
        <v>299</v>
      </c>
      <c r="F18" s="6" t="n">
        <v>-1363</v>
      </c>
      <c r="G18" s="6" t="n"/>
    </row>
    <row r="19">
      <c r="A19" s="6" t="inlineStr">
        <is>
          <t>Net (Decrease)/Increase in derivative financial instruments</t>
        </is>
      </c>
      <c r="B19" s="6" t="n">
        <v>-145</v>
      </c>
      <c r="C19" s="6" t="n">
        <v>192</v>
      </c>
      <c r="D19" s="6" t="n">
        <v>-65</v>
      </c>
      <c r="E19" s="6" t="n">
        <v>17</v>
      </c>
      <c r="F19" s="6" t="n"/>
      <c r="G19" s="6" t="n"/>
    </row>
    <row r="20">
      <c r="A20" s="6" t="inlineStr">
        <is>
          <t>Interest income received</t>
        </is>
      </c>
      <c r="B20" s="6" t="n">
        <v>23318</v>
      </c>
      <c r="C20" s="6" t="n">
        <v>23628</v>
      </c>
      <c r="D20" s="6" t="n"/>
      <c r="E20" s="6" t="n"/>
      <c r="F20" s="6" t="n"/>
      <c r="G20" s="6" t="n"/>
    </row>
    <row r="21">
      <c r="A21" s="6" t="inlineStr">
        <is>
          <t>Interest expense paid</t>
        </is>
      </c>
      <c r="B21" s="6" t="n">
        <v>-6569</v>
      </c>
      <c r="C21" s="6" t="n">
        <v>-6056</v>
      </c>
      <c r="D21" s="6" t="n"/>
      <c r="E21" s="6" t="n"/>
      <c r="F21" s="6" t="n"/>
      <c r="G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c r="G23" s="5" t="n"/>
    </row>
    <row r="24">
      <c r="A24" s="5" t="inlineStr">
        <is>
          <t>Investing activities</t>
        </is>
      </c>
      <c r="B24" s="6" t="n"/>
      <c r="C24" s="6" t="n"/>
      <c r="D24" s="6" t="n"/>
      <c r="E24" s="6" t="n"/>
      <c r="F24" s="6" t="n"/>
      <c r="G24" s="6" t="n"/>
    </row>
    <row r="25">
      <c r="A25" s="6" t="inlineStr">
        <is>
          <t>Purchase of property, equipment and intangible assets</t>
        </is>
      </c>
      <c r="B25" s="6" t="n">
        <v>-3860</v>
      </c>
      <c r="C25" s="6" t="n">
        <v>-1906</v>
      </c>
      <c r="D25" s="6" t="n">
        <v>-355</v>
      </c>
      <c r="E25" s="6" t="n">
        <v>-769</v>
      </c>
      <c r="F25" s="6" t="n">
        <v>-128</v>
      </c>
      <c r="G25" s="6" t="n"/>
    </row>
    <row r="26">
      <c r="A26" s="6" t="inlineStr">
        <is>
          <t>Proceeds on maturity of treasury bills and other eligible bills</t>
        </is>
      </c>
      <c r="B26" s="6" t="n">
        <v>340419</v>
      </c>
      <c r="C26" s="6" t="n">
        <v>107809</v>
      </c>
      <c r="D26" s="6" t="n">
        <v>43930</v>
      </c>
      <c r="E26" s="6" t="n">
        <v>39572</v>
      </c>
      <c r="F26" s="6" t="n">
        <v>30077</v>
      </c>
      <c r="G26" s="6" t="n"/>
    </row>
    <row r="27">
      <c r="A27" s="6" t="inlineStr">
        <is>
          <t>Purchase of treasury bills and other eligible bills</t>
        </is>
      </c>
      <c r="B27" s="6" t="n">
        <v>-355953</v>
      </c>
      <c r="C27" s="6" t="n">
        <v>-125744</v>
      </c>
      <c r="D27" s="6" t="n">
        <v>-49034</v>
      </c>
      <c r="E27" s="6" t="n">
        <v>-45974</v>
      </c>
      <c r="F27" s="6" t="n">
        <v>-29631</v>
      </c>
      <c r="G27" s="6" t="n"/>
    </row>
    <row r="28">
      <c r="A28" s="5" t="inlineStr">
        <is>
          <t>Net cash (used in)/generated from investing activities</t>
        </is>
      </c>
      <c r="B28" s="5" t="n">
        <v>-19394</v>
      </c>
      <c r="C28" s="5" t="n">
        <v>-19841</v>
      </c>
      <c r="D28" s="5" t="n">
        <v>-5459</v>
      </c>
      <c r="E28" s="5" t="n">
        <v>-7171</v>
      </c>
      <c r="F28" s="5" t="n">
        <v>318</v>
      </c>
      <c r="G28" s="5" t="n"/>
    </row>
    <row r="29">
      <c r="A29" s="5" t="inlineStr">
        <is>
          <t>Financing activities</t>
        </is>
      </c>
      <c r="B29" s="6" t="n"/>
      <c r="C29" s="6" t="n"/>
      <c r="D29" s="6" t="n"/>
      <c r="E29" s="6" t="n"/>
      <c r="F29" s="6" t="n"/>
      <c r="G29" s="6" t="n"/>
    </row>
    <row r="30">
      <c r="A30" s="6" t="inlineStr">
        <is>
          <t>Lease payments under Finance Lease</t>
        </is>
      </c>
      <c r="B30" s="6" t="n">
        <v>-156</v>
      </c>
      <c r="C30" s="6" t="n">
        <v>-136</v>
      </c>
      <c r="D30" s="6" t="n">
        <v>-148</v>
      </c>
      <c r="E30" s="6" t="n">
        <v>-141</v>
      </c>
      <c r="F30" s="6" t="n">
        <v>-148</v>
      </c>
      <c r="G30" s="6" t="n"/>
    </row>
    <row r="31">
      <c r="A31" s="6" t="inlineStr">
        <is>
          <t>Subordinated loan redemption</t>
        </is>
      </c>
      <c r="B31" s="6" t="n"/>
      <c r="C31" s="6" t="n"/>
      <c r="D31" s="6" t="n">
        <v>-17408</v>
      </c>
      <c r="E31" s="6" t="n"/>
      <c r="F31" s="6" t="n"/>
      <c r="G31" s="6" t="n"/>
    </row>
    <row r="32">
      <c r="A32" s="6" t="inlineStr">
        <is>
          <t>Dividend paid</t>
        </is>
      </c>
      <c r="B32" s="6" t="n">
        <v>-4835</v>
      </c>
      <c r="C32" s="6" t="n">
        <v>-4450</v>
      </c>
      <c r="D32" s="6" t="n">
        <v>-1988</v>
      </c>
      <c r="E32" s="6" t="n">
        <v>-802</v>
      </c>
      <c r="F32" s="6" t="n"/>
      <c r="G32" s="6" t="n"/>
    </row>
    <row r="33">
      <c r="A33" s="5" t="inlineStr">
        <is>
          <t>Net cash (used in)/generated from financing activities</t>
        </is>
      </c>
      <c r="B33" s="5" t="n">
        <v>-4991</v>
      </c>
      <c r="C33" s="5" t="n">
        <v>-4586</v>
      </c>
      <c r="D33" s="5" t="n">
        <v>-19544</v>
      </c>
      <c r="E33" s="5" t="n">
        <v>-944</v>
      </c>
      <c r="F33" s="5" t="n">
        <v>-148</v>
      </c>
      <c r="G33" s="5" t="n"/>
    </row>
    <row r="34">
      <c r="A34" s="5" t="inlineStr">
        <is>
          <t>Net (decrease)/increase in cash and cash equivalents</t>
        </is>
      </c>
      <c r="B34" s="5" t="n">
        <v>-24915</v>
      </c>
      <c r="C34" s="5" t="n">
        <v>42879</v>
      </c>
      <c r="D34" s="5" t="n">
        <v>-2340</v>
      </c>
      <c r="E34" s="5" t="n">
        <v>-33237</v>
      </c>
      <c r="F34" s="5" t="n">
        <v>15211</v>
      </c>
      <c r="G34" s="5" t="n"/>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c r="G36" s="6" t="n"/>
    </row>
    <row r="37">
      <c r="A37" s="5" t="inlineStr">
        <is>
          <t>Cash and cash equivalents at the end of the year</t>
        </is>
      </c>
      <c r="B37" s="5" t="n">
        <v>254772</v>
      </c>
      <c r="C37" s="5" t="n">
        <v>139857</v>
      </c>
      <c r="D37" s="5" t="n">
        <v>97313</v>
      </c>
      <c r="E37" s="5" t="n">
        <v>97866</v>
      </c>
      <c r="F37" s="5" t="n">
        <v>134557</v>
      </c>
      <c r="G37" s="5" t="n">
        <v>105686</v>
      </c>
    </row>
    <row r="38"/>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G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carrying amount)</t>
        </is>
      </c>
      <c r="B4" s="6" t="n"/>
      <c r="C4" s="6" t="n"/>
      <c r="D4" s="6" t="n"/>
      <c r="E4" s="6" t="n"/>
      <c r="F4" s="6" t="n"/>
      <c r="G4" s="6" t="n"/>
    </row>
    <row r="5">
      <c r="A5" s="6" t="inlineStr">
        <is>
          <t>Stage 1 (12-month ECL)</t>
        </is>
      </c>
      <c r="B5" s="6" t="n">
        <v>142128</v>
      </c>
      <c r="C5" s="6" t="n">
        <v>119370</v>
      </c>
      <c r="D5" s="6" t="n">
        <v>114296</v>
      </c>
      <c r="E5" s="6" t="n">
        <v>159945</v>
      </c>
      <c r="F5" s="6" t="n">
        <v>118696</v>
      </c>
      <c r="G5" s="6" t="n"/>
    </row>
    <row r="6">
      <c r="A6" s="6" t="inlineStr">
        <is>
          <t>Stage 2 (lifetime ECL, not credit-impaired)</t>
        </is>
      </c>
      <c r="B6" s="6" t="n">
        <v>2024</v>
      </c>
      <c r="C6" s="6" t="n">
        <v>1587</v>
      </c>
      <c r="D6" s="6" t="n">
        <v>7063</v>
      </c>
      <c r="E6" s="6" t="n">
        <v>2050</v>
      </c>
      <c r="F6" s="6" t="n">
        <v>8389</v>
      </c>
      <c r="G6" s="6" t="n"/>
    </row>
    <row r="7">
      <c r="A7" s="6" t="inlineStr">
        <is>
          <t>Stage 3 (lifetime ECL, credit-impaired)</t>
        </is>
      </c>
      <c r="B7" s="6" t="n">
        <v>6562</v>
      </c>
      <c r="C7" s="6" t="n">
        <v>10543</v>
      </c>
      <c r="D7" s="6" t="n">
        <v>9952</v>
      </c>
      <c r="E7" s="6" t="n">
        <v>9795</v>
      </c>
      <c r="F7" s="6" t="n">
        <v>8438</v>
      </c>
      <c r="G7" s="6" t="n"/>
    </row>
    <row r="8">
      <c r="A8" s="5" t="inlineStr">
        <is>
          <t>Total gross loans and advances to customers</t>
        </is>
      </c>
      <c r="B8" s="5" t="n">
        <v>150714</v>
      </c>
      <c r="C8" s="5" t="n">
        <v>131500</v>
      </c>
      <c r="D8" s="5" t="n">
        <v>131311</v>
      </c>
      <c r="E8" s="5" t="n">
        <v>171790</v>
      </c>
      <c r="F8" s="5" t="n">
        <v>135523</v>
      </c>
      <c r="G8" s="5" t="n"/>
    </row>
    <row r="9">
      <c r="A9" s="5" t="inlineStr">
        <is>
          <t>Loss allowance (ECL) by stage</t>
        </is>
      </c>
      <c r="B9" s="6" t="n"/>
      <c r="C9" s="6" t="n"/>
      <c r="D9" s="6" t="n"/>
      <c r="E9" s="6" t="n"/>
      <c r="F9" s="6" t="n"/>
      <c r="G9" s="6" t="n"/>
    </row>
    <row r="10">
      <c r="A10" s="6" t="inlineStr">
        <is>
          <t>Stage 1 allowance</t>
        </is>
      </c>
      <c r="B10" s="6" t="n">
        <v>676</v>
      </c>
      <c r="C10" s="6" t="n">
        <v>347</v>
      </c>
      <c r="D10" s="6" t="n">
        <v>391</v>
      </c>
      <c r="E10" s="6" t="n">
        <v>696</v>
      </c>
      <c r="F10" s="6" t="n">
        <v>417</v>
      </c>
      <c r="G10" s="6" t="n"/>
    </row>
    <row r="11">
      <c r="A11" s="6" t="inlineStr">
        <is>
          <t>Stage 2 allowance</t>
        </is>
      </c>
      <c r="B11" s="6" t="n">
        <v>42</v>
      </c>
      <c r="C11" s="6" t="n">
        <v>69</v>
      </c>
      <c r="D11" s="6" t="n">
        <v>84</v>
      </c>
      <c r="E11" s="6" t="n">
        <v>268</v>
      </c>
      <c r="F11" s="6" t="n">
        <v>301</v>
      </c>
      <c r="G11" s="6" t="n"/>
    </row>
    <row r="12">
      <c r="A12" s="6" t="inlineStr">
        <is>
          <t>Stage 3 allowance</t>
        </is>
      </c>
      <c r="B12" s="6" t="n">
        <v>5812</v>
      </c>
      <c r="C12" s="6" t="n">
        <v>9688</v>
      </c>
      <c r="D12" s="6" t="n">
        <v>9740</v>
      </c>
      <c r="E12" s="6" t="n">
        <v>9340</v>
      </c>
      <c r="F12" s="6" t="n">
        <v>5960</v>
      </c>
      <c r="G12" s="6" t="n"/>
    </row>
    <row r="13">
      <c r="A13" s="5" t="inlineStr">
        <is>
          <t>Total loss allowance</t>
        </is>
      </c>
      <c r="B13" s="5" t="n">
        <v>6530</v>
      </c>
      <c r="C13" s="5" t="n">
        <v>10103</v>
      </c>
      <c r="D13" s="5" t="n">
        <v>10215</v>
      </c>
      <c r="E13" s="5" t="n">
        <v>10303</v>
      </c>
      <c r="F13" s="5" t="n">
        <v>6678</v>
      </c>
      <c r="G13" s="5" t="n"/>
    </row>
    <row r="14">
      <c r="A14" s="5" t="inlineStr">
        <is>
          <t>Asset quality ratios</t>
        </is>
      </c>
      <c r="B14" s="6" t="n"/>
      <c r="C14" s="6" t="n"/>
      <c r="D14" s="6" t="n"/>
      <c r="E14" s="6" t="n"/>
      <c r="F14" s="6" t="n"/>
      <c r="G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c r="G15" s="6" t="n"/>
    </row>
    <row r="16">
      <c r="A16" s="6" t="inlineStr">
        <is>
          <t>Stage 3 / NPL ratio (Stage 3 gross / Total gross loans)</t>
        </is>
      </c>
      <c r="B16" s="6" t="inlineStr">
        <is>
          <t>4.35%</t>
        </is>
      </c>
      <c r="C16" s="6" t="inlineStr">
        <is>
          <t>8.02%</t>
        </is>
      </c>
      <c r="D16" s="6" t="inlineStr">
        <is>
          <t>7.58%</t>
        </is>
      </c>
      <c r="E16" s="6" t="inlineStr">
        <is>
          <t>5.70%</t>
        </is>
      </c>
      <c r="F16" s="6" t="inlineStr">
        <is>
          <t>6.23%</t>
        </is>
      </c>
      <c r="G16" s="6" t="n"/>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c r="G17" s="6" t="n"/>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FY2023-FY2025 come from each year's own edition; FY2022 is the FY2023 edition's comparative column, because the Bank's own FY2022 edition publishes no KM1 template at all. FY2021 and FY2017 are blank because no edition prints them in template form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c r="F3" s="4" t="inlineStr">
        <is>
          <t>FY2021</t>
        </is>
      </c>
      <c r="G3" s="4" t="inlineStr">
        <is>
          <t>FY2017</t>
        </is>
      </c>
    </row>
    <row r="4">
      <c r="A4" s="5" t="inlineStr">
        <is>
          <t>AVAILABLE OWN FUNDS (AMOUNTS)</t>
        </is>
      </c>
      <c r="B4" s="6" t="n"/>
      <c r="C4" s="6" t="n"/>
      <c r="D4" s="6" t="n"/>
      <c r="E4" s="6" t="n"/>
      <c r="F4" s="6" t="n"/>
      <c r="G4" s="6" t="n"/>
    </row>
    <row r="5">
      <c r="A5" s="6" t="inlineStr">
        <is>
          <t>1  Common Equity Tier 1 (CET1) capital (£)</t>
        </is>
      </c>
      <c r="B5" s="6" t="n">
        <v>110569881</v>
      </c>
      <c r="C5" s="6" t="n">
        <v>108973693</v>
      </c>
      <c r="D5" s="6" t="n">
        <v>105763661</v>
      </c>
      <c r="E5" s="6" t="n">
        <v>103161031</v>
      </c>
      <c r="F5" s="6" t="n"/>
      <c r="G5" s="6" t="n"/>
    </row>
    <row r="6">
      <c r="A6" s="6" t="inlineStr">
        <is>
          <t>2  Tier 1 capital (£)</t>
        </is>
      </c>
      <c r="B6" s="6" t="n">
        <v>110569881</v>
      </c>
      <c r="C6" s="6" t="n">
        <v>108973693</v>
      </c>
      <c r="D6" s="6" t="n">
        <v>105763661</v>
      </c>
      <c r="E6" s="6" t="n">
        <v>103161031</v>
      </c>
      <c r="F6" s="6" t="n"/>
      <c r="G6" s="6" t="n"/>
    </row>
    <row r="7">
      <c r="A7" s="6" t="inlineStr">
        <is>
          <t>3  Total capital (£)</t>
        </is>
      </c>
      <c r="B7" s="6" t="n">
        <v>123648458</v>
      </c>
      <c r="C7" s="6" t="n">
        <v>124916300</v>
      </c>
      <c r="D7" s="6" t="n">
        <v>121468412</v>
      </c>
      <c r="E7" s="6" t="n">
        <v>133803218</v>
      </c>
      <c r="F7" s="6" t="n"/>
      <c r="G7" s="6" t="n"/>
    </row>
    <row r="8">
      <c r="A8" s="5" t="inlineStr">
        <is>
          <t>RISK-WEIGHTED EXPOSURE AMOUNTS</t>
        </is>
      </c>
      <c r="B8" s="6" t="n"/>
      <c r="C8" s="6" t="n"/>
      <c r="D8" s="6" t="n"/>
      <c r="E8" s="6" t="n"/>
      <c r="F8" s="6" t="n"/>
      <c r="G8" s="6" t="n"/>
    </row>
    <row r="9">
      <c r="A9" s="6" t="inlineStr">
        <is>
          <t>4  Total risk-weighted exposure amount (£)</t>
        </is>
      </c>
      <c r="B9" s="6" t="n">
        <v>294919899</v>
      </c>
      <c r="C9" s="6" t="n">
        <v>250106567</v>
      </c>
      <c r="D9" s="6" t="n">
        <v>248533572</v>
      </c>
      <c r="E9" s="6" t="n">
        <v>317552478</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37.49%</t>
        </is>
      </c>
      <c r="C11" s="6" t="inlineStr">
        <is>
          <t>43.57%</t>
        </is>
      </c>
      <c r="D11" s="6" t="inlineStr">
        <is>
          <t>42.56%</t>
        </is>
      </c>
      <c r="E11" s="6" t="inlineStr">
        <is>
          <t>32.49%</t>
        </is>
      </c>
      <c r="F11" s="6" t="n"/>
      <c r="G11" s="6" t="n"/>
    </row>
    <row r="12">
      <c r="A12" s="6" t="inlineStr">
        <is>
          <t>6  Tier 1 ratio (%)</t>
        </is>
      </c>
      <c r="B12" s="6" t="inlineStr">
        <is>
          <t>37.49%</t>
        </is>
      </c>
      <c r="C12" s="6" t="inlineStr">
        <is>
          <t>43.57%</t>
        </is>
      </c>
      <c r="D12" s="6" t="inlineStr">
        <is>
          <t>42.56%</t>
        </is>
      </c>
      <c r="E12" s="6" t="inlineStr">
        <is>
          <t>32.49%</t>
        </is>
      </c>
      <c r="F12" s="6" t="n"/>
      <c r="G12" s="6" t="n"/>
    </row>
    <row r="13">
      <c r="A13" s="6" t="inlineStr">
        <is>
          <t>7  Total capital ratio (%)</t>
        </is>
      </c>
      <c r="B13" s="6" t="inlineStr">
        <is>
          <t>41.93%</t>
        </is>
      </c>
      <c r="C13" s="6" t="inlineStr">
        <is>
          <t>49.95%</t>
        </is>
      </c>
      <c r="D13" s="6" t="inlineStr">
        <is>
          <t>48.87%</t>
        </is>
      </c>
      <c r="E13" s="6" t="inlineStr">
        <is>
          <t>42.14%</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7d  Total SREP own funds requirements (%)</t>
        </is>
      </c>
      <c r="B15" s="6" t="inlineStr">
        <is>
          <t>14.09%</t>
        </is>
      </c>
      <c r="C15" s="6" t="inlineStr">
        <is>
          <t>14.09%</t>
        </is>
      </c>
      <c r="D15" s="6" t="inlineStr">
        <is>
          <t>12.95%</t>
        </is>
      </c>
      <c r="E15" s="6" t="inlineStr">
        <is>
          <t>12.95%</t>
        </is>
      </c>
      <c r="F15" s="6" t="n"/>
      <c r="G15" s="6" t="n"/>
    </row>
    <row r="16">
      <c r="A16" s="5" t="inlineStr">
        <is>
          <t>COMBINED BUFFER REQUIREMENT (AS A PERCENTAGE OF RISK-WEIGHTED EXPOSURE AMOUNT)</t>
        </is>
      </c>
      <c r="B16" s="6" t="n"/>
      <c r="C16" s="6" t="n"/>
      <c r="D16" s="6" t="n"/>
      <c r="E16" s="6" t="n"/>
      <c r="F16" s="6" t="n"/>
      <c r="G16" s="6" t="n"/>
    </row>
    <row r="17">
      <c r="A17" s="6" t="inlineStr">
        <is>
          <t>8  Capital conservation buffer (%)</t>
        </is>
      </c>
      <c r="B17" s="6" t="inlineStr">
        <is>
          <t>2.50%</t>
        </is>
      </c>
      <c r="C17" s="6" t="inlineStr">
        <is>
          <t>2.50%</t>
        </is>
      </c>
      <c r="D17" s="6" t="inlineStr">
        <is>
          <t>2.50%</t>
        </is>
      </c>
      <c r="E17" s="6" t="inlineStr">
        <is>
          <t>2.50%</t>
        </is>
      </c>
      <c r="F17" s="6" t="n"/>
      <c r="G17" s="6" t="n"/>
    </row>
    <row r="18">
      <c r="A18" s="6" t="inlineStr">
        <is>
          <t>9  Institution specific countercyclical capital buffer (%)</t>
        </is>
      </c>
      <c r="B18" s="6" t="inlineStr">
        <is>
          <t>0.52%</t>
        </is>
      </c>
      <c r="C18" s="6" t="inlineStr">
        <is>
          <t>0.81%</t>
        </is>
      </c>
      <c r="D18" s="6" t="inlineStr">
        <is>
          <t>0.50%</t>
        </is>
      </c>
      <c r="E18" s="6" t="inlineStr">
        <is>
          <t>0.00%</t>
        </is>
      </c>
      <c r="F18" s="6" t="n"/>
      <c r="G18" s="6" t="n"/>
    </row>
    <row r="19">
      <c r="A19" s="6" t="inlineStr">
        <is>
          <t>11  Combined buffer requirement (%)</t>
        </is>
      </c>
      <c r="B19" s="6" t="inlineStr">
        <is>
          <t>3.02%</t>
        </is>
      </c>
      <c r="C19" s="6" t="inlineStr">
        <is>
          <t>3.31%</t>
        </is>
      </c>
      <c r="D19" s="6" t="inlineStr">
        <is>
          <t>3.00%</t>
        </is>
      </c>
      <c r="E19" s="6" t="inlineStr">
        <is>
          <t>2.50%</t>
        </is>
      </c>
      <c r="F19" s="6" t="n"/>
      <c r="G19" s="6" t="n"/>
    </row>
    <row r="20">
      <c r="A20" s="6" t="inlineStr">
        <is>
          <t>UK 11a  Overall capital requirements (%)</t>
        </is>
      </c>
      <c r="B20" s="6" t="inlineStr">
        <is>
          <t>17.11%</t>
        </is>
      </c>
      <c r="C20" s="6" t="inlineStr">
        <is>
          <t>17.40%</t>
        </is>
      </c>
      <c r="D20" s="6" t="inlineStr">
        <is>
          <t>15.95%</t>
        </is>
      </c>
      <c r="E20" s="6" t="inlineStr">
        <is>
          <t>15.45%</t>
        </is>
      </c>
      <c r="F20" s="6" t="n"/>
      <c r="G20" s="6" t="n"/>
    </row>
    <row r="21">
      <c r="A21" s="6" t="inlineStr">
        <is>
          <t>12  CET1 available after meeting the total SREP own funds requirements (%)</t>
        </is>
      </c>
      <c r="B21" s="6" t="inlineStr">
        <is>
          <t>82.89%</t>
        </is>
      </c>
      <c r="C21" s="6" t="inlineStr">
        <is>
          <t>82.60%</t>
        </is>
      </c>
      <c r="D21" s="6" t="inlineStr">
        <is>
          <t>84.05%</t>
        </is>
      </c>
      <c r="E21" s="6" t="inlineStr">
        <is>
          <t>84.55%</t>
        </is>
      </c>
      <c r="F21" s="6" t="n"/>
      <c r="G21" s="6" t="n"/>
    </row>
    <row r="22">
      <c r="A22" s="5" t="inlineStr">
        <is>
          <t>LEVERAGE RATIO</t>
        </is>
      </c>
      <c r="B22" s="6" t="n"/>
      <c r="C22" s="6" t="n"/>
      <c r="D22" s="6" t="n"/>
      <c r="E22" s="6" t="n"/>
      <c r="F22" s="6" t="n"/>
      <c r="G22" s="6" t="n"/>
    </row>
    <row r="23">
      <c r="A23" s="6" t="inlineStr">
        <is>
          <t>13  Total exposure measure excluding claims on central banks (£)</t>
        </is>
      </c>
      <c r="B23" s="6" t="n">
        <v>546074420</v>
      </c>
      <c r="C23" s="6" t="n">
        <v>446181573</v>
      </c>
      <c r="D23" s="6" t="n">
        <v>400870711</v>
      </c>
      <c r="E23" s="6" t="n">
        <v>450968994</v>
      </c>
      <c r="F23" s="6" t="n"/>
      <c r="G23" s="6" t="n"/>
    </row>
    <row r="24">
      <c r="A24" s="6" t="inlineStr">
        <is>
          <t>14  Leverage ratio excluding claims on central banks (%)</t>
        </is>
      </c>
      <c r="B24" s="6" t="inlineStr">
        <is>
          <t>20.42%</t>
        </is>
      </c>
      <c r="C24" s="6" t="inlineStr">
        <is>
          <t>21.19%</t>
        </is>
      </c>
      <c r="D24" s="6" t="inlineStr">
        <is>
          <t>26.38%</t>
        </is>
      </c>
      <c r="E24" s="6" t="inlineStr">
        <is>
          <t>22.88%</t>
        </is>
      </c>
      <c r="F24" s="6" t="n"/>
      <c r="G24" s="6" t="n"/>
    </row>
    <row r="25">
      <c r="A25" s="5" t="inlineStr">
        <is>
          <t>LIQUIDITY COVERAGE RATIO</t>
        </is>
      </c>
      <c r="B25" s="6" t="n"/>
      <c r="C25" s="6" t="n"/>
      <c r="D25" s="6" t="n"/>
      <c r="E25" s="6" t="n"/>
      <c r="F25" s="6" t="n"/>
      <c r="G25" s="6" t="n"/>
    </row>
    <row r="26">
      <c r="A26" s="6" t="inlineStr">
        <is>
          <t>15  Total high-quality liquid assets (HQLA) (Weighted value-average) (£)</t>
        </is>
      </c>
      <c r="B26" s="6" t="n">
        <v>152067762</v>
      </c>
      <c r="C26" s="6" t="n">
        <v>125107054</v>
      </c>
      <c r="D26" s="6" t="n">
        <v>93520027</v>
      </c>
      <c r="E26" s="6" t="n">
        <v>95851943</v>
      </c>
      <c r="F26" s="6" t="n"/>
      <c r="G26" s="6" t="n"/>
    </row>
    <row r="27">
      <c r="A27" s="6" t="inlineStr">
        <is>
          <t>UK 16a  Cash outflows - Total weighted value (£)</t>
        </is>
      </c>
      <c r="B27" s="6" t="n">
        <v>192084585</v>
      </c>
      <c r="C27" s="6" t="n">
        <v>149151238</v>
      </c>
      <c r="D27" s="6" t="n">
        <v>95745955</v>
      </c>
      <c r="E27" s="6" t="n">
        <v>81834689</v>
      </c>
      <c r="F27" s="6" t="n"/>
      <c r="G27" s="6" t="n"/>
    </row>
    <row r="28">
      <c r="A28" s="6" t="inlineStr">
        <is>
          <t>UK 16b  Cash inflows - Total weighted value (£)</t>
        </is>
      </c>
      <c r="B28" s="6" t="n">
        <v>195820282</v>
      </c>
      <c r="C28" s="6" t="n">
        <v>236297324</v>
      </c>
      <c r="D28" s="6" t="n">
        <v>158792278</v>
      </c>
      <c r="E28" s="6" t="n">
        <v>156978480</v>
      </c>
      <c r="F28" s="6" t="n"/>
      <c r="G28" s="6" t="n"/>
    </row>
    <row r="29">
      <c r="A29" s="6" t="inlineStr">
        <is>
          <t>16  Total net cash outflows (adjusted value) (£)</t>
        </is>
      </c>
      <c r="B29" s="6" t="n">
        <v>48021146</v>
      </c>
      <c r="C29" s="6" t="n">
        <v>37287810</v>
      </c>
      <c r="D29" s="6" t="n">
        <v>23936489</v>
      </c>
      <c r="E29" s="6" t="n">
        <v>20458672</v>
      </c>
      <c r="F29" s="6" t="n"/>
      <c r="G29" s="6" t="n"/>
    </row>
    <row r="30">
      <c r="A30" s="6" t="inlineStr">
        <is>
          <t>17  Liquidity coverage ratio (%)</t>
        </is>
      </c>
      <c r="B30" s="6" t="inlineStr">
        <is>
          <t>316.67%</t>
        </is>
      </c>
      <c r="C30" s="6" t="inlineStr">
        <is>
          <t>335.52%</t>
        </is>
      </c>
      <c r="D30" s="6" t="inlineStr">
        <is>
          <t>390.70%</t>
        </is>
      </c>
      <c r="E30" s="6" t="inlineStr">
        <is>
          <t>468.51%</t>
        </is>
      </c>
      <c r="F30" s="6" t="n"/>
      <c r="G30" s="6" t="n"/>
    </row>
    <row r="31">
      <c r="A31" s="5" t="inlineStr">
        <is>
          <t>NET STABLE FUNDING RATIO</t>
        </is>
      </c>
      <c r="B31" s="6" t="n"/>
      <c r="C31" s="6" t="n"/>
      <c r="D31" s="6" t="n"/>
      <c r="E31" s="6" t="n"/>
      <c r="F31" s="6" t="n"/>
      <c r="G31" s="6" t="n"/>
    </row>
    <row r="32">
      <c r="A32" s="6" t="inlineStr">
        <is>
          <t>18  Total available stable funding (£)</t>
        </is>
      </c>
      <c r="B32" s="6" t="n">
        <v>252487260</v>
      </c>
      <c r="C32" s="6" t="n">
        <v>255073231</v>
      </c>
      <c r="D32" s="6" t="n">
        <v>228783713</v>
      </c>
      <c r="E32" s="6" t="n">
        <v>266983527</v>
      </c>
      <c r="F32" s="6" t="n"/>
      <c r="G32" s="6" t="n"/>
    </row>
    <row r="33">
      <c r="A33" s="6" t="inlineStr">
        <is>
          <t>19  Total required stable funding (£)</t>
        </is>
      </c>
      <c r="B33" s="6" t="n">
        <v>81337991</v>
      </c>
      <c r="C33" s="6" t="n">
        <v>78431888</v>
      </c>
      <c r="D33" s="6" t="n">
        <v>61635979</v>
      </c>
      <c r="E33" s="6" t="n">
        <v>63916220</v>
      </c>
      <c r="F33" s="6" t="n"/>
      <c r="G33" s="6" t="n"/>
    </row>
    <row r="34">
      <c r="A34" s="6" t="inlineStr">
        <is>
          <t>20  NSFR ratio (%)</t>
        </is>
      </c>
      <c r="B34" s="6" t="inlineStr">
        <is>
          <t>310.42%</t>
        </is>
      </c>
      <c r="C34" s="6" t="inlineStr">
        <is>
          <t>325.22%</t>
        </is>
      </c>
      <c r="D34" s="6" t="inlineStr">
        <is>
          <t>371.19%</t>
        </is>
      </c>
      <c r="E34" s="6" t="inlineStr">
        <is>
          <t>417.71%</t>
        </is>
      </c>
      <c r="F34" s="6" t="n"/>
      <c r="G34" s="6" t="n"/>
    </row>
    <row r="36" ht="300" customHeight="1">
      <c r="A36" s="8" t="inlineStr">
        <is>
          <t>Sources - Bank of Beirut (UK) Ltd's own "Template UK KM1 / Key metrics template", reproduced in the Bank's own row order, row numbers, labels and precision. FY2023, FY2024 and FY2025 each come from the edition in which that year is the reporting year. FY2022 IS THE ONE EXCEPTION AND IS FLAGGED AS SUCH BELOW - it is the FY2023 edition's comparative column, used because the Bank's own FY2022 edition prints no KM1 template at all: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FY2022 (NOT AN OWN-EDITION COLUMN): the SAME Pillar 3 Disclosures - 31 December 2023 document, p.17, s.4.2 Key Metrics, COMPARATIVE COLUMN headed '2022'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WHY FY2022 IS FILLED FROM THE FY2023 EDITION, AND FY2021 AND FY2017 ARE NOT (revised 17 September 2026). THE BANK'S OWN FY2022 EDITION PRINTS NO KM1 TEMPLATE AT ALL - not a template with rows left blank, but no template, and therefore no own-edition disclosure for a later comparative to displace. That absence is a finding, not a failed search (map rules 4, 15 and 16), and it was re-established directly from the document on 17 September 2026 before this column was filled: the FY2022 edition (366,318 bytes, 16pp, HTTP 200, application/pdf, %PDF magic bytes, fully text-native) has NO Key Metrics section at any level of its own contents list, and while extraction from it is RICH - 49 hits for 'capital', 60 for 'ratio', 11 for 'liquidity' - it returns ZERO hits for 'KM1', 'Key Metric', 'CET1' and 'Common Equity'. It is a narrative, pre-template Pillar 3 whose capital disclosure is a five-year ICAAP summary. Nor is it a table hidden in a bitmap (map rule 13): every image in the file is either the 1179x385 masthead on p.1 or a 20x21px bullet glyph.
THE FY2023 EDITION'S COMPARATIVE COLUMN, headed '2022', carries the complete template for that date, and THAT IS WHAT THIS SHEET'S FY2022 NOW CARRIES, in the row structure the FY2023 edition prints it in - which is the same 23-row structure as the FY2023 column beside it, so nothing is reshaped. Every value was read off the FY2023 PDF directly. A reader can tell this column from an own-edition one by the citation above, which names it.
This reverses the treatment this sheet carried until 17 September 2026, which left FY2022 blank and quoted four of its figures in this note instead. The evidence above is unchanged; only the conclusion drawn from it has changed, so that a BLANK on this sheet now means one thing only: the Bank has never published that figure, in any edition, on any basis.
FY2021 AND FY2017 REMAIN BLANK for exactly that reason - no edition anywhere prints them in template form. The 2021, 2020, 2019 and 2018 editions were checked the same way as 2022 and are the same: zero 'KM1', zero 'CET1', their one 'key metric' hit being the phrase 'the key metrics and outputs of these workstreams' in a compliance paragraph. Since the FY2022 edition prints no template, there is no FY2021 comparative column in existence to fill from. The single-metric sheets continue to carry FY2021 under their own citations and on their own stated (pre-KM1 ICAAP) bases, which is why those sheets and this one legitimately differ for that year.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110.6</v>
      </c>
      <c r="C4" s="6" t="n">
        <v>109</v>
      </c>
      <c r="D4" s="6" t="n">
        <v>105.8</v>
      </c>
      <c r="E4" s="6" t="n">
        <v>103.2</v>
      </c>
      <c r="F4" s="6" t="n">
        <v>104</v>
      </c>
      <c r="G4" s="6" t="n"/>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37.49%</t>
        </is>
      </c>
      <c r="C4" s="6" t="inlineStr">
        <is>
          <t>43.57%</t>
        </is>
      </c>
      <c r="D4" s="6" t="inlineStr">
        <is>
          <t>42.56%</t>
        </is>
      </c>
      <c r="E4" s="6" t="inlineStr">
        <is>
          <t>32.49%</t>
        </is>
      </c>
      <c r="F4" s="6" t="inlineStr">
        <is>
          <t>35.14%</t>
        </is>
      </c>
      <c r="G4" s="6" t="n"/>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110.6</v>
      </c>
      <c r="C4" s="6" t="n">
        <v>109</v>
      </c>
      <c r="D4" s="6" t="n">
        <v>105.8</v>
      </c>
      <c r="E4" s="6" t="n">
        <v>103.2</v>
      </c>
      <c r="F4" s="6" t="n">
        <v>104</v>
      </c>
      <c r="G4" s="6" t="n"/>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37.49%</t>
        </is>
      </c>
      <c r="C4" s="6" t="inlineStr">
        <is>
          <t>43.57%</t>
        </is>
      </c>
      <c r="D4" s="6" t="inlineStr">
        <is>
          <t>42.56%</t>
        </is>
      </c>
      <c r="E4" s="6" t="inlineStr">
        <is>
          <t>32.49%</t>
        </is>
      </c>
      <c r="F4" s="6" t="inlineStr">
        <is>
          <t>35.14%</t>
        </is>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123.6</v>
      </c>
      <c r="C4" s="6" t="n">
        <v>124.9</v>
      </c>
      <c r="D4" s="6" t="n">
        <v>121.5</v>
      </c>
      <c r="E4" s="6" t="n">
        <v>133.8</v>
      </c>
      <c r="F4" s="6" t="n">
        <v>134.6</v>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41.93%</t>
        </is>
      </c>
      <c r="C4" s="6" t="inlineStr">
        <is>
          <t>49.95%</t>
        </is>
      </c>
      <c r="D4" s="6" t="inlineStr">
        <is>
          <t>48.87%</t>
        </is>
      </c>
      <c r="E4" s="6" t="inlineStr">
        <is>
          <t>42.14%</t>
        </is>
      </c>
      <c r="F4" s="6" t="inlineStr">
        <is>
          <t>45.50%</t>
        </is>
      </c>
      <c r="G4" s="6" t="n"/>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294.9</v>
      </c>
      <c r="C4" s="6" t="n">
        <v>250.1</v>
      </c>
      <c r="D4" s="6" t="n">
        <v>248.5</v>
      </c>
      <c r="E4" s="6" t="n">
        <v>317.6</v>
      </c>
      <c r="F4" s="6" t="n">
        <v>295.9</v>
      </c>
      <c r="G4" s="6" t="n"/>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UK OV1 — Overview of risk weighted exposure amounts (as disclosed)</t>
        </is>
      </c>
      <c r="B4" s="6" t="n"/>
      <c r="C4" s="6" t="n"/>
      <c r="D4" s="6" t="n"/>
      <c r="E4" s="6" t="n"/>
      <c r="F4" s="6" t="n"/>
      <c r="G4" s="6" t="n"/>
    </row>
    <row r="5">
      <c r="A5" s="6" t="inlineStr">
        <is>
          <t>Credit risk (excluding CCR/CVA)</t>
        </is>
      </c>
      <c r="B5" s="6" t="n">
        <v>249173</v>
      </c>
      <c r="C5" s="6" t="n">
        <v>208563</v>
      </c>
      <c r="D5" s="6" t="n">
        <v>220069</v>
      </c>
      <c r="E5" s="6" t="n">
        <v>289747</v>
      </c>
      <c r="F5" s="6" t="n"/>
      <c r="G5" s="6" t="n"/>
    </row>
    <row r="6">
      <c r="A6" s="6" t="inlineStr">
        <is>
          <t>Counterparty credit risk (CCR/CVA)</t>
        </is>
      </c>
      <c r="B6" s="6" t="n">
        <v>0</v>
      </c>
      <c r="C6" s="6" t="n">
        <v>110</v>
      </c>
      <c r="D6" s="6" t="n">
        <v>151</v>
      </c>
      <c r="E6" s="6" t="n">
        <v>128</v>
      </c>
      <c r="F6" s="6" t="n"/>
      <c r="G6" s="6" t="n"/>
    </row>
    <row r="7">
      <c r="A7" s="6" t="inlineStr">
        <is>
          <t>Operational risk</t>
        </is>
      </c>
      <c r="B7" s="6" t="n">
        <v>45747</v>
      </c>
      <c r="C7" s="6" t="n">
        <v>41433</v>
      </c>
      <c r="D7" s="6" t="n">
        <v>28314</v>
      </c>
      <c r="E7" s="6" t="n">
        <v>27678</v>
      </c>
      <c r="F7" s="6" t="n"/>
      <c r="G7" s="6" t="n"/>
    </row>
    <row r="8">
      <c r="A8" s="5" t="inlineStr">
        <is>
          <t>Pre-OV1 ICAAP-basis TREA breakdown (FY2021)</t>
        </is>
      </c>
      <c r="B8" s="6" t="n"/>
      <c r="C8" s="6" t="n"/>
      <c r="D8" s="6" t="n"/>
      <c r="E8" s="6" t="n"/>
      <c r="F8" s="6" t="n"/>
      <c r="G8" s="6" t="n"/>
    </row>
    <row r="9">
      <c r="A9" s="6" t="inlineStr">
        <is>
          <t>Credit Risk Component (on- and off-balance sheet combined)</t>
        </is>
      </c>
      <c r="B9" s="6" t="n"/>
      <c r="C9" s="6" t="n"/>
      <c r="D9" s="6" t="n"/>
      <c r="E9" s="6" t="n"/>
      <c r="F9" s="6" t="n">
        <v>264718</v>
      </c>
      <c r="G9" s="6" t="n"/>
    </row>
    <row r="10">
      <c r="A10" s="6" t="inlineStr">
        <is>
          <t>Operational Risk Exposure Amount</t>
        </is>
      </c>
      <c r="B10" s="6" t="n"/>
      <c r="C10" s="6" t="n"/>
      <c r="D10" s="6" t="n"/>
      <c r="E10" s="6" t="n"/>
      <c r="F10" s="6" t="n">
        <v>31220</v>
      </c>
      <c r="G10" s="6" t="n"/>
    </row>
    <row r="11">
      <c r="A11" s="6" t="inlineStr">
        <is>
          <t>Market risk</t>
        </is>
      </c>
      <c r="B11" s="6" t="n"/>
      <c r="C11" s="6" t="n"/>
      <c r="D11" s="6" t="n"/>
      <c r="E11" s="6" t="n"/>
      <c r="F11" s="6" t="n">
        <v>0</v>
      </c>
      <c r="G11" s="6" t="n"/>
    </row>
    <row r="12">
      <c r="A12" s="6" t="inlineStr">
        <is>
          <t>CVA</t>
        </is>
      </c>
      <c r="B12" s="6" t="n"/>
      <c r="C12" s="6" t="n"/>
      <c r="D12" s="6" t="n"/>
      <c r="E12" s="6" t="n"/>
      <c r="F12" s="6" t="n">
        <v>0</v>
      </c>
      <c r="G12" s="6" t="n"/>
    </row>
    <row r="13">
      <c r="A13" s="5" t="inlineStr">
        <is>
          <t>Total risk-weighted exposure amount</t>
        </is>
      </c>
      <c r="B13" s="5" t="n">
        <v>294920</v>
      </c>
      <c r="C13" s="5" t="n">
        <v>250107</v>
      </c>
      <c r="D13" s="5" t="n">
        <v>248534</v>
      </c>
      <c r="E13" s="5" t="n">
        <v>317552</v>
      </c>
      <c r="F13" s="5" t="n">
        <v>295938</v>
      </c>
      <c r="G13" s="5" t="n"/>
    </row>
    <row r="15" ht="260" customHeight="1">
      <c r="A15" s="8"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G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20.42%</t>
        </is>
      </c>
      <c r="C4" s="6" t="inlineStr">
        <is>
          <t>21.19%</t>
        </is>
      </c>
      <c r="D4" s="6" t="inlineStr">
        <is>
          <t>26.38%</t>
        </is>
      </c>
      <c r="E4" s="6" t="inlineStr">
        <is>
          <t>22.88%</t>
        </is>
      </c>
      <c r="F4" s="6" t="n"/>
      <c r="G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316.67%</t>
        </is>
      </c>
      <c r="C4" s="6" t="inlineStr">
        <is>
          <t>335.52%</t>
        </is>
      </c>
      <c r="D4" s="6" t="inlineStr">
        <is>
          <t>390.70%</t>
        </is>
      </c>
      <c r="E4" s="6" t="inlineStr">
        <is>
          <t>468.51%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inlineStr">
        <is>
          <t>310.42%</t>
        </is>
      </c>
      <c r="C4" s="6" t="inlineStr">
        <is>
          <t>325.22%</t>
        </is>
      </c>
      <c r="D4" s="6" t="inlineStr">
        <is>
          <t>371.19%</t>
        </is>
      </c>
      <c r="E4" s="6" t="inlineStr">
        <is>
          <t>417.71%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2026-09-17T13:18:21Z</dcterms:created>
  <dcterms:modified xmlns:dcterms="http://purl.org/dc/terms/" xmlns:xsi="http://www.w3.org/2001/XMLSchema-instance" xsi:type="dcterms:W3CDTF">2026-09-17T13:18:21Z</dcterms:modified>
</cp:coreProperties>
</file>