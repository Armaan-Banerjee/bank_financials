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226"/>
        <bgColor rgb="006B42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Beirut (UK)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Beirut (UK)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Beirut (UK)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Beirut (UK)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Beirut (UK)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Bank of Beirut (UK) Ltd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502094</v>
      </c>
      <c r="C6" s="5" t="n">
        <v>482771</v>
      </c>
      <c r="D6" s="5" t="n">
        <v>367529</v>
      </c>
      <c r="E6" s="5" t="n">
        <v>406004</v>
      </c>
      <c r="F6" s="5" t="n">
        <v>410239</v>
      </c>
      <c r="G6" s="5" t="n"/>
      <c r="J6" t="inlineStr">
        <is>
          <t>Total assets</t>
        </is>
      </c>
      <c r="L6" t="n">
        <v>410239</v>
      </c>
      <c r="M6" t="n">
        <v>406004</v>
      </c>
      <c r="N6" t="n">
        <v>367529</v>
      </c>
      <c r="O6" t="n">
        <v>482771</v>
      </c>
      <c r="P6" t="n">
        <v>502094</v>
      </c>
      <c r="AT6" t="inlineStr">
        <is>
          <t>CET1 Ratio</t>
        </is>
      </c>
      <c r="AV6" t="n">
        <v>35.14</v>
      </c>
      <c r="AW6" t="n">
        <v>32.49</v>
      </c>
      <c r="AX6" t="n">
        <v>42.56</v>
      </c>
      <c r="AY6" t="n">
        <v>43.57</v>
      </c>
      <c r="AZ6" t="n">
        <v>37.49</v>
      </c>
    </row>
    <row r="7">
      <c r="A7" s="5" t="inlineStr">
        <is>
          <t>Loans and advances to customers</t>
        </is>
      </c>
      <c r="B7" s="5" t="n">
        <v>144331</v>
      </c>
      <c r="C7" s="5" t="n">
        <v>121491</v>
      </c>
      <c r="D7" s="5" t="n">
        <v>121214</v>
      </c>
      <c r="E7" s="5" t="n">
        <v>161651</v>
      </c>
      <c r="F7" s="5" t="n">
        <v>128986</v>
      </c>
      <c r="G7" s="5" t="n"/>
      <c r="J7" t="inlineStr">
        <is>
          <t>Loans and advances to customers</t>
        </is>
      </c>
      <c r="L7" t="n">
        <v>128986</v>
      </c>
      <c r="M7" t="n">
        <v>161651</v>
      </c>
      <c r="N7" t="n">
        <v>121214</v>
      </c>
      <c r="O7" t="n">
        <v>121491</v>
      </c>
      <c r="P7" t="n">
        <v>144331</v>
      </c>
      <c r="AT7" t="inlineStr">
        <is>
          <t>Tier 1 Ratio</t>
        </is>
      </c>
      <c r="AV7" t="n">
        <v>35.14</v>
      </c>
      <c r="AW7" t="n">
        <v>32.49</v>
      </c>
      <c r="AX7" t="n">
        <v>42.56</v>
      </c>
      <c r="AY7" t="n">
        <v>43.57</v>
      </c>
      <c r="AZ7" t="n">
        <v>37.49</v>
      </c>
    </row>
    <row r="8">
      <c r="A8" s="5" t="inlineStr">
        <is>
          <t>Customer accounts</t>
        </is>
      </c>
      <c r="B8" s="5" t="n">
        <v>167175</v>
      </c>
      <c r="C8" s="5" t="n">
        <v>167963</v>
      </c>
      <c r="D8" s="5" t="n">
        <v>137387</v>
      </c>
      <c r="E8" s="5" t="n">
        <v>175446</v>
      </c>
      <c r="F8" s="5" t="n">
        <v>173317</v>
      </c>
      <c r="G8" s="5" t="n"/>
      <c r="J8" t="inlineStr">
        <is>
          <t>Customer accounts</t>
        </is>
      </c>
      <c r="L8" t="n">
        <v>173317</v>
      </c>
      <c r="M8" t="n">
        <v>175446</v>
      </c>
      <c r="N8" t="n">
        <v>137387</v>
      </c>
      <c r="O8" t="n">
        <v>167963</v>
      </c>
      <c r="P8" t="n">
        <v>167175</v>
      </c>
      <c r="AT8" t="inlineStr">
        <is>
          <t>Total Capital Ratio</t>
        </is>
      </c>
      <c r="AV8" t="n">
        <v>45.5</v>
      </c>
      <c r="AW8" t="n">
        <v>42.14</v>
      </c>
      <c r="AX8" t="n">
        <v>48.87</v>
      </c>
      <c r="AY8" t="n">
        <v>49.95</v>
      </c>
      <c r="AZ8" t="n">
        <v>41.93</v>
      </c>
    </row>
    <row r="9">
      <c r="A9" s="5" t="inlineStr">
        <is>
          <t>Total equity</t>
        </is>
      </c>
      <c r="B9" s="5" t="n">
        <v>122976</v>
      </c>
      <c r="C9" s="5" t="n">
        <v>120214</v>
      </c>
      <c r="D9" s="5" t="n">
        <v>114995</v>
      </c>
      <c r="E9" s="5" t="n">
        <v>108084</v>
      </c>
      <c r="F9" s="5" t="n">
        <v>104908</v>
      </c>
      <c r="G9" s="5" t="n"/>
      <c r="J9" t="inlineStr">
        <is>
          <t>Total equity</t>
        </is>
      </c>
      <c r="L9" t="n">
        <v>104908</v>
      </c>
      <c r="M9" t="n">
        <v>108084</v>
      </c>
      <c r="N9" t="n">
        <v>114995</v>
      </c>
      <c r="O9" t="n">
        <v>120214</v>
      </c>
      <c r="P9" t="n">
        <v>122976</v>
      </c>
      <c r="AT9" t="inlineStr">
        <is>
          <t>Leverage Ratio</t>
        </is>
      </c>
      <c r="AW9" t="n">
        <v>22.88</v>
      </c>
      <c r="AX9" t="n">
        <v>26.38</v>
      </c>
      <c r="AY9" t="n">
        <v>21.19</v>
      </c>
      <c r="AZ9" t="n">
        <v>20.42</v>
      </c>
    </row>
    <row r="10">
      <c r="AT10" t="inlineStr">
        <is>
          <t>LCR</t>
        </is>
      </c>
      <c r="AW10" t="n">
        <v>468.51</v>
      </c>
      <c r="AX10" t="n">
        <v>390.7</v>
      </c>
      <c r="AY10" t="n">
        <v>335.52</v>
      </c>
      <c r="AZ10" t="n">
        <v>316.67</v>
      </c>
    </row>
    <row r="11">
      <c r="A11" s="3" t="inlineStr">
        <is>
          <t>Profit &amp; Loss Summary (£'000s)</t>
        </is>
      </c>
      <c r="AT11" t="inlineStr">
        <is>
          <t>NSFR</t>
        </is>
      </c>
      <c r="AW11" t="n">
        <v>417.71</v>
      </c>
      <c r="AX11" t="n">
        <v>371.19</v>
      </c>
      <c r="AY11" t="n">
        <v>325.22</v>
      </c>
      <c r="AZ11" t="n">
        <v>310.42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income</t>
        </is>
      </c>
      <c r="B13" s="5" t="n">
        <v>24232</v>
      </c>
      <c r="C13" s="5" t="n">
        <v>25029</v>
      </c>
      <c r="D13" s="5" t="n">
        <v>23935</v>
      </c>
      <c r="E13" s="5" t="n">
        <v>17329</v>
      </c>
      <c r="F13" s="5" t="n">
        <v>11625</v>
      </c>
      <c r="G13" s="5" t="n"/>
      <c r="S13" t="inlineStr">
        <is>
          <t>Total income</t>
        </is>
      </c>
      <c r="U13" t="n">
        <v>11625</v>
      </c>
      <c r="V13" t="n">
        <v>17329</v>
      </c>
      <c r="W13" t="n">
        <v>23935</v>
      </c>
      <c r="X13" t="n">
        <v>25029</v>
      </c>
      <c r="Y13" t="n">
        <v>24232</v>
      </c>
    </row>
    <row r="14">
      <c r="A14" s="5" t="inlineStr">
        <is>
          <t>Administrative expenses</t>
        </is>
      </c>
      <c r="B14" s="5" t="n">
        <v>-14398</v>
      </c>
      <c r="C14" s="5" t="n">
        <v>-12234</v>
      </c>
      <c r="D14" s="5" t="n">
        <v>-11303</v>
      </c>
      <c r="E14" s="5" t="n">
        <v>-9666</v>
      </c>
      <c r="F14" s="5" t="n">
        <v>-9127</v>
      </c>
      <c r="G14" s="5" t="n"/>
      <c r="S14" t="inlineStr">
        <is>
          <t>Administrative expenses</t>
        </is>
      </c>
      <c r="U14" t="n">
        <v>-9127</v>
      </c>
      <c r="V14" t="n">
        <v>-9666</v>
      </c>
      <c r="W14" t="n">
        <v>-11303</v>
      </c>
      <c r="X14" t="n">
        <v>-12234</v>
      </c>
      <c r="Y14" t="n">
        <v>-14398</v>
      </c>
    </row>
    <row r="15">
      <c r="A15" s="5" t="inlineStr">
        <is>
          <t>Profit for the year</t>
        </is>
      </c>
      <c r="B15" s="5" t="n">
        <v>7597</v>
      </c>
      <c r="C15" s="5" t="n">
        <v>9670</v>
      </c>
      <c r="D15" s="5" t="n">
        <v>8899</v>
      </c>
      <c r="E15" s="5" t="n">
        <v>3976</v>
      </c>
      <c r="F15" s="5" t="n">
        <v>1420</v>
      </c>
      <c r="G15" s="5" t="n"/>
      <c r="S15" t="inlineStr">
        <is>
          <t>Profit for the year</t>
        </is>
      </c>
      <c r="U15" t="n">
        <v>1420</v>
      </c>
      <c r="V15" t="n">
        <v>3976</v>
      </c>
      <c r="W15" t="n">
        <v>8899</v>
      </c>
      <c r="X15" t="n">
        <v>9670</v>
      </c>
      <c r="Y15" t="n">
        <v>7597</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120214</v>
      </c>
      <c r="C19" s="5" t="n">
        <v>114995</v>
      </c>
      <c r="D19" s="5" t="n">
        <v>108084</v>
      </c>
      <c r="E19" s="5" t="n">
        <v>104908</v>
      </c>
      <c r="F19" s="5" t="n">
        <v>103478</v>
      </c>
      <c r="G19" s="5" t="n"/>
      <c r="AB19" t="inlineStr">
        <is>
          <t>Opening equity</t>
        </is>
      </c>
      <c r="AD19" t="n">
        <v>103478</v>
      </c>
      <c r="AE19" t="n">
        <v>104908</v>
      </c>
      <c r="AF19" t="n">
        <v>108084</v>
      </c>
      <c r="AG19" t="n">
        <v>114995</v>
      </c>
      <c r="AH19" t="n">
        <v>120214</v>
      </c>
    </row>
    <row r="20">
      <c r="A20" s="5" t="inlineStr">
        <is>
          <t>Total comprehensive income for the year</t>
        </is>
      </c>
      <c r="B20" s="5" t="n">
        <v>7597</v>
      </c>
      <c r="C20" s="5" t="n">
        <v>9670</v>
      </c>
      <c r="D20" s="5" t="n">
        <v>8899</v>
      </c>
      <c r="E20" s="5" t="n">
        <v>3978</v>
      </c>
      <c r="F20" s="5" t="n">
        <v>1430</v>
      </c>
      <c r="G20" s="5" t="n"/>
      <c r="AB20" t="inlineStr">
        <is>
          <t>Total comprehensive income for the year</t>
        </is>
      </c>
      <c r="AD20" t="n">
        <v>1430</v>
      </c>
      <c r="AE20" t="n">
        <v>3978</v>
      </c>
      <c r="AF20" t="n">
        <v>8899</v>
      </c>
      <c r="AG20" t="n">
        <v>9670</v>
      </c>
      <c r="AH20" t="n">
        <v>7597</v>
      </c>
    </row>
    <row r="21">
      <c r="A21" s="5" t="inlineStr">
        <is>
          <t>Other movements, net</t>
        </is>
      </c>
      <c r="B21" s="5" t="n">
        <v>-4835</v>
      </c>
      <c r="C21" s="5" t="n">
        <v>-4451</v>
      </c>
      <c r="D21" s="5" t="n">
        <v>-1988</v>
      </c>
      <c r="E21" s="5" t="n">
        <v>-802</v>
      </c>
      <c r="F21" s="5" t="n">
        <v>0</v>
      </c>
      <c r="G21" s="5" t="n"/>
      <c r="AB21" t="inlineStr">
        <is>
          <t>Other movements, net</t>
        </is>
      </c>
      <c r="AD21" t="n">
        <v>0</v>
      </c>
      <c r="AE21" t="n">
        <v>-802</v>
      </c>
      <c r="AF21" t="n">
        <v>-1988</v>
      </c>
      <c r="AG21" t="n">
        <v>-4451</v>
      </c>
      <c r="AH21" t="n">
        <v>-4835</v>
      </c>
    </row>
    <row r="22">
      <c r="A22" s="5" t="inlineStr">
        <is>
          <t>Closing equity</t>
        </is>
      </c>
      <c r="B22" s="5" t="n">
        <v>122976</v>
      </c>
      <c r="C22" s="5" t="n">
        <v>120214</v>
      </c>
      <c r="D22" s="5" t="n">
        <v>114995</v>
      </c>
      <c r="E22" s="5" t="n">
        <v>108084</v>
      </c>
      <c r="F22" s="5" t="n">
        <v>104908</v>
      </c>
      <c r="G22" s="5" t="n"/>
      <c r="AB22" t="inlineStr">
        <is>
          <t>Closing equity</t>
        </is>
      </c>
      <c r="AD22" t="n">
        <v>104908</v>
      </c>
      <c r="AE22" t="n">
        <v>108084</v>
      </c>
      <c r="AF22" t="n">
        <v>114995</v>
      </c>
      <c r="AG22" t="n">
        <v>120214</v>
      </c>
      <c r="AH22" t="n">
        <v>122976</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(used in)/generated from operating activities</t>
        </is>
      </c>
      <c r="B26" s="5" t="n">
        <v>-529</v>
      </c>
      <c r="C26" s="5" t="n">
        <v>121755</v>
      </c>
      <c r="D26" s="5" t="n">
        <v>22662</v>
      </c>
      <c r="E26" s="5" t="n">
        <v>-25122</v>
      </c>
      <c r="F26" s="5" t="n">
        <v>15041</v>
      </c>
      <c r="G26" s="5" t="n"/>
      <c r="AK26" t="inlineStr">
        <is>
          <t>Net cash (used in)/generated from operating activities</t>
        </is>
      </c>
      <c r="AM26" t="n">
        <v>15041</v>
      </c>
      <c r="AN26" t="n">
        <v>-25122</v>
      </c>
      <c r="AO26" t="n">
        <v>22662</v>
      </c>
      <c r="AP26" t="n">
        <v>121755</v>
      </c>
      <c r="AQ26" t="n">
        <v>-529</v>
      </c>
    </row>
    <row r="27">
      <c r="A27" s="5" t="inlineStr">
        <is>
          <t>Net cash (used in)/generated from investing activities</t>
        </is>
      </c>
      <c r="B27" s="5" t="n">
        <v>-19394</v>
      </c>
      <c r="C27" s="5" t="n">
        <v>-19841</v>
      </c>
      <c r="D27" s="5" t="n">
        <v>-5459</v>
      </c>
      <c r="E27" s="5" t="n">
        <v>-7171</v>
      </c>
      <c r="F27" s="5" t="n">
        <v>318</v>
      </c>
      <c r="G27" s="5" t="n"/>
      <c r="AK27" t="inlineStr">
        <is>
          <t>Net cash (used in)/generated from investing activities</t>
        </is>
      </c>
      <c r="AM27" t="n">
        <v>318</v>
      </c>
      <c r="AN27" t="n">
        <v>-7171</v>
      </c>
      <c r="AO27" t="n">
        <v>-5459</v>
      </c>
      <c r="AP27" t="n">
        <v>-19841</v>
      </c>
      <c r="AQ27" t="n">
        <v>-19394</v>
      </c>
    </row>
    <row r="28">
      <c r="A28" s="5" t="inlineStr">
        <is>
          <t>Net cash (used in)/generated from financing activities</t>
        </is>
      </c>
      <c r="B28" s="5" t="n">
        <v>-4991</v>
      </c>
      <c r="C28" s="5" t="n">
        <v>-4586</v>
      </c>
      <c r="D28" s="5" t="n">
        <v>-19544</v>
      </c>
      <c r="E28" s="5" t="n">
        <v>-944</v>
      </c>
      <c r="F28" s="5" t="n">
        <v>-148</v>
      </c>
      <c r="G28" s="5" t="n"/>
      <c r="AK28" t="inlineStr">
        <is>
          <t>Net cash (used in)/generated from financing activities</t>
        </is>
      </c>
      <c r="AM28" t="n">
        <v>-148</v>
      </c>
      <c r="AN28" t="n">
        <v>-944</v>
      </c>
      <c r="AO28" t="n">
        <v>-19544</v>
      </c>
      <c r="AP28" t="n">
        <v>-4586</v>
      </c>
      <c r="AQ28" t="n">
        <v>-4991</v>
      </c>
    </row>
    <row r="29">
      <c r="A29" s="5" t="inlineStr">
        <is>
          <t>Cash and cash equivalents at end of year</t>
        </is>
      </c>
      <c r="B29" s="5" t="n">
        <v>254772</v>
      </c>
      <c r="C29" s="5" t="n">
        <v>139857</v>
      </c>
      <c r="D29" s="5" t="n">
        <v>97313</v>
      </c>
      <c r="E29" s="5" t="n">
        <v>97866</v>
      </c>
      <c r="F29" s="5" t="n">
        <v>134557</v>
      </c>
      <c r="G29" s="5" t="n"/>
      <c r="AK29" t="inlineStr">
        <is>
          <t>Cash and cash equivalents at end of year</t>
        </is>
      </c>
      <c r="AM29" t="n">
        <v>134557</v>
      </c>
      <c r="AN29" t="n">
        <v>97866</v>
      </c>
      <c r="AO29" t="n">
        <v>97313</v>
      </c>
      <c r="AP29" t="n">
        <v>139857</v>
      </c>
      <c r="AQ29" t="n">
        <v>254772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inlineStr">
        <is>
          <t>37.49%</t>
        </is>
      </c>
      <c r="C33" s="6" t="inlineStr">
        <is>
          <t>43.57%</t>
        </is>
      </c>
      <c r="D33" s="6" t="inlineStr">
        <is>
          <t>42.56%</t>
        </is>
      </c>
      <c r="E33" s="6" t="inlineStr">
        <is>
          <t>32.49%</t>
        </is>
      </c>
      <c r="F33" s="6" t="inlineStr">
        <is>
          <t>35.14%</t>
        </is>
      </c>
      <c r="G33" s="6" t="n"/>
    </row>
    <row r="34">
      <c r="A34" s="6" t="inlineStr">
        <is>
          <t>Tier 1 Ratio</t>
        </is>
      </c>
      <c r="B34" s="6" t="inlineStr">
        <is>
          <t>37.49%</t>
        </is>
      </c>
      <c r="C34" s="6" t="inlineStr">
        <is>
          <t>43.57%</t>
        </is>
      </c>
      <c r="D34" s="6" t="inlineStr">
        <is>
          <t>42.56%</t>
        </is>
      </c>
      <c r="E34" s="6" t="inlineStr">
        <is>
          <t>32.49%</t>
        </is>
      </c>
      <c r="F34" s="6" t="inlineStr">
        <is>
          <t>35.14%</t>
        </is>
      </c>
      <c r="G34" s="6" t="n"/>
    </row>
    <row r="35">
      <c r="A35" s="6" t="inlineStr">
        <is>
          <t>Total Capital Ratio</t>
        </is>
      </c>
      <c r="B35" s="6" t="inlineStr">
        <is>
          <t>41.93%</t>
        </is>
      </c>
      <c r="C35" s="6" t="inlineStr">
        <is>
          <t>49.95%</t>
        </is>
      </c>
      <c r="D35" s="6" t="inlineStr">
        <is>
          <t>48.87%</t>
        </is>
      </c>
      <c r="E35" s="6" t="inlineStr">
        <is>
          <t>42.14%</t>
        </is>
      </c>
      <c r="F35" s="6" t="inlineStr">
        <is>
          <t>45.50%</t>
        </is>
      </c>
      <c r="G35" s="6" t="n"/>
    </row>
    <row r="36">
      <c r="A36" s="6" t="inlineStr">
        <is>
          <t>Leverage Ratio</t>
        </is>
      </c>
      <c r="B36" s="6" t="inlineStr">
        <is>
          <t>20.42%</t>
        </is>
      </c>
      <c r="C36" s="6" t="inlineStr">
        <is>
          <t>21.19%</t>
        </is>
      </c>
      <c r="D36" s="6" t="inlineStr">
        <is>
          <t>26.38%</t>
        </is>
      </c>
      <c r="E36" s="6" t="inlineStr">
        <is>
          <t>22.88%</t>
        </is>
      </c>
      <c r="F36" s="6" t="n"/>
      <c r="G36" s="6" t="n"/>
    </row>
    <row r="37">
      <c r="A37" s="6" t="inlineStr">
        <is>
          <t>LCR</t>
        </is>
      </c>
      <c r="B37" s="6" t="inlineStr">
        <is>
          <t>316.67%</t>
        </is>
      </c>
      <c r="C37" s="6" t="inlineStr">
        <is>
          <t>335.52%</t>
        </is>
      </c>
      <c r="D37" s="6" t="inlineStr">
        <is>
          <t>390.70%</t>
        </is>
      </c>
      <c r="E37" s="6" t="inlineStr">
        <is>
          <t>468.51%</t>
        </is>
      </c>
      <c r="F37" s="6" t="n"/>
      <c r="G37" s="6" t="n"/>
    </row>
    <row r="38">
      <c r="A38" s="6" t="inlineStr">
        <is>
          <t>NSFR</t>
        </is>
      </c>
      <c r="B38" s="6" t="inlineStr">
        <is>
          <t>310.42%</t>
        </is>
      </c>
      <c r="C38" s="6" t="inlineStr">
        <is>
          <t>325.22%</t>
        </is>
      </c>
      <c r="D38" s="6" t="inlineStr">
        <is>
          <t>371.19%</t>
        </is>
      </c>
      <c r="E38" s="6" t="inlineStr">
        <is>
          <t>417.71%</t>
        </is>
      </c>
      <c r="F38" s="6" t="n"/>
      <c r="G38" s="6" t="n"/>
    </row>
    <row r="40" ht="45" customHeight="1">
      <c r="A40" s="7" t="inlineStr">
        <is>
          <t>Note: Figures are duplicated from the detail sheets for at-a-glance trend viewing; see each sheet's own source citation for the underlying document/page. Leverage/LCR/NSFR are blank for FY2021 (pre-KM1 disclosure with no numeric values published that year). Cash flow FY2024-FY2025 has a genuine, fully explained (not guessed) presentational break - see the Cash Flow Statement sheet's source note. Balance Sheet/P&amp;L/Statement of Changes in Equity headline blocks added per the project's spend/risk lens: 'Loans and advances to customers' and 'Customer accounts' as the capital-allocation view, 'Administrative expenses' as the operating-cost view.</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Balance Sheet</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at banks</t>
        </is>
      </c>
      <c r="B5" s="6" t="n">
        <v>254772</v>
      </c>
      <c r="C5" s="6" t="n">
        <v>276518</v>
      </c>
      <c r="D5" s="6" t="n">
        <v>97313</v>
      </c>
      <c r="E5" s="6" t="n">
        <v>97866</v>
      </c>
      <c r="F5" s="6" t="n">
        <v>134557</v>
      </c>
      <c r="G5" s="6" t="n">
        <v>105686</v>
      </c>
    </row>
    <row r="6">
      <c r="A6" s="6" t="inlineStr">
        <is>
          <t>Placements with banks</t>
        </is>
      </c>
      <c r="B6" s="6" t="n">
        <v>3554</v>
      </c>
      <c r="C6" s="6" t="n">
        <v>3005</v>
      </c>
      <c r="D6" s="6" t="n">
        <v>84957</v>
      </c>
      <c r="E6" s="6" t="n">
        <v>85207</v>
      </c>
      <c r="F6" s="6" t="n">
        <v>90779</v>
      </c>
      <c r="G6" s="6" t="n">
        <v>181949</v>
      </c>
    </row>
    <row r="7">
      <c r="A7" s="6" t="inlineStr">
        <is>
          <t>Loans and advances to customers</t>
        </is>
      </c>
      <c r="B7" s="6" t="n">
        <v>144331</v>
      </c>
      <c r="C7" s="6" t="n">
        <v>121491</v>
      </c>
      <c r="D7" s="6" t="n">
        <v>121214</v>
      </c>
      <c r="E7" s="6" t="n">
        <v>161651</v>
      </c>
      <c r="F7" s="6" t="n">
        <v>128986</v>
      </c>
      <c r="G7" s="6" t="n">
        <v>178336</v>
      </c>
    </row>
    <row r="8">
      <c r="A8" s="6" t="inlineStr">
        <is>
          <t>Customers' acceptances</t>
        </is>
      </c>
      <c r="B8" s="6" t="n">
        <v>3581</v>
      </c>
      <c r="C8" s="6" t="n">
        <v>1783</v>
      </c>
      <c r="D8" s="6" t="n">
        <v>4492</v>
      </c>
      <c r="E8" s="6" t="n">
        <v>4089</v>
      </c>
      <c r="F8" s="6" t="n">
        <v>8186</v>
      </c>
      <c r="G8" s="6" t="n">
        <v>8425</v>
      </c>
    </row>
    <row r="9">
      <c r="A9" s="6" t="inlineStr">
        <is>
          <t>Financial assets at amortised cost</t>
        </is>
      </c>
      <c r="B9" s="6" t="n">
        <v>68899</v>
      </c>
      <c r="C9" s="6" t="n">
        <v>57046</v>
      </c>
      <c r="D9" s="6" t="n">
        <v>38551</v>
      </c>
      <c r="E9" s="6" t="n">
        <v>35784</v>
      </c>
      <c r="F9" s="6" t="n"/>
      <c r="G9" s="6" t="n"/>
    </row>
    <row r="10">
      <c r="A10" s="6" t="inlineStr">
        <is>
          <t>Debt securities at amortised cost</t>
        </is>
      </c>
      <c r="B10" s="6" t="n"/>
      <c r="C10" s="6" t="n"/>
      <c r="D10" s="6" t="n"/>
      <c r="E10" s="6" t="n"/>
      <c r="F10" s="6" t="n"/>
      <c r="G10" s="6" t="n"/>
    </row>
    <row r="11">
      <c r="A11" s="6" t="inlineStr">
        <is>
          <t>Financial assets at FVTOCI</t>
        </is>
      </c>
      <c r="B11" s="6" t="n"/>
      <c r="C11" s="6" t="n"/>
      <c r="D11" s="6" t="n"/>
      <c r="E11" s="6" t="n"/>
      <c r="F11" s="6" t="n">
        <v>26631</v>
      </c>
      <c r="G11" s="6" t="n"/>
    </row>
    <row r="12">
      <c r="A12" s="6" t="inlineStr">
        <is>
          <t>Derivative assets</t>
        </is>
      </c>
      <c r="B12" s="6" t="n"/>
      <c r="C12" s="6" t="n"/>
      <c r="D12" s="6" t="n">
        <v>47</v>
      </c>
      <c r="E12" s="6" t="n"/>
      <c r="F12" s="6" t="n"/>
      <c r="G12" s="6" t="n"/>
    </row>
    <row r="13">
      <c r="A13" s="6" t="inlineStr">
        <is>
          <t>Prepayments and accrued income</t>
        </is>
      </c>
      <c r="B13" s="6" t="n">
        <v>1892</v>
      </c>
      <c r="C13" s="6" t="n">
        <v>1554</v>
      </c>
      <c r="D13" s="6" t="n">
        <v>1057</v>
      </c>
      <c r="E13" s="6" t="n">
        <v>1161</v>
      </c>
      <c r="F13" s="6" t="n">
        <v>983</v>
      </c>
      <c r="G13" s="6" t="n"/>
    </row>
    <row r="14">
      <c r="A14" s="6" t="inlineStr">
        <is>
          <t>Current tax assets</t>
        </is>
      </c>
      <c r="B14" s="6" t="n">
        <v>1241</v>
      </c>
      <c r="C14" s="6" t="n">
        <v>406</v>
      </c>
      <c r="D14" s="6" t="n"/>
      <c r="E14" s="6" t="n"/>
      <c r="F14" s="6" t="n"/>
      <c r="G14" s="6" t="n"/>
    </row>
    <row r="15">
      <c r="A15" s="6" t="inlineStr">
        <is>
          <t>Land and Buildings</t>
        </is>
      </c>
      <c r="B15" s="6" t="n">
        <v>18289</v>
      </c>
      <c r="C15" s="6" t="n">
        <v>18449</v>
      </c>
      <c r="D15" s="6" t="n">
        <v>18583</v>
      </c>
      <c r="E15" s="6" t="n">
        <v>18649</v>
      </c>
      <c r="F15" s="6" t="n">
        <v>18800</v>
      </c>
      <c r="G15" s="6" t="n"/>
    </row>
    <row r="16">
      <c r="A16" s="6" t="inlineStr">
        <is>
          <t>Right-of-use lease assets</t>
        </is>
      </c>
      <c r="B16" s="6" t="n">
        <v>345</v>
      </c>
      <c r="C16" s="6" t="n">
        <v>419</v>
      </c>
      <c r="D16" s="6" t="n">
        <v>531</v>
      </c>
      <c r="E16" s="6" t="n">
        <v>608</v>
      </c>
      <c r="F16" s="6" t="n">
        <v>731</v>
      </c>
      <c r="G16" s="6" t="n"/>
    </row>
    <row r="17">
      <c r="A17" s="6" t="inlineStr">
        <is>
          <t>Property and equipment</t>
        </is>
      </c>
      <c r="B17" s="6" t="n">
        <v>631</v>
      </c>
      <c r="C17" s="6" t="n">
        <v>778</v>
      </c>
      <c r="D17" s="6" t="n">
        <v>699</v>
      </c>
      <c r="E17" s="6" t="n">
        <v>855</v>
      </c>
      <c r="F17" s="6" t="n">
        <v>384</v>
      </c>
      <c r="G17" s="6" t="n"/>
    </row>
    <row r="18">
      <c r="A18" s="6" t="inlineStr">
        <is>
          <t>Intangible assets</t>
        </is>
      </c>
      <c r="B18" s="6" t="n">
        <v>4559</v>
      </c>
      <c r="C18" s="6" t="n">
        <v>1322</v>
      </c>
      <c r="D18" s="6" t="n">
        <v>83</v>
      </c>
      <c r="E18" s="6" t="n">
        <v>133</v>
      </c>
      <c r="F18" s="6" t="n">
        <v>204</v>
      </c>
      <c r="G18" s="6" t="n"/>
    </row>
    <row r="19">
      <c r="A19" s="5" t="inlineStr">
        <is>
          <t>Total assets</t>
        </is>
      </c>
      <c r="B19" s="5" t="n">
        <v>502094</v>
      </c>
      <c r="C19" s="5" t="n">
        <v>482771</v>
      </c>
      <c r="D19" s="5" t="n">
        <v>367529</v>
      </c>
      <c r="E19" s="5" t="n">
        <v>406004</v>
      </c>
      <c r="F19" s="5" t="n">
        <v>410239</v>
      </c>
      <c r="G19" s="5" t="n">
        <v>520774</v>
      </c>
    </row>
    <row r="20">
      <c r="A20" s="5" t="inlineStr">
        <is>
          <t>Liabilities</t>
        </is>
      </c>
      <c r="B20" s="6" t="n"/>
      <c r="C20" s="6" t="n"/>
      <c r="D20" s="6" t="n"/>
      <c r="E20" s="6" t="n"/>
      <c r="F20" s="6" t="n"/>
      <c r="G20" s="6" t="n"/>
    </row>
    <row r="21">
      <c r="A21" s="6" t="inlineStr">
        <is>
          <t>Deposits by banks</t>
        </is>
      </c>
      <c r="B21" s="6" t="n">
        <v>187647</v>
      </c>
      <c r="C21" s="6" t="n">
        <v>162269</v>
      </c>
      <c r="D21" s="6" t="n">
        <v>89116</v>
      </c>
      <c r="E21" s="6" t="n">
        <v>80596</v>
      </c>
      <c r="F21" s="6" t="n">
        <v>88810</v>
      </c>
      <c r="G21" s="6" t="n">
        <v>306972</v>
      </c>
    </row>
    <row r="22">
      <c r="A22" s="6" t="inlineStr">
        <is>
          <t>Customer accounts</t>
        </is>
      </c>
      <c r="B22" s="6" t="n">
        <v>167175</v>
      </c>
      <c r="C22" s="6" t="n">
        <v>167963</v>
      </c>
      <c r="D22" s="6" t="n">
        <v>137387</v>
      </c>
      <c r="E22" s="6" t="n">
        <v>175446</v>
      </c>
      <c r="F22" s="6" t="n">
        <v>173317</v>
      </c>
      <c r="G22" s="6" t="n">
        <v>92397</v>
      </c>
    </row>
    <row r="23">
      <c r="A23" s="6" t="inlineStr">
        <is>
          <t>Acceptances payable</t>
        </is>
      </c>
      <c r="B23" s="6" t="n">
        <v>3587</v>
      </c>
      <c r="C23" s="6" t="n">
        <v>1797</v>
      </c>
      <c r="D23" s="6" t="n">
        <v>4498</v>
      </c>
      <c r="E23" s="6" t="n">
        <v>4098</v>
      </c>
      <c r="F23" s="6" t="n">
        <v>8218</v>
      </c>
      <c r="G23" s="6" t="n">
        <v>8425</v>
      </c>
    </row>
    <row r="24">
      <c r="A24" s="6" t="inlineStr">
        <is>
          <t>Derivative liabilities</t>
        </is>
      </c>
      <c r="B24" s="6" t="n"/>
      <c r="C24" s="6" t="n">
        <v>145</v>
      </c>
      <c r="D24" s="6" t="n"/>
      <c r="E24" s="6" t="n">
        <v>17</v>
      </c>
      <c r="F24" s="6" t="n"/>
      <c r="G24" s="6" t="n">
        <v>16</v>
      </c>
    </row>
    <row r="25">
      <c r="A25" s="6" t="inlineStr">
        <is>
          <t>Accruals and deferred income</t>
        </is>
      </c>
      <c r="B25" s="6" t="n">
        <v>316</v>
      </c>
      <c r="C25" s="6" t="n">
        <v>663</v>
      </c>
      <c r="D25" s="6" t="n">
        <v>833</v>
      </c>
      <c r="E25" s="6" t="n">
        <v>530</v>
      </c>
      <c r="F25" s="6" t="n">
        <v>560</v>
      </c>
      <c r="G25" s="6" t="n">
        <v>312</v>
      </c>
    </row>
    <row r="26">
      <c r="A26" s="6" t="inlineStr">
        <is>
          <t>Lease liabilities</t>
        </is>
      </c>
      <c r="B26" s="6" t="n">
        <v>388</v>
      </c>
      <c r="C26" s="6" t="n">
        <v>479</v>
      </c>
      <c r="D26" s="6" t="n">
        <v>588</v>
      </c>
      <c r="E26" s="6" t="n">
        <v>655</v>
      </c>
      <c r="F26" s="6" t="n">
        <v>765</v>
      </c>
      <c r="G26" s="6" t="n"/>
    </row>
    <row r="27">
      <c r="A27" s="6" t="inlineStr">
        <is>
          <t>Other liabilities</t>
        </is>
      </c>
      <c r="B27" s="6" t="n">
        <v>3341</v>
      </c>
      <c r="C27" s="6" t="n">
        <v>12280</v>
      </c>
      <c r="D27" s="6" t="n">
        <v>1886</v>
      </c>
      <c r="E27" s="6" t="n">
        <v>1954</v>
      </c>
      <c r="F27" s="6" t="n">
        <v>1655</v>
      </c>
      <c r="G27" s="6" t="n">
        <v>13</v>
      </c>
    </row>
    <row r="28">
      <c r="A28" s="6" t="inlineStr">
        <is>
          <t>Current tax liability</t>
        </is>
      </c>
      <c r="B28" s="6" t="n">
        <v>47</v>
      </c>
      <c r="C28" s="6" t="n">
        <v>56</v>
      </c>
      <c r="D28" s="6" t="n">
        <v>1386</v>
      </c>
      <c r="E28" s="6" t="n">
        <v>417</v>
      </c>
      <c r="F28" s="6" t="n">
        <v>132</v>
      </c>
      <c r="G28" s="6" t="n">
        <v>1014</v>
      </c>
    </row>
    <row r="29">
      <c r="A29" s="6" t="inlineStr">
        <is>
          <t>Deferred tax liability</t>
        </is>
      </c>
      <c r="B29" s="6" t="n">
        <v>1970</v>
      </c>
      <c r="C29" s="6" t="n">
        <v>1121</v>
      </c>
      <c r="D29" s="6" t="n">
        <v>699</v>
      </c>
      <c r="E29" s="6" t="n">
        <v>657</v>
      </c>
      <c r="F29" s="6" t="n">
        <v>450</v>
      </c>
      <c r="G29" s="6" t="n">
        <v>39</v>
      </c>
    </row>
    <row r="30">
      <c r="A30" s="6" t="inlineStr">
        <is>
          <t>Subordinated loan</t>
        </is>
      </c>
      <c r="B30" s="6" t="n">
        <v>14646</v>
      </c>
      <c r="C30" s="6" t="n">
        <v>15784</v>
      </c>
      <c r="D30" s="6" t="n">
        <v>16141</v>
      </c>
      <c r="E30" s="6" t="n">
        <v>33549</v>
      </c>
      <c r="F30" s="6" t="n">
        <v>31424</v>
      </c>
      <c r="G30" s="6" t="n">
        <v>14827</v>
      </c>
    </row>
    <row r="31">
      <c r="A31" s="5" t="inlineStr">
        <is>
          <t>Total liabilities</t>
        </is>
      </c>
      <c r="B31" s="5" t="n">
        <v>379117</v>
      </c>
      <c r="C31" s="5" t="n">
        <v>362557</v>
      </c>
      <c r="D31" s="5" t="n">
        <v>252533</v>
      </c>
      <c r="E31" s="5" t="n">
        <v>297920</v>
      </c>
      <c r="F31" s="5" t="n">
        <v>305331</v>
      </c>
      <c r="G31" s="5" t="n">
        <v>424170</v>
      </c>
    </row>
    <row r="32">
      <c r="A32" s="5" t="inlineStr">
        <is>
          <t>Equity</t>
        </is>
      </c>
      <c r="B32" s="6" t="n"/>
      <c r="C32" s="6" t="n"/>
      <c r="D32" s="6" t="n"/>
      <c r="E32" s="6" t="n"/>
      <c r="F32" s="6" t="n"/>
      <c r="G32" s="6" t="n"/>
    </row>
    <row r="33">
      <c r="A33" s="6" t="inlineStr">
        <is>
          <t>Called up share capital</t>
        </is>
      </c>
      <c r="B33" s="6" t="n">
        <v>34150</v>
      </c>
      <c r="C33" s="6" t="n">
        <v>34150</v>
      </c>
      <c r="D33" s="6" t="n">
        <v>34150</v>
      </c>
      <c r="E33" s="6" t="n">
        <v>34150</v>
      </c>
      <c r="F33" s="6" t="n">
        <v>34150</v>
      </c>
      <c r="G33" s="6" t="n">
        <v>34150</v>
      </c>
    </row>
    <row r="34">
      <c r="A34" s="6" t="inlineStr">
        <is>
          <t>Retained earnings</t>
        </is>
      </c>
      <c r="B34" s="6" t="n">
        <v>88826</v>
      </c>
      <c r="C34" s="6" t="n">
        <v>86064</v>
      </c>
      <c r="D34" s="6" t="n">
        <v>80845</v>
      </c>
      <c r="E34" s="6" t="n">
        <v>73934</v>
      </c>
      <c r="F34" s="6" t="n">
        <v>70758</v>
      </c>
      <c r="G34" s="6" t="n">
        <v>62454</v>
      </c>
    </row>
    <row r="35">
      <c r="A35" s="5" t="inlineStr">
        <is>
          <t>Total equity</t>
        </is>
      </c>
      <c r="B35" s="5" t="n">
        <v>122976</v>
      </c>
      <c r="C35" s="5" t="n">
        <v>120214</v>
      </c>
      <c r="D35" s="5" t="n">
        <v>114995</v>
      </c>
      <c r="E35" s="5" t="n">
        <v>108084</v>
      </c>
      <c r="F35" s="5" t="n">
        <v>104908</v>
      </c>
      <c r="G35" s="5" t="n">
        <v>96604</v>
      </c>
    </row>
    <row r="36">
      <c r="A36" s="5" t="inlineStr">
        <is>
          <t>Total liabilities and equity</t>
        </is>
      </c>
      <c r="B36" s="5" t="n">
        <v>502094</v>
      </c>
      <c r="C36" s="5" t="n">
        <v>482771</v>
      </c>
      <c r="D36" s="5" t="n">
        <v>367529</v>
      </c>
      <c r="E36" s="5" t="n">
        <v>406004</v>
      </c>
      <c r="F36" s="5" t="n">
        <v>410239</v>
      </c>
      <c r="G36" s="5" t="n">
        <v>520774</v>
      </c>
    </row>
    <row r="37"/>
    <row r="38" ht="280" customHeight="1">
      <c r="A38"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8:G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Profit &amp; Loss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Income</t>
        </is>
      </c>
      <c r="B4" s="6" t="n"/>
      <c r="C4" s="6" t="n"/>
      <c r="D4" s="6" t="n"/>
      <c r="E4" s="6" t="n"/>
      <c r="F4" s="6" t="n"/>
      <c r="G4" s="6" t="n"/>
    </row>
    <row r="5">
      <c r="A5" s="6" t="inlineStr">
        <is>
          <t>Interest income</t>
        </is>
      </c>
      <c r="B5" s="6" t="n">
        <v>22273</v>
      </c>
      <c r="C5" s="6" t="n">
        <v>23830</v>
      </c>
      <c r="D5" s="6" t="n">
        <v>20688</v>
      </c>
      <c r="E5" s="6" t="n">
        <v>11195</v>
      </c>
      <c r="F5" s="6" t="n">
        <v>6286</v>
      </c>
      <c r="G5" s="6" t="n">
        <v>10879</v>
      </c>
    </row>
    <row r="6">
      <c r="A6" s="6" t="inlineStr">
        <is>
          <t>Interest expense</t>
        </is>
      </c>
      <c r="B6" s="6" t="n">
        <v>-6352</v>
      </c>
      <c r="C6" s="6" t="n">
        <v>-5875</v>
      </c>
      <c r="D6" s="6" t="n">
        <v>-4270</v>
      </c>
      <c r="E6" s="6" t="n">
        <v>-2956</v>
      </c>
      <c r="F6" s="6" t="n">
        <v>-2676</v>
      </c>
      <c r="G6" s="6" t="n">
        <v>-3579</v>
      </c>
    </row>
    <row r="7">
      <c r="A7" s="5" t="inlineStr">
        <is>
          <t>Net interest income</t>
        </is>
      </c>
      <c r="B7" s="5" t="n">
        <v>15921</v>
      </c>
      <c r="C7" s="5" t="n">
        <v>17955</v>
      </c>
      <c r="D7" s="5" t="n">
        <v>16418</v>
      </c>
      <c r="E7" s="5" t="n">
        <v>8239</v>
      </c>
      <c r="F7" s="5" t="n">
        <v>3610</v>
      </c>
      <c r="G7" s="5" t="n">
        <v>7301</v>
      </c>
    </row>
    <row r="8">
      <c r="A8" s="6" t="inlineStr">
        <is>
          <t>Fees and commission income (net)</t>
        </is>
      </c>
      <c r="B8" s="6" t="n">
        <v>7359</v>
      </c>
      <c r="C8" s="6" t="n">
        <v>6186</v>
      </c>
      <c r="D8" s="6" t="n">
        <v>6476</v>
      </c>
      <c r="E8" s="6" t="n">
        <v>8211</v>
      </c>
      <c r="F8" s="6" t="n">
        <v>7427</v>
      </c>
      <c r="G8" s="6" t="n">
        <v>10179</v>
      </c>
    </row>
    <row r="9">
      <c r="A9" s="6" t="inlineStr">
        <is>
          <t>Foreign exchange income</t>
        </is>
      </c>
      <c r="B9" s="6" t="n">
        <v>952</v>
      </c>
      <c r="C9" s="6" t="n">
        <v>888</v>
      </c>
      <c r="D9" s="6" t="n">
        <v>1041</v>
      </c>
      <c r="E9" s="6" t="n">
        <v>880</v>
      </c>
      <c r="F9" s="6" t="n">
        <v>588</v>
      </c>
      <c r="G9" s="6" t="n">
        <v>539</v>
      </c>
    </row>
    <row r="10">
      <c r="A10" s="5" t="inlineStr">
        <is>
          <t>Total non-interest income</t>
        </is>
      </c>
      <c r="B10" s="5" t="n">
        <v>8311</v>
      </c>
      <c r="C10" s="5" t="n">
        <v>7073</v>
      </c>
      <c r="D10" s="5" t="n">
        <v>7517</v>
      </c>
      <c r="E10" s="5" t="n">
        <v>9090</v>
      </c>
      <c r="F10" s="5" t="n">
        <v>8015</v>
      </c>
      <c r="G10" s="5" t="n">
        <v>10718</v>
      </c>
    </row>
    <row r="11">
      <c r="A11" s="5" t="inlineStr">
        <is>
          <t>Total income</t>
        </is>
      </c>
      <c r="B11" s="5" t="n">
        <v>24232</v>
      </c>
      <c r="C11" s="5" t="n">
        <v>25029</v>
      </c>
      <c r="D11" s="5" t="n">
        <v>23935</v>
      </c>
      <c r="E11" s="5" t="n">
        <v>17329</v>
      </c>
      <c r="F11" s="5" t="n">
        <v>11625</v>
      </c>
      <c r="G11" s="5" t="n">
        <v>18018</v>
      </c>
    </row>
    <row r="12">
      <c r="A12" s="5" t="inlineStr">
        <is>
          <t>Expenses</t>
        </is>
      </c>
      <c r="B12" s="6" t="n"/>
      <c r="C12" s="6" t="n"/>
      <c r="D12" s="6" t="n"/>
      <c r="E12" s="6" t="n"/>
      <c r="F12" s="6" t="n"/>
      <c r="G12" s="6" t="n"/>
    </row>
    <row r="13">
      <c r="A13" s="6" t="inlineStr">
        <is>
          <t>Administrative expenses</t>
        </is>
      </c>
      <c r="B13" s="6" t="n">
        <v>-14398</v>
      </c>
      <c r="C13" s="6" t="n">
        <v>-12234</v>
      </c>
      <c r="D13" s="6" t="n">
        <v>-11303</v>
      </c>
      <c r="E13" s="6" t="n">
        <v>-9666</v>
      </c>
      <c r="F13" s="6" t="n">
        <v>-9127</v>
      </c>
      <c r="G13" s="6" t="n">
        <v>-8149</v>
      </c>
    </row>
    <row r="14">
      <c r="A14" s="6" t="inlineStr">
        <is>
          <t>Finance cost</t>
        </is>
      </c>
      <c r="B14" s="6" t="n">
        <v>-23</v>
      </c>
      <c r="C14" s="6" t="n">
        <v>-83</v>
      </c>
      <c r="D14" s="6" t="n">
        <v>-32</v>
      </c>
      <c r="E14" s="6" t="n">
        <v>-38</v>
      </c>
      <c r="F14" s="6" t="n">
        <v>-43</v>
      </c>
      <c r="G14" s="6" t="n"/>
    </row>
    <row r="15">
      <c r="A15" s="6" t="inlineStr">
        <is>
          <t>Net impairment (losses)/reversal on financial assets</t>
        </is>
      </c>
      <c r="B15" s="6" t="n">
        <v>368</v>
      </c>
      <c r="C15" s="6" t="n">
        <v>241</v>
      </c>
      <c r="D15" s="6" t="n">
        <v>-736</v>
      </c>
      <c r="E15" s="6" t="n">
        <v>-2669</v>
      </c>
      <c r="F15" s="6" t="n">
        <v>-297</v>
      </c>
      <c r="G15" s="6" t="n">
        <v>-500</v>
      </c>
    </row>
    <row r="16">
      <c r="A16" s="5" t="inlineStr">
        <is>
          <t>Profit before taxation</t>
        </is>
      </c>
      <c r="B16" s="5" t="n">
        <v>10177</v>
      </c>
      <c r="C16" s="5" t="n">
        <v>12953</v>
      </c>
      <c r="D16" s="5" t="n">
        <v>11864</v>
      </c>
      <c r="E16" s="5" t="n">
        <v>4956</v>
      </c>
      <c r="F16" s="5" t="n">
        <v>2157</v>
      </c>
      <c r="G16" s="5" t="n">
        <v>9369</v>
      </c>
    </row>
    <row r="17">
      <c r="A17" s="6" t="inlineStr">
        <is>
          <t>Taxation</t>
        </is>
      </c>
      <c r="B17" s="6" t="n">
        <v>-2581</v>
      </c>
      <c r="C17" s="6" t="n">
        <v>-3283</v>
      </c>
      <c r="D17" s="6" t="n">
        <v>-2838</v>
      </c>
      <c r="E17" s="6" t="n">
        <v>-980</v>
      </c>
      <c r="F17" s="6" t="n">
        <v>-737</v>
      </c>
      <c r="G17" s="6" t="n">
        <v>-1943</v>
      </c>
    </row>
    <row r="18">
      <c r="A18" s="6" t="inlineStr">
        <is>
          <t>Discontinued operations (Frankfurt Branch)</t>
        </is>
      </c>
      <c r="B18" s="6" t="n"/>
      <c r="C18" s="6" t="n"/>
      <c r="D18" s="6" t="n">
        <v>-127</v>
      </c>
      <c r="E18" s="6" t="n"/>
      <c r="F18" s="6" t="n"/>
      <c r="G18" s="6" t="n"/>
    </row>
    <row r="19">
      <c r="A19" s="5" t="inlineStr">
        <is>
          <t>Profit for the year</t>
        </is>
      </c>
      <c r="B19" s="5" t="n">
        <v>7597</v>
      </c>
      <c r="C19" s="5" t="n">
        <v>9670</v>
      </c>
      <c r="D19" s="5" t="n">
        <v>8899</v>
      </c>
      <c r="E19" s="5" t="n">
        <v>3976</v>
      </c>
      <c r="F19" s="5" t="n">
        <v>1420</v>
      </c>
      <c r="G19" s="5" t="n">
        <v>7426</v>
      </c>
    </row>
    <row r="20">
      <c r="A20" s="5" t="inlineStr">
        <is>
          <t>Other comprehensive income</t>
        </is>
      </c>
      <c r="B20" s="6" t="n"/>
      <c r="C20" s="6" t="n"/>
      <c r="D20" s="6" t="n"/>
      <c r="E20" s="6" t="n"/>
      <c r="F20" s="6" t="n"/>
      <c r="G20" s="6" t="n"/>
    </row>
    <row r="21">
      <c r="A21" s="6" t="inlineStr">
        <is>
          <t>Financial assets at FVOCI - gains arising during the year</t>
        </is>
      </c>
      <c r="B21" s="6" t="n"/>
      <c r="C21" s="6" t="n"/>
      <c r="D21" s="6" t="n"/>
      <c r="E21" s="6" t="n">
        <v>3</v>
      </c>
      <c r="F21" s="6" t="n">
        <v>13</v>
      </c>
      <c r="G21" s="6" t="n">
        <v>-6</v>
      </c>
    </row>
    <row r="22">
      <c r="A22" s="6" t="inlineStr">
        <is>
          <t>Income tax relating to items that may be reclassified</t>
        </is>
      </c>
      <c r="B22" s="6" t="n"/>
      <c r="C22" s="6" t="n"/>
      <c r="D22" s="6" t="n"/>
      <c r="E22" s="6" t="n">
        <v>-1</v>
      </c>
      <c r="F22" s="6" t="n">
        <v>-2</v>
      </c>
      <c r="G22" s="6" t="n"/>
    </row>
    <row r="23">
      <c r="A23" s="5" t="inlineStr">
        <is>
          <t>Other comprehensive income for the year, net of tax</t>
        </is>
      </c>
      <c r="B23" s="5" t="n">
        <v>0</v>
      </c>
      <c r="C23" s="5" t="n">
        <v>0</v>
      </c>
      <c r="D23" s="5" t="n">
        <v>0</v>
      </c>
      <c r="E23" s="5" t="n">
        <v>2</v>
      </c>
      <c r="F23" s="5" t="n">
        <v>11</v>
      </c>
      <c r="G23" s="5" t="n">
        <v>29</v>
      </c>
    </row>
    <row r="24">
      <c r="A24" s="5" t="inlineStr">
        <is>
          <t>Total comprehensive income for the year</t>
        </is>
      </c>
      <c r="B24" s="5" t="n">
        <v>7597</v>
      </c>
      <c r="C24" s="5" t="n">
        <v>9670</v>
      </c>
      <c r="D24" s="5" t="n">
        <v>8899</v>
      </c>
      <c r="E24" s="5" t="n">
        <v>3978</v>
      </c>
      <c r="F24" s="5" t="n">
        <v>1430</v>
      </c>
      <c r="G24" s="5" t="n">
        <v>7455</v>
      </c>
    </row>
    <row r="25"/>
    <row r="26" ht="280" customHeight="1">
      <c r="A26"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6:G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Beirut (UK) Ltd — Statement of Changes in Equity</t>
        </is>
      </c>
    </row>
    <row r="2">
      <c r="A2" s="2" t="inlineStr">
        <is>
          <t>Entity-level basis, £'000s (converted from source £), chronological. Full 5 years, 1 Jan 2021 - 31 Dec 2025.</t>
        </is>
      </c>
    </row>
    <row r="3">
      <c r="A3" s="4" t="inlineStr">
        <is>
          <t>Movement</t>
        </is>
      </c>
      <c r="B3" s="4" t="inlineStr">
        <is>
          <t>Called up share capital</t>
        </is>
      </c>
      <c r="C3" s="4" t="inlineStr">
        <is>
          <t>Retained earnings</t>
        </is>
      </c>
      <c r="D3" s="4" t="inlineStr">
        <is>
          <t>Total equity</t>
        </is>
      </c>
    </row>
    <row r="4">
      <c r="A4" s="6" t="inlineStr">
        <is>
          <t>As at 1 January 2021</t>
        </is>
      </c>
      <c r="B4" s="6" t="n">
        <v>34150</v>
      </c>
      <c r="C4" s="6" t="n">
        <v>69328</v>
      </c>
      <c r="D4" s="6" t="n">
        <v>103478</v>
      </c>
    </row>
    <row r="5">
      <c r="A5" s="6" t="inlineStr">
        <is>
          <t>Profit for the year</t>
        </is>
      </c>
      <c r="B5" s="6" t="n">
        <v>0</v>
      </c>
      <c r="C5" s="6" t="n">
        <v>1420</v>
      </c>
      <c r="D5" s="6" t="n">
        <v>1420</v>
      </c>
    </row>
    <row r="6">
      <c r="A6" s="6" t="inlineStr">
        <is>
          <t>Other comprehensive income for the year</t>
        </is>
      </c>
      <c r="B6" s="6" t="n">
        <v>0</v>
      </c>
      <c r="C6" s="6" t="n">
        <v>11</v>
      </c>
      <c r="D6" s="6" t="n">
        <v>11</v>
      </c>
    </row>
    <row r="7">
      <c r="A7" s="5" t="inlineStr">
        <is>
          <t>As at 31 December 2021</t>
        </is>
      </c>
      <c r="B7" s="5" t="n">
        <v>34150</v>
      </c>
      <c r="C7" s="5" t="n">
        <v>70758</v>
      </c>
      <c r="D7" s="5" t="n">
        <v>104908</v>
      </c>
    </row>
    <row r="8">
      <c r="A8" s="6" t="inlineStr">
        <is>
          <t>Dividend paid</t>
        </is>
      </c>
      <c r="B8" s="6" t="n">
        <v>0</v>
      </c>
      <c r="C8" s="6" t="n">
        <v>-802</v>
      </c>
      <c r="D8" s="6" t="n">
        <v>-802</v>
      </c>
    </row>
    <row r="9">
      <c r="A9" s="6" t="inlineStr">
        <is>
          <t>Profit for the year</t>
        </is>
      </c>
      <c r="B9" s="6" t="n">
        <v>0</v>
      </c>
      <c r="C9" s="6" t="n">
        <v>3976</v>
      </c>
      <c r="D9" s="6" t="n">
        <v>3976</v>
      </c>
    </row>
    <row r="10">
      <c r="A10" s="6" t="inlineStr">
        <is>
          <t>Other comprehensive income for the year</t>
        </is>
      </c>
      <c r="B10" s="6" t="n">
        <v>0</v>
      </c>
      <c r="C10" s="6" t="n">
        <v>2</v>
      </c>
      <c r="D10" s="6" t="n">
        <v>2</v>
      </c>
    </row>
    <row r="11">
      <c r="A11" s="5" t="inlineStr">
        <is>
          <t>As at 31 December 2022</t>
        </is>
      </c>
      <c r="B11" s="5" t="n">
        <v>34150</v>
      </c>
      <c r="C11" s="5" t="n">
        <v>73934</v>
      </c>
      <c r="D11" s="5" t="n">
        <v>108084</v>
      </c>
    </row>
    <row r="12">
      <c r="A12" s="6" t="inlineStr">
        <is>
          <t>Dividend paid</t>
        </is>
      </c>
      <c r="B12" s="6" t="n">
        <v>0</v>
      </c>
      <c r="C12" s="6" t="n">
        <v>-1988</v>
      </c>
      <c r="D12" s="6" t="n">
        <v>-1988</v>
      </c>
    </row>
    <row r="13">
      <c r="A13" s="6" t="inlineStr">
        <is>
          <t>Profit for the year</t>
        </is>
      </c>
      <c r="B13" s="6" t="n">
        <v>0</v>
      </c>
      <c r="C13" s="6" t="n">
        <v>8899</v>
      </c>
      <c r="D13" s="6" t="n">
        <v>8899</v>
      </c>
    </row>
    <row r="14">
      <c r="A14" s="5" t="inlineStr">
        <is>
          <t>As at 31 December 2023</t>
        </is>
      </c>
      <c r="B14" s="5" t="n">
        <v>34150</v>
      </c>
      <c r="C14" s="5" t="n">
        <v>80845</v>
      </c>
      <c r="D14" s="5" t="n">
        <v>114995</v>
      </c>
    </row>
    <row r="15">
      <c r="A15" s="6" t="inlineStr">
        <is>
          <t>Other adjustment</t>
        </is>
      </c>
      <c r="B15" s="6" t="n">
        <v>0</v>
      </c>
      <c r="C15" s="6" t="n">
        <v>-1</v>
      </c>
      <c r="D15" s="6" t="n">
        <v>-1</v>
      </c>
    </row>
    <row r="16">
      <c r="A16" s="6" t="inlineStr">
        <is>
          <t>Dividend paid</t>
        </is>
      </c>
      <c r="B16" s="6" t="n">
        <v>0</v>
      </c>
      <c r="C16" s="6" t="n">
        <v>-4450</v>
      </c>
      <c r="D16" s="6" t="n">
        <v>-4450</v>
      </c>
    </row>
    <row r="17">
      <c r="A17" s="6" t="inlineStr">
        <is>
          <t>Profit for the year</t>
        </is>
      </c>
      <c r="B17" s="6" t="n">
        <v>0</v>
      </c>
      <c r="C17" s="6" t="n">
        <v>9670</v>
      </c>
      <c r="D17" s="6" t="n">
        <v>9670</v>
      </c>
    </row>
    <row r="18">
      <c r="A18" s="5" t="inlineStr">
        <is>
          <t>As at 31 December 2024</t>
        </is>
      </c>
      <c r="B18" s="5" t="n">
        <v>34150</v>
      </c>
      <c r="C18" s="5" t="n">
        <v>86064</v>
      </c>
      <c r="D18" s="5" t="n">
        <v>120214</v>
      </c>
    </row>
    <row r="19">
      <c r="A19" s="6" t="inlineStr">
        <is>
          <t>Dividend paid</t>
        </is>
      </c>
      <c r="B19" s="6" t="n">
        <v>0</v>
      </c>
      <c r="C19" s="6" t="n">
        <v>-4835</v>
      </c>
      <c r="D19" s="6" t="n">
        <v>-4835</v>
      </c>
    </row>
    <row r="20">
      <c r="A20" s="6" t="inlineStr">
        <is>
          <t>Profit for the year</t>
        </is>
      </c>
      <c r="B20" s="6" t="n">
        <v>0</v>
      </c>
      <c r="C20" s="6" t="n">
        <v>7597</v>
      </c>
      <c r="D20" s="6" t="n">
        <v>7597</v>
      </c>
    </row>
    <row r="21">
      <c r="A21" s="5" t="inlineStr">
        <is>
          <t>As at 31 December 2025</t>
        </is>
      </c>
      <c r="B21" s="5" t="n">
        <v>34150</v>
      </c>
      <c r="C21" s="5" t="n">
        <v>88826</v>
      </c>
      <c r="D21" s="5" t="n">
        <v>122976</v>
      </c>
    </row>
    <row r="23" ht="150" customHeight="1">
      <c r="A23"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3:D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Cash Flow Statement</t>
        </is>
      </c>
    </row>
    <row r="2">
      <c r="A2" s="2" t="inlineStr">
        <is>
          <t>Entity-level basis, £'000s (converted from source £). Full 5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FY2017 (£'000s)</t>
        </is>
      </c>
    </row>
    <row r="4">
      <c r="A4" s="5" t="inlineStr">
        <is>
          <t>Operating activities</t>
        </is>
      </c>
      <c r="B4" s="6" t="n"/>
      <c r="C4" s="6" t="n"/>
      <c r="D4" s="6" t="n"/>
      <c r="E4" s="6" t="n"/>
      <c r="F4" s="6" t="n"/>
      <c r="G4" s="6" t="n"/>
    </row>
    <row r="5">
      <c r="A5" s="6" t="inlineStr">
        <is>
          <t>Profit for the year</t>
        </is>
      </c>
      <c r="B5" s="6" t="n">
        <v>7597</v>
      </c>
      <c r="C5" s="6" t="n">
        <v>9670</v>
      </c>
      <c r="D5" s="6" t="n">
        <v>8899</v>
      </c>
      <c r="E5" s="6" t="n">
        <v>3976</v>
      </c>
      <c r="F5" s="6" t="n">
        <v>1420</v>
      </c>
      <c r="G5" s="6" t="n"/>
    </row>
    <row r="6">
      <c r="A6" s="6" t="inlineStr">
        <is>
          <t>Taxation</t>
        </is>
      </c>
      <c r="B6" s="6" t="n">
        <v>2586</v>
      </c>
      <c r="C6" s="6" t="n">
        <v>3283</v>
      </c>
      <c r="D6" s="6" t="n">
        <v>2838</v>
      </c>
      <c r="E6" s="6" t="n">
        <v>980</v>
      </c>
      <c r="F6" s="6" t="n">
        <v>737</v>
      </c>
      <c r="G6" s="6" t="n"/>
    </row>
    <row r="7">
      <c r="A7" s="6" t="inlineStr">
        <is>
          <t>Treasury Bills discount and interest</t>
        </is>
      </c>
      <c r="B7" s="6" t="n">
        <v>-233</v>
      </c>
      <c r="C7" s="6" t="n">
        <v>-277</v>
      </c>
      <c r="D7" s="6" t="n">
        <v>594</v>
      </c>
      <c r="E7" s="6" t="n">
        <v>0</v>
      </c>
      <c r="F7" s="6" t="n"/>
      <c r="G7" s="6" t="n"/>
    </row>
    <row r="8">
      <c r="A8" s="6" t="inlineStr">
        <is>
          <t>Depreciation and amortisation</t>
        </is>
      </c>
      <c r="B8" s="6" t="n">
        <v>1004</v>
      </c>
      <c r="C8" s="6" t="n">
        <v>834</v>
      </c>
      <c r="D8" s="6" t="n">
        <v>750</v>
      </c>
      <c r="E8" s="6" t="n">
        <v>642</v>
      </c>
      <c r="F8" s="6" t="n">
        <v>809</v>
      </c>
      <c r="G8" s="6" t="n"/>
    </row>
    <row r="9">
      <c r="A9" s="6" t="inlineStr">
        <is>
          <t>Impairment reversal/(losses) on financial assets</t>
        </is>
      </c>
      <c r="B9" s="6" t="n">
        <v>-368</v>
      </c>
      <c r="C9" s="6" t="n">
        <v>-241</v>
      </c>
      <c r="D9" s="6" t="n">
        <v>736</v>
      </c>
      <c r="E9" s="6" t="n">
        <v>2669</v>
      </c>
      <c r="F9" s="6" t="n">
        <v>297</v>
      </c>
      <c r="G9" s="6" t="n"/>
    </row>
    <row r="10">
      <c r="A10" s="6" t="inlineStr">
        <is>
          <t>Finance cost on lease liabilities</t>
        </is>
      </c>
      <c r="B10" s="6" t="n">
        <v>23</v>
      </c>
      <c r="C10" s="6" t="n">
        <v>83</v>
      </c>
      <c r="D10" s="6" t="n">
        <v>32</v>
      </c>
      <c r="E10" s="6" t="n">
        <v>38</v>
      </c>
      <c r="F10" s="6" t="n">
        <v>43</v>
      </c>
      <c r="G10" s="6" t="n"/>
    </row>
    <row r="11">
      <c r="A11" s="6" t="inlineStr">
        <is>
          <t>Interest income</t>
        </is>
      </c>
      <c r="B11" s="6" t="n">
        <v>-22273</v>
      </c>
      <c r="C11" s="6" t="n">
        <v>-23830</v>
      </c>
      <c r="D11" s="6" t="n"/>
      <c r="E11" s="6" t="n"/>
      <c r="F11" s="6" t="n"/>
      <c r="G11" s="6" t="n"/>
    </row>
    <row r="12">
      <c r="A12" s="6" t="inlineStr">
        <is>
          <t>Interest expense</t>
        </is>
      </c>
      <c r="B12" s="6" t="n">
        <v>6352</v>
      </c>
      <c r="C12" s="6" t="n">
        <v>5875</v>
      </c>
      <c r="D12" s="6" t="n"/>
      <c r="E12" s="6" t="n"/>
      <c r="F12" s="6" t="n"/>
      <c r="G12" s="6" t="n"/>
    </row>
    <row r="13">
      <c r="A13" s="5" t="inlineStr">
        <is>
          <t>Operating cash flows before movements in working capital</t>
        </is>
      </c>
      <c r="B13" s="5" t="n">
        <v>-5312</v>
      </c>
      <c r="C13" s="5" t="n">
        <v>-4603</v>
      </c>
      <c r="D13" s="5" t="n">
        <v>13849</v>
      </c>
      <c r="E13" s="5" t="n">
        <v>8304</v>
      </c>
      <c r="F13" s="5" t="n">
        <v>3306</v>
      </c>
      <c r="G13" s="5" t="n"/>
    </row>
    <row r="14">
      <c r="A14" s="6" t="inlineStr">
        <is>
          <t>Increase/(Decrease) in prepayments and accrued income</t>
        </is>
      </c>
      <c r="B14" s="6" t="n">
        <v>-337</v>
      </c>
      <c r="C14" s="6" t="n">
        <v>-497</v>
      </c>
      <c r="D14" s="6" t="n">
        <v>104</v>
      </c>
      <c r="E14" s="6" t="n">
        <v>-178</v>
      </c>
      <c r="F14" s="6" t="n">
        <v>-181</v>
      </c>
      <c r="G14" s="6" t="n"/>
    </row>
    <row r="15">
      <c r="A15" s="6" t="inlineStr">
        <is>
          <t>(Decrease)/Increase in accruals and deferred income</t>
        </is>
      </c>
      <c r="B15" s="6" t="n">
        <v>-347</v>
      </c>
      <c r="C15" s="6" t="n">
        <v>-170</v>
      </c>
      <c r="D15" s="6" t="n">
        <v>303</v>
      </c>
      <c r="E15" s="6" t="n">
        <v>-31</v>
      </c>
      <c r="F15" s="6" t="n">
        <v>263</v>
      </c>
      <c r="G15" s="6" t="n"/>
    </row>
    <row r="16">
      <c r="A16" s="6" t="inlineStr">
        <is>
          <t>Net Increase/(Decrease) in loans and advances to banks and customers</t>
        </is>
      </c>
      <c r="B16" s="6" t="n">
        <v>-24435</v>
      </c>
      <c r="C16" s="6" t="n">
        <v>-54985</v>
      </c>
      <c r="D16" s="6" t="n">
        <v>39905</v>
      </c>
      <c r="E16" s="6" t="n">
        <v>-27093</v>
      </c>
      <c r="F16" s="6" t="n">
        <v>24313</v>
      </c>
      <c r="G16" s="6" t="n"/>
    </row>
    <row r="17">
      <c r="A17" s="6" t="inlineStr">
        <is>
          <t>(Decrease)/Increase in deposits by banks and customer accounts</t>
        </is>
      </c>
      <c r="B17" s="6" t="n">
        <v>24806</v>
      </c>
      <c r="C17" s="6" t="n">
        <v>103729</v>
      </c>
      <c r="D17" s="6" t="n">
        <v>-29538</v>
      </c>
      <c r="E17" s="6" t="n">
        <v>-6085</v>
      </c>
      <c r="F17" s="6" t="n">
        <v>-11002</v>
      </c>
      <c r="G17" s="6" t="n"/>
    </row>
    <row r="18">
      <c r="A18" s="6" t="inlineStr">
        <is>
          <t>(Decrease)/Increase in other liabilities</t>
        </is>
      </c>
      <c r="B18" s="6" t="n">
        <v>-8938</v>
      </c>
      <c r="C18" s="6" t="n">
        <v>10394</v>
      </c>
      <c r="D18" s="6" t="n">
        <v>-69</v>
      </c>
      <c r="E18" s="6" t="n">
        <v>299</v>
      </c>
      <c r="F18" s="6" t="n">
        <v>-1363</v>
      </c>
      <c r="G18" s="6" t="n"/>
    </row>
    <row r="19">
      <c r="A19" s="6" t="inlineStr">
        <is>
          <t>Net (Decrease)/Increase in derivative financial instruments</t>
        </is>
      </c>
      <c r="B19" s="6" t="n">
        <v>-145</v>
      </c>
      <c r="C19" s="6" t="n">
        <v>192</v>
      </c>
      <c r="D19" s="6" t="n">
        <v>-65</v>
      </c>
      <c r="E19" s="6" t="n">
        <v>17</v>
      </c>
      <c r="F19" s="6" t="n"/>
      <c r="G19" s="6" t="n"/>
    </row>
    <row r="20">
      <c r="A20" s="6" t="inlineStr">
        <is>
          <t>Interest income received</t>
        </is>
      </c>
      <c r="B20" s="6" t="n">
        <v>23318</v>
      </c>
      <c r="C20" s="6" t="n">
        <v>23628</v>
      </c>
      <c r="D20" s="6" t="n"/>
      <c r="E20" s="6" t="n"/>
      <c r="F20" s="6" t="n"/>
      <c r="G20" s="6" t="n"/>
    </row>
    <row r="21">
      <c r="A21" s="6" t="inlineStr">
        <is>
          <t>Interest expense paid</t>
        </is>
      </c>
      <c r="B21" s="6" t="n">
        <v>-6569</v>
      </c>
      <c r="C21" s="6" t="n">
        <v>-6056</v>
      </c>
      <c r="D21" s="6" t="n"/>
      <c r="E21" s="6" t="n"/>
      <c r="F21" s="6" t="n"/>
      <c r="G21" s="6" t="n"/>
    </row>
    <row r="22">
      <c r="A22" s="6" t="inlineStr">
        <is>
          <t>Corporation tax paid</t>
        </is>
      </c>
      <c r="B22" s="6" t="n">
        <v>-2571</v>
      </c>
      <c r="C22" s="6" t="n">
        <v>-4710</v>
      </c>
      <c r="D22" s="6" t="n">
        <v>-1828</v>
      </c>
      <c r="E22" s="6" t="n">
        <v>-356</v>
      </c>
      <c r="F22" s="6" t="n">
        <v>-295</v>
      </c>
      <c r="G22" s="6" t="n">
        <v>-1782</v>
      </c>
    </row>
    <row r="23">
      <c r="A23" s="5" t="inlineStr">
        <is>
          <t>Net cash (used in)/generated from operating activities</t>
        </is>
      </c>
      <c r="B23" s="5" t="n">
        <v>-529</v>
      </c>
      <c r="C23" s="5" t="n">
        <v>121755</v>
      </c>
      <c r="D23" s="5" t="n">
        <v>22662</v>
      </c>
      <c r="E23" s="5" t="n">
        <v>-25122</v>
      </c>
      <c r="F23" s="5" t="n">
        <v>15041</v>
      </c>
      <c r="G23" s="5" t="n"/>
    </row>
    <row r="24">
      <c r="A24" s="5" t="inlineStr">
        <is>
          <t>Investing activities</t>
        </is>
      </c>
      <c r="B24" s="6" t="n"/>
      <c r="C24" s="6" t="n"/>
      <c r="D24" s="6" t="n"/>
      <c r="E24" s="6" t="n"/>
      <c r="F24" s="6" t="n"/>
      <c r="G24" s="6" t="n"/>
    </row>
    <row r="25">
      <c r="A25" s="6" t="inlineStr">
        <is>
          <t>Purchase of property, equipment and intangible assets</t>
        </is>
      </c>
      <c r="B25" s="6" t="n">
        <v>-3860</v>
      </c>
      <c r="C25" s="6" t="n">
        <v>-1906</v>
      </c>
      <c r="D25" s="6" t="n">
        <v>-355</v>
      </c>
      <c r="E25" s="6" t="n">
        <v>-769</v>
      </c>
      <c r="F25" s="6" t="n">
        <v>-128</v>
      </c>
      <c r="G25" s="6" t="n"/>
    </row>
    <row r="26">
      <c r="A26" s="6" t="inlineStr">
        <is>
          <t>Proceeds on maturity of treasury bills and other eligible bills</t>
        </is>
      </c>
      <c r="B26" s="6" t="n">
        <v>340419</v>
      </c>
      <c r="C26" s="6" t="n">
        <v>107809</v>
      </c>
      <c r="D26" s="6" t="n">
        <v>43930</v>
      </c>
      <c r="E26" s="6" t="n">
        <v>39572</v>
      </c>
      <c r="F26" s="6" t="n">
        <v>30077</v>
      </c>
      <c r="G26" s="6" t="n"/>
    </row>
    <row r="27">
      <c r="A27" s="6" t="inlineStr">
        <is>
          <t>Purchase of treasury bills and other eligible bills</t>
        </is>
      </c>
      <c r="B27" s="6" t="n">
        <v>-355953</v>
      </c>
      <c r="C27" s="6" t="n">
        <v>-125744</v>
      </c>
      <c r="D27" s="6" t="n">
        <v>-49034</v>
      </c>
      <c r="E27" s="6" t="n">
        <v>-45974</v>
      </c>
      <c r="F27" s="6" t="n">
        <v>-29631</v>
      </c>
      <c r="G27" s="6" t="n"/>
    </row>
    <row r="28">
      <c r="A28" s="5" t="inlineStr">
        <is>
          <t>Net cash (used in)/generated from investing activities</t>
        </is>
      </c>
      <c r="B28" s="5" t="n">
        <v>-19394</v>
      </c>
      <c r="C28" s="5" t="n">
        <v>-19841</v>
      </c>
      <c r="D28" s="5" t="n">
        <v>-5459</v>
      </c>
      <c r="E28" s="5" t="n">
        <v>-7171</v>
      </c>
      <c r="F28" s="5" t="n">
        <v>318</v>
      </c>
      <c r="G28" s="5" t="n"/>
    </row>
    <row r="29">
      <c r="A29" s="5" t="inlineStr">
        <is>
          <t>Financing activities</t>
        </is>
      </c>
      <c r="B29" s="6" t="n"/>
      <c r="C29" s="6" t="n"/>
      <c r="D29" s="6" t="n"/>
      <c r="E29" s="6" t="n"/>
      <c r="F29" s="6" t="n"/>
      <c r="G29" s="6" t="n"/>
    </row>
    <row r="30">
      <c r="A30" s="6" t="inlineStr">
        <is>
          <t>Lease payments under Finance Lease</t>
        </is>
      </c>
      <c r="B30" s="6" t="n">
        <v>-156</v>
      </c>
      <c r="C30" s="6" t="n">
        <v>-136</v>
      </c>
      <c r="D30" s="6" t="n">
        <v>-148</v>
      </c>
      <c r="E30" s="6" t="n">
        <v>-141</v>
      </c>
      <c r="F30" s="6" t="n">
        <v>-148</v>
      </c>
      <c r="G30" s="6" t="n"/>
    </row>
    <row r="31">
      <c r="A31" s="6" t="inlineStr">
        <is>
          <t>Subordinated loan redemption</t>
        </is>
      </c>
      <c r="B31" s="6" t="n"/>
      <c r="C31" s="6" t="n"/>
      <c r="D31" s="6" t="n">
        <v>-17408</v>
      </c>
      <c r="E31" s="6" t="n"/>
      <c r="F31" s="6" t="n"/>
      <c r="G31" s="6" t="n"/>
    </row>
    <row r="32">
      <c r="A32" s="6" t="inlineStr">
        <is>
          <t>Dividend paid</t>
        </is>
      </c>
      <c r="B32" s="6" t="n">
        <v>-4835</v>
      </c>
      <c r="C32" s="6" t="n">
        <v>-4450</v>
      </c>
      <c r="D32" s="6" t="n">
        <v>-1988</v>
      </c>
      <c r="E32" s="6" t="n">
        <v>-802</v>
      </c>
      <c r="F32" s="6" t="n"/>
      <c r="G32" s="6" t="n"/>
    </row>
    <row r="33">
      <c r="A33" s="5" t="inlineStr">
        <is>
          <t>Net cash (used in)/generated from financing activities</t>
        </is>
      </c>
      <c r="B33" s="5" t="n">
        <v>-4991</v>
      </c>
      <c r="C33" s="5" t="n">
        <v>-4586</v>
      </c>
      <c r="D33" s="5" t="n">
        <v>-19544</v>
      </c>
      <c r="E33" s="5" t="n">
        <v>-944</v>
      </c>
      <c r="F33" s="5" t="n">
        <v>-148</v>
      </c>
      <c r="G33" s="5" t="n"/>
    </row>
    <row r="34">
      <c r="A34" s="5" t="inlineStr">
        <is>
          <t>Net (decrease)/increase in cash and cash equivalents</t>
        </is>
      </c>
      <c r="B34" s="5" t="n">
        <v>-24915</v>
      </c>
      <c r="C34" s="5" t="n">
        <v>42879</v>
      </c>
      <c r="D34" s="5" t="n">
        <v>-2340</v>
      </c>
      <c r="E34" s="5" t="n">
        <v>-33237</v>
      </c>
      <c r="F34" s="5" t="n">
        <v>15211</v>
      </c>
      <c r="G34" s="5" t="n"/>
    </row>
    <row r="35">
      <c r="A35" s="6" t="inlineStr">
        <is>
          <t>Cash and cash equivalents at the beginning of the year</t>
        </is>
      </c>
      <c r="B35" s="6" t="n">
        <v>276518</v>
      </c>
      <c r="C35" s="6" t="n">
        <v>97313</v>
      </c>
      <c r="D35" s="6" t="n">
        <v>97866</v>
      </c>
      <c r="E35" s="6" t="n">
        <v>134557</v>
      </c>
      <c r="F35" s="6" t="n">
        <v>118590</v>
      </c>
      <c r="G35" s="6" t="n">
        <v>96052</v>
      </c>
    </row>
    <row r="36">
      <c r="A36" s="6" t="inlineStr">
        <is>
          <t>Effect of exchange rate changes on cash and cash equivalents</t>
        </is>
      </c>
      <c r="B36" s="6" t="n">
        <v>3169</v>
      </c>
      <c r="C36" s="6" t="n">
        <v>-335</v>
      </c>
      <c r="D36" s="6" t="n">
        <v>1787</v>
      </c>
      <c r="E36" s="6" t="n">
        <v>-3454</v>
      </c>
      <c r="F36" s="6" t="n">
        <v>755</v>
      </c>
      <c r="G36" s="6" t="n"/>
    </row>
    <row r="37">
      <c r="A37" s="5" t="inlineStr">
        <is>
          <t>Cash and cash equivalents at the end of the year</t>
        </is>
      </c>
      <c r="B37" s="5" t="n">
        <v>254772</v>
      </c>
      <c r="C37" s="5" t="n">
        <v>139857</v>
      </c>
      <c r="D37" s="5" t="n">
        <v>97313</v>
      </c>
      <c r="E37" s="5" t="n">
        <v>97866</v>
      </c>
      <c r="F37" s="5" t="n">
        <v>134557</v>
      </c>
      <c r="G37" s="5" t="n">
        <v>105686</v>
      </c>
    </row>
    <row r="38"/>
    <row r="39" ht="300" customHeight="1">
      <c r="A39" s="8" t="inlineStr">
        <is>
          <t>Sources - Bank of Beirut (UK) Ltd's own Cash Flow Statement, converted from £ to £'000s (rounded), all years:
FY2025/FY2024: Annual Report and Financial Statements 2025, p.33 - https://www.bankofbeirut.co.uk/Content/uploads/AnnualReport/Annual_Report_and_Financial_Statements_2025_-_for_publishing.pdf
FY2023: Annual Report and Financial Statements 2023, p.34 - https://www.bankofbeirut.co.uk/Content/Uploads/AnnualReport/Annual%20Report%20and%20Financial%20Statements%202023%20-%20for%20publishing240429124230700~.pdf
FY2022: sourced from the Annual Report and Financial Statements 2023's own FY2022 comparative column, p.34 - https://www.bankofbeirut.co.uk/Content/Uploads/AnnualReport/Annual%20Report%20and%20Financial%20Statements%202023%20-%20for%20publishing240429124230700~.pdf
FY2021: Annual Report &amp; Financial Statements 2021, p.31 - https://www.bankofbeirut.co.uk/Content/uploads/AnnualReport/Bank_of_beirut_UK_Annual_Report_-_2021_.pdf
FY2017: Report and Financial Statements 2017, Cash flow statement, pp.23-27 - https://www.bankofbeirut.co.uk/content/uploads/AnnualReport/bankofbeirut-uk2017-annualreport180614103530638~.pdf (headline extension column, figures rounded from £ to £'000).
GENUINE UNRESOLVED PRESENTATIONAL BREAK: FY2024's own report (Annual Report 2024, p.34/p.33 Balance Sheet) states 'Cash and balances at banks' at FY2024 year-end as £139,856,747, matching FY2023's own year-end figure of £97,312,901 as that year's opening balance - fully self-consistent. But the FY2025 report's own FY2024 comparative restates BOTH the FY2024 balance-sheet cash figure and the cash-flow opening balance to £276,517,994 - a £136.7m increase. Tracing this: the FY2025 report's FY2024 comparative 'Placements with banks' balance-sheet line also drops from its FY2024-report-original £139,666,071 to a restated £3,004,824 in the same amount as the cash increase (£139,666,071 - £3,004,824 = £136,661,247, matching the cash increase to the pound). This is evidence of a genuine reclassification - most of 'Placements with banks' moved into 'Cash and balances at banks' from FY2025 onward, with FY2024 restated for comparability - not an error. Per this project's convention, each column below keeps ITS OWN report's originally-published figures (FY2024 = £139,857k as originally stated, FY2025's own opening balance = £276,518k as its own report states) rather than force-blending the two; the reconciling difference is fully explained above, unlike the unexplained gap left at Arab Bank Europe.
One immaterial £1k rounding artifact in the FY2021 report's own tail chain (kept as printed).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9:G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Asset Quality / Credit Risk Disclosures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Loan book by IFRS 9 stage (gross carrying amount)</t>
        </is>
      </c>
      <c r="B4" s="6" t="n"/>
      <c r="C4" s="6" t="n"/>
      <c r="D4" s="6" t="n"/>
      <c r="E4" s="6" t="n"/>
      <c r="F4" s="6" t="n"/>
      <c r="G4" s="6" t="n"/>
    </row>
    <row r="5">
      <c r="A5" s="6" t="inlineStr">
        <is>
          <t>Stage 1 (12-month ECL)</t>
        </is>
      </c>
      <c r="B5" s="6" t="n">
        <v>142128</v>
      </c>
      <c r="C5" s="6" t="n">
        <v>119370</v>
      </c>
      <c r="D5" s="6" t="n">
        <v>114296</v>
      </c>
      <c r="E5" s="6" t="n">
        <v>159945</v>
      </c>
      <c r="F5" s="6" t="n">
        <v>118696</v>
      </c>
      <c r="G5" s="6" t="n"/>
    </row>
    <row r="6">
      <c r="A6" s="6" t="inlineStr">
        <is>
          <t>Stage 2 (lifetime ECL, not credit-impaired)</t>
        </is>
      </c>
      <c r="B6" s="6" t="n">
        <v>2024</v>
      </c>
      <c r="C6" s="6" t="n">
        <v>1587</v>
      </c>
      <c r="D6" s="6" t="n">
        <v>7063</v>
      </c>
      <c r="E6" s="6" t="n">
        <v>2050</v>
      </c>
      <c r="F6" s="6" t="n">
        <v>8389</v>
      </c>
      <c r="G6" s="6" t="n"/>
    </row>
    <row r="7">
      <c r="A7" s="6" t="inlineStr">
        <is>
          <t>Stage 3 (lifetime ECL, credit-impaired)</t>
        </is>
      </c>
      <c r="B7" s="6" t="n">
        <v>6562</v>
      </c>
      <c r="C7" s="6" t="n">
        <v>10543</v>
      </c>
      <c r="D7" s="6" t="n">
        <v>9952</v>
      </c>
      <c r="E7" s="6" t="n">
        <v>9795</v>
      </c>
      <c r="F7" s="6" t="n">
        <v>8438</v>
      </c>
      <c r="G7" s="6" t="n"/>
    </row>
    <row r="8">
      <c r="A8" s="5" t="inlineStr">
        <is>
          <t>Total gross loans and advances to customers</t>
        </is>
      </c>
      <c r="B8" s="5" t="n">
        <v>150714</v>
      </c>
      <c r="C8" s="5" t="n">
        <v>131500</v>
      </c>
      <c r="D8" s="5" t="n">
        <v>131311</v>
      </c>
      <c r="E8" s="5" t="n">
        <v>171790</v>
      </c>
      <c r="F8" s="5" t="n">
        <v>135523</v>
      </c>
      <c r="G8" s="5" t="n"/>
    </row>
    <row r="9">
      <c r="A9" s="5" t="inlineStr">
        <is>
          <t>Loss allowance (ECL) by stage</t>
        </is>
      </c>
      <c r="B9" s="6" t="n"/>
      <c r="C9" s="6" t="n"/>
      <c r="D9" s="6" t="n"/>
      <c r="E9" s="6" t="n"/>
      <c r="F9" s="6" t="n"/>
      <c r="G9" s="6" t="n"/>
    </row>
    <row r="10">
      <c r="A10" s="6" t="inlineStr">
        <is>
          <t>Stage 1 allowance</t>
        </is>
      </c>
      <c r="B10" s="6" t="n">
        <v>676</v>
      </c>
      <c r="C10" s="6" t="n">
        <v>347</v>
      </c>
      <c r="D10" s="6" t="n">
        <v>391</v>
      </c>
      <c r="E10" s="6" t="n">
        <v>696</v>
      </c>
      <c r="F10" s="6" t="n">
        <v>417</v>
      </c>
      <c r="G10" s="6" t="n"/>
    </row>
    <row r="11">
      <c r="A11" s="6" t="inlineStr">
        <is>
          <t>Stage 2 allowance</t>
        </is>
      </c>
      <c r="B11" s="6" t="n">
        <v>42</v>
      </c>
      <c r="C11" s="6" t="n">
        <v>69</v>
      </c>
      <c r="D11" s="6" t="n">
        <v>84</v>
      </c>
      <c r="E11" s="6" t="n">
        <v>268</v>
      </c>
      <c r="F11" s="6" t="n">
        <v>301</v>
      </c>
      <c r="G11" s="6" t="n"/>
    </row>
    <row r="12">
      <c r="A12" s="6" t="inlineStr">
        <is>
          <t>Stage 3 allowance</t>
        </is>
      </c>
      <c r="B12" s="6" t="n">
        <v>5812</v>
      </c>
      <c r="C12" s="6" t="n">
        <v>9688</v>
      </c>
      <c r="D12" s="6" t="n">
        <v>9740</v>
      </c>
      <c r="E12" s="6" t="n">
        <v>9340</v>
      </c>
      <c r="F12" s="6" t="n">
        <v>5960</v>
      </c>
      <c r="G12" s="6" t="n"/>
    </row>
    <row r="13">
      <c r="A13" s="5" t="inlineStr">
        <is>
          <t>Total loss allowance</t>
        </is>
      </c>
      <c r="B13" s="5" t="n">
        <v>6530</v>
      </c>
      <c r="C13" s="5" t="n">
        <v>10103</v>
      </c>
      <c r="D13" s="5" t="n">
        <v>10215</v>
      </c>
      <c r="E13" s="5" t="n">
        <v>10303</v>
      </c>
      <c r="F13" s="5" t="n">
        <v>6678</v>
      </c>
      <c r="G13" s="5" t="n"/>
    </row>
    <row r="14">
      <c r="A14" s="5" t="inlineStr">
        <is>
          <t>Asset quality ratios</t>
        </is>
      </c>
      <c r="B14" s="6" t="n"/>
      <c r="C14" s="6" t="n"/>
      <c r="D14" s="6" t="n"/>
      <c r="E14" s="6" t="n"/>
      <c r="F14" s="6" t="n"/>
      <c r="G14" s="6" t="n"/>
    </row>
    <row r="15">
      <c r="A15" s="6" t="inlineStr">
        <is>
          <t>ECL coverage ratio (Total allowance / Total gross loans)</t>
        </is>
      </c>
      <c r="B15" s="6" t="inlineStr">
        <is>
          <t>4.33%</t>
        </is>
      </c>
      <c r="C15" s="6" t="inlineStr">
        <is>
          <t>7.68%</t>
        </is>
      </c>
      <c r="D15" s="6" t="inlineStr">
        <is>
          <t>7.78%</t>
        </is>
      </c>
      <c r="E15" s="6" t="inlineStr">
        <is>
          <t>6.00%</t>
        </is>
      </c>
      <c r="F15" s="6" t="inlineStr">
        <is>
          <t>4.93%</t>
        </is>
      </c>
      <c r="G15" s="6" t="n"/>
    </row>
    <row r="16">
      <c r="A16" s="6" t="inlineStr">
        <is>
          <t>Stage 3 / NPL ratio (Stage 3 gross / Total gross loans)</t>
        </is>
      </c>
      <c r="B16" s="6" t="inlineStr">
        <is>
          <t>4.35%</t>
        </is>
      </c>
      <c r="C16" s="6" t="inlineStr">
        <is>
          <t>8.02%</t>
        </is>
      </c>
      <c r="D16" s="6" t="inlineStr">
        <is>
          <t>7.58%</t>
        </is>
      </c>
      <c r="E16" s="6" t="inlineStr">
        <is>
          <t>5.70%</t>
        </is>
      </c>
      <c r="F16" s="6" t="inlineStr">
        <is>
          <t>6.23%</t>
        </is>
      </c>
      <c r="G16" s="6" t="n"/>
    </row>
    <row r="17">
      <c r="A17" s="6" t="inlineStr">
        <is>
          <t>Stage 3 coverage ratio (Stage 3 allowance / Stage 3 gross)</t>
        </is>
      </c>
      <c r="B17" s="6" t="inlineStr">
        <is>
          <t>88.57%</t>
        </is>
      </c>
      <c r="C17" s="6" t="inlineStr">
        <is>
          <t>91.89%</t>
        </is>
      </c>
      <c r="D17" s="6" t="inlineStr">
        <is>
          <t>97.87%</t>
        </is>
      </c>
      <c r="E17" s="6" t="inlineStr">
        <is>
          <t>95.35%</t>
        </is>
      </c>
      <c r="F17" s="6" t="inlineStr">
        <is>
          <t>70.65%</t>
        </is>
      </c>
      <c r="G17" s="6" t="n"/>
    </row>
    <row r="19" ht="150" customHeight="1">
      <c r="A19" s="8" t="inlineStr">
        <is>
          <t>Sources - Bank of Beirut (UK) Ltd's own IFRS 9 credit risk note (loans and advances to customers), £'000s (converted from source £, rounded), all years:
FY2025/FY2024: Annual Report and Financial Statements 2025, Note 28.1 Credit risk - https://www.bankofbeirut.co.uk/Content/uploads/AnnualReport/Annual_Report_and_Financial_Statements_2025_-_for_publishing.pdf
FY2023/FY2022: Annual Report and Financial Statements 2023, Note 30.1 Credit risk - https://www.bankofbeirut.co.uk/Content/Uploads/AnnualReport/Annual%20Report%20and%20Financial%20Statements%202023%20-%20for%20publishing240429124230700~.pdf
FY2021: Annual Report &amp; Financial Statements 2021, Note 30.1 Credit risk - https://www.bankofbeirut.co.uk/Content/uploads/AnnualReport/Bank_of_beirut_UK_Annual_Report_-_2021_.pdf
No by-product loan breakdown exists in any year's notes - only the IFRS 9 stage view (all lending is to customers as a single class; the Bank does not sub-segment by retail/corporate/sector in its published financial statements). Ratios are calculated from each year's own unrounded £ figures, not from the rounded £'000s shown here, to avoid compounding rounding error.
IMMATERIAL RECONCILING DIFFERENCE: each year's Total gross carrying amount below is £90k-£150k (~0.1%) higher than that year's Balance Sheet 'Loans and advances to customers' net-of-ECL figure would suggest (Total gross - Total ECL allowance) - most likely accrued interest or fee adjustments not captured in the credit-risk note's gross carrying table; both source tables are self-consistent within themselves, this is a genuine small gap between two notes in the Bank's own reports, not a transcription error here.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9:G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KM1 Key Metrics</t>
        </is>
      </c>
    </row>
    <row r="2">
      <c r="A2" s="2" t="inlineStr">
        <is>
          <t>The Bank's own 'Template UK KM1 - Key metrics template', reproduced whole in its own row order, row numbers, labels and precision. Amounts are in plain pounds exactly as published - unrounded and not rescaled; ratios as printed. FY2022, FY2021 and FY2017 are blank because those editions publish no KM1 - see the sources note, which also records a restatement across editions and a defect in row 13.</t>
        </is>
      </c>
    </row>
    <row r="3">
      <c r="A3" s="4" t="inlineStr">
        <is>
          <t>Line item</t>
        </is>
      </c>
      <c r="B3" s="4" t="inlineStr">
        <is>
          <t>FY2025</t>
        </is>
      </c>
      <c r="C3" s="4" t="inlineStr">
        <is>
          <t>FY2024</t>
        </is>
      </c>
      <c r="D3" s="4" t="inlineStr">
        <is>
          <t>FY2023</t>
        </is>
      </c>
      <c r="E3" s="4" t="inlineStr">
        <is>
          <t>FY2022</t>
        </is>
      </c>
      <c r="F3" s="4" t="inlineStr">
        <is>
          <t>FY2021</t>
        </is>
      </c>
      <c r="G3" s="4" t="inlineStr">
        <is>
          <t>FY2017</t>
        </is>
      </c>
    </row>
    <row r="4">
      <c r="A4" s="5" t="inlineStr">
        <is>
          <t>AVAILABLE OWN FUNDS (AMOUNTS)</t>
        </is>
      </c>
      <c r="B4" s="6" t="n"/>
      <c r="C4" s="6" t="n"/>
      <c r="D4" s="6" t="n"/>
      <c r="E4" s="6" t="n"/>
      <c r="F4" s="6" t="n"/>
      <c r="G4" s="6" t="n"/>
    </row>
    <row r="5">
      <c r="A5" s="6" t="inlineStr">
        <is>
          <t>1  Common Equity Tier 1 (CET1) capital (£)</t>
        </is>
      </c>
      <c r="B5" s="6" t="n">
        <v>110569881</v>
      </c>
      <c r="C5" s="6" t="n">
        <v>108973693</v>
      </c>
      <c r="D5" s="6" t="n">
        <v>105763661</v>
      </c>
      <c r="E5" s="6" t="n"/>
      <c r="F5" s="6" t="n"/>
      <c r="G5" s="6" t="n"/>
    </row>
    <row r="6">
      <c r="A6" s="6" t="inlineStr">
        <is>
          <t>2  Tier 1 capital (£)</t>
        </is>
      </c>
      <c r="B6" s="6" t="n">
        <v>110569881</v>
      </c>
      <c r="C6" s="6" t="n">
        <v>108973693</v>
      </c>
      <c r="D6" s="6" t="n">
        <v>105763661</v>
      </c>
      <c r="E6" s="6" t="n"/>
      <c r="F6" s="6" t="n"/>
      <c r="G6" s="6" t="n"/>
    </row>
    <row r="7">
      <c r="A7" s="6" t="inlineStr">
        <is>
          <t>3  Total capital (£)</t>
        </is>
      </c>
      <c r="B7" s="6" t="n">
        <v>123648458</v>
      </c>
      <c r="C7" s="6" t="n">
        <v>124916300</v>
      </c>
      <c r="D7" s="6" t="n">
        <v>121468412</v>
      </c>
      <c r="E7" s="6" t="n"/>
      <c r="F7" s="6" t="n"/>
      <c r="G7" s="6" t="n"/>
    </row>
    <row r="8">
      <c r="A8" s="5" t="inlineStr">
        <is>
          <t>RISK-WEIGHTED EXPOSURE AMOUNTS</t>
        </is>
      </c>
      <c r="B8" s="6" t="n"/>
      <c r="C8" s="6" t="n"/>
      <c r="D8" s="6" t="n"/>
      <c r="E8" s="6" t="n"/>
      <c r="F8" s="6" t="n"/>
      <c r="G8" s="6" t="n"/>
    </row>
    <row r="9">
      <c r="A9" s="6" t="inlineStr">
        <is>
          <t>4  Total risk-weighted exposure amount (£)</t>
        </is>
      </c>
      <c r="B9" s="6" t="n">
        <v>294919899</v>
      </c>
      <c r="C9" s="6" t="n">
        <v>250106567</v>
      </c>
      <c r="D9" s="6" t="n">
        <v>248533572</v>
      </c>
      <c r="E9" s="6" t="n"/>
      <c r="F9" s="6" t="n"/>
      <c r="G9" s="6" t="n"/>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37.49%</t>
        </is>
      </c>
      <c r="C11" s="6" t="inlineStr">
        <is>
          <t>43.57%</t>
        </is>
      </c>
      <c r="D11" s="6" t="inlineStr">
        <is>
          <t>42.56%</t>
        </is>
      </c>
      <c r="E11" s="6" t="n"/>
      <c r="F11" s="6" t="n"/>
      <c r="G11" s="6" t="n"/>
    </row>
    <row r="12">
      <c r="A12" s="6" t="inlineStr">
        <is>
          <t>6  Tier 1 ratio (%)</t>
        </is>
      </c>
      <c r="B12" s="6" t="inlineStr">
        <is>
          <t>37.49%</t>
        </is>
      </c>
      <c r="C12" s="6" t="inlineStr">
        <is>
          <t>43.57%</t>
        </is>
      </c>
      <c r="D12" s="6" t="inlineStr">
        <is>
          <t>42.56%</t>
        </is>
      </c>
      <c r="E12" s="6" t="n"/>
      <c r="F12" s="6" t="n"/>
      <c r="G12" s="6" t="n"/>
    </row>
    <row r="13">
      <c r="A13" s="6" t="inlineStr">
        <is>
          <t>7  Total capital ratio (%)</t>
        </is>
      </c>
      <c r="B13" s="6" t="inlineStr">
        <is>
          <t>41.93%</t>
        </is>
      </c>
      <c r="C13" s="6" t="inlineStr">
        <is>
          <t>49.95%</t>
        </is>
      </c>
      <c r="D13" s="6" t="inlineStr">
        <is>
          <t>48.87%</t>
        </is>
      </c>
      <c r="E13" s="6" t="n"/>
      <c r="F13" s="6" t="n"/>
      <c r="G13" s="6" t="n"/>
    </row>
    <row r="14">
      <c r="A14" s="5" t="inlineStr">
        <is>
          <t>ADDITIONAL OWN FUNDS REQUIREMENTS BASED ON SREP (AS A PERCENTAGE OF RISK-WEIGHTED EXPOSURE AMOUNT)</t>
        </is>
      </c>
      <c r="B14" s="6" t="n"/>
      <c r="C14" s="6" t="n"/>
      <c r="D14" s="6" t="n"/>
      <c r="E14" s="6" t="n"/>
      <c r="F14" s="6" t="n"/>
      <c r="G14" s="6" t="n"/>
    </row>
    <row r="15">
      <c r="A15" s="6" t="inlineStr">
        <is>
          <t>UK 7d  Total SREP own funds requirements (%)</t>
        </is>
      </c>
      <c r="B15" s="6" t="inlineStr">
        <is>
          <t>14.09%</t>
        </is>
      </c>
      <c r="C15" s="6" t="inlineStr">
        <is>
          <t>14.09%</t>
        </is>
      </c>
      <c r="D15" s="6" t="inlineStr">
        <is>
          <t>12.95%</t>
        </is>
      </c>
      <c r="E15" s="6" t="n"/>
      <c r="F15" s="6" t="n"/>
      <c r="G15" s="6" t="n"/>
    </row>
    <row r="16">
      <c r="A16" s="5" t="inlineStr">
        <is>
          <t>COMBINED BUFFER REQUIREMENT (AS A PERCENTAGE OF RISK-WEIGHTED EXPOSURE AMOUNT)</t>
        </is>
      </c>
      <c r="B16" s="6" t="n"/>
      <c r="C16" s="6" t="n"/>
      <c r="D16" s="6" t="n"/>
      <c r="E16" s="6" t="n"/>
      <c r="F16" s="6" t="n"/>
      <c r="G16" s="6" t="n"/>
    </row>
    <row r="17">
      <c r="A17" s="6" t="inlineStr">
        <is>
          <t>8  Capital conservation buffer (%)</t>
        </is>
      </c>
      <c r="B17" s="6" t="inlineStr">
        <is>
          <t>2.50%</t>
        </is>
      </c>
      <c r="C17" s="6" t="inlineStr">
        <is>
          <t>2.50%</t>
        </is>
      </c>
      <c r="D17" s="6" t="inlineStr">
        <is>
          <t>2.50%</t>
        </is>
      </c>
      <c r="E17" s="6" t="n"/>
      <c r="F17" s="6" t="n"/>
      <c r="G17" s="6" t="n"/>
    </row>
    <row r="18">
      <c r="A18" s="6" t="inlineStr">
        <is>
          <t>9  Institution specific countercyclical capital buffer (%)</t>
        </is>
      </c>
      <c r="B18" s="6" t="inlineStr">
        <is>
          <t>0.52%</t>
        </is>
      </c>
      <c r="C18" s="6" t="inlineStr">
        <is>
          <t>0.81%</t>
        </is>
      </c>
      <c r="D18" s="6" t="inlineStr">
        <is>
          <t>0.50%</t>
        </is>
      </c>
      <c r="E18" s="6" t="n"/>
      <c r="F18" s="6" t="n"/>
      <c r="G18" s="6" t="n"/>
    </row>
    <row r="19">
      <c r="A19" s="6" t="inlineStr">
        <is>
          <t>11  Combined buffer requirement (%)</t>
        </is>
      </c>
      <c r="B19" s="6" t="inlineStr">
        <is>
          <t>3.02%</t>
        </is>
      </c>
      <c r="C19" s="6" t="inlineStr">
        <is>
          <t>3.31%</t>
        </is>
      </c>
      <c r="D19" s="6" t="inlineStr">
        <is>
          <t>3.00%</t>
        </is>
      </c>
      <c r="E19" s="6" t="n"/>
      <c r="F19" s="6" t="n"/>
      <c r="G19" s="6" t="n"/>
    </row>
    <row r="20">
      <c r="A20" s="6" t="inlineStr">
        <is>
          <t>UK 11a  Overall capital requirements (%)</t>
        </is>
      </c>
      <c r="B20" s="6" t="inlineStr">
        <is>
          <t>17.11%</t>
        </is>
      </c>
      <c r="C20" s="6" t="inlineStr">
        <is>
          <t>17.40%</t>
        </is>
      </c>
      <c r="D20" s="6" t="inlineStr">
        <is>
          <t>15.95%</t>
        </is>
      </c>
      <c r="E20" s="6" t="n"/>
      <c r="F20" s="6" t="n"/>
      <c r="G20" s="6" t="n"/>
    </row>
    <row r="21">
      <c r="A21" s="6" t="inlineStr">
        <is>
          <t>12  CET1 available after meeting the total SREP own funds requirements (%)</t>
        </is>
      </c>
      <c r="B21" s="6" t="inlineStr">
        <is>
          <t>82.89%</t>
        </is>
      </c>
      <c r="C21" s="6" t="inlineStr">
        <is>
          <t>82.60%</t>
        </is>
      </c>
      <c r="D21" s="6" t="inlineStr">
        <is>
          <t>84.05%</t>
        </is>
      </c>
      <c r="E21" s="6" t="n"/>
      <c r="F21" s="6" t="n"/>
      <c r="G21" s="6" t="n"/>
    </row>
    <row r="22">
      <c r="A22" s="5" t="inlineStr">
        <is>
          <t>LEVERAGE RATIO</t>
        </is>
      </c>
      <c r="B22" s="6" t="n"/>
      <c r="C22" s="6" t="n"/>
      <c r="D22" s="6" t="n"/>
      <c r="E22" s="6" t="n"/>
      <c r="F22" s="6" t="n"/>
      <c r="G22" s="6" t="n"/>
    </row>
    <row r="23">
      <c r="A23" s="6" t="inlineStr">
        <is>
          <t>13  Total exposure measure excluding claims on central banks (£)</t>
        </is>
      </c>
      <c r="B23" s="6" t="n">
        <v>546074420</v>
      </c>
      <c r="C23" s="6" t="n">
        <v>446181573</v>
      </c>
      <c r="D23" s="6" t="n">
        <v>400870711</v>
      </c>
      <c r="E23" s="6" t="n"/>
      <c r="F23" s="6" t="n"/>
      <c r="G23" s="6" t="n"/>
    </row>
    <row r="24">
      <c r="A24" s="6" t="inlineStr">
        <is>
          <t>14  Leverage ratio excluding claims on central banks (%)</t>
        </is>
      </c>
      <c r="B24" s="6" t="inlineStr">
        <is>
          <t>20.42%</t>
        </is>
      </c>
      <c r="C24" s="6" t="inlineStr">
        <is>
          <t>21.19%</t>
        </is>
      </c>
      <c r="D24" s="6" t="inlineStr">
        <is>
          <t>26.38%</t>
        </is>
      </c>
      <c r="E24" s="6" t="n"/>
      <c r="F24" s="6" t="n"/>
      <c r="G24" s="6" t="n"/>
    </row>
    <row r="25">
      <c r="A25" s="5" t="inlineStr">
        <is>
          <t>LIQUIDITY COVERAGE RATIO</t>
        </is>
      </c>
      <c r="B25" s="6" t="n"/>
      <c r="C25" s="6" t="n"/>
      <c r="D25" s="6" t="n"/>
      <c r="E25" s="6" t="n"/>
      <c r="F25" s="6" t="n"/>
      <c r="G25" s="6" t="n"/>
    </row>
    <row r="26">
      <c r="A26" s="6" t="inlineStr">
        <is>
          <t>15  Total high-quality liquid assets (HQLA) (Weighted value-average) (£)</t>
        </is>
      </c>
      <c r="B26" s="6" t="n">
        <v>152067762</v>
      </c>
      <c r="C26" s="6" t="n">
        <v>125107054</v>
      </c>
      <c r="D26" s="6" t="n">
        <v>93520027</v>
      </c>
      <c r="E26" s="6" t="n"/>
      <c r="F26" s="6" t="n"/>
      <c r="G26" s="6" t="n"/>
    </row>
    <row r="27">
      <c r="A27" s="6" t="inlineStr">
        <is>
          <t>UK 16a  Cash outflows - Total weighted value (£)</t>
        </is>
      </c>
      <c r="B27" s="6" t="n">
        <v>192084585</v>
      </c>
      <c r="C27" s="6" t="n">
        <v>149151238</v>
      </c>
      <c r="D27" s="6" t="n">
        <v>95745955</v>
      </c>
      <c r="E27" s="6" t="n"/>
      <c r="F27" s="6" t="n"/>
      <c r="G27" s="6" t="n"/>
    </row>
    <row r="28">
      <c r="A28" s="6" t="inlineStr">
        <is>
          <t>UK 16b  Cash inflows - Total weighted value (£)</t>
        </is>
      </c>
      <c r="B28" s="6" t="n">
        <v>195820282</v>
      </c>
      <c r="C28" s="6" t="n">
        <v>236297324</v>
      </c>
      <c r="D28" s="6" t="n">
        <v>158792278</v>
      </c>
      <c r="E28" s="6" t="n"/>
      <c r="F28" s="6" t="n"/>
      <c r="G28" s="6" t="n"/>
    </row>
    <row r="29">
      <c r="A29" s="6" t="inlineStr">
        <is>
          <t>16  Total net cash outflows (adjusted value) (£)</t>
        </is>
      </c>
      <c r="B29" s="6" t="n">
        <v>48021146</v>
      </c>
      <c r="C29" s="6" t="n">
        <v>37287810</v>
      </c>
      <c r="D29" s="6" t="n">
        <v>23936489</v>
      </c>
      <c r="E29" s="6" t="n"/>
      <c r="F29" s="6" t="n"/>
      <c r="G29" s="6" t="n"/>
    </row>
    <row r="30">
      <c r="A30" s="6" t="inlineStr">
        <is>
          <t>17  Liquidity coverage ratio (%)</t>
        </is>
      </c>
      <c r="B30" s="6" t="inlineStr">
        <is>
          <t>316.67%</t>
        </is>
      </c>
      <c r="C30" s="6" t="inlineStr">
        <is>
          <t>335.52%</t>
        </is>
      </c>
      <c r="D30" s="6" t="inlineStr">
        <is>
          <t>390.70%</t>
        </is>
      </c>
      <c r="E30" s="6" t="n"/>
      <c r="F30" s="6" t="n"/>
      <c r="G30" s="6" t="n"/>
    </row>
    <row r="31">
      <c r="A31" s="5" t="inlineStr">
        <is>
          <t>NET STABLE FUNDING RATIO</t>
        </is>
      </c>
      <c r="B31" s="6" t="n"/>
      <c r="C31" s="6" t="n"/>
      <c r="D31" s="6" t="n"/>
      <c r="E31" s="6" t="n"/>
      <c r="F31" s="6" t="n"/>
      <c r="G31" s="6" t="n"/>
    </row>
    <row r="32">
      <c r="A32" s="6" t="inlineStr">
        <is>
          <t>18  Total available stable funding (£)</t>
        </is>
      </c>
      <c r="B32" s="6" t="n">
        <v>252487260</v>
      </c>
      <c r="C32" s="6" t="n">
        <v>255073231</v>
      </c>
      <c r="D32" s="6" t="n">
        <v>228783713</v>
      </c>
      <c r="E32" s="6" t="n"/>
      <c r="F32" s="6" t="n"/>
      <c r="G32" s="6" t="n"/>
    </row>
    <row r="33">
      <c r="A33" s="6" t="inlineStr">
        <is>
          <t>19  Total required stable funding (£)</t>
        </is>
      </c>
      <c r="B33" s="6" t="n">
        <v>81337991</v>
      </c>
      <c r="C33" s="6" t="n">
        <v>78431888</v>
      </c>
      <c r="D33" s="6" t="n">
        <v>61635979</v>
      </c>
      <c r="E33" s="6" t="n"/>
      <c r="F33" s="6" t="n"/>
      <c r="G33" s="6" t="n"/>
    </row>
    <row r="34">
      <c r="A34" s="6" t="inlineStr">
        <is>
          <t>20  NSFR ratio (%)</t>
        </is>
      </c>
      <c r="B34" s="6" t="inlineStr">
        <is>
          <t>310.42%</t>
        </is>
      </c>
      <c r="C34" s="6" t="inlineStr">
        <is>
          <t>325.22%</t>
        </is>
      </c>
      <c r="D34" s="6" t="inlineStr">
        <is>
          <t>371.19%</t>
        </is>
      </c>
      <c r="E34" s="6" t="n"/>
      <c r="F34" s="6" t="n"/>
      <c r="G34" s="6" t="n"/>
    </row>
    <row r="36" ht="300" customHeight="1">
      <c r="A36" s="8" t="inlineStr">
        <is>
          <t>Sources - Bank of Beirut (UK) Ltd's own "Template UK KM1 / Key metrics template", reproduced in the Bank's own row order, row numbers, labels and precision. EVERY COLUMN COMES FROM THE EDITION IN WHICH THAT YEAR IS THE REPORTING YEAR, never from a later edition's comparative:
FY2025: Pillar 3 Disclosures - 31 December 2025, p.16, s.3.6 Key Metrics - https://www.bankofbeirut.co.uk/Content/uploads/PillarDisclosure/Bank_of_Beirut_UK_Ltd_-_Pillar_III_Disclosures_-_31_December_2025.pdf
FY2024: Pillar 3 Disclosures - 31 December 2024, p.16, s.3.6 Key Metrics - https://www.bankofbeirut.co.uk/Content/uploads/Announcement/bob-disclosures3-2024.pdf
FY2023: Pillar 3 Disclosures - 31 December 2023, p.17, s.4.2 Key Metrics - https://www.bankofbeirut.co.uk/Content/uploads/Announcement/Bank_of_Beirut_UK_Ltd_-_Pillar_III_Disclosures_-_31_December_2023.pdf
UNIT IS PLAIN POUNDS (£), EXACTLY AS THE BANK PUBLISHES IT. The template's own column header reads '£', not £'000 or £m, and CET1 is printed as 110,569,881. It is reproduced at that scale rather than rescaled, while the eleven single-metric sheets in this workbook are in £m. The cross-check in scripts/verify_workbook.py resolves this without help: amount rows here carry '(£)' in the row label, which is not a scale token, so the KM1 side resolves to units of 1 and the £m side to 1e6, and every amount lands inside the checker's 0.1% tolerance (CET1 110,569,881 against 110.6m differs by 30,119 against a tolerance of 110,570). No cell here has been rounded, converted or recomputed.
FY2022, FY2021 AND FY2017 ARE BLANK BECAUSE THOSE EDITIONS PUBLISH NO KM1 - NOT BECAUSE ONE WAS NOT FOUND (map rules 4 and 16). A full FY2022 comparative column DOES exist, inside the FY2023 edition (CET1 103,161,031, TREA 317,552,478, LCR 468.51%, NSFR 417.71%), and is deliberately unused. The FY2022 edition itself has no Key Metrics section at any level of its contents list and contains zero occurrences of 'CET1' or 'Common Equity'; it is a narrative, pre-template Pillar 3 whose capital disclosure is a five-year ICAAP summary. Verified on the live PDF 2026-09-16 (366,318 bytes, 16pp, text-native - its contents page extracts in full, and the only embedded images are 20x21px bullet glyphs, so this is not a table-hidden-in-a-bitmap case). The 2021, 2020, 2019 and 2018 editions were checked the same way and are the same: zero 'KM1', zero 'CET1', and their one 'key metric' hit is the phrase 'the key metrics and outputs of these workstreams' in a compliance paragraph. The single-metric sheets continue to carry FY2022 and FY2021 under their own citations and on their own stated bases, which is why those sheets and this one legitimately differ for those years.
ROWS THE BANK DOES NOT PRINT, in any of the three editions, are omitted rather than shown blank: UK 7a, UK 7b and UK 7c (it prints only the UK 7d total), UK 9a, 10 and UK 10a. Rows 13 and 14 are captioned 'excluding claims on central banks' in all three years, so there is no 1 January 2022 basis break inside this sheet (map rule 5).
EDITIONS RESTATE - the reason for the rule-1 discipline above. Comparing each edition against the next one's comparative column: FY2023 row 9 is 0.50% in its own edition and 0.55% in the FY2024 edition; FY2023 UK 11a is 15.95% against 16.00%; FY2023 row 12 is 84.05% against 84.00%; and FY2024 row 13 is 446,181,573 against 515,479,917 in the FY2025 edition. Capital, RWAs and every ratio bar those agree exactly across editions.
SOURCE DEFECT IN ROW 13, RECORDED NOT CORRECTED (map rule 7). In the FY2024 edition row 13 does not tie to its own printed row 14: 108,973,693 / 446,181,573 = 24.42%, while the edition prints 21.19%. Both neighbouring editions are internally consistent on this row - the FY2025 edition's 2024 comparative (515,479,917) gives 21.14%, and the FY2023 edition's own figure (400,870,711) gives 26.38% exactly as printed - so the FY2024 edition's exposure measure is understated in both its columns. The figure is carried here as the Bank printed it for its own year; the Leverage Ratio sheet's 21.19% is that same edition's printed ratio, so the two sheets agree on the ratio and the defect stays visible.
TYPOGRAPHY: all three editions print row 14 as 'excluding claims on centraI banks', with a capital I in place of the second l. The label above is spelled correctly; no figure is affected.
LATEST-EDITION CHECK, 2026-09-16: the Bank's own Pillar 3 index (https://www.bankofbeirut.co.uk/AboutUs/PillarDisclosures, HTTP 200, not blocked) lists eight editions, 2018 through 2025. The newest is the 31 December 2025 edition already carried here and already cited by this script. NONE NEWER. The index also linked two editions this project had never recorded (2021 and 2019); both were fetched and read for this sheet and neither contains a KM1.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6:G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v>110.6</v>
      </c>
      <c r="C4" s="6" t="n">
        <v>109</v>
      </c>
      <c r="D4" s="6" t="n">
        <v>105.8</v>
      </c>
      <c r="E4" s="6" t="n">
        <v>103.2</v>
      </c>
      <c r="F4" s="6" t="n">
        <v>104</v>
      </c>
      <c r="G4" s="6" t="n"/>
    </row>
    <row r="5" ht="60" customHeight="1">
      <c r="A5" s="7" t="inlineStr">
        <is>
          <t>Note: FY2021 is calculated (Own Funds less Eligible Tier II Capital from the pre-KM1 ICAAP table) - see source note.</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ratio</t>
        </is>
      </c>
      <c r="B4" s="6" t="inlineStr">
        <is>
          <t>37.49%</t>
        </is>
      </c>
      <c r="C4" s="6" t="inlineStr">
        <is>
          <t>43.57%</t>
        </is>
      </c>
      <c r="D4" s="6" t="inlineStr">
        <is>
          <t>42.56%</t>
        </is>
      </c>
      <c r="E4" s="6" t="inlineStr">
        <is>
          <t>32.49%</t>
        </is>
      </c>
      <c r="F4" s="6" t="inlineStr">
        <is>
          <t>35.14%</t>
        </is>
      </c>
      <c r="G4" s="6" t="n"/>
    </row>
    <row r="5" ht="60" customHeight="1">
      <c r="A5" s="7" t="inlineStr">
        <is>
          <t>Note: FY2021 is calculated (CET1 £ / Total Risk Exposure Amount £, pre-KM1 ICAAP basis) rather than directly disclosed as a percentage.</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v>110.6</v>
      </c>
      <c r="C4" s="6" t="n">
        <v>109</v>
      </c>
      <c r="D4" s="6" t="n">
        <v>105.8</v>
      </c>
      <c r="E4" s="6" t="n">
        <v>103.2</v>
      </c>
      <c r="F4" s="6" t="n">
        <v>104</v>
      </c>
      <c r="G4" s="6" t="n"/>
    </row>
    <row r="5" ht="60" customHeight="1">
      <c r="A5" s="7" t="inlineStr">
        <is>
          <t>Note: Tier 1 = CET1 every year (no AT1 instruments ever issued).</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inlineStr">
        <is>
          <t>37.49%</t>
        </is>
      </c>
      <c r="C4" s="6" t="inlineStr">
        <is>
          <t>43.57%</t>
        </is>
      </c>
      <c r="D4" s="6" t="inlineStr">
        <is>
          <t>42.56%</t>
        </is>
      </c>
      <c r="E4" s="6" t="inlineStr">
        <is>
          <t>32.49%</t>
        </is>
      </c>
      <c r="F4" s="6" t="inlineStr">
        <is>
          <t>35.14%</t>
        </is>
      </c>
      <c r="G4" s="6" t="n"/>
    </row>
    <row r="6" ht="220" customHeight="1">
      <c r="A6"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v>123.6</v>
      </c>
      <c r="C4" s="6" t="n">
        <v>124.9</v>
      </c>
      <c r="D4" s="6" t="n">
        <v>121.5</v>
      </c>
      <c r="E4" s="6" t="n">
        <v>133.8</v>
      </c>
      <c r="F4" s="6" t="n">
        <v>134.6</v>
      </c>
      <c r="G4" s="6" t="n"/>
    </row>
    <row r="6" ht="220" customHeight="1">
      <c r="A6"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inlineStr">
        <is>
          <t>41.93%</t>
        </is>
      </c>
      <c r="C4" s="6" t="inlineStr">
        <is>
          <t>49.95%</t>
        </is>
      </c>
      <c r="D4" s="6" t="inlineStr">
        <is>
          <t>48.87%</t>
        </is>
      </c>
      <c r="E4" s="6" t="inlineStr">
        <is>
          <t>42.14%</t>
        </is>
      </c>
      <c r="F4" s="6" t="inlineStr">
        <is>
          <t>45.50%</t>
        </is>
      </c>
      <c r="G4" s="6" t="n"/>
    </row>
    <row r="5" ht="60" customHeight="1">
      <c r="A5" s="7" t="inlineStr">
        <is>
          <t>Note: FY2021 is calculated (Total Capital £ / Total Risk Exposure Amount £, pre-KM1 ICAAP basis).</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n">
        <v>294.9</v>
      </c>
      <c r="C4" s="6" t="n">
        <v>250.1</v>
      </c>
      <c r="D4" s="6" t="n">
        <v>248.5</v>
      </c>
      <c r="E4" s="6" t="n">
        <v>317.6</v>
      </c>
      <c r="F4" s="6" t="n">
        <v>295.9</v>
      </c>
      <c r="G4" s="6" t="n"/>
    </row>
    <row r="5" ht="60" customHeight="1">
      <c r="A5" s="7" t="inlineStr">
        <is>
          <t>Note: FY2022 (£317.6m) is on the KM1/COREP basis; the same year's ICAAP-basis figure in the FY2022 Pillar 3 document's own 5-year table is £314.6m - a ~1% methodology difference, KM1 used for consistency with FY2023 onward. FY2021 (£295.9m) is on the older ICAAP basis only (no KM1 equivalent exists for that year).</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RWA Breakdown</t>
        </is>
      </c>
    </row>
    <row r="2">
      <c r="A2" s="2" t="inlineStr">
        <is>
          <t>Entity-level basis, £'000s. UK OV1 template FY2022-FY2025; older pre-OV1 ICAAP-basis breakdown for FY2021.</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UK OV1 — Overview of risk weighted exposure amounts (as disclosed)</t>
        </is>
      </c>
      <c r="B4" s="6" t="n"/>
      <c r="C4" s="6" t="n"/>
      <c r="D4" s="6" t="n"/>
      <c r="E4" s="6" t="n"/>
      <c r="F4" s="6" t="n"/>
      <c r="G4" s="6" t="n"/>
    </row>
    <row r="5">
      <c r="A5" s="6" t="inlineStr">
        <is>
          <t>Credit risk (excluding CCR/CVA)</t>
        </is>
      </c>
      <c r="B5" s="6" t="n">
        <v>249173</v>
      </c>
      <c r="C5" s="6" t="n">
        <v>208563</v>
      </c>
      <c r="D5" s="6" t="n">
        <v>220069</v>
      </c>
      <c r="E5" s="6" t="n">
        <v>289747</v>
      </c>
      <c r="F5" s="6" t="n"/>
      <c r="G5" s="6" t="n"/>
    </row>
    <row r="6">
      <c r="A6" s="6" t="inlineStr">
        <is>
          <t>Counterparty credit risk (CCR/CVA)</t>
        </is>
      </c>
      <c r="B6" s="6" t="n">
        <v>0</v>
      </c>
      <c r="C6" s="6" t="n">
        <v>110</v>
      </c>
      <c r="D6" s="6" t="n">
        <v>151</v>
      </c>
      <c r="E6" s="6" t="n">
        <v>128</v>
      </c>
      <c r="F6" s="6" t="n"/>
      <c r="G6" s="6" t="n"/>
    </row>
    <row r="7">
      <c r="A7" s="6" t="inlineStr">
        <is>
          <t>Operational risk</t>
        </is>
      </c>
      <c r="B7" s="6" t="n">
        <v>45747</v>
      </c>
      <c r="C7" s="6" t="n">
        <v>41433</v>
      </c>
      <c r="D7" s="6" t="n">
        <v>28314</v>
      </c>
      <c r="E7" s="6" t="n">
        <v>27678</v>
      </c>
      <c r="F7" s="6" t="n"/>
      <c r="G7" s="6" t="n"/>
    </row>
    <row r="8">
      <c r="A8" s="5" t="inlineStr">
        <is>
          <t>Pre-OV1 ICAAP-basis TREA breakdown (FY2021)</t>
        </is>
      </c>
      <c r="B8" s="6" t="n"/>
      <c r="C8" s="6" t="n"/>
      <c r="D8" s="6" t="n"/>
      <c r="E8" s="6" t="n"/>
      <c r="F8" s="6" t="n"/>
      <c r="G8" s="6" t="n"/>
    </row>
    <row r="9">
      <c r="A9" s="6" t="inlineStr">
        <is>
          <t>Credit Risk Component (on- and off-balance sheet combined)</t>
        </is>
      </c>
      <c r="B9" s="6" t="n"/>
      <c r="C9" s="6" t="n"/>
      <c r="D9" s="6" t="n"/>
      <c r="E9" s="6" t="n"/>
      <c r="F9" s="6" t="n">
        <v>264718</v>
      </c>
      <c r="G9" s="6" t="n"/>
    </row>
    <row r="10">
      <c r="A10" s="6" t="inlineStr">
        <is>
          <t>Operational Risk Exposure Amount</t>
        </is>
      </c>
      <c r="B10" s="6" t="n"/>
      <c r="C10" s="6" t="n"/>
      <c r="D10" s="6" t="n"/>
      <c r="E10" s="6" t="n"/>
      <c r="F10" s="6" t="n">
        <v>31220</v>
      </c>
      <c r="G10" s="6" t="n"/>
    </row>
    <row r="11">
      <c r="A11" s="6" t="inlineStr">
        <is>
          <t>Market risk</t>
        </is>
      </c>
      <c r="B11" s="6" t="n"/>
      <c r="C11" s="6" t="n"/>
      <c r="D11" s="6" t="n"/>
      <c r="E11" s="6" t="n"/>
      <c r="F11" s="6" t="n">
        <v>0</v>
      </c>
      <c r="G11" s="6" t="n"/>
    </row>
    <row r="12">
      <c r="A12" s="6" t="inlineStr">
        <is>
          <t>CVA</t>
        </is>
      </c>
      <c r="B12" s="6" t="n"/>
      <c r="C12" s="6" t="n"/>
      <c r="D12" s="6" t="n"/>
      <c r="E12" s="6" t="n"/>
      <c r="F12" s="6" t="n">
        <v>0</v>
      </c>
      <c r="G12" s="6" t="n"/>
    </row>
    <row r="13">
      <c r="A13" s="5" t="inlineStr">
        <is>
          <t>Total risk-weighted exposure amount</t>
        </is>
      </c>
      <c r="B13" s="5" t="n">
        <v>294920</v>
      </c>
      <c r="C13" s="5" t="n">
        <v>250107</v>
      </c>
      <c r="D13" s="5" t="n">
        <v>248534</v>
      </c>
      <c r="E13" s="5" t="n">
        <v>317552</v>
      </c>
      <c r="F13" s="5" t="n">
        <v>295938</v>
      </c>
      <c r="G13" s="5" t="n"/>
    </row>
    <row r="15" ht="260" customHeight="1">
      <c r="A15" s="8" t="inlineStr">
        <is>
          <t>Sources - Bank of Beirut (UK) Ltd's own Pillar 3 Disclosures, £'000s, all years:
FY2025/FY2024: Pillar 3 Disclosures - 31 December 2025, s.3.5 'Overview of Risk Weighted Exposures Amounts (RWEA)', Template UK OV1 (FY2024 is that table's own FY2024 comparative column) - https://www.bankofbeirut.co.uk/Content/uploads/PillarDisclosure/Bank_of_Beirut_UK_Ltd_-_Pillar_III_Disclosures_-_31_December_2025.pdf
FY2023/FY2022: Pillar 3 Disclosures - 31 December 2023, s.4.1 'Overview of Risk Weighted Exposures Amounts (RWEA)', Template UK OV1 (FY2022 is that table's own FY2022 comparative column) - https://www.bankofbeirut.co.uk/Content/uploads/Announcement/Bank_of_Beirut_UK_Ltd_-_Pillar_III_Disclosures_-_31_December_2023.pdf
FY2021: Pillar 3 Disclosures - 31 December 2022, s.4.1.2 'Total Risk Exposure Amount (TREA) breakdown' (pre-KM1/OV1 ICAAP-basis 5-year table, own FY2021 column) - https://www.bankofbeirut.co.uk/Content/uploads/Announcement/Bank_of_Beirut_UK_Ltd_-_Pillar_III_Disclosures_-_31DEC2022_-_Final.pdf
CORRECTION (fresh re-verification, 2026-09-12): the prior version of this sheet claimed no category-level breakdown was disclosed in any year. That was wrong - a full UK OV1 template (Credit risk excl. CCR/CVA, Counterparty credit risk/CVA, Operational risk) is published every year FY2022-FY2025 (the FY2023 Pillar 3 Disclosures document's own s.4.1, checked directly, carries the FY2022 comparative; the FY2025 document's own s.3.5 carries the FY2024 comparative), and FY2021's older pre-OV1 TREA breakdown (Credit Risk Component, Operational Risk Exposure Amount, CVA, Market risk) is in the FY2022 document's own s.4.1.2 5-year table. Every year's Total ties to the Total RWAs sheet's own figure (FY2022's OV1-basis £317,552k vs the FY2022 document's own ICAAP-basis £314,615k is the same ~1% methodology difference already documented on the Total RWAs sheet - KM1/OV1 basis used here for consistency). The Bank has no trading book (explicitly stated in the FY2025 document), so no separate market-risk RWA line is carried under the OV1 template FY2022-FY2025; FY2021's own table does carry an explicit Market risk = nil line.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5:G1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Leverage ratio excluding claims on central banks</t>
        </is>
      </c>
      <c r="B4" s="6" t="inlineStr">
        <is>
          <t>20.42%</t>
        </is>
      </c>
      <c r="C4" s="6" t="inlineStr">
        <is>
          <t>21.19%</t>
        </is>
      </c>
      <c r="D4" s="6" t="inlineStr">
        <is>
          <t>26.38%</t>
        </is>
      </c>
      <c r="E4" s="6" t="inlineStr">
        <is>
          <t>22.88%</t>
        </is>
      </c>
      <c r="F4" s="6" t="n"/>
      <c r="G4" s="6" t="n"/>
    </row>
    <row r="5" ht="60" customHeight="1">
      <c r="A5" s="7" t="inlineStr">
        <is>
          <t>Note: Not disclosed for FY2021 - the pre-KM1 Pillar 3 document lists Leverage Ratio as a tracked KPI but states no numeric value for any year in that edition.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Liquidity Coverage Ratio</t>
        </is>
      </c>
      <c r="B4" s="6" t="inlineStr">
        <is>
          <t>316.67%</t>
        </is>
      </c>
      <c r="C4" s="6" t="inlineStr">
        <is>
          <t>335.52%</t>
        </is>
      </c>
      <c r="D4" s="6" t="inlineStr">
        <is>
          <t>390.70%</t>
        </is>
      </c>
      <c r="E4" s="6" t="inlineStr">
        <is>
          <t>468.51%</t>
        </is>
      </c>
      <c r="F4" s="6" t="n"/>
      <c r="G4" s="6" t="n"/>
    </row>
    <row r="5" ht="60" customHeight="1">
      <c r="A5" s="7" t="inlineStr">
        <is>
          <t>Note: Not disclosed for FY2021 - see Leverage Ratio sheet note (same pre-KM1 document limitation).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Net Stable Funding Ratio</t>
        </is>
      </c>
      <c r="B4" s="6" t="inlineStr">
        <is>
          <t>310.42%</t>
        </is>
      </c>
      <c r="C4" s="6" t="inlineStr">
        <is>
          <t>325.22%</t>
        </is>
      </c>
      <c r="D4" s="6" t="inlineStr">
        <is>
          <t>371.19%</t>
        </is>
      </c>
      <c r="E4" s="6" t="inlineStr">
        <is>
          <t>417.71%</t>
        </is>
      </c>
      <c r="F4" s="6" t="n"/>
      <c r="G4" s="6" t="n"/>
    </row>
    <row r="5" ht="60" customHeight="1">
      <c r="A5" s="7" t="inlineStr">
        <is>
          <t>Note: Not disclosed for FY2021 - see Leverage Ratio sheet note (same pre-KM1 document limitation).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MREL is not mentioned anywhere in any of the 5 Pillar 3 Disclosures reviewed (searched directly, no hits any year) - consistent with a bank of this size not being its own resolution entity under the Bank of England's MREL framework.</t>
        </is>
      </c>
    </row>
    <row r="7" ht="15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2026-09-16T15:13:11Z</dcterms:created>
  <dcterms:modified xmlns:dcterms="http://purl.org/dc/terms/" xmlns:xsi="http://www.w3.org/2001/XMLSchema-instance" xsi:type="dcterms:W3CDTF">2026-09-16T15:13:11Z</dcterms:modified>
</cp:coreProperties>
</file>