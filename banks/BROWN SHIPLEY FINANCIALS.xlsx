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1218044</v>
      </c>
      <c r="C6" s="5" t="n">
        <v>1529171</v>
      </c>
      <c r="D6" s="5" t="n">
        <v>1507100</v>
      </c>
      <c r="E6" s="5" t="n">
        <v>1152277</v>
      </c>
      <c r="H6" t="inlineStr">
        <is>
          <t>Total assets</t>
        </is>
      </c>
      <c r="I6" t="n">
        <v>1152277</v>
      </c>
      <c r="J6" t="n">
        <v>1507100</v>
      </c>
      <c r="K6" t="n">
        <v>1529171</v>
      </c>
      <c r="L6" t="n">
        <v>1218044</v>
      </c>
      <c r="AJ6" t="inlineStr">
        <is>
          <t>CET1 Ratio</t>
        </is>
      </c>
      <c r="AK6" t="n">
        <v>19.6</v>
      </c>
      <c r="AL6" t="n">
        <v>20.3</v>
      </c>
      <c r="AM6" t="n">
        <v>22.3</v>
      </c>
      <c r="AN6" t="n">
        <v>21.6</v>
      </c>
    </row>
    <row r="7">
      <c r="A7" s="5" t="inlineStr">
        <is>
          <t>Loans and advances to customers</t>
        </is>
      </c>
      <c r="B7" s="5" t="n">
        <v>483277</v>
      </c>
      <c r="C7" s="5" t="n">
        <v>554649</v>
      </c>
      <c r="D7" s="5" t="n">
        <v>646794</v>
      </c>
      <c r="E7" s="5" t="n">
        <v>565574</v>
      </c>
      <c r="H7" t="inlineStr">
        <is>
          <t>Loans and advances to customers</t>
        </is>
      </c>
      <c r="I7" t="n">
        <v>565574</v>
      </c>
      <c r="J7" t="n">
        <v>646794</v>
      </c>
      <c r="K7" t="n">
        <v>554649</v>
      </c>
      <c r="L7" t="n">
        <v>483277</v>
      </c>
      <c r="AJ7" t="inlineStr">
        <is>
          <t>Tier 1 Ratio</t>
        </is>
      </c>
      <c r="AK7" t="n">
        <v>22.6</v>
      </c>
      <c r="AL7" t="n">
        <v>22.7</v>
      </c>
      <c r="AM7" t="n">
        <v>24.7</v>
      </c>
      <c r="AN7" t="n">
        <v>23.9</v>
      </c>
    </row>
    <row r="8">
      <c r="A8" s="5" t="inlineStr">
        <is>
          <t>Deposits from customers</t>
        </is>
      </c>
      <c r="B8" s="5" t="n">
        <v>1046365</v>
      </c>
      <c r="C8" s="5" t="n">
        <v>1353609</v>
      </c>
      <c r="D8" s="5" t="n">
        <v>1321391</v>
      </c>
      <c r="E8" s="5" t="n">
        <v>971736</v>
      </c>
      <c r="H8" t="inlineStr">
        <is>
          <t>Deposits from customers</t>
        </is>
      </c>
      <c r="I8" t="n">
        <v>971736</v>
      </c>
      <c r="J8" t="n">
        <v>1321391</v>
      </c>
      <c r="K8" t="n">
        <v>1353609</v>
      </c>
      <c r="L8" t="n">
        <v>1046365</v>
      </c>
      <c r="AJ8" t="inlineStr">
        <is>
          <t>Total Capital Ratio</t>
        </is>
      </c>
      <c r="AK8" t="n">
        <v>22.6</v>
      </c>
      <c r="AL8" t="n">
        <v>22.7</v>
      </c>
      <c r="AM8" t="n">
        <v>24.7</v>
      </c>
      <c r="AN8" t="n">
        <v>23.86</v>
      </c>
    </row>
    <row r="9">
      <c r="A9" s="5" t="inlineStr">
        <is>
          <t>Total equity</t>
        </is>
      </c>
      <c r="B9" s="5" t="n">
        <v>132953</v>
      </c>
      <c r="C9" s="5" t="n">
        <v>129139</v>
      </c>
      <c r="D9" s="5" t="n">
        <v>130681</v>
      </c>
      <c r="E9" s="5" t="n">
        <v>127075</v>
      </c>
      <c r="H9" t="inlineStr">
        <is>
          <t>Total equity</t>
        </is>
      </c>
      <c r="I9" t="n">
        <v>127075</v>
      </c>
      <c r="J9" t="n">
        <v>130681</v>
      </c>
      <c r="K9" t="n">
        <v>129139</v>
      </c>
      <c r="L9" t="n">
        <v>132953</v>
      </c>
      <c r="AJ9" t="inlineStr">
        <is>
          <t>Leverage Ratio</t>
        </is>
      </c>
      <c r="AM9" t="n">
        <v>9.960000000000001</v>
      </c>
      <c r="AN9" t="n">
        <v>11.23</v>
      </c>
    </row>
    <row r="10">
      <c r="AJ10" t="inlineStr">
        <is>
          <t>LCR</t>
        </is>
      </c>
      <c r="AK10" t="n">
        <v>253</v>
      </c>
      <c r="AL10" t="n">
        <v>218</v>
      </c>
      <c r="AM10" t="n">
        <v>274</v>
      </c>
      <c r="AN10" t="n">
        <v>236</v>
      </c>
    </row>
    <row r="11">
      <c r="A11" s="3" t="inlineStr">
        <is>
          <t>Profit &amp; Loss Summary (£'000)</t>
        </is>
      </c>
      <c r="AJ11" t="inlineStr">
        <is>
          <t>NSFR</t>
        </is>
      </c>
      <c r="AM11" t="n">
        <v>181</v>
      </c>
      <c r="AN11" t="n">
        <v>162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95421</v>
      </c>
      <c r="C13" s="5" t="n">
        <v>95723</v>
      </c>
      <c r="D13" s="5" t="n">
        <v>93025</v>
      </c>
      <c r="E13" s="5" t="n">
        <v>90882</v>
      </c>
      <c r="O13" t="inlineStr">
        <is>
          <t>Net operating income</t>
        </is>
      </c>
      <c r="P13" t="n">
        <v>90882</v>
      </c>
      <c r="Q13" t="n">
        <v>93025</v>
      </c>
      <c r="R13" t="n">
        <v>95723</v>
      </c>
      <c r="S13" t="n">
        <v>95421</v>
      </c>
    </row>
    <row r="14">
      <c r="A14" s="5" t="inlineStr">
        <is>
          <t>Total operating expenses</t>
        </is>
      </c>
      <c r="B14" s="5" t="n">
        <v>-84365</v>
      </c>
      <c r="C14" s="5" t="n">
        <v>-91026</v>
      </c>
      <c r="D14" s="5" t="n">
        <v>-88096</v>
      </c>
      <c r="E14" s="5" t="n">
        <v>-85479</v>
      </c>
      <c r="O14" t="inlineStr">
        <is>
          <t>Total operating expenses</t>
        </is>
      </c>
      <c r="P14" t="n">
        <v>-85479</v>
      </c>
      <c r="Q14" t="n">
        <v>-88096</v>
      </c>
      <c r="R14" t="n">
        <v>-91026</v>
      </c>
      <c r="S14" t="n">
        <v>-84365</v>
      </c>
    </row>
    <row r="15">
      <c r="A15" s="5" t="inlineStr">
        <is>
          <t>Profit/(loss) for the year</t>
        </is>
      </c>
      <c r="B15" s="5" t="n">
        <v>4084</v>
      </c>
      <c r="C15" s="5" t="n">
        <v>-612</v>
      </c>
      <c r="D15" s="5" t="n">
        <v>1111</v>
      </c>
      <c r="E15" s="5" t="n">
        <v>2908</v>
      </c>
      <c r="O15" t="inlineStr">
        <is>
          <t>Profit/(loss) for the year</t>
        </is>
      </c>
      <c r="P15" t="n">
        <v>2908</v>
      </c>
      <c r="Q15" t="n">
        <v>1111</v>
      </c>
      <c r="R15" t="n">
        <v>-612</v>
      </c>
      <c r="S15" t="n">
        <v>4084</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129139</v>
      </c>
      <c r="C19" s="5" t="n">
        <v>130681</v>
      </c>
      <c r="D19" s="5" t="n">
        <v>127075</v>
      </c>
      <c r="E19" s="5" t="n">
        <v>122746</v>
      </c>
      <c r="V19" t="inlineStr">
        <is>
          <t>Opening equity</t>
        </is>
      </c>
      <c r="W19" t="n">
        <v>122746</v>
      </c>
      <c r="X19" t="n">
        <v>127075</v>
      </c>
      <c r="Y19" t="n">
        <v>130681</v>
      </c>
      <c r="Z19" t="n">
        <v>129139</v>
      </c>
    </row>
    <row r="20">
      <c r="A20" s="5" t="inlineStr">
        <is>
          <t>Total comprehensive income/(loss) for the year</t>
        </is>
      </c>
      <c r="B20" s="5" t="n">
        <v>4950</v>
      </c>
      <c r="C20" s="5" t="n">
        <v>-659</v>
      </c>
      <c r="D20" s="5" t="n">
        <v>4257</v>
      </c>
      <c r="E20" s="5" t="n">
        <v>4964</v>
      </c>
      <c r="V20" t="inlineStr">
        <is>
          <t>Total comprehensive income/(loss) for the year</t>
        </is>
      </c>
      <c r="W20" t="n">
        <v>4964</v>
      </c>
      <c r="X20" t="n">
        <v>4257</v>
      </c>
      <c r="Y20" t="n">
        <v>-659</v>
      </c>
      <c r="Z20" t="n">
        <v>4950</v>
      </c>
    </row>
    <row r="21">
      <c r="A21" s="5" t="inlineStr">
        <is>
          <t>AT1 coupon paid, net</t>
        </is>
      </c>
      <c r="B21" s="5" t="n">
        <v>-1136</v>
      </c>
      <c r="C21" s="5" t="n">
        <v>-883</v>
      </c>
      <c r="D21" s="5" t="n">
        <v>-651</v>
      </c>
      <c r="E21" s="5" t="n">
        <v>-635</v>
      </c>
      <c r="V21" t="inlineStr">
        <is>
          <t>AT1 coupon paid, net</t>
        </is>
      </c>
      <c r="W21" t="n">
        <v>-635</v>
      </c>
      <c r="X21" t="n">
        <v>-651</v>
      </c>
      <c r="Y21" t="n">
        <v>-883</v>
      </c>
      <c r="Z21" t="n">
        <v>-1136</v>
      </c>
    </row>
    <row r="22">
      <c r="A22" s="5" t="inlineStr">
        <is>
          <t>Closing equity</t>
        </is>
      </c>
      <c r="B22" s="5" t="n">
        <v>132953</v>
      </c>
      <c r="C22" s="5" t="n">
        <v>129139</v>
      </c>
      <c r="D22" s="5" t="n">
        <v>130681</v>
      </c>
      <c r="E22" s="5" t="n">
        <v>127075</v>
      </c>
      <c r="V22" t="inlineStr">
        <is>
          <t>Closing equity</t>
        </is>
      </c>
      <c r="W22" t="n">
        <v>127075</v>
      </c>
      <c r="X22" t="n">
        <v>130681</v>
      </c>
      <c r="Y22" t="n">
        <v>129139</v>
      </c>
      <c r="Z22" t="n">
        <v>132953</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(used in)/from operating activities</t>
        </is>
      </c>
      <c r="B26" s="5" t="n">
        <v>-210559</v>
      </c>
      <c r="C26" s="5" t="n">
        <v>24812</v>
      </c>
      <c r="D26" s="5" t="n">
        <v>282024</v>
      </c>
      <c r="E26" s="5" t="n">
        <v>18377</v>
      </c>
      <c r="AC26" t="inlineStr">
        <is>
          <t>Net cash (used in)/from operating activities</t>
        </is>
      </c>
      <c r="AD26" t="n">
        <v>18377</v>
      </c>
      <c r="AE26" t="n">
        <v>282024</v>
      </c>
      <c r="AF26" t="n">
        <v>24812</v>
      </c>
      <c r="AG26" t="n">
        <v>-210559</v>
      </c>
    </row>
    <row r="27">
      <c r="A27" s="5" t="inlineStr">
        <is>
          <t>Net cash from/(used in) investing activities</t>
        </is>
      </c>
      <c r="B27" s="5" t="n">
        <v>2332</v>
      </c>
      <c r="C27" s="5" t="n">
        <v>-4125</v>
      </c>
      <c r="D27" s="5" t="n">
        <v>-775</v>
      </c>
      <c r="E27" s="5" t="n">
        <v>-4666</v>
      </c>
      <c r="AC27" t="inlineStr">
        <is>
          <t>Net cash from/(used in) investing activities</t>
        </is>
      </c>
      <c r="AD27" t="n">
        <v>-4666</v>
      </c>
      <c r="AE27" t="n">
        <v>-775</v>
      </c>
      <c r="AF27" t="n">
        <v>-4125</v>
      </c>
      <c r="AG27" t="n">
        <v>2332</v>
      </c>
    </row>
    <row r="28">
      <c r="A28" s="5" t="inlineStr">
        <is>
          <t>Net cash used in financing activities</t>
        </is>
      </c>
      <c r="B28" s="5" t="n">
        <v>-3495</v>
      </c>
      <c r="C28" s="5" t="n">
        <v>-3077</v>
      </c>
      <c r="D28" s="5" t="n">
        <v>-2691</v>
      </c>
      <c r="E28" s="5" t="n">
        <v>-2492</v>
      </c>
      <c r="AC28" t="inlineStr">
        <is>
          <t>Net cash used in financing activities</t>
        </is>
      </c>
      <c r="AD28" t="n">
        <v>-2492</v>
      </c>
      <c r="AE28" t="n">
        <v>-2691</v>
      </c>
      <c r="AF28" t="n">
        <v>-3077</v>
      </c>
      <c r="AG28" t="n">
        <v>-3495</v>
      </c>
    </row>
    <row r="29">
      <c r="A29" s="5" t="inlineStr">
        <is>
          <t>Cash and cash equivalents at end of year</t>
        </is>
      </c>
      <c r="B29" s="5" t="n">
        <v>374909</v>
      </c>
      <c r="C29" s="5" t="n">
        <v>586631</v>
      </c>
      <c r="D29" s="5" t="n">
        <v>569021</v>
      </c>
      <c r="E29" s="5" t="n">
        <v>290463</v>
      </c>
      <c r="AC29" t="inlineStr">
        <is>
          <t>Cash and cash equivalents at end of year</t>
        </is>
      </c>
      <c r="AD29" t="n">
        <v>290463</v>
      </c>
      <c r="AE29" t="n">
        <v>569021</v>
      </c>
      <c r="AF29" t="n">
        <v>586631</v>
      </c>
      <c r="AG29" t="n">
        <v>374909</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21.6%</t>
        </is>
      </c>
      <c r="C33" s="6" t="inlineStr">
        <is>
          <t>22.3%</t>
        </is>
      </c>
      <c r="D33" s="6" t="inlineStr">
        <is>
          <t>20.3%</t>
        </is>
      </c>
      <c r="E33" s="6" t="inlineStr">
        <is>
          <t>19.6%</t>
        </is>
      </c>
    </row>
    <row r="34">
      <c r="A34" s="6" t="inlineStr">
        <is>
          <t>Tier 1 Ratio</t>
        </is>
      </c>
      <c r="B34" s="6" t="inlineStr">
        <is>
          <t>23.9%</t>
        </is>
      </c>
      <c r="C34" s="6" t="inlineStr">
        <is>
          <t>24.7%</t>
        </is>
      </c>
      <c r="D34" s="6" t="inlineStr">
        <is>
          <t>22.7%</t>
        </is>
      </c>
      <c r="E34" s="6" t="inlineStr">
        <is>
          <t>22.6%</t>
        </is>
      </c>
    </row>
    <row r="35">
      <c r="A35" s="6" t="inlineStr">
        <is>
          <t>Total Capital Ratio</t>
        </is>
      </c>
      <c r="B35" s="6" t="inlineStr">
        <is>
          <t>23.86%</t>
        </is>
      </c>
      <c r="C35" s="6" t="inlineStr">
        <is>
          <t>24.7%</t>
        </is>
      </c>
      <c r="D35" s="6" t="inlineStr">
        <is>
          <t>22.7%</t>
        </is>
      </c>
      <c r="E35" s="6" t="inlineStr">
        <is>
          <t>22.6%</t>
        </is>
      </c>
    </row>
    <row r="36">
      <c r="A36" s="6" t="inlineStr">
        <is>
          <t>Leverage Ratio</t>
        </is>
      </c>
      <c r="B36" s="6" t="inlineStr">
        <is>
          <t>11.23%</t>
        </is>
      </c>
      <c r="C36" s="6" t="inlineStr">
        <is>
          <t>9.96%</t>
        </is>
      </c>
      <c r="D36" s="6" t="n"/>
      <c r="E36" s="6" t="n"/>
    </row>
    <row r="37">
      <c r="A37" s="6" t="inlineStr">
        <is>
          <t>LCR</t>
        </is>
      </c>
      <c r="B37" s="6" t="inlineStr">
        <is>
          <t>236%</t>
        </is>
      </c>
      <c r="C37" s="6" t="inlineStr">
        <is>
          <t>274%</t>
        </is>
      </c>
      <c r="D37" s="6" t="inlineStr">
        <is>
          <t>218%</t>
        </is>
      </c>
      <c r="E37" s="6" t="inlineStr">
        <is>
          <t>253%</t>
        </is>
      </c>
    </row>
    <row r="38">
      <c r="A38" s="6" t="inlineStr">
        <is>
          <t>NSFR</t>
        </is>
      </c>
      <c r="B38" s="6" t="inlineStr">
        <is>
          <t>162%</t>
        </is>
      </c>
      <c r="C38" s="6" t="inlineStr">
        <is>
          <t>181%</t>
        </is>
      </c>
      <c r="D38" s="6" t="n"/>
      <c r="E38" s="6" t="n"/>
    </row>
    <row r="40" ht="45" customHeight="1">
      <c r="A40" s="7" t="inlineStr">
        <is>
          <t>Note: Figures are duplicated from the detail sheets for at-a-glance trend viewing; see each sheet's own source citation for the underlying document/page. This workbook covers FY2021-FY2024 (4 years, not the usual 5) since Brown Shipley's FY2025 accounts were still 'being processed' at Companies House as of this build.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See each metric sheet for detail.</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Brown Shipley &amp; Co. Limited — Statement of Financial Position</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at central banks</t>
        </is>
      </c>
      <c r="B5" s="6" t="n">
        <v>292700</v>
      </c>
      <c r="C5" s="6" t="n">
        <v>528997</v>
      </c>
      <c r="D5" s="6" t="n">
        <v>456835</v>
      </c>
      <c r="E5" s="6" t="n">
        <v>236409</v>
      </c>
    </row>
    <row r="6">
      <c r="A6" s="6" t="inlineStr">
        <is>
          <t>Loans and advances to banks</t>
        </is>
      </c>
      <c r="B6" s="6" t="n">
        <v>290450</v>
      </c>
      <c r="C6" s="6" t="n">
        <v>276949</v>
      </c>
      <c r="D6" s="6" t="n">
        <v>222163</v>
      </c>
      <c r="E6" s="6" t="n">
        <v>86610</v>
      </c>
    </row>
    <row r="7">
      <c r="A7" s="6" t="inlineStr">
        <is>
          <t>Loans and advances to customers</t>
        </is>
      </c>
      <c r="B7" s="6" t="n">
        <v>483277</v>
      </c>
      <c r="C7" s="6" t="n">
        <v>554649</v>
      </c>
      <c r="D7" s="6" t="n">
        <v>646794</v>
      </c>
      <c r="E7" s="6" t="n">
        <v>565574</v>
      </c>
    </row>
    <row r="8">
      <c r="A8" s="6" t="inlineStr">
        <is>
          <t>Derivative financial instruments - held for trading</t>
        </is>
      </c>
      <c r="B8" s="6" t="n">
        <v>3785</v>
      </c>
      <c r="C8" s="6" t="n">
        <v>4148</v>
      </c>
      <c r="D8" s="6" t="n">
        <v>5795</v>
      </c>
      <c r="E8" s="6" t="n">
        <v>1952</v>
      </c>
    </row>
    <row r="9">
      <c r="A9" s="6" t="inlineStr">
        <is>
          <t>Investments - non-trading at fair value through profit or loss</t>
        </is>
      </c>
      <c r="B9" s="6" t="n">
        <v>764</v>
      </c>
      <c r="C9" s="6" t="n">
        <v>405</v>
      </c>
      <c r="D9" s="6" t="n">
        <v>359</v>
      </c>
      <c r="E9" s="6" t="n">
        <v>698</v>
      </c>
    </row>
    <row r="10">
      <c r="A10" s="6" t="inlineStr">
        <is>
          <t>Debt securities at amortised cost</t>
        </is>
      </c>
      <c r="B10" s="6" t="n">
        <v>105293</v>
      </c>
      <c r="C10" s="6" t="n">
        <v>111833</v>
      </c>
      <c r="D10" s="6" t="n">
        <v>117333</v>
      </c>
      <c r="E10" s="6" t="n">
        <v>188307</v>
      </c>
    </row>
    <row r="11">
      <c r="A11" s="6" t="inlineStr">
        <is>
          <t>Other receivables</t>
        </is>
      </c>
      <c r="B11" s="6" t="n">
        <v>8062</v>
      </c>
      <c r="C11" s="6" t="n">
        <v>11639</v>
      </c>
      <c r="D11" s="6" t="n">
        <v>8569</v>
      </c>
      <c r="E11" s="6" t="n">
        <v>12597</v>
      </c>
    </row>
    <row r="12">
      <c r="A12" s="6" t="inlineStr">
        <is>
          <t>Property and equipment</t>
        </is>
      </c>
      <c r="B12" s="6" t="n">
        <v>9248</v>
      </c>
      <c r="C12" s="6" t="n">
        <v>11612</v>
      </c>
      <c r="D12" s="6" t="n">
        <v>14021</v>
      </c>
      <c r="E12" s="6" t="n">
        <v>14917</v>
      </c>
    </row>
    <row r="13">
      <c r="A13" s="6" t="inlineStr">
        <is>
          <t>Goodwill and other intangible assets</t>
        </is>
      </c>
      <c r="B13" s="6" t="n">
        <v>22250</v>
      </c>
      <c r="C13" s="6" t="n">
        <v>28205</v>
      </c>
      <c r="D13" s="6" t="n">
        <v>34538</v>
      </c>
      <c r="E13" s="6" t="n">
        <v>42818</v>
      </c>
    </row>
    <row r="14">
      <c r="A14" s="6" t="inlineStr">
        <is>
          <t>Investment in subsidiaries</t>
        </is>
      </c>
      <c r="B14" s="6" t="n">
        <v>293</v>
      </c>
      <c r="C14" s="6" t="n">
        <v>293</v>
      </c>
      <c r="D14" s="6" t="n">
        <v>293</v>
      </c>
      <c r="E14" s="6" t="n">
        <v>293</v>
      </c>
    </row>
    <row r="15">
      <c r="A15" s="6" t="inlineStr">
        <is>
          <t>Current tax asset</t>
        </is>
      </c>
      <c r="B15" s="6" t="n"/>
      <c r="C15" s="6" t="n"/>
      <c r="D15" s="6" t="n"/>
      <c r="E15" s="6" t="n">
        <v>385</v>
      </c>
    </row>
    <row r="16">
      <c r="A16" s="6" t="inlineStr">
        <is>
          <t>Deferred tax asset</t>
        </is>
      </c>
      <c r="B16" s="6" t="n"/>
      <c r="C16" s="6" t="n"/>
      <c r="D16" s="6" t="n">
        <v>213</v>
      </c>
      <c r="E16" s="6" t="n">
        <v>1717</v>
      </c>
    </row>
    <row r="17">
      <c r="A17" s="6" t="inlineStr">
        <is>
          <t>Defined Benefit Pension Scheme (asset)</t>
        </is>
      </c>
      <c r="B17" s="6" t="n">
        <v>1922</v>
      </c>
      <c r="C17" s="6" t="n">
        <v>441</v>
      </c>
      <c r="D17" s="6" t="n">
        <v>187</v>
      </c>
      <c r="E17" s="6" t="n"/>
    </row>
    <row r="18">
      <c r="A18" s="5" t="inlineStr">
        <is>
          <t>Total assets</t>
        </is>
      </c>
      <c r="B18" s="5" t="n">
        <v>1218044</v>
      </c>
      <c r="C18" s="5" t="n">
        <v>1529171</v>
      </c>
      <c r="D18" s="5" t="n">
        <v>1507100</v>
      </c>
      <c r="E18" s="5" t="n">
        <v>1152277</v>
      </c>
    </row>
    <row r="19">
      <c r="A19" s="5" t="inlineStr">
        <is>
          <t>Liabilities</t>
        </is>
      </c>
      <c r="B19" s="6" t="n"/>
      <c r="C19" s="6" t="n"/>
      <c r="D19" s="6" t="n"/>
      <c r="E19" s="6" t="n"/>
    </row>
    <row r="20">
      <c r="A20" s="6" t="inlineStr">
        <is>
          <t>Deposits from banks</t>
        </is>
      </c>
      <c r="B20" s="6" t="n">
        <v>7138</v>
      </c>
      <c r="C20" s="6" t="n">
        <v>9131</v>
      </c>
      <c r="D20" s="6" t="n">
        <v>13740</v>
      </c>
      <c r="E20" s="6" t="n">
        <v>4713</v>
      </c>
    </row>
    <row r="21">
      <c r="A21" s="6" t="inlineStr">
        <is>
          <t>Deposits from customers</t>
        </is>
      </c>
      <c r="B21" s="6" t="n">
        <v>1046365</v>
      </c>
      <c r="C21" s="6" t="n">
        <v>1353609</v>
      </c>
      <c r="D21" s="6" t="n">
        <v>1321391</v>
      </c>
      <c r="E21" s="6" t="n">
        <v>971736</v>
      </c>
    </row>
    <row r="22">
      <c r="A22" s="6" t="inlineStr">
        <is>
          <t>Derivative financial instruments - held for trading</t>
        </is>
      </c>
      <c r="B22" s="6" t="n">
        <v>11</v>
      </c>
      <c r="C22" s="6" t="n">
        <v>1417</v>
      </c>
      <c r="D22" s="6" t="n">
        <v>1846</v>
      </c>
      <c r="E22" s="6" t="n">
        <v>207</v>
      </c>
    </row>
    <row r="23">
      <c r="A23" s="6" t="inlineStr">
        <is>
          <t>Other liabilities</t>
        </is>
      </c>
      <c r="B23" s="6" t="n">
        <v>29447</v>
      </c>
      <c r="C23" s="6" t="n">
        <v>34773</v>
      </c>
      <c r="D23" s="6" t="n">
        <v>36539</v>
      </c>
      <c r="E23" s="6" t="n">
        <v>37230</v>
      </c>
    </row>
    <row r="24">
      <c r="A24" s="6" t="inlineStr">
        <is>
          <t>Defined Benefit Pension Scheme (liability)</t>
        </is>
      </c>
      <c r="B24" s="6" t="n"/>
      <c r="C24" s="6" t="n"/>
      <c r="D24" s="6" t="n"/>
      <c r="E24" s="6" t="n">
        <v>4423</v>
      </c>
    </row>
    <row r="25">
      <c r="A25" s="6" t="inlineStr">
        <is>
          <t>Provisions</t>
        </is>
      </c>
      <c r="B25" s="6" t="n">
        <v>371</v>
      </c>
      <c r="C25" s="6" t="n">
        <v>143</v>
      </c>
      <c r="D25" s="6" t="n">
        <v>2719</v>
      </c>
      <c r="E25" s="6" t="n">
        <v>6893</v>
      </c>
    </row>
    <row r="26">
      <c r="A26" s="6" t="inlineStr">
        <is>
          <t>Current tax liability</t>
        </is>
      </c>
      <c r="B26" s="6" t="n">
        <v>1757</v>
      </c>
      <c r="C26" s="6" t="n">
        <v>929</v>
      </c>
      <c r="D26" s="6" t="n">
        <v>184</v>
      </c>
      <c r="E26" s="6" t="n"/>
    </row>
    <row r="27">
      <c r="A27" s="6" t="inlineStr">
        <is>
          <t>Deferred tax liability</t>
        </is>
      </c>
      <c r="B27" s="6" t="n">
        <v>2</v>
      </c>
      <c r="C27" s="6" t="n">
        <v>30</v>
      </c>
      <c r="D27" s="6" t="n"/>
      <c r="E27" s="6" t="n"/>
    </row>
    <row r="28">
      <c r="A28" s="5" t="inlineStr">
        <is>
          <t>Total liabilities</t>
        </is>
      </c>
      <c r="B28" s="5" t="n">
        <v>1085091</v>
      </c>
      <c r="C28" s="5" t="n">
        <v>1400032</v>
      </c>
      <c r="D28" s="5" t="n">
        <v>1376419</v>
      </c>
      <c r="E28" s="5" t="n">
        <v>1025202</v>
      </c>
    </row>
    <row r="29">
      <c r="A29" s="5" t="inlineStr">
        <is>
          <t>Equity</t>
        </is>
      </c>
      <c r="B29" s="6" t="n"/>
      <c r="C29" s="6" t="n"/>
      <c r="D29" s="6" t="n"/>
      <c r="E29" s="6" t="n"/>
    </row>
    <row r="30">
      <c r="A30" s="6" t="inlineStr">
        <is>
          <t>Called up share capital</t>
        </is>
      </c>
      <c r="B30" s="6" t="n">
        <v>81824</v>
      </c>
      <c r="C30" s="6" t="n">
        <v>81824</v>
      </c>
      <c r="D30" s="6" t="n">
        <v>81824</v>
      </c>
      <c r="E30" s="6" t="n">
        <v>81824</v>
      </c>
    </row>
    <row r="31">
      <c r="A31" s="6" t="inlineStr">
        <is>
          <t>Additional Tier 1 Equity Capital</t>
        </is>
      </c>
      <c r="B31" s="6" t="n">
        <v>10000</v>
      </c>
      <c r="C31" s="6" t="n">
        <v>10000</v>
      </c>
      <c r="D31" s="6" t="n">
        <v>10000</v>
      </c>
      <c r="E31" s="6" t="n">
        <v>10000</v>
      </c>
    </row>
    <row r="32">
      <c r="A32" s="6" t="inlineStr">
        <is>
          <t>Retained earnings</t>
        </is>
      </c>
      <c r="B32" s="6" t="n">
        <v>41129</v>
      </c>
      <c r="C32" s="6" t="n">
        <v>37315</v>
      </c>
      <c r="D32" s="6" t="n">
        <v>38857</v>
      </c>
      <c r="E32" s="6" t="n">
        <v>35251</v>
      </c>
    </row>
    <row r="33">
      <c r="A33" s="5" t="inlineStr">
        <is>
          <t>Total equity</t>
        </is>
      </c>
      <c r="B33" s="5" t="n">
        <v>132953</v>
      </c>
      <c r="C33" s="5" t="n">
        <v>129139</v>
      </c>
      <c r="D33" s="5" t="n">
        <v>130681</v>
      </c>
      <c r="E33" s="5" t="n">
        <v>127075</v>
      </c>
    </row>
    <row r="34">
      <c r="A34" s="5" t="inlineStr">
        <is>
          <t>Total liabilities and equity</t>
        </is>
      </c>
      <c r="B34" s="5" t="n">
        <v>1218044</v>
      </c>
      <c r="C34" s="5" t="n">
        <v>1529171</v>
      </c>
      <c r="D34" s="5" t="n">
        <v>1507100</v>
      </c>
      <c r="E34" s="5" t="n">
        <v>1152277</v>
      </c>
    </row>
    <row r="36" ht="380" customHeight="1">
      <c r="A36"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Income Statement</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and similar income</t>
        </is>
      </c>
      <c r="B5" s="6" t="n">
        <v>83170</v>
      </c>
      <c r="C5" s="6" t="n">
        <v>90709</v>
      </c>
      <c r="D5" s="6" t="n">
        <v>33998</v>
      </c>
      <c r="E5" s="6" t="n">
        <v>13124</v>
      </c>
    </row>
    <row r="6">
      <c r="A6" s="6" t="inlineStr">
        <is>
          <t>Interest and similar expense</t>
        </is>
      </c>
      <c r="B6" s="6" t="n">
        <v>-58552</v>
      </c>
      <c r="C6" s="6" t="n">
        <v>-63253</v>
      </c>
      <c r="D6" s="6" t="n">
        <v>-16047</v>
      </c>
      <c r="E6" s="6" t="n">
        <v>-3827</v>
      </c>
    </row>
    <row r="7">
      <c r="A7" s="5" t="inlineStr">
        <is>
          <t>Net interest income</t>
        </is>
      </c>
      <c r="B7" s="5" t="n">
        <v>24618</v>
      </c>
      <c r="C7" s="5" t="n">
        <v>27456</v>
      </c>
      <c r="D7" s="5" t="n">
        <v>17951</v>
      </c>
      <c r="E7" s="5" t="n">
        <v>9297</v>
      </c>
    </row>
    <row r="8">
      <c r="A8" s="6" t="inlineStr">
        <is>
          <t>Fee and commission income</t>
        </is>
      </c>
      <c r="B8" s="6" t="n">
        <v>58352</v>
      </c>
      <c r="C8" s="6" t="n">
        <v>60023</v>
      </c>
      <c r="D8" s="6" t="n">
        <v>59780</v>
      </c>
      <c r="E8" s="6" t="n">
        <v>64976</v>
      </c>
    </row>
    <row r="9">
      <c r="A9" s="6" t="inlineStr">
        <is>
          <t>Fee and commission expense</t>
        </is>
      </c>
      <c r="B9" s="6" t="n">
        <v>-3494</v>
      </c>
      <c r="C9" s="6" t="n">
        <v>-3136</v>
      </c>
      <c r="D9" s="6" t="n">
        <v>-2120</v>
      </c>
      <c r="E9" s="6" t="n">
        <v>-1824</v>
      </c>
    </row>
    <row r="10">
      <c r="A10" s="5" t="inlineStr">
        <is>
          <t>Net fee and commission income</t>
        </is>
      </c>
      <c r="B10" s="5" t="n">
        <v>54858</v>
      </c>
      <c r="C10" s="5" t="n">
        <v>56887</v>
      </c>
      <c r="D10" s="5" t="n">
        <v>57660</v>
      </c>
      <c r="E10" s="5" t="n">
        <v>63152</v>
      </c>
    </row>
    <row r="11">
      <c r="A11" s="6" t="inlineStr">
        <is>
          <t>Dividend income</t>
        </is>
      </c>
      <c r="B11" s="6" t="n">
        <v>7</v>
      </c>
      <c r="C11" s="6" t="n">
        <v>7</v>
      </c>
      <c r="D11" s="6" t="n">
        <v>8</v>
      </c>
      <c r="E11" s="6" t="n">
        <v>8</v>
      </c>
    </row>
    <row r="12">
      <c r="A12" s="6" t="inlineStr">
        <is>
          <t>Net gains from financial instruments at fair value through profit or loss</t>
        </is>
      </c>
      <c r="B12" s="6" t="n">
        <v>4620</v>
      </c>
      <c r="C12" s="6" t="n">
        <v>3356</v>
      </c>
      <c r="D12" s="6" t="n">
        <v>7718</v>
      </c>
      <c r="E12" s="6" t="n">
        <v>3559</v>
      </c>
    </row>
    <row r="13">
      <c r="A13" s="6" t="inlineStr">
        <is>
          <t>Net losses from financial instruments not measured at fair value through profit or loss</t>
        </is>
      </c>
      <c r="B13" s="6" t="n"/>
      <c r="C13" s="6" t="n"/>
      <c r="D13" s="6" t="n"/>
      <c r="E13" s="6" t="n">
        <v>0</v>
      </c>
    </row>
    <row r="14">
      <c r="A14" s="6" t="inlineStr">
        <is>
          <t>Other operating income</t>
        </is>
      </c>
      <c r="B14" s="6" t="n">
        <v>11318</v>
      </c>
      <c r="C14" s="6" t="n">
        <v>8017</v>
      </c>
      <c r="D14" s="6" t="n">
        <v>9688</v>
      </c>
      <c r="E14" s="6" t="n">
        <v>14866</v>
      </c>
    </row>
    <row r="15">
      <c r="A15" s="5" t="inlineStr">
        <is>
          <t>Net operating income</t>
        </is>
      </c>
      <c r="B15" s="5" t="n">
        <v>95421</v>
      </c>
      <c r="C15" s="5" t="n">
        <v>95723</v>
      </c>
      <c r="D15" s="5" t="n">
        <v>93025</v>
      </c>
      <c r="E15" s="5" t="n">
        <v>90882</v>
      </c>
    </row>
    <row r="16">
      <c r="A16" s="5" t="inlineStr">
        <is>
          <t>Expenses</t>
        </is>
      </c>
      <c r="B16" s="6" t="n"/>
      <c r="C16" s="6" t="n"/>
      <c r="D16" s="6" t="n"/>
      <c r="E16" s="6" t="n"/>
    </row>
    <row r="17">
      <c r="A17" s="6" t="inlineStr">
        <is>
          <t>Staff expenses</t>
        </is>
      </c>
      <c r="B17" s="6" t="n">
        <v>-44065</v>
      </c>
      <c r="C17" s="6" t="n">
        <v>-53830</v>
      </c>
      <c r="D17" s="6" t="n">
        <v>-53667</v>
      </c>
      <c r="E17" s="6" t="n">
        <v>-52755</v>
      </c>
    </row>
    <row r="18">
      <c r="A18" s="6" t="inlineStr">
        <is>
          <t>General administrative expenses</t>
        </is>
      </c>
      <c r="B18" s="6" t="n">
        <v>-33199</v>
      </c>
      <c r="C18" s="6" t="n">
        <v>-31153</v>
      </c>
      <c r="D18" s="6" t="n">
        <v>-27501</v>
      </c>
      <c r="E18" s="6" t="n">
        <v>-23574</v>
      </c>
    </row>
    <row r="19">
      <c r="A19" s="6" t="inlineStr">
        <is>
          <t>Depreciation of property and equipment</t>
        </is>
      </c>
      <c r="B19" s="6" t="n">
        <v>-3563</v>
      </c>
      <c r="C19" s="6" t="n">
        <v>-3392</v>
      </c>
      <c r="D19" s="6" t="n">
        <v>-3123</v>
      </c>
      <c r="E19" s="6" t="n">
        <v>-2695</v>
      </c>
    </row>
    <row r="20">
      <c r="A20" s="6" t="inlineStr">
        <is>
          <t>Amortisation of intangible assets</t>
        </is>
      </c>
      <c r="B20" s="6" t="n">
        <v>-3177</v>
      </c>
      <c r="C20" s="6" t="n">
        <v>-3501</v>
      </c>
      <c r="D20" s="6" t="n">
        <v>-3805</v>
      </c>
      <c r="E20" s="6" t="n">
        <v>-3939</v>
      </c>
    </row>
    <row r="21">
      <c r="A21" s="6" t="inlineStr">
        <is>
          <t>Net (increase)/decrease in provisions</t>
        </is>
      </c>
      <c r="B21" s="6" t="n">
        <v>-361</v>
      </c>
      <c r="C21" s="6" t="n">
        <v>850</v>
      </c>
      <c r="D21" s="6" t="n">
        <v>0</v>
      </c>
      <c r="E21" s="6" t="n">
        <v>-2516</v>
      </c>
    </row>
    <row r="22">
      <c r="A22" s="5" t="inlineStr">
        <is>
          <t>Total operating expenses</t>
        </is>
      </c>
      <c r="B22" s="5" t="n">
        <v>-84365</v>
      </c>
      <c r="C22" s="5" t="n">
        <v>-91026</v>
      </c>
      <c r="D22" s="5" t="n">
        <v>-88096</v>
      </c>
      <c r="E22" s="5" t="n">
        <v>-85479</v>
      </c>
    </row>
    <row r="23">
      <c r="A23" s="6" t="inlineStr">
        <is>
          <t>Impairment of assets</t>
        </is>
      </c>
      <c r="B23" s="6" t="n">
        <v>-3253</v>
      </c>
      <c r="C23" s="6" t="n">
        <v>-3474</v>
      </c>
      <c r="D23" s="6" t="n">
        <v>-2594</v>
      </c>
      <c r="E23" s="6" t="n">
        <v>-96</v>
      </c>
    </row>
    <row r="24">
      <c r="A24" s="5" t="inlineStr">
        <is>
          <t>Profit before tax</t>
        </is>
      </c>
      <c r="B24" s="5" t="n">
        <v>7803</v>
      </c>
      <c r="C24" s="5" t="n">
        <v>1223</v>
      </c>
      <c r="D24" s="5" t="n">
        <v>2335</v>
      </c>
      <c r="E24" s="5" t="n">
        <v>5307</v>
      </c>
    </row>
    <row r="25">
      <c r="A25" s="6" t="inlineStr">
        <is>
          <t>Income tax (charge)/credit</t>
        </is>
      </c>
      <c r="B25" s="6" t="n">
        <v>-3719</v>
      </c>
      <c r="C25" s="6" t="n">
        <v>-1835</v>
      </c>
      <c r="D25" s="6" t="n">
        <v>-1224</v>
      </c>
      <c r="E25" s="6" t="n">
        <v>-2399</v>
      </c>
    </row>
    <row r="26">
      <c r="A26" s="5" t="inlineStr">
        <is>
          <t>Profit/(loss) for the year</t>
        </is>
      </c>
      <c r="B26" s="5" t="n">
        <v>4084</v>
      </c>
      <c r="C26" s="5" t="n">
        <v>-612</v>
      </c>
      <c r="D26" s="5" t="n">
        <v>1111</v>
      </c>
      <c r="E26" s="5" t="n">
        <v>2908</v>
      </c>
    </row>
    <row r="27">
      <c r="A27" s="5" t="inlineStr">
        <is>
          <t>Other comprehensive income</t>
        </is>
      </c>
      <c r="B27" s="6" t="n"/>
      <c r="C27" s="6" t="n"/>
      <c r="D27" s="6" t="n"/>
      <c r="E27" s="6" t="n"/>
    </row>
    <row r="28">
      <c r="A28" s="6" t="inlineStr">
        <is>
          <t>Actuarial gain/(loss) on Defined Benefit Pension Scheme</t>
        </is>
      </c>
      <c r="B28" s="6" t="n">
        <v>1154</v>
      </c>
      <c r="C28" s="6" t="n">
        <v>-63</v>
      </c>
      <c r="D28" s="6" t="n">
        <v>4391</v>
      </c>
      <c r="E28" s="6" t="n">
        <v>2131</v>
      </c>
    </row>
    <row r="29">
      <c r="A29" s="6" t="inlineStr">
        <is>
          <t>Deferred tax (debit)/credit on pension scheme</t>
        </is>
      </c>
      <c r="B29" s="6" t="n">
        <v>-288</v>
      </c>
      <c r="C29" s="6" t="n">
        <v>16</v>
      </c>
      <c r="D29" s="6" t="n">
        <v>-1245</v>
      </c>
      <c r="E29" s="6" t="n">
        <v>-75</v>
      </c>
    </row>
    <row r="30">
      <c r="A30" s="5" t="inlineStr">
        <is>
          <t>Total comprehensive income/(loss) for the year</t>
        </is>
      </c>
      <c r="B30" s="5" t="n">
        <v>4950</v>
      </c>
      <c r="C30" s="5" t="n">
        <v>-659</v>
      </c>
      <c r="D30" s="5" t="n">
        <v>4257</v>
      </c>
      <c r="E30" s="5" t="n">
        <v>4964</v>
      </c>
    </row>
    <row r="32" ht="380" customHeight="1">
      <c r="A32"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8" ht="380" customHeight="1">
      <c r="A18"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Cash Flow Statement</t>
        </is>
      </c>
    </row>
    <row r="2">
      <c r="A2" s="2" t="inlineStr">
        <is>
          <t>£'000. Company (entity-level) basis.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Operating activities</t>
        </is>
      </c>
      <c r="B4" s="6" t="n"/>
      <c r="C4" s="6" t="n"/>
      <c r="D4" s="6" t="n"/>
      <c r="E4" s="6" t="n"/>
    </row>
    <row r="5">
      <c r="A5" s="6" t="inlineStr">
        <is>
          <t>Net profit before tax on continuing activities</t>
        </is>
      </c>
      <c r="B5" s="6" t="n">
        <v>7803</v>
      </c>
      <c r="C5" s="6" t="n">
        <v>1223</v>
      </c>
      <c r="D5" s="6" t="n">
        <v>2335</v>
      </c>
      <c r="E5" s="6" t="n">
        <v>5307</v>
      </c>
    </row>
    <row r="6">
      <c r="A6" s="6" t="inlineStr">
        <is>
          <t>Changes in operating assets</t>
        </is>
      </c>
      <c r="B6" s="6" t="n">
        <v>99240</v>
      </c>
      <c r="C6" s="6" t="n">
        <v>-12578</v>
      </c>
      <c r="D6" s="6" t="n">
        <v>-67317</v>
      </c>
      <c r="E6" s="6" t="n">
        <v>-149872</v>
      </c>
    </row>
    <row r="7">
      <c r="A7" s="6" t="inlineStr">
        <is>
          <t>Changes in operating liabilities</t>
        </is>
      </c>
      <c r="B7" s="6" t="n">
        <v>-317156</v>
      </c>
      <c r="C7" s="6" t="n">
        <v>30240</v>
      </c>
      <c r="D7" s="6" t="n">
        <v>349131</v>
      </c>
      <c r="E7" s="6" t="n">
        <v>164590</v>
      </c>
    </row>
    <row r="8">
      <c r="A8" s="6" t="inlineStr">
        <is>
          <t>Dividend receivable</t>
        </is>
      </c>
      <c r="B8" s="6" t="n">
        <v>-7</v>
      </c>
      <c r="C8" s="6" t="n">
        <v>-7</v>
      </c>
      <c r="D8" s="6" t="n">
        <v>-8</v>
      </c>
      <c r="E8" s="6" t="n">
        <v>-8</v>
      </c>
    </row>
    <row r="9">
      <c r="A9" s="6" t="inlineStr">
        <is>
          <t>Loss/(gain) on sale of prior year acquisitions</t>
        </is>
      </c>
      <c r="B9" s="6" t="n"/>
      <c r="C9" s="6" t="n"/>
      <c r="D9" s="6" t="n">
        <v>97</v>
      </c>
      <c r="E9" s="6" t="n">
        <v>5</v>
      </c>
    </row>
    <row r="10">
      <c r="A10" s="6" t="inlineStr">
        <is>
          <t>Profit on sale of the pensions activities</t>
        </is>
      </c>
      <c r="B10" s="6" t="n"/>
      <c r="C10" s="6" t="n"/>
      <c r="D10" s="6" t="n">
        <v>-400</v>
      </c>
      <c r="E10" s="6" t="n">
        <v>-3600</v>
      </c>
    </row>
    <row r="11">
      <c r="A11" s="6" t="inlineStr">
        <is>
          <t>Loss/(gain) on deferred consideration - NWB</t>
        </is>
      </c>
      <c r="B11" s="6" t="n">
        <v>0</v>
      </c>
      <c r="C11" s="6" t="n">
        <v>1442</v>
      </c>
      <c r="D11" s="6" t="n">
        <v>-965</v>
      </c>
      <c r="E11" s="6" t="n">
        <v>-3003</v>
      </c>
    </row>
    <row r="12">
      <c r="A12" s="6" t="inlineStr">
        <is>
          <t>Net gains from financial instruments at fair value</t>
        </is>
      </c>
      <c r="B12" s="6" t="n">
        <v>-4620</v>
      </c>
      <c r="C12" s="6" t="n">
        <v>-3356</v>
      </c>
      <c r="D12" s="6" t="n">
        <v>-6993</v>
      </c>
      <c r="E12" s="6" t="n">
        <v>-3559</v>
      </c>
    </row>
    <row r="13">
      <c r="A13" s="6" t="inlineStr">
        <is>
          <t>Impairment</t>
        </is>
      </c>
      <c r="B13" s="6" t="n">
        <v>3253</v>
      </c>
      <c r="C13" s="6" t="n">
        <v>3474</v>
      </c>
      <c r="D13" s="6" t="n">
        <v>2594</v>
      </c>
      <c r="E13" s="6" t="n">
        <v>96</v>
      </c>
    </row>
    <row r="14">
      <c r="A14" s="6" t="inlineStr">
        <is>
          <t>Income taxes paid</t>
        </is>
      </c>
      <c r="B14" s="6" t="n">
        <v>-3206</v>
      </c>
      <c r="C14" s="6" t="n">
        <v>-829</v>
      </c>
      <c r="D14" s="6" t="n">
        <v>-393</v>
      </c>
      <c r="E14" s="6" t="n">
        <v>-1631</v>
      </c>
    </row>
    <row r="15">
      <c r="A15" s="6" t="inlineStr">
        <is>
          <t>Depreciation of property and equipment</t>
        </is>
      </c>
      <c r="B15" s="6" t="n">
        <v>3563</v>
      </c>
      <c r="C15" s="6" t="n">
        <v>3392</v>
      </c>
      <c r="D15" s="6" t="n">
        <v>3123</v>
      </c>
      <c r="E15" s="6" t="n">
        <v>2695</v>
      </c>
    </row>
    <row r="16">
      <c r="A16" s="6" t="inlineStr">
        <is>
          <t>Amortisation of intangible assets</t>
        </is>
      </c>
      <c r="B16" s="6" t="n">
        <v>3177</v>
      </c>
      <c r="C16" s="6" t="n">
        <v>3501</v>
      </c>
      <c r="D16" s="6" t="n">
        <v>3805</v>
      </c>
      <c r="E16" s="6" t="n">
        <v>3939</v>
      </c>
    </row>
    <row r="17">
      <c r="A17" s="6" t="inlineStr">
        <is>
          <t>Loss on disposal of property and equipment</t>
        </is>
      </c>
      <c r="B17" s="6" t="n">
        <v>8</v>
      </c>
      <c r="C17" s="6" t="n">
        <v>4</v>
      </c>
      <c r="D17" s="6" t="n">
        <v>8</v>
      </c>
      <c r="E17" s="6" t="n">
        <v>70</v>
      </c>
    </row>
    <row r="18">
      <c r="A18" s="6" t="inlineStr">
        <is>
          <t>(Profit)/loss on deferred consideration - TRP</t>
        </is>
      </c>
      <c r="B18" s="6" t="n"/>
      <c r="C18" s="6" t="n"/>
      <c r="D18" s="6" t="n"/>
      <c r="E18" s="6" t="n">
        <v>-3</v>
      </c>
    </row>
    <row r="19">
      <c r="A19" s="6" t="inlineStr">
        <is>
          <t>Gain on sale of non-core Affluent client book</t>
        </is>
      </c>
      <c r="B19" s="6" t="n">
        <v>-3318</v>
      </c>
      <c r="C19" s="6" t="n"/>
      <c r="D19" s="6" t="n"/>
      <c r="E19" s="6" t="n"/>
    </row>
    <row r="20">
      <c r="A20" s="6" t="inlineStr">
        <is>
          <t>Proceeds on sale of Court of Protection business / pensions administration activities</t>
        </is>
      </c>
      <c r="B20" s="6" t="n">
        <v>802</v>
      </c>
      <c r="C20" s="6" t="n">
        <v>567</v>
      </c>
      <c r="D20" s="6" t="n">
        <v>800</v>
      </c>
      <c r="E20" s="6" t="n">
        <v>3200</v>
      </c>
    </row>
    <row r="21">
      <c r="A21" s="6" t="inlineStr">
        <is>
          <t>Proceeds on sale of a portfolio of assets</t>
        </is>
      </c>
      <c r="B21" s="6" t="n"/>
      <c r="C21" s="6" t="n">
        <v>632</v>
      </c>
      <c r="D21" s="6" t="n">
        <v>600</v>
      </c>
      <c r="E21" s="6" t="n"/>
    </row>
    <row r="22">
      <c r="A22" s="6" t="inlineStr">
        <is>
          <t>Changes in provisions</t>
        </is>
      </c>
      <c r="B22" s="6" t="n">
        <v>229</v>
      </c>
      <c r="C22" s="6" t="n">
        <v>-2576</v>
      </c>
      <c r="D22" s="6" t="n">
        <v>-4174</v>
      </c>
      <c r="E22" s="6" t="n">
        <v>1582</v>
      </c>
    </row>
    <row r="23">
      <c r="A23" s="6" t="inlineStr">
        <is>
          <t>Changes in Defined Benefit Pension Scheme surplus/(deficit)</t>
        </is>
      </c>
      <c r="B23" s="6" t="n">
        <v>-327</v>
      </c>
      <c r="C23" s="6" t="n">
        <v>-317</v>
      </c>
      <c r="D23" s="6" t="n">
        <v>-219</v>
      </c>
      <c r="E23" s="6" t="n">
        <v>-1431</v>
      </c>
    </row>
    <row r="24">
      <c r="A24" s="5" t="inlineStr">
        <is>
          <t>Net cash (used in)/from operating activities</t>
        </is>
      </c>
      <c r="B24" s="5" t="n">
        <v>-210559</v>
      </c>
      <c r="C24" s="5" t="n">
        <v>24812</v>
      </c>
      <c r="D24" s="5" t="n">
        <v>282024</v>
      </c>
      <c r="E24" s="5" t="n">
        <v>18377</v>
      </c>
    </row>
    <row r="25">
      <c r="A25" s="5" t="inlineStr">
        <is>
          <t>Investing activities</t>
        </is>
      </c>
      <c r="B25" s="6" t="n"/>
      <c r="C25" s="6" t="n"/>
      <c r="D25" s="6" t="n"/>
      <c r="E25" s="6" t="n"/>
    </row>
    <row r="26">
      <c r="A26" s="6" t="inlineStr">
        <is>
          <t>Dividend received</t>
        </is>
      </c>
      <c r="B26" s="6" t="n">
        <v>7</v>
      </c>
      <c r="C26" s="6" t="n">
        <v>7</v>
      </c>
      <c r="D26" s="6" t="n">
        <v>8</v>
      </c>
      <c r="E26" s="6" t="n">
        <v>8</v>
      </c>
    </row>
    <row r="27">
      <c r="A27" s="6" t="inlineStr">
        <is>
          <t>Proceeds on sale of equity investments</t>
        </is>
      </c>
      <c r="B27" s="6" t="n"/>
      <c r="C27" s="6" t="n"/>
      <c r="D27" s="6" t="n">
        <v>725</v>
      </c>
      <c r="E27" s="6" t="n"/>
    </row>
    <row r="28">
      <c r="A28" s="6" t="inlineStr">
        <is>
          <t>Deferred consideration paid on prior year acquisitions</t>
        </is>
      </c>
      <c r="B28" s="6" t="n"/>
      <c r="C28" s="6" t="n">
        <v>-3200</v>
      </c>
      <c r="D28" s="6" t="n">
        <v>-106</v>
      </c>
      <c r="E28" s="6" t="n">
        <v>-3265</v>
      </c>
    </row>
    <row r="29">
      <c r="A29" s="6" t="inlineStr">
        <is>
          <t>Proceeds on sale of non-core Affluent client book</t>
        </is>
      </c>
      <c r="B29" s="6" t="n">
        <v>2416</v>
      </c>
      <c r="C29" s="6" t="n"/>
      <c r="D29" s="6" t="n"/>
      <c r="E29" s="6" t="n"/>
    </row>
    <row r="30">
      <c r="A30" s="6" t="inlineStr">
        <is>
          <t>Purchase of property and equipment (excludes leased assets)</t>
        </is>
      </c>
      <c r="B30" s="6" t="n">
        <v>-89</v>
      </c>
      <c r="C30" s="6" t="n">
        <v>-916</v>
      </c>
      <c r="D30" s="6" t="n">
        <v>-1402</v>
      </c>
      <c r="E30" s="6" t="n">
        <v>-1405</v>
      </c>
    </row>
    <row r="31">
      <c r="A31" s="6" t="inlineStr">
        <is>
          <t>Purchase of intangible assets</t>
        </is>
      </c>
      <c r="B31" s="6" t="n">
        <v>-2</v>
      </c>
      <c r="C31" s="6" t="n">
        <v>-16</v>
      </c>
      <c r="D31" s="6" t="n">
        <v>0</v>
      </c>
      <c r="E31" s="6" t="n">
        <v>-4</v>
      </c>
    </row>
    <row r="32">
      <c r="A32" s="5" t="inlineStr">
        <is>
          <t>Net cash from/(used in) investing activities</t>
        </is>
      </c>
      <c r="B32" s="5" t="n">
        <v>2332</v>
      </c>
      <c r="C32" s="5" t="n">
        <v>-4125</v>
      </c>
      <c r="D32" s="5" t="n">
        <v>-775</v>
      </c>
      <c r="E32" s="5" t="n">
        <v>-4666</v>
      </c>
    </row>
    <row r="33">
      <c r="A33" s="5" t="inlineStr">
        <is>
          <t>Financing activities</t>
        </is>
      </c>
      <c r="B33" s="6" t="n"/>
      <c r="C33" s="6" t="n"/>
      <c r="D33" s="6" t="n"/>
      <c r="E33" s="6" t="n"/>
    </row>
    <row r="34">
      <c r="A34" s="6" t="inlineStr">
        <is>
          <t>Coupon paid to shareholder of Additional Tier 1 equity capital</t>
        </is>
      </c>
      <c r="B34" s="6" t="n">
        <v>-1136</v>
      </c>
      <c r="C34" s="6" t="n">
        <v>-883</v>
      </c>
      <c r="D34" s="6" t="n">
        <v>-651</v>
      </c>
      <c r="E34" s="6" t="n">
        <v>-635</v>
      </c>
    </row>
    <row r="35">
      <c r="A35" s="6" t="inlineStr">
        <is>
          <t>Repayment of principal portion of lease liabilities</t>
        </is>
      </c>
      <c r="B35" s="6" t="n">
        <v>-2359</v>
      </c>
      <c r="C35" s="6" t="n">
        <v>-2194</v>
      </c>
      <c r="D35" s="6" t="n">
        <v>-2040</v>
      </c>
      <c r="E35" s="6" t="n">
        <v>-1857</v>
      </c>
    </row>
    <row r="36">
      <c r="A36" s="5" t="inlineStr">
        <is>
          <t>Net cash used in financing activities</t>
        </is>
      </c>
      <c r="B36" s="5" t="n">
        <v>-3495</v>
      </c>
      <c r="C36" s="5" t="n">
        <v>-3077</v>
      </c>
      <c r="D36" s="5" t="n">
        <v>-2691</v>
      </c>
      <c r="E36" s="5" t="n">
        <v>-2492</v>
      </c>
    </row>
    <row r="37">
      <c r="A37" s="5" t="inlineStr">
        <is>
          <t>Net (decrease)/increase in cash and cash equivalents</t>
        </is>
      </c>
      <c r="B37" s="5" t="n">
        <v>-211722</v>
      </c>
      <c r="C37" s="5" t="n">
        <v>17610</v>
      </c>
      <c r="D37" s="5" t="n">
        <v>278558</v>
      </c>
      <c r="E37" s="5" t="n">
        <v>11219</v>
      </c>
    </row>
    <row r="38">
      <c r="A38" s="6" t="inlineStr">
        <is>
          <t>Cash and cash equivalents at the beginning of the year</t>
        </is>
      </c>
      <c r="B38" s="6" t="n">
        <v>586631</v>
      </c>
      <c r="C38" s="6" t="n">
        <v>569021</v>
      </c>
      <c r="D38" s="6" t="n">
        <v>290463</v>
      </c>
      <c r="E38" s="6" t="n">
        <v>279244</v>
      </c>
    </row>
    <row r="39">
      <c r="A39" s="5" t="inlineStr">
        <is>
          <t>Cash and cash equivalents at the end of the year</t>
        </is>
      </c>
      <c r="B39" s="5" t="n">
        <v>374909</v>
      </c>
      <c r="C39" s="5" t="n">
        <v>586631</v>
      </c>
      <c r="D39" s="5" t="n">
        <v>569021</v>
      </c>
      <c r="E39" s="5" t="n">
        <v>290463</v>
      </c>
    </row>
    <row r="40">
      <c r="A40" s="5" t="inlineStr">
        <is>
          <t>Components of cash and cash equivalents</t>
        </is>
      </c>
      <c r="B40" s="6" t="n"/>
      <c r="C40" s="6" t="n"/>
      <c r="D40" s="6" t="n"/>
      <c r="E40" s="6" t="n"/>
    </row>
    <row r="41">
      <c r="A41" s="6" t="inlineStr">
        <is>
          <t>Cash and balances at central banks</t>
        </is>
      </c>
      <c r="B41" s="6" t="n">
        <v>292700</v>
      </c>
      <c r="C41" s="6" t="n">
        <v>528997</v>
      </c>
      <c r="D41" s="6" t="n">
        <v>456835</v>
      </c>
      <c r="E41" s="6" t="n">
        <v>236409</v>
      </c>
    </row>
    <row r="42">
      <c r="A42" s="6" t="inlineStr">
        <is>
          <t>Loans and advances to banks repayable on demand and less than 3 months</t>
        </is>
      </c>
      <c r="B42" s="6" t="n">
        <v>89347</v>
      </c>
      <c r="C42" s="6" t="n">
        <v>66766</v>
      </c>
      <c r="D42" s="6" t="n">
        <v>125926</v>
      </c>
      <c r="E42" s="6" t="n">
        <v>58767</v>
      </c>
    </row>
    <row r="43">
      <c r="A43" s="6" t="inlineStr">
        <is>
          <t>Deposits from banks repayable on demand and less than 3 months</t>
        </is>
      </c>
      <c r="B43" s="6" t="n">
        <v>-7138</v>
      </c>
      <c r="C43" s="6" t="n">
        <v>-9132</v>
      </c>
      <c r="D43" s="6" t="n">
        <v>-13740</v>
      </c>
      <c r="E43" s="6" t="n">
        <v>-4713</v>
      </c>
    </row>
    <row r="44">
      <c r="A44" s="5" t="inlineStr">
        <is>
          <t>Total components of cash and cash equivalents</t>
        </is>
      </c>
      <c r="B44" s="5" t="n">
        <v>374909</v>
      </c>
      <c r="C44" s="5" t="n">
        <v>586631</v>
      </c>
      <c r="D44" s="5" t="n">
        <v>569021</v>
      </c>
      <c r="E44" s="5" t="n">
        <v>290463</v>
      </c>
    </row>
    <row r="46" ht="190" customHeight="1">
      <c r="A46" s="8" t="inlineStr">
        <is>
          <t>Sources - all figures are Brown Shipley &amp; Co. Limited's own Cash Flow Statement, transcribed from each year's own Companies House filing (not a later year's comparative column, per this project's convention):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46:E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 gross, by purpose</t>
        </is>
      </c>
      <c r="B4" s="6" t="n"/>
      <c r="C4" s="6" t="n"/>
      <c r="D4" s="6" t="n"/>
      <c r="E4" s="6" t="n"/>
    </row>
    <row r="5">
      <c r="A5" s="6" t="inlineStr">
        <is>
          <t>On demand and short notice facilities</t>
        </is>
      </c>
      <c r="B5" s="6" t="n">
        <v>171242</v>
      </c>
      <c r="C5" s="6" t="n">
        <v>192821</v>
      </c>
      <c r="D5" s="6" t="n">
        <v>179111</v>
      </c>
      <c r="E5" s="6" t="n">
        <v>132746</v>
      </c>
    </row>
    <row r="6">
      <c r="A6" s="6" t="inlineStr">
        <is>
          <t>Credit for personal consumption</t>
        </is>
      </c>
      <c r="B6" s="6" t="n">
        <v>2252</v>
      </c>
      <c r="C6" s="6" t="n">
        <v>845</v>
      </c>
      <c r="D6" s="6" t="n">
        <v>1126</v>
      </c>
      <c r="E6" s="6" t="n">
        <v>427</v>
      </c>
    </row>
    <row r="7">
      <c r="A7" s="6" t="inlineStr">
        <is>
          <t>Lending for property purchase or transformation</t>
        </is>
      </c>
      <c r="B7" s="6" t="n">
        <v>279254</v>
      </c>
      <c r="C7" s="6" t="n">
        <v>320684</v>
      </c>
      <c r="D7" s="6" t="n">
        <v>378183</v>
      </c>
      <c r="E7" s="6" t="n">
        <v>311293</v>
      </c>
    </row>
    <row r="8">
      <c r="A8" s="6" t="inlineStr">
        <is>
          <t>Loans secured on investment portfolios (Lombard loans)</t>
        </is>
      </c>
      <c r="B8" s="6" t="n">
        <v>800</v>
      </c>
      <c r="C8" s="6" t="n">
        <v>13043</v>
      </c>
      <c r="D8" s="6" t="n">
        <v>26716</v>
      </c>
      <c r="E8" s="6" t="n">
        <v>24868</v>
      </c>
    </row>
    <row r="9">
      <c r="A9" s="6" t="inlineStr">
        <is>
          <t>Other term loans</t>
        </is>
      </c>
      <c r="B9" s="6" t="n">
        <v>31295</v>
      </c>
      <c r="C9" s="6" t="n">
        <v>27801</v>
      </c>
      <c r="D9" s="6" t="n">
        <v>61728</v>
      </c>
      <c r="E9" s="6" t="n">
        <v>96302</v>
      </c>
    </row>
    <row r="10">
      <c r="A10" s="5" t="inlineStr">
        <is>
          <t>Total gross loans and advances to customers</t>
        </is>
      </c>
      <c r="B10" s="5" t="n">
        <v>484843</v>
      </c>
      <c r="C10" s="5" t="n">
        <v>555194</v>
      </c>
      <c r="D10" s="5" t="n">
        <v>646864</v>
      </c>
      <c r="E10" s="5" t="n">
        <v>565636</v>
      </c>
    </row>
    <row r="11">
      <c r="A11" s="5" t="inlineStr">
        <is>
          <t>Expected credit loss (ECL) allowance, by IFRS 9 stage</t>
        </is>
      </c>
      <c r="B11" s="6" t="n"/>
      <c r="C11" s="6" t="n"/>
      <c r="D11" s="6" t="n"/>
      <c r="E11" s="6" t="n"/>
    </row>
    <row r="12">
      <c r="A12" s="6" t="inlineStr">
        <is>
          <t>Stage 1 allowance</t>
        </is>
      </c>
      <c r="B12" s="6" t="n">
        <v>-49</v>
      </c>
      <c r="C12" s="6" t="n">
        <v>-117</v>
      </c>
      <c r="D12" s="6" t="n">
        <v>-55</v>
      </c>
      <c r="E12" s="6" t="n">
        <v>-51</v>
      </c>
    </row>
    <row r="13">
      <c r="A13" s="6" t="inlineStr">
        <is>
          <t>Stage 2 allowance</t>
        </is>
      </c>
      <c r="B13" s="6" t="n">
        <v>-102</v>
      </c>
      <c r="C13" s="6" t="n">
        <v>-7</v>
      </c>
      <c r="D13" s="6" t="n">
        <v>-4</v>
      </c>
      <c r="E13" s="6" t="n">
        <v>0</v>
      </c>
    </row>
    <row r="14">
      <c r="A14" s="6" t="inlineStr">
        <is>
          <t>Stage 3 allowance</t>
        </is>
      </c>
      <c r="B14" s="6" t="n">
        <v>-1415</v>
      </c>
      <c r="C14" s="6" t="n">
        <v>-421</v>
      </c>
      <c r="D14" s="6" t="n">
        <v>-13</v>
      </c>
      <c r="E14" s="6" t="n">
        <v>-11</v>
      </c>
    </row>
    <row r="15">
      <c r="A15" s="5" t="inlineStr">
        <is>
          <t>Total ECL allowance</t>
        </is>
      </c>
      <c r="B15" s="5" t="n">
        <v>-1566</v>
      </c>
      <c r="C15" s="5" t="n">
        <v>-545</v>
      </c>
      <c r="D15" s="5" t="n">
        <v>-72</v>
      </c>
      <c r="E15" s="5" t="n">
        <v>-62</v>
      </c>
    </row>
    <row r="16">
      <c r="A16" s="5" t="inlineStr">
        <is>
          <t>Net loans and advances to customers</t>
        </is>
      </c>
      <c r="B16" s="5" t="n">
        <v>483277</v>
      </c>
      <c r="C16" s="5" t="n">
        <v>554649</v>
      </c>
      <c r="D16" s="5" t="n">
        <v>646794</v>
      </c>
      <c r="E16" s="5" t="n">
        <v>565574</v>
      </c>
    </row>
    <row r="17">
      <c r="A17" s="5" t="inlineStr">
        <is>
          <t>Ratios</t>
        </is>
      </c>
      <c r="B17" s="6" t="n"/>
      <c r="C17" s="6" t="n"/>
      <c r="D17" s="6" t="n"/>
      <c r="E17" s="6" t="n"/>
    </row>
    <row r="18">
      <c r="A18" s="6" t="inlineStr">
        <is>
          <t>Overall ECL coverage ratio (total allowance / total gross loans)</t>
        </is>
      </c>
      <c r="B18" s="6" t="inlineStr">
        <is>
          <t>0.323%</t>
        </is>
      </c>
      <c r="C18" s="6" t="inlineStr">
        <is>
          <t>0.098%</t>
        </is>
      </c>
      <c r="D18" s="6" t="inlineStr">
        <is>
          <t>0.011%</t>
        </is>
      </c>
      <c r="E18" s="6" t="inlineStr">
        <is>
          <t>0.011%</t>
        </is>
      </c>
    </row>
    <row r="19">
      <c r="A19" s="6" t="inlineStr">
        <is>
          <t>Stage 3 allowance as % of total ECL allowance</t>
        </is>
      </c>
      <c r="B19" s="6" t="inlineStr">
        <is>
          <t>90.4%</t>
        </is>
      </c>
      <c r="C19" s="6" t="inlineStr">
        <is>
          <t>77.2%</t>
        </is>
      </c>
      <c r="D19" s="6" t="inlineStr">
        <is>
          <t>18.1%</t>
        </is>
      </c>
      <c r="E19" s="6" t="inlineStr">
        <is>
          <t>17.7%</t>
        </is>
      </c>
    </row>
    <row r="21" ht="340" customHeight="1">
      <c r="A21" s="8" t="inlineStr">
        <is>
          <t>Sources - Brown Shipley &amp; Co. Limited's own Note 14 'Loans and advances to customers' (gross by purpose, ECL allowance by IFRS 9 stage), transcribed from each year's own Companies House filing: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Common Equity Tier 1 (CET1) Capital</t>
        </is>
      </c>
      <c r="B4" s="6" t="n">
        <v>94885</v>
      </c>
      <c r="C4" s="6" t="n">
        <v>90201</v>
      </c>
      <c r="D4" s="6" t="n">
        <v>84594</v>
      </c>
      <c r="E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21.6%</t>
        </is>
      </c>
      <c r="C4" s="6" t="inlineStr">
        <is>
          <t>22.3%</t>
        </is>
      </c>
      <c r="D4" s="6" t="inlineStr">
        <is>
          <t>20.3%</t>
        </is>
      </c>
      <c r="E4" s="6" t="inlineStr">
        <is>
          <t>19.6%</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Tier 1 Capital (CET1 + Additional Tier 1)</t>
        </is>
      </c>
      <c r="B4" s="6" t="n">
        <v>104885</v>
      </c>
      <c r="C4" s="6" t="n">
        <v>100201</v>
      </c>
      <c r="D4" s="6" t="n">
        <v>94594</v>
      </c>
      <c r="E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23.9%</t>
        </is>
      </c>
      <c r="C4" s="6" t="inlineStr">
        <is>
          <t>24.7%</t>
        </is>
      </c>
      <c r="D4" s="6" t="inlineStr">
        <is>
          <t>22.7%</t>
        </is>
      </c>
      <c r="E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 (CET1 + Additional Tier 1; Tier 2 = nil)</t>
        </is>
      </c>
      <c r="B4" s="6" t="n">
        <v>104885</v>
      </c>
      <c r="C4" s="6" t="n">
        <v>100201</v>
      </c>
      <c r="D4" s="6" t="n">
        <v>94594</v>
      </c>
      <c r="E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Quintet's own 2021 group Pillar 3 mentions Brown Shipley exactly once, and only in respect of large-exposure limits, with no Brown Shipley own-funds table).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23.86%</t>
        </is>
      </c>
      <c r="C4" s="6" t="inlineStr">
        <is>
          <t>24.7%</t>
        </is>
      </c>
      <c r="D4" s="6" t="inlineStr">
        <is>
          <t>22.7%</t>
        </is>
      </c>
      <c r="E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Quintet's own 2021 group Pillar 3 mentions Brown Shipley exactly once, and only in respect of large-exposure limits, with no Brown Shipley own-funds table).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 Exposure Amount (RWAs)</t>
        </is>
      </c>
      <c r="B4" s="6" t="n">
        <v>439621</v>
      </c>
      <c r="C4" s="6" t="n">
        <v>405524</v>
      </c>
      <c r="D4" s="6" t="n">
        <v>417077</v>
      </c>
      <c r="E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FY2024 (£'000)</t>
        </is>
      </c>
      <c r="C3" s="4" t="inlineStr">
        <is>
          <t>FY2023 (£'000)</t>
        </is>
      </c>
      <c r="D3" s="4" t="inlineStr">
        <is>
          <t>FY2022 (£'000)</t>
        </is>
      </c>
      <c r="E3" s="4" t="inlineStr">
        <is>
          <t>FY2021 (£'000)</t>
        </is>
      </c>
    </row>
    <row r="4">
      <c r="A4" s="5" t="inlineStr">
        <is>
          <t>RWA by risk category (derived)</t>
        </is>
      </c>
      <c r="B4" s="6" t="n"/>
      <c r="C4" s="6" t="n"/>
      <c r="D4" s="6" t="n"/>
      <c r="E4" s="6" t="n"/>
    </row>
    <row r="5">
      <c r="A5" s="6" t="inlineStr">
        <is>
          <t>Credit Risk</t>
        </is>
      </c>
      <c r="B5" s="6" t="n">
        <v>300300</v>
      </c>
      <c r="C5" s="6" t="n">
        <v>273562</v>
      </c>
      <c r="D5" s="6" t="n">
        <v>298350</v>
      </c>
      <c r="E5" s="6" t="n">
        <v>229338</v>
      </c>
    </row>
    <row r="6">
      <c r="A6" s="6" t="inlineStr">
        <is>
          <t>Operational Risk</t>
        </is>
      </c>
      <c r="B6" s="6" t="n">
        <v>139312</v>
      </c>
      <c r="C6" s="6" t="n">
        <v>131962</v>
      </c>
      <c r="D6" s="6" t="n">
        <v>118725</v>
      </c>
      <c r="E6" s="6" t="n">
        <v>115025</v>
      </c>
    </row>
    <row r="7">
      <c r="A7" s="5" t="inlineStr">
        <is>
          <t>Total RWAs (as disclosed - Risk Exposure Amount)</t>
        </is>
      </c>
      <c r="B7" s="5" t="n">
        <v>439621</v>
      </c>
      <c r="C7" s="5" t="n">
        <v>405524</v>
      </c>
      <c r="D7" s="5" t="n">
        <v>417077</v>
      </c>
      <c r="E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UK leverage ratio (excluding claims on central banks)</t>
        </is>
      </c>
      <c r="B4" s="6" t="inlineStr">
        <is>
          <t>11.23%</t>
        </is>
      </c>
      <c r="C4" s="6" t="inlineStr">
        <is>
          <t>9.96%</t>
        </is>
      </c>
      <c r="D4" s="6" t="n"/>
      <c r="E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11.23% and FY2023 9.96% are template UK LR2 row 25 ('Leverage ratio excluding claims on central banks'), which agrees with s.6.1's narrative ('Brown Shipley's leverage ratio stands at 11.23% as at 31 December 2024') and with the front summary table's rounded 11.2%/10.0%. The same report also discloses row UK-25c 'Leverage ratio including claims on central banks' at 8.55% (2023: 6.53%); the excluding-central-banks measure is the UK's binding definition and is the one used here. The Bank's statutory accounts disclose no leverage ratio in any year - each year's own 'Capital' note and 'Financial Risk Management' note were read in full and neither mentions one.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Quintet's own 2021 group Pillar 3 mentions Brown Shipley exactly once, and only in respect of large-exposure limits, with no Brown Shipley own-funds table).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 (LCR)</t>
        </is>
      </c>
      <c r="B4" s="6" t="inlineStr">
        <is>
          <t>236%</t>
        </is>
      </c>
      <c r="C4" s="6" t="inlineStr">
        <is>
          <t>274%</t>
        </is>
      </c>
      <c r="D4" s="6" t="inlineStr">
        <is>
          <t>218%</t>
        </is>
      </c>
      <c r="E4" s="6" t="inlineStr">
        <is>
          <t>253%</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 (NSFR)</t>
        </is>
      </c>
      <c r="B4" s="6" t="inlineStr">
        <is>
          <t>162%</t>
        </is>
      </c>
      <c r="C4" s="6" t="inlineStr">
        <is>
          <t>181%</t>
        </is>
      </c>
      <c r="D4" s="6" t="n"/>
      <c r="E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162% and FY2023 181% are the report's own front summary table (s.1.1) figures, which agree with template UK KM1 row 20 (162%) and with KM1's own rows 18-19 (available stable funding 832,003 / required stable funding 514,666 = 161.7%). See the inconsistency paragraph below on the 157% that the same report's narrative s.11.4 and template UK LIQ2 row 34 print instead. The Bank's statutory accounts disclose no NSFR in any year - each year's own 'Capital' and 'Financial Risk Management'/'Liquidity risk' notes were read in full and LCR is the only liquidity metric given. FY2021 additionally predates the UK NSFR requirement, which became binding on 1 January 2022 (PRA PS17/21).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Quintet's own 2021 group Pillar 3 mentions Brown Shipley exactly once, and only in respect of large-exposure limits, with no Brown Shipley own-funds table).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2026-09-15T15:53:48Z</dcterms:created>
  <dcterms:modified xmlns:dcterms="http://purl.org/dc/terms/" xmlns:xsi="http://www.w3.org/2001/XMLSchema-instance" xsi:type="dcterms:W3CDTF">2026-09-15T15:53:48Z</dcterms:modified>
</cp:coreProperties>
</file>