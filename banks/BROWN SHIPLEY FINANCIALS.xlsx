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a:prstDash val="solid"/>
            </a:ln>
          </spPr>
          <cat>
            <numRef>
              <f>'Overview'!$I$5:$L$5</f>
            </numRef>
          </cat>
          <val>
            <numRef>
              <f>'Overview'!$I$6:$L$6</f>
            </numRef>
          </val>
        </ser>
        <ser>
          <idx val="1"/>
          <order val="1"/>
          <tx>
            <strRef>
              <f>'Overview'!H7</f>
            </strRef>
          </tx>
          <spPr>
            <a:ln>
              <a:prstDash val="solid"/>
            </a:ln>
          </spPr>
          <cat>
            <numRef>
              <f>'Overview'!$I$5:$L$5</f>
            </numRef>
          </cat>
          <val>
            <numRef>
              <f>'Overview'!$I$7:$L$7</f>
            </numRef>
          </val>
        </ser>
        <ser>
          <idx val="2"/>
          <order val="2"/>
          <tx>
            <strRef>
              <f>'Overview'!H8</f>
            </strRef>
          </tx>
          <spPr>
            <a:ln>
              <a:prstDash val="solid"/>
            </a:ln>
          </spPr>
          <cat>
            <numRef>
              <f>'Overview'!$I$5:$L$5</f>
            </numRef>
          </cat>
          <val>
            <numRef>
              <f>'Overview'!$I$8:$L$8</f>
            </numRef>
          </val>
        </ser>
        <ser>
          <idx val="3"/>
          <order val="3"/>
          <tx>
            <strRef>
              <f>'Overview'!H9</f>
            </strRef>
          </tx>
          <spPr>
            <a:l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'Overview'!O6</f>
            </strRef>
          </tx>
          <spPr>
            <a:ln>
              <a:prstDash val="solid"/>
            </a:ln>
          </spPr>
          <marker>
            <symbol val="none"/>
            <spPr>
              <a:ln>
                <a:prstDash val="solid"/>
              </a:ln>
            </spPr>
          </marker>
          <cat>
            <numRef>
              <f>'Overview'!$P$5:$S$5</f>
            </numRef>
          </cat>
          <val>
            <numRef>
              <f>'Overview'!$P$6:$S$6</f>
            </numRef>
          </val>
          <smooth val="0"/>
        </ser>
        <ser>
          <idx val="1"/>
          <order val="1"/>
          <tx>
            <strRef>
              <f>'Overview'!O7</f>
            </strRef>
          </tx>
          <spPr>
            <a:ln>
              <a:prstDash val="solid"/>
            </a:ln>
          </spPr>
          <marker>
            <symbol val="none"/>
            <spPr>
              <a:ln>
                <a:prstDash val="solid"/>
              </a:ln>
            </spPr>
          </marker>
          <cat>
            <numRef>
              <f>'Overview'!$P$5:$S$5</f>
            </numRef>
          </cat>
          <val>
            <numRef>
              <f>'Overview'!$P$7:$S$7</f>
            </numRef>
          </val>
          <smooth val="0"/>
        </ser>
        <ser>
          <idx val="2"/>
          <order val="2"/>
          <tx>
            <strRef>
              <f>'Overview'!O8</f>
            </strRef>
          </tx>
          <spPr>
            <a:ln>
              <a:prstDash val="solid"/>
            </a:ln>
          </spPr>
          <marker>
            <symbol val="none"/>
            <spPr>
              <a:ln>
                <a:prstDash val="solid"/>
              </a:ln>
            </spPr>
          </marker>
          <cat>
            <numRef>
              <f>'Overview'!$P$5:$S$5</f>
            </numRef>
          </cat>
          <val>
            <numRef>
              <f>'Overview'!$P$8:$S$8</f>
            </numRef>
          </val>
          <smooth val="0"/>
        </ser>
        <ser>
          <idx val="3"/>
          <order val="3"/>
          <tx>
            <strRef>
              <f>'Overview'!O9</f>
            </strRef>
          </tx>
          <spPr>
            <a:ln>
              <a:prstDash val="solid"/>
            </a:ln>
          </spPr>
          <marker>
            <symbol val="none"/>
            <spPr>
              <a:ln>
                <a:prstDash val="solid"/>
              </a:ln>
            </spPr>
          </marker>
          <cat>
            <numRef>
              <f>'Overview'!$P$5:$S$5</f>
            </numRef>
          </cat>
          <val>
            <numRef>
              <f>'Overview'!$P$9:$S$9</f>
            </numRef>
          </val>
          <smooth val="0"/>
        </ser>
        <ser>
          <idx val="4"/>
          <order val="4"/>
          <tx>
            <strRef>
              <f>'Overview'!O10</f>
            </strRef>
          </tx>
          <spPr>
            <a:ln>
              <a:prstDash val="solid"/>
            </a:ln>
          </spPr>
          <marker>
            <symbol val="none"/>
            <spPr>
              <a:ln>
                <a:prstDash val="solid"/>
              </a:ln>
            </spPr>
          </marker>
          <cat>
            <numRef>
              <f>'Overview'!$P$5:$S$5</f>
            </numRef>
          </cat>
          <val>
            <numRef>
              <f>'Overview'!$P$10:$S$10</f>
            </numRef>
          </val>
          <smooth val="0"/>
        </ser>
        <ser>
          <idx val="5"/>
          <order val="5"/>
          <tx>
            <strRef>
              <f>'Overview'!O11</f>
            </strRef>
          </tx>
          <spPr>
            <a:ln>
              <a:prstDash val="solid"/>
            </a:ln>
          </spPr>
          <marker>
            <symbol val="none"/>
            <spPr>
              <a:ln>
                <a:prstDash val="solid"/>
              </a:ln>
            </spPr>
          </marker>
          <cat>
            <numRef>
              <f>'Overview'!$P$5:$S$5</f>
            </numRef>
          </cat>
          <val>
            <numRef>
              <f>'Overview'!$P$11:$S$11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s>
  <sheetData>
    <row r="1">
      <c r="A1" s="1" t="inlineStr">
        <is>
          <t>Brown Shipley &amp; Co.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P5" t="inlineStr">
        <is>
          <t>FY2021</t>
        </is>
      </c>
      <c r="Q5" t="inlineStr">
        <is>
          <t>FY2022</t>
        </is>
      </c>
      <c r="R5" t="inlineStr">
        <is>
          <t>FY2023</t>
        </is>
      </c>
      <c r="S5" t="inlineStr">
        <is>
          <t>FY2024</t>
        </is>
      </c>
    </row>
    <row r="6">
      <c r="A6" s="5" t="inlineStr">
        <is>
          <t>Net cash (used in)/from operating activities</t>
        </is>
      </c>
      <c r="B6" s="5" t="n">
        <v>-210559</v>
      </c>
      <c r="C6" s="5" t="n">
        <v>24812</v>
      </c>
      <c r="D6" s="5" t="n">
        <v>282024</v>
      </c>
      <c r="E6" s="5" t="n">
        <v>18377</v>
      </c>
      <c r="H6" t="inlineStr">
        <is>
          <t>Net cash (used in)/from operating activities</t>
        </is>
      </c>
      <c r="I6" t="n">
        <v>18377</v>
      </c>
      <c r="J6" t="n">
        <v>282024</v>
      </c>
      <c r="K6" t="n">
        <v>24812</v>
      </c>
      <c r="L6" t="n">
        <v>-210559</v>
      </c>
      <c r="O6" t="inlineStr">
        <is>
          <t>CET1 Ratio</t>
        </is>
      </c>
      <c r="P6" t="n">
        <v>19.6</v>
      </c>
      <c r="Q6" t="n">
        <v>20.3</v>
      </c>
      <c r="R6" t="n">
        <v>22.3</v>
      </c>
      <c r="S6" t="n">
        <v>21.6</v>
      </c>
    </row>
    <row r="7">
      <c r="A7" s="5" t="inlineStr">
        <is>
          <t>Net cash from/(used in) investing activities</t>
        </is>
      </c>
      <c r="B7" s="5" t="n">
        <v>2332</v>
      </c>
      <c r="C7" s="5" t="n">
        <v>-4125</v>
      </c>
      <c r="D7" s="5" t="n">
        <v>-775</v>
      </c>
      <c r="E7" s="5" t="n">
        <v>-4666</v>
      </c>
      <c r="H7" t="inlineStr">
        <is>
          <t>Net cash from/(used in) investing activities</t>
        </is>
      </c>
      <c r="I7" t="n">
        <v>-4666</v>
      </c>
      <c r="J7" t="n">
        <v>-775</v>
      </c>
      <c r="K7" t="n">
        <v>-4125</v>
      </c>
      <c r="L7" t="n">
        <v>2332</v>
      </c>
      <c r="O7" t="inlineStr">
        <is>
          <t>Tier 1 Ratio</t>
        </is>
      </c>
    </row>
    <row r="8">
      <c r="A8" s="5" t="inlineStr">
        <is>
          <t>Net cash used in financing activities</t>
        </is>
      </c>
      <c r="B8" s="5" t="n">
        <v>-3495</v>
      </c>
      <c r="C8" s="5" t="n">
        <v>-3077</v>
      </c>
      <c r="D8" s="5" t="n">
        <v>-2691</v>
      </c>
      <c r="E8" s="5" t="n">
        <v>-2492</v>
      </c>
      <c r="H8" t="inlineStr">
        <is>
          <t>Net cash used in financing activities</t>
        </is>
      </c>
      <c r="I8" t="n">
        <v>-2492</v>
      </c>
      <c r="J8" t="n">
        <v>-2691</v>
      </c>
      <c r="K8" t="n">
        <v>-3077</v>
      </c>
      <c r="L8" t="n">
        <v>-3495</v>
      </c>
      <c r="O8" t="inlineStr">
        <is>
          <t>Total Capital Ratio</t>
        </is>
      </c>
    </row>
    <row r="9">
      <c r="A9" s="5" t="inlineStr">
        <is>
          <t>Cash and cash equivalents at end of year</t>
        </is>
      </c>
      <c r="B9" s="5" t="n">
        <v>374909</v>
      </c>
      <c r="C9" s="5" t="n">
        <v>586631</v>
      </c>
      <c r="D9" s="5" t="n">
        <v>569021</v>
      </c>
      <c r="E9" s="5" t="n">
        <v>290463</v>
      </c>
      <c r="H9" t="inlineStr">
        <is>
          <t>Cash and cash equivalents at end of year</t>
        </is>
      </c>
      <c r="I9" t="n">
        <v>290463</v>
      </c>
      <c r="J9" t="n">
        <v>569021</v>
      </c>
      <c r="K9" t="n">
        <v>586631</v>
      </c>
      <c r="L9" t="n">
        <v>374909</v>
      </c>
      <c r="O9" t="inlineStr">
        <is>
          <t>Leverage Ratio</t>
        </is>
      </c>
    </row>
    <row r="10">
      <c r="O10" t="inlineStr">
        <is>
          <t>LCR</t>
        </is>
      </c>
      <c r="P10" t="n">
        <v>253</v>
      </c>
      <c r="Q10" t="n">
        <v>218</v>
      </c>
      <c r="R10" t="n">
        <v>274</v>
      </c>
      <c r="S10" t="n">
        <v>236</v>
      </c>
    </row>
    <row r="11">
      <c r="A11" s="3" t="inlineStr">
        <is>
          <t>Pillar 3 Key Metrics</t>
        </is>
      </c>
      <c r="O11" t="inlineStr">
        <is>
          <t>NSFR</t>
        </is>
      </c>
    </row>
    <row r="12">
      <c r="A12" s="4" t="inlineStr">
        <is>
          <t>Line item</t>
        </is>
      </c>
      <c r="B12" s="4" t="inlineStr">
        <is>
          <t>FY2024</t>
        </is>
      </c>
      <c r="C12" s="4" t="inlineStr">
        <is>
          <t>FY2023</t>
        </is>
      </c>
      <c r="D12" s="4" t="inlineStr">
        <is>
          <t>FY2022</t>
        </is>
      </c>
      <c r="E12" s="4" t="inlineStr">
        <is>
          <t>FY2021</t>
        </is>
      </c>
    </row>
    <row r="13">
      <c r="A13" s="6" t="inlineStr">
        <is>
          <t>CET1 Ratio</t>
        </is>
      </c>
      <c r="B13" s="6" t="inlineStr">
        <is>
          <t>21.6%</t>
        </is>
      </c>
      <c r="C13" s="6" t="inlineStr">
        <is>
          <t>22.3%</t>
        </is>
      </c>
      <c r="D13" s="6" t="inlineStr">
        <is>
          <t>20.3%</t>
        </is>
      </c>
      <c r="E13" s="6" t="inlineStr">
        <is>
          <t>19.6%</t>
        </is>
      </c>
    </row>
    <row r="14">
      <c r="A14" s="6" t="inlineStr">
        <is>
          <t>Tier 1 Ratio</t>
        </is>
      </c>
      <c r="B14" s="6" t="n"/>
      <c r="C14" s="6" t="n"/>
      <c r="D14" s="6" t="n"/>
      <c r="E14" s="6" t="n"/>
    </row>
    <row r="15">
      <c r="A15" s="6" t="inlineStr">
        <is>
          <t>Total Capital Ratio</t>
        </is>
      </c>
      <c r="B15" s="6" t="n"/>
      <c r="C15" s="6" t="n"/>
      <c r="D15" s="6" t="n"/>
      <c r="E15" s="6" t="n"/>
    </row>
    <row r="16">
      <c r="A16" s="6" t="inlineStr">
        <is>
          <t>Leverage Ratio</t>
        </is>
      </c>
      <c r="B16" s="6" t="n"/>
      <c r="C16" s="6" t="n"/>
      <c r="D16" s="6" t="n"/>
      <c r="E16" s="6" t="n"/>
    </row>
    <row r="17">
      <c r="A17" s="6" t="inlineStr">
        <is>
          <t>LCR</t>
        </is>
      </c>
      <c r="B17" s="6" t="inlineStr">
        <is>
          <t>236%</t>
        </is>
      </c>
      <c r="C17" s="6" t="inlineStr">
        <is>
          <t>274%</t>
        </is>
      </c>
      <c r="D17" s="6" t="inlineStr">
        <is>
          <t>218%</t>
        </is>
      </c>
      <c r="E17" s="6" t="inlineStr">
        <is>
          <t>253%</t>
        </is>
      </c>
    </row>
    <row r="18">
      <c r="A18" s="6" t="inlineStr">
        <is>
          <t>NSFR</t>
        </is>
      </c>
      <c r="B18" s="6" t="n"/>
      <c r="C18" s="6" t="n"/>
      <c r="D18" s="6" t="n"/>
      <c r="E18" s="6" t="n"/>
    </row>
    <row r="20" ht="45" customHeight="1">
      <c r="A20" s="7" t="inlineStr">
        <is>
          <t>Note: Figures are duplicated from the detail sheets for at-a-glance trend viewing; see each sheet's own source citation for the underlying document/page. This workbook covers FY2021-FY2024 (4 years, not the usual 5) since Brown Shipley's FY2025 accounts were still 'being processed' at Companies House as of this build. Only CET1 Ratio and LCR are disclosed by Brown Shipley's own statutory accounts - all other Pillar 3 metrics (Tier 1/Total Capital, RWAs, Leverage Ratio, NSFR, MREL Ratio) are not publicly disclosed by this entity; see each metric sheet for detail.</t>
        </is>
      </c>
    </row>
  </sheetData>
  <mergeCells count="1">
    <mergeCell ref="A20:E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Brown Shipley &amp; Co. Limited — Cash Flow Statement</t>
        </is>
      </c>
    </row>
    <row r="2">
      <c r="A2" s="2" t="inlineStr">
        <is>
          <t>£'000. Company (entity-level) basis.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Operating activities</t>
        </is>
      </c>
      <c r="B4" s="6" t="n"/>
      <c r="C4" s="6" t="n"/>
      <c r="D4" s="6" t="n"/>
      <c r="E4" s="6" t="n"/>
    </row>
    <row r="5">
      <c r="A5" s="6" t="inlineStr">
        <is>
          <t>Net profit before tax on continuing activities</t>
        </is>
      </c>
      <c r="B5" s="6" t="n">
        <v>7803</v>
      </c>
      <c r="C5" s="6" t="n">
        <v>1223</v>
      </c>
      <c r="D5" s="6" t="n">
        <v>2335</v>
      </c>
      <c r="E5" s="6" t="n">
        <v>5307</v>
      </c>
    </row>
    <row r="6">
      <c r="A6" s="6" t="inlineStr">
        <is>
          <t>Changes in operating assets</t>
        </is>
      </c>
      <c r="B6" s="6" t="n">
        <v>99240</v>
      </c>
      <c r="C6" s="6" t="n">
        <v>-12578</v>
      </c>
      <c r="D6" s="6" t="n">
        <v>-67317</v>
      </c>
      <c r="E6" s="6" t="n">
        <v>-149872</v>
      </c>
    </row>
    <row r="7">
      <c r="A7" s="6" t="inlineStr">
        <is>
          <t>Changes in operating liabilities</t>
        </is>
      </c>
      <c r="B7" s="6" t="n">
        <v>-317156</v>
      </c>
      <c r="C7" s="6" t="n">
        <v>30240</v>
      </c>
      <c r="D7" s="6" t="n">
        <v>349131</v>
      </c>
      <c r="E7" s="6" t="n">
        <v>164590</v>
      </c>
    </row>
    <row r="8">
      <c r="A8" s="6" t="inlineStr">
        <is>
          <t>Dividend receivable</t>
        </is>
      </c>
      <c r="B8" s="6" t="n">
        <v>-7</v>
      </c>
      <c r="C8" s="6" t="n">
        <v>-7</v>
      </c>
      <c r="D8" s="6" t="n">
        <v>-8</v>
      </c>
      <c r="E8" s="6" t="n">
        <v>-8</v>
      </c>
    </row>
    <row r="9">
      <c r="A9" s="6" t="inlineStr">
        <is>
          <t>Loss/(gain) on sale of prior year acquisitions</t>
        </is>
      </c>
      <c r="B9" s="6" t="n"/>
      <c r="C9" s="6" t="n"/>
      <c r="D9" s="6" t="n">
        <v>97</v>
      </c>
      <c r="E9" s="6" t="n">
        <v>5</v>
      </c>
    </row>
    <row r="10">
      <c r="A10" s="6" t="inlineStr">
        <is>
          <t>Profit on sale of the pensions activities</t>
        </is>
      </c>
      <c r="B10" s="6" t="n"/>
      <c r="C10" s="6" t="n"/>
      <c r="D10" s="6" t="n">
        <v>-400</v>
      </c>
      <c r="E10" s="6" t="n">
        <v>-3600</v>
      </c>
    </row>
    <row r="11">
      <c r="A11" s="6" t="inlineStr">
        <is>
          <t>Loss/(gain) on deferred consideration - NWB</t>
        </is>
      </c>
      <c r="B11" s="6" t="n">
        <v>0</v>
      </c>
      <c r="C11" s="6" t="n">
        <v>1442</v>
      </c>
      <c r="D11" s="6" t="n">
        <v>-965</v>
      </c>
      <c r="E11" s="6" t="n">
        <v>-3003</v>
      </c>
    </row>
    <row r="12">
      <c r="A12" s="6" t="inlineStr">
        <is>
          <t>Net gains from financial instruments at fair value</t>
        </is>
      </c>
      <c r="B12" s="6" t="n">
        <v>-4620</v>
      </c>
      <c r="C12" s="6" t="n">
        <v>-3356</v>
      </c>
      <c r="D12" s="6" t="n">
        <v>-6993</v>
      </c>
      <c r="E12" s="6" t="n">
        <v>-3559</v>
      </c>
    </row>
    <row r="13">
      <c r="A13" s="6" t="inlineStr">
        <is>
          <t>Impairment</t>
        </is>
      </c>
      <c r="B13" s="6" t="n">
        <v>3253</v>
      </c>
      <c r="C13" s="6" t="n">
        <v>3474</v>
      </c>
      <c r="D13" s="6" t="n">
        <v>2594</v>
      </c>
      <c r="E13" s="6" t="n">
        <v>96</v>
      </c>
    </row>
    <row r="14">
      <c r="A14" s="6" t="inlineStr">
        <is>
          <t>Income taxes paid</t>
        </is>
      </c>
      <c r="B14" s="6" t="n">
        <v>-3206</v>
      </c>
      <c r="C14" s="6" t="n">
        <v>-829</v>
      </c>
      <c r="D14" s="6" t="n">
        <v>-393</v>
      </c>
      <c r="E14" s="6" t="n">
        <v>-1631</v>
      </c>
    </row>
    <row r="15">
      <c r="A15" s="6" t="inlineStr">
        <is>
          <t>Depreciation of property and equipment</t>
        </is>
      </c>
      <c r="B15" s="6" t="n">
        <v>3563</v>
      </c>
      <c r="C15" s="6" t="n">
        <v>3392</v>
      </c>
      <c r="D15" s="6" t="n">
        <v>3123</v>
      </c>
      <c r="E15" s="6" t="n">
        <v>2695</v>
      </c>
    </row>
    <row r="16">
      <c r="A16" s="6" t="inlineStr">
        <is>
          <t>Amortisation of intangible assets</t>
        </is>
      </c>
      <c r="B16" s="6" t="n">
        <v>3177</v>
      </c>
      <c r="C16" s="6" t="n">
        <v>3501</v>
      </c>
      <c r="D16" s="6" t="n">
        <v>3805</v>
      </c>
      <c r="E16" s="6" t="n">
        <v>3939</v>
      </c>
    </row>
    <row r="17">
      <c r="A17" s="6" t="inlineStr">
        <is>
          <t>Loss on disposal of property and equipment</t>
        </is>
      </c>
      <c r="B17" s="6" t="n">
        <v>8</v>
      </c>
      <c r="C17" s="6" t="n">
        <v>4</v>
      </c>
      <c r="D17" s="6" t="n">
        <v>8</v>
      </c>
      <c r="E17" s="6" t="n">
        <v>70</v>
      </c>
    </row>
    <row r="18">
      <c r="A18" s="6" t="inlineStr">
        <is>
          <t>(Profit)/loss on deferred consideration - TRP</t>
        </is>
      </c>
      <c r="B18" s="6" t="n"/>
      <c r="C18" s="6" t="n"/>
      <c r="D18" s="6" t="n"/>
      <c r="E18" s="6" t="n">
        <v>-3</v>
      </c>
    </row>
    <row r="19">
      <c r="A19" s="6" t="inlineStr">
        <is>
          <t>Gain on sale of non-core Affluent client book</t>
        </is>
      </c>
      <c r="B19" s="6" t="n">
        <v>-3318</v>
      </c>
      <c r="C19" s="6" t="n"/>
      <c r="D19" s="6" t="n"/>
      <c r="E19" s="6" t="n"/>
    </row>
    <row r="20">
      <c r="A20" s="6" t="inlineStr">
        <is>
          <t>Proceeds on sale of Court of Protection business / pensions administration activities</t>
        </is>
      </c>
      <c r="B20" s="6" t="n">
        <v>802</v>
      </c>
      <c r="C20" s="6" t="n">
        <v>567</v>
      </c>
      <c r="D20" s="6" t="n">
        <v>800</v>
      </c>
      <c r="E20" s="6" t="n">
        <v>3200</v>
      </c>
    </row>
    <row r="21">
      <c r="A21" s="6" t="inlineStr">
        <is>
          <t>Proceeds on sale of a portfolio of assets</t>
        </is>
      </c>
      <c r="B21" s="6" t="n"/>
      <c r="C21" s="6" t="n">
        <v>632</v>
      </c>
      <c r="D21" s="6" t="n">
        <v>600</v>
      </c>
      <c r="E21" s="6" t="n"/>
    </row>
    <row r="22">
      <c r="A22" s="6" t="inlineStr">
        <is>
          <t>Changes in provisions</t>
        </is>
      </c>
      <c r="B22" s="6" t="n">
        <v>229</v>
      </c>
      <c r="C22" s="6" t="n">
        <v>-2576</v>
      </c>
      <c r="D22" s="6" t="n">
        <v>-4174</v>
      </c>
      <c r="E22" s="6" t="n">
        <v>1582</v>
      </c>
    </row>
    <row r="23">
      <c r="A23" s="6" t="inlineStr">
        <is>
          <t>Changes in Defined Benefit Pension Scheme surplus/(deficit)</t>
        </is>
      </c>
      <c r="B23" s="6" t="n">
        <v>-327</v>
      </c>
      <c r="C23" s="6" t="n">
        <v>-317</v>
      </c>
      <c r="D23" s="6" t="n">
        <v>-219</v>
      </c>
      <c r="E23" s="6" t="n">
        <v>-1431</v>
      </c>
    </row>
    <row r="24">
      <c r="A24" s="5" t="inlineStr">
        <is>
          <t>Net cash (used in)/from operating activities</t>
        </is>
      </c>
      <c r="B24" s="5" t="n">
        <v>-210559</v>
      </c>
      <c r="C24" s="5" t="n">
        <v>24812</v>
      </c>
      <c r="D24" s="5" t="n">
        <v>282024</v>
      </c>
      <c r="E24" s="5" t="n">
        <v>18377</v>
      </c>
    </row>
    <row r="25">
      <c r="A25" s="5" t="inlineStr">
        <is>
          <t>Investing activities</t>
        </is>
      </c>
      <c r="B25" s="6" t="n"/>
      <c r="C25" s="6" t="n"/>
      <c r="D25" s="6" t="n"/>
      <c r="E25" s="6" t="n"/>
    </row>
    <row r="26">
      <c r="A26" s="6" t="inlineStr">
        <is>
          <t>Dividend received</t>
        </is>
      </c>
      <c r="B26" s="6" t="n">
        <v>7</v>
      </c>
      <c r="C26" s="6" t="n">
        <v>7</v>
      </c>
      <c r="D26" s="6" t="n">
        <v>8</v>
      </c>
      <c r="E26" s="6" t="n">
        <v>8</v>
      </c>
    </row>
    <row r="27">
      <c r="A27" s="6" t="inlineStr">
        <is>
          <t>Proceeds on sale of equity investments</t>
        </is>
      </c>
      <c r="B27" s="6" t="n"/>
      <c r="C27" s="6" t="n"/>
      <c r="D27" s="6" t="n">
        <v>725</v>
      </c>
      <c r="E27" s="6" t="n"/>
    </row>
    <row r="28">
      <c r="A28" s="6" t="inlineStr">
        <is>
          <t>Deferred consideration paid on prior year acquisitions</t>
        </is>
      </c>
      <c r="B28" s="6" t="n"/>
      <c r="C28" s="6" t="n">
        <v>-3200</v>
      </c>
      <c r="D28" s="6" t="n">
        <v>-106</v>
      </c>
      <c r="E28" s="6" t="n">
        <v>-3265</v>
      </c>
    </row>
    <row r="29">
      <c r="A29" s="6" t="inlineStr">
        <is>
          <t>Proceeds on sale of non-core Affluent client book</t>
        </is>
      </c>
      <c r="B29" s="6" t="n">
        <v>2416</v>
      </c>
      <c r="C29" s="6" t="n"/>
      <c r="D29" s="6" t="n"/>
      <c r="E29" s="6" t="n"/>
    </row>
    <row r="30">
      <c r="A30" s="6" t="inlineStr">
        <is>
          <t>Purchase of property and equipment (excludes leased assets)</t>
        </is>
      </c>
      <c r="B30" s="6" t="n">
        <v>-89</v>
      </c>
      <c r="C30" s="6" t="n">
        <v>-916</v>
      </c>
      <c r="D30" s="6" t="n">
        <v>-1402</v>
      </c>
      <c r="E30" s="6" t="n">
        <v>-1405</v>
      </c>
    </row>
    <row r="31">
      <c r="A31" s="6" t="inlineStr">
        <is>
          <t>Purchase of intangible assets</t>
        </is>
      </c>
      <c r="B31" s="6" t="n">
        <v>-2</v>
      </c>
      <c r="C31" s="6" t="n">
        <v>-16</v>
      </c>
      <c r="D31" s="6" t="n">
        <v>0</v>
      </c>
      <c r="E31" s="6" t="n">
        <v>-4</v>
      </c>
    </row>
    <row r="32">
      <c r="A32" s="5" t="inlineStr">
        <is>
          <t>Net cash from/(used in) investing activities</t>
        </is>
      </c>
      <c r="B32" s="5" t="n">
        <v>2332</v>
      </c>
      <c r="C32" s="5" t="n">
        <v>-4125</v>
      </c>
      <c r="D32" s="5" t="n">
        <v>-775</v>
      </c>
      <c r="E32" s="5" t="n">
        <v>-4666</v>
      </c>
    </row>
    <row r="33">
      <c r="A33" s="5" t="inlineStr">
        <is>
          <t>Financing activities</t>
        </is>
      </c>
      <c r="B33" s="6" t="n"/>
      <c r="C33" s="6" t="n"/>
      <c r="D33" s="6" t="n"/>
      <c r="E33" s="6" t="n"/>
    </row>
    <row r="34">
      <c r="A34" s="6" t="inlineStr">
        <is>
          <t>Coupon paid to shareholder of Additional Tier 1 equity capital</t>
        </is>
      </c>
      <c r="B34" s="6" t="n">
        <v>-1136</v>
      </c>
      <c r="C34" s="6" t="n">
        <v>-883</v>
      </c>
      <c r="D34" s="6" t="n">
        <v>-651</v>
      </c>
      <c r="E34" s="6" t="n">
        <v>-635</v>
      </c>
    </row>
    <row r="35">
      <c r="A35" s="6" t="inlineStr">
        <is>
          <t>Repayment of principal portion of lease liabilities</t>
        </is>
      </c>
      <c r="B35" s="6" t="n">
        <v>-2359</v>
      </c>
      <c r="C35" s="6" t="n">
        <v>-2194</v>
      </c>
      <c r="D35" s="6" t="n">
        <v>-2040</v>
      </c>
      <c r="E35" s="6" t="n">
        <v>-1857</v>
      </c>
    </row>
    <row r="36">
      <c r="A36" s="5" t="inlineStr">
        <is>
          <t>Net cash used in financing activities</t>
        </is>
      </c>
      <c r="B36" s="5" t="n">
        <v>-3495</v>
      </c>
      <c r="C36" s="5" t="n">
        <v>-3077</v>
      </c>
      <c r="D36" s="5" t="n">
        <v>-2691</v>
      </c>
      <c r="E36" s="5" t="n">
        <v>-2492</v>
      </c>
    </row>
    <row r="37">
      <c r="A37" s="5" t="inlineStr">
        <is>
          <t>Net (decrease)/increase in cash and cash equivalents</t>
        </is>
      </c>
      <c r="B37" s="5" t="n">
        <v>-211722</v>
      </c>
      <c r="C37" s="5" t="n">
        <v>17610</v>
      </c>
      <c r="D37" s="5" t="n">
        <v>278558</v>
      </c>
      <c r="E37" s="5" t="n">
        <v>11219</v>
      </c>
    </row>
    <row r="38">
      <c r="A38" s="6" t="inlineStr">
        <is>
          <t>Cash and cash equivalents at the beginning of the year</t>
        </is>
      </c>
      <c r="B38" s="6" t="n">
        <v>586631</v>
      </c>
      <c r="C38" s="6" t="n">
        <v>569021</v>
      </c>
      <c r="D38" s="6" t="n">
        <v>290463</v>
      </c>
      <c r="E38" s="6" t="n">
        <v>279244</v>
      </c>
    </row>
    <row r="39">
      <c r="A39" s="5" t="inlineStr">
        <is>
          <t>Cash and cash equivalents at the end of the year</t>
        </is>
      </c>
      <c r="B39" s="5" t="n">
        <v>374909</v>
      </c>
      <c r="C39" s="5" t="n">
        <v>586631</v>
      </c>
      <c r="D39" s="5" t="n">
        <v>569021</v>
      </c>
      <c r="E39" s="5" t="n">
        <v>290463</v>
      </c>
    </row>
    <row r="40">
      <c r="A40" s="5" t="inlineStr">
        <is>
          <t>Components of cash and cash equivalents</t>
        </is>
      </c>
      <c r="B40" s="6" t="n"/>
      <c r="C40" s="6" t="n"/>
      <c r="D40" s="6" t="n"/>
      <c r="E40" s="6" t="n"/>
    </row>
    <row r="41">
      <c r="A41" s="6" t="inlineStr">
        <is>
          <t>Cash and balances at central banks</t>
        </is>
      </c>
      <c r="B41" s="6" t="n">
        <v>292700</v>
      </c>
      <c r="C41" s="6" t="n">
        <v>528997</v>
      </c>
      <c r="D41" s="6" t="n">
        <v>456835</v>
      </c>
      <c r="E41" s="6" t="n">
        <v>236409</v>
      </c>
    </row>
    <row r="42">
      <c r="A42" s="6" t="inlineStr">
        <is>
          <t>Loans and advances to banks repayable on demand and less than 3 months</t>
        </is>
      </c>
      <c r="B42" s="6" t="n">
        <v>89347</v>
      </c>
      <c r="C42" s="6" t="n">
        <v>66766</v>
      </c>
      <c r="D42" s="6" t="n">
        <v>125926</v>
      </c>
      <c r="E42" s="6" t="n">
        <v>58767</v>
      </c>
    </row>
    <row r="43">
      <c r="A43" s="6" t="inlineStr">
        <is>
          <t>Deposits from banks repayable on demand and less than 3 months</t>
        </is>
      </c>
      <c r="B43" s="6" t="n">
        <v>-7138</v>
      </c>
      <c r="C43" s="6" t="n">
        <v>-9132</v>
      </c>
      <c r="D43" s="6" t="n">
        <v>-13740</v>
      </c>
      <c r="E43" s="6" t="n">
        <v>-4713</v>
      </c>
    </row>
    <row r="44">
      <c r="A44" s="5" t="inlineStr">
        <is>
          <t>Total components of cash and cash equivalents</t>
        </is>
      </c>
      <c r="B44" s="5" t="n">
        <v>374909</v>
      </c>
      <c r="C44" s="5" t="n">
        <v>586631</v>
      </c>
      <c r="D44" s="5" t="n">
        <v>569021</v>
      </c>
      <c r="E44" s="5" t="n">
        <v>290463</v>
      </c>
    </row>
    <row r="46" ht="190" customHeight="1">
      <c r="A46" s="8" t="inlineStr">
        <is>
          <t>Sources - all figures are Brown Shipley &amp; Co. Limited's own Cash Flow Statement, transcribed from each year's own Companies House filing (not a later year's comparative column, per this project's convention):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1">
    <mergeCell ref="A46:E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CET1 Capital</t>
        </is>
      </c>
    </row>
    <row r="2">
      <c r="A2" s="2" t="inlineStr"/>
    </row>
    <row r="3">
      <c r="A3" s="4" t="inlineStr">
        <is>
          <t>Metric</t>
        </is>
      </c>
      <c r="B3" s="4" t="inlineStr">
        <is>
          <t>FY2024</t>
        </is>
      </c>
      <c r="C3" s="4" t="inlineStr">
        <is>
          <t>FY2023</t>
        </is>
      </c>
      <c r="D3" s="4" t="inlineStr">
        <is>
          <t>FY2022</t>
        </is>
      </c>
      <c r="E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21.6%</t>
        </is>
      </c>
      <c r="C4" s="6" t="inlineStr">
        <is>
          <t>22.3%</t>
        </is>
      </c>
      <c r="D4" s="6" t="inlineStr">
        <is>
          <t>20.3%</t>
        </is>
      </c>
      <c r="E4" s="6" t="inlineStr">
        <is>
          <t>19.6%</t>
        </is>
      </c>
    </row>
    <row r="6" ht="150" customHeight="1">
      <c r="A6"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1">
    <mergeCell ref="A6:E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Tier 1 Capital</t>
        </is>
      </c>
    </row>
    <row r="2">
      <c r="A2" s="2" t="inlineStr"/>
    </row>
    <row r="3">
      <c r="A3" s="4" t="inlineStr">
        <is>
          <t>Metric</t>
        </is>
      </c>
      <c r="B3" s="4" t="inlineStr">
        <is>
          <t>FY2024</t>
        </is>
      </c>
      <c r="C3" s="4" t="inlineStr">
        <is>
          <t>FY2023</t>
        </is>
      </c>
      <c r="D3" s="4" t="inlineStr">
        <is>
          <t>FY2022</t>
        </is>
      </c>
      <c r="E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 Note: the Statement of Financial Position confirms £10,000k of Additional Tier 1 Equity Capital exists in every year shown, so Tier 1 capital cannot be assumed equal to CET1 capital - not calculated here without a disclosed RWA figure.</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Tier 1 Ratio</t>
        </is>
      </c>
    </row>
    <row r="2">
      <c r="A2" s="2" t="inlineStr"/>
    </row>
    <row r="3">
      <c r="A3" s="4" t="inlineStr">
        <is>
          <t>Metric</t>
        </is>
      </c>
      <c r="B3" s="4" t="inlineStr">
        <is>
          <t>FY2024</t>
        </is>
      </c>
      <c r="C3" s="4" t="inlineStr">
        <is>
          <t>FY2023</t>
        </is>
      </c>
      <c r="D3" s="4" t="inlineStr">
        <is>
          <t>FY2022</t>
        </is>
      </c>
      <c r="E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Total Capital</t>
        </is>
      </c>
    </row>
    <row r="2">
      <c r="A2" s="2" t="inlineStr"/>
    </row>
    <row r="3">
      <c r="A3" s="4" t="inlineStr">
        <is>
          <t>Metric</t>
        </is>
      </c>
      <c r="B3" s="4" t="inlineStr">
        <is>
          <t>FY2024</t>
        </is>
      </c>
      <c r="C3" s="4" t="inlineStr">
        <is>
          <t>FY2023</t>
        </is>
      </c>
      <c r="D3" s="4" t="inlineStr">
        <is>
          <t>FY2022</t>
        </is>
      </c>
      <c r="E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Total Capital Ratio</t>
        </is>
      </c>
    </row>
    <row r="2">
      <c r="A2" s="2" t="inlineStr"/>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Total RWAs</t>
        </is>
      </c>
    </row>
    <row r="2">
      <c r="A2" s="2" t="inlineStr"/>
    </row>
    <row r="3">
      <c r="A3" s="4" t="inlineStr">
        <is>
          <t>Metric</t>
        </is>
      </c>
      <c r="B3" s="4" t="inlineStr">
        <is>
          <t>FY2024</t>
        </is>
      </c>
      <c r="C3" s="4" t="inlineStr">
        <is>
          <t>FY2023</t>
        </is>
      </c>
      <c r="D3" s="4" t="inlineStr">
        <is>
          <t>FY2022</t>
        </is>
      </c>
      <c r="E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Leverage Ratio</t>
        </is>
      </c>
    </row>
    <row r="2">
      <c r="A2" s="2" t="inlineStr"/>
    </row>
    <row r="3">
      <c r="A3" s="4" t="inlineStr">
        <is>
          <t>Metric</t>
        </is>
      </c>
      <c r="B3" s="4" t="inlineStr">
        <is>
          <t>FY2024</t>
        </is>
      </c>
      <c r="C3" s="4" t="inlineStr">
        <is>
          <t>FY2023</t>
        </is>
      </c>
      <c r="D3" s="4" t="inlineStr">
        <is>
          <t>FY2022</t>
        </is>
      </c>
      <c r="E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 (LCR)</t>
        </is>
      </c>
      <c r="B4" s="6" t="inlineStr">
        <is>
          <t>236%</t>
        </is>
      </c>
      <c r="C4" s="6" t="inlineStr">
        <is>
          <t>274%</t>
        </is>
      </c>
      <c r="D4" s="6" t="inlineStr">
        <is>
          <t>218%</t>
        </is>
      </c>
      <c r="E4" s="6" t="inlineStr">
        <is>
          <t>253%</t>
        </is>
      </c>
    </row>
    <row r="6" ht="150" customHeight="1">
      <c r="A6"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2026-08-27T23:20:25Z</dcterms:created>
  <dcterms:modified xsi:type="dcterms:W3CDTF">2026-08-27T23:20:25Z</dcterms:modified>
</cp:coreProperties>
</file>