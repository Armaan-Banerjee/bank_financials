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4361EE"/>
        <bgColor rgb="004361E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Alrayan Bank Limited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ser>
          <idx val="3"/>
          <order val="3"/>
          <tx>
            <strRef>
              <f>'Overview'!I9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'Overview'!$J$9:$N$9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£'000s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Alrayan Bank Limited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ser>
          <idx val="2"/>
          <order val="2"/>
          <tx>
            <strRef>
              <f>'Overview'!Q8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'Overview'!$R$8:$V$8</f>
            </numRef>
          </val>
          <smooth val="0"/>
        </ser>
        <ser>
          <idx val="3"/>
          <order val="3"/>
          <tx>
            <strRef>
              <f>'Overview'!Q9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'Overview'!$R$9:$V$9</f>
            </numRef>
          </val>
          <smooth val="0"/>
        </ser>
        <ser>
          <idx val="4"/>
          <order val="4"/>
          <tx>
            <strRef>
              <f>'Overview'!Q10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'Overview'!$R$10:$V$10</f>
            </numRef>
          </val>
          <smooth val="0"/>
        </ser>
        <ser>
          <idx val="5"/>
          <order val="5"/>
          <tx>
            <strRef>
              <f>'Overview'!Q11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'Overview'!$R$11:$V$11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Alrayan Bank Limited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(£'000s)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from/(used in) operating activities</t>
        </is>
      </c>
      <c r="B6" s="5" t="n">
        <v>-224043</v>
      </c>
      <c r="C6" s="5" t="n">
        <v>57743</v>
      </c>
      <c r="D6" s="5" t="n">
        <v>91802</v>
      </c>
      <c r="E6" s="5" t="n">
        <v>130869</v>
      </c>
      <c r="F6" s="5" t="n">
        <v>-35992</v>
      </c>
      <c r="I6" t="inlineStr">
        <is>
          <t>Net cash from/(used in) operating activities</t>
        </is>
      </c>
      <c r="J6" t="n">
        <v>-35992</v>
      </c>
      <c r="K6" t="n">
        <v>130869</v>
      </c>
      <c r="L6" t="n">
        <v>91802</v>
      </c>
      <c r="M6" t="n">
        <v>57743</v>
      </c>
      <c r="N6" t="n">
        <v>-224043</v>
      </c>
      <c r="Q6" t="inlineStr">
        <is>
          <t>CET1 Ratio</t>
        </is>
      </c>
      <c r="R6" t="n">
        <v>15.1</v>
      </c>
      <c r="S6" t="n">
        <v>14.93</v>
      </c>
      <c r="T6" t="n">
        <v>17.36</v>
      </c>
      <c r="U6" t="n">
        <v>15.95</v>
      </c>
    </row>
    <row r="7">
      <c r="A7" s="5" t="inlineStr">
        <is>
          <t>Net cash from/(used in) investing activities</t>
        </is>
      </c>
      <c r="B7" s="5" t="n">
        <v>-98427</v>
      </c>
      <c r="C7" s="5" t="n">
        <v>5682</v>
      </c>
      <c r="D7" s="5" t="n">
        <v>-40037</v>
      </c>
      <c r="E7" s="5" t="n">
        <v>-23143</v>
      </c>
      <c r="F7" s="5" t="n">
        <v>45657</v>
      </c>
      <c r="I7" t="inlineStr">
        <is>
          <t>Net cash from/(used in) investing activities</t>
        </is>
      </c>
      <c r="J7" t="n">
        <v>45657</v>
      </c>
      <c r="K7" t="n">
        <v>-23143</v>
      </c>
      <c r="L7" t="n">
        <v>-40037</v>
      </c>
      <c r="M7" t="n">
        <v>5682</v>
      </c>
      <c r="N7" t="n">
        <v>-98427</v>
      </c>
      <c r="Q7" t="inlineStr">
        <is>
          <t>Tier 1 Ratio</t>
        </is>
      </c>
      <c r="R7" t="n">
        <v>15.4</v>
      </c>
      <c r="S7" t="n">
        <v>15.23</v>
      </c>
      <c r="T7" t="n">
        <v>17.65</v>
      </c>
      <c r="U7" t="n">
        <v>16.15</v>
      </c>
    </row>
    <row r="8">
      <c r="A8" s="5" t="inlineStr">
        <is>
          <t>Net cash from/(used in) financing activities</t>
        </is>
      </c>
      <c r="B8" s="5" t="n">
        <v>70792</v>
      </c>
      <c r="C8" s="5" t="n">
        <v>78142</v>
      </c>
      <c r="D8" s="5" t="n">
        <v>-3574</v>
      </c>
      <c r="E8" s="5" t="n">
        <v>-1978</v>
      </c>
      <c r="F8" s="5" t="n">
        <v>-148456</v>
      </c>
      <c r="I8" t="inlineStr">
        <is>
          <t>Net cash from/(used in) financing activities</t>
        </is>
      </c>
      <c r="J8" t="n">
        <v>-148456</v>
      </c>
      <c r="K8" t="n">
        <v>-1978</v>
      </c>
      <c r="L8" t="n">
        <v>-3574</v>
      </c>
      <c r="M8" t="n">
        <v>78142</v>
      </c>
      <c r="N8" t="n">
        <v>70792</v>
      </c>
      <c r="Q8" t="inlineStr">
        <is>
          <t>Total Capital Ratio</t>
        </is>
      </c>
      <c r="R8" t="n">
        <v>18.1</v>
      </c>
      <c r="S8" t="n">
        <v>17.45</v>
      </c>
      <c r="T8" t="n">
        <v>19.41</v>
      </c>
      <c r="U8" t="n">
        <v>17.19</v>
      </c>
    </row>
    <row r="9">
      <c r="A9" s="5" t="inlineStr">
        <is>
          <t>Closing cash and cash equivalents</t>
        </is>
      </c>
      <c r="B9" s="5" t="n">
        <v>287372</v>
      </c>
      <c r="C9" s="5" t="n">
        <v>539046</v>
      </c>
      <c r="D9" s="5" t="n">
        <v>397753</v>
      </c>
      <c r="E9" s="5" t="n">
        <v>349828</v>
      </c>
      <c r="F9" s="5" t="n">
        <v>244090</v>
      </c>
      <c r="I9" t="inlineStr">
        <is>
          <t>Closing cash and cash equivalents</t>
        </is>
      </c>
      <c r="J9" t="n">
        <v>244090</v>
      </c>
      <c r="K9" t="n">
        <v>349828</v>
      </c>
      <c r="L9" t="n">
        <v>397753</v>
      </c>
      <c r="M9" t="n">
        <v>539046</v>
      </c>
      <c r="N9" t="n">
        <v>287372</v>
      </c>
      <c r="Q9" t="inlineStr">
        <is>
          <t>Leverage Ratio</t>
        </is>
      </c>
      <c r="R9" t="n">
        <v>6.4</v>
      </c>
      <c r="S9" t="n">
        <v>6.7</v>
      </c>
      <c r="T9" t="n">
        <v>7.8</v>
      </c>
      <c r="U9" t="n">
        <v>7.7</v>
      </c>
    </row>
    <row r="10">
      <c r="Q10" t="inlineStr">
        <is>
          <t>LCR</t>
        </is>
      </c>
      <c r="R10" t="n">
        <v>316</v>
      </c>
      <c r="S10" t="n">
        <v>442</v>
      </c>
      <c r="T10" t="n">
        <v>641</v>
      </c>
      <c r="U10" t="n">
        <v>523</v>
      </c>
    </row>
    <row r="11">
      <c r="A11" s="3" t="inlineStr">
        <is>
          <t>Pillar 3 Key Metrics</t>
        </is>
      </c>
      <c r="Q11" t="inlineStr">
        <is>
          <t>NSFR</t>
        </is>
      </c>
      <c r="R11" t="n">
        <v>146</v>
      </c>
      <c r="S11" t="n">
        <v>155</v>
      </c>
      <c r="T11" t="n">
        <v>157</v>
      </c>
      <c r="U11" t="n">
        <v>161</v>
      </c>
    </row>
    <row r="12">
      <c r="A12" s="4" t="inlineStr">
        <is>
          <t>Line item</t>
        </is>
      </c>
      <c r="B12" s="4" t="inlineStr">
        <is>
          <t>FY2025</t>
        </is>
      </c>
      <c r="C12" s="4" t="inlineStr">
        <is>
          <t>FY2024</t>
        </is>
      </c>
      <c r="D12" s="4" t="inlineStr">
        <is>
          <t>FY2023</t>
        </is>
      </c>
      <c r="E12" s="4" t="inlineStr">
        <is>
          <t>FY2022</t>
        </is>
      </c>
      <c r="F12" s="4" t="inlineStr">
        <is>
          <t>FY2021</t>
        </is>
      </c>
    </row>
    <row r="13">
      <c r="A13" s="6" t="inlineStr">
        <is>
          <t>CET1 Ratio</t>
        </is>
      </c>
      <c r="B13" s="6" t="n"/>
      <c r="C13" s="6" t="inlineStr">
        <is>
          <t>15.95%</t>
        </is>
      </c>
      <c r="D13" s="6" t="inlineStr">
        <is>
          <t>17.36%</t>
        </is>
      </c>
      <c r="E13" s="6" t="inlineStr">
        <is>
          <t>14.93%</t>
        </is>
      </c>
      <c r="F13" s="6" t="inlineStr">
        <is>
          <t>15.1%</t>
        </is>
      </c>
    </row>
    <row r="14">
      <c r="A14" s="6" t="inlineStr">
        <is>
          <t>Tier 1 Ratio</t>
        </is>
      </c>
      <c r="B14" s="6" t="n"/>
      <c r="C14" s="6" t="inlineStr">
        <is>
          <t>16.15%</t>
        </is>
      </c>
      <c r="D14" s="6" t="inlineStr">
        <is>
          <t>17.65%</t>
        </is>
      </c>
      <c r="E14" s="6" t="inlineStr">
        <is>
          <t>15.23%</t>
        </is>
      </c>
      <c r="F14" s="6" t="inlineStr">
        <is>
          <t>15.4%</t>
        </is>
      </c>
    </row>
    <row r="15">
      <c r="A15" s="6" t="inlineStr">
        <is>
          <t>Total Capital Ratio</t>
        </is>
      </c>
      <c r="B15" s="6" t="n"/>
      <c r="C15" s="6" t="inlineStr">
        <is>
          <t>17.19%</t>
        </is>
      </c>
      <c r="D15" s="6" t="inlineStr">
        <is>
          <t>19.41%</t>
        </is>
      </c>
      <c r="E15" s="6" t="inlineStr">
        <is>
          <t>17.45%</t>
        </is>
      </c>
      <c r="F15" s="6" t="inlineStr">
        <is>
          <t>18.1%</t>
        </is>
      </c>
    </row>
    <row r="16">
      <c r="A16" s="6" t="inlineStr">
        <is>
          <t>Leverage Ratio</t>
        </is>
      </c>
      <c r="B16" s="6" t="n"/>
      <c r="C16" s="6" t="inlineStr">
        <is>
          <t>7.7%</t>
        </is>
      </c>
      <c r="D16" s="6" t="inlineStr">
        <is>
          <t>7.8%</t>
        </is>
      </c>
      <c r="E16" s="6" t="inlineStr">
        <is>
          <t>6.7%</t>
        </is>
      </c>
      <c r="F16" s="6" t="inlineStr">
        <is>
          <t>6.4%</t>
        </is>
      </c>
    </row>
    <row r="17">
      <c r="A17" s="6" t="inlineStr">
        <is>
          <t>LCR</t>
        </is>
      </c>
      <c r="B17" s="6" t="n"/>
      <c r="C17" s="6" t="inlineStr">
        <is>
          <t>523%</t>
        </is>
      </c>
      <c r="D17" s="6" t="inlineStr">
        <is>
          <t>641%</t>
        </is>
      </c>
      <c r="E17" s="6" t="inlineStr">
        <is>
          <t>442%</t>
        </is>
      </c>
      <c r="F17" s="6" t="inlineStr">
        <is>
          <t>316%</t>
        </is>
      </c>
    </row>
    <row r="18">
      <c r="A18" s="6" t="inlineStr">
        <is>
          <t>NSFR</t>
        </is>
      </c>
      <c r="B18" s="6" t="n"/>
      <c r="C18" s="6" t="inlineStr">
        <is>
          <t>161%</t>
        </is>
      </c>
      <c r="D18" s="6" t="inlineStr">
        <is>
          <t>157%</t>
        </is>
      </c>
      <c r="E18" s="6" t="inlineStr">
        <is>
          <t>155%</t>
        </is>
      </c>
      <c r="F18" s="6" t="inlineStr">
        <is>
          <t>146%</t>
        </is>
      </c>
    </row>
    <row r="20" ht="45" customHeight="1">
      <c r="A20" s="7" t="inlineStr">
        <is>
          <t>Note: Figures are duplicated from the detail sheets for at-a-glance trend viewing; see each sheet's own source citation for the underlying document/page. Pillar 3 ratios are blank for FY2025 (no disclosure published yet). LCR uses the 12-month average/KM1 basis throughout, not the spot figures also disclosed in this bank's own Executive Summary tables - see the LCR sheet's note.</t>
        </is>
      </c>
    </row>
  </sheetData>
  <mergeCells count="1">
    <mergeCell ref="A20:F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8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Statement of Cash Flows</t>
        </is>
      </c>
    </row>
    <row r="2">
      <c r="A2" s="2" t="inlineStr">
        <is>
          <t>Bank entity-level basis, £'000s. Full 5 years, no cash-flow exemption.</t>
        </is>
      </c>
    </row>
    <row r="3">
      <c r="A3" s="4" t="inlineStr">
        <is>
          <t>Line item</t>
        </is>
      </c>
      <c r="B3" s="4" t="inlineStr">
        <is>
          <t>FY2025 (£'000s)</t>
        </is>
      </c>
      <c r="C3" s="4" t="inlineStr">
        <is>
          <t>FY2024 (£'000s)</t>
        </is>
      </c>
      <c r="D3" s="4" t="inlineStr">
        <is>
          <t>FY2023 (£'000s)</t>
        </is>
      </c>
      <c r="E3" s="4" t="inlineStr">
        <is>
          <t>FY2022 (£'000s)</t>
        </is>
      </c>
      <c r="F3" s="4" t="inlineStr">
        <is>
          <t>FY2021 (£'000s)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6" t="inlineStr">
        <is>
          <t>Profit before tax</t>
        </is>
      </c>
      <c r="B5" s="6" t="n">
        <v>23587</v>
      </c>
      <c r="C5" s="6" t="n">
        <v>23469</v>
      </c>
      <c r="D5" s="6" t="n">
        <v>30608</v>
      </c>
      <c r="E5" s="6" t="n">
        <v>20797</v>
      </c>
      <c r="F5" s="6" t="n">
        <v>9627</v>
      </c>
    </row>
    <row r="6">
      <c r="A6" s="6" t="inlineStr">
        <is>
          <t>Depreciation</t>
        </is>
      </c>
      <c r="B6" s="6" t="n">
        <v>1407</v>
      </c>
      <c r="C6" s="6" t="n">
        <v>1844</v>
      </c>
      <c r="D6" s="6" t="n">
        <v>1338</v>
      </c>
      <c r="E6" s="6" t="n">
        <v>1843</v>
      </c>
      <c r="F6" s="6" t="n">
        <v>2968</v>
      </c>
    </row>
    <row r="7">
      <c r="A7" s="6" t="inlineStr">
        <is>
          <t>Amortisation</t>
        </is>
      </c>
      <c r="B7" s="6" t="n">
        <v>1064</v>
      </c>
      <c r="C7" s="6" t="n">
        <v>1361</v>
      </c>
      <c r="D7" s="6" t="n">
        <v>1230</v>
      </c>
      <c r="E7" s="6" t="n">
        <v>1991</v>
      </c>
      <c r="F7" s="6" t="n">
        <v>1516</v>
      </c>
    </row>
    <row r="8">
      <c r="A8" s="6" t="inlineStr">
        <is>
          <t>Loss/(gain) on disposal of investment securities</t>
        </is>
      </c>
      <c r="B8" s="6" t="n"/>
      <c r="C8" s="6" t="n"/>
      <c r="D8" s="6" t="n">
        <v>3766</v>
      </c>
      <c r="E8" s="6" t="n">
        <v>-51</v>
      </c>
      <c r="F8" s="6" t="n">
        <v>-25</v>
      </c>
    </row>
    <row r="9">
      <c r="A9" s="6" t="inlineStr">
        <is>
          <t>Cost of subordinated funding</t>
        </is>
      </c>
      <c r="B9" s="6" t="n">
        <v>1118</v>
      </c>
      <c r="C9" s="6" t="n">
        <v>2000</v>
      </c>
      <c r="D9" s="6" t="n">
        <v>2000</v>
      </c>
      <c r="E9" s="6" t="n"/>
      <c r="F9" s="6" t="n"/>
    </row>
    <row r="10">
      <c r="A10" s="6" t="inlineStr">
        <is>
          <t>Impairment / expected credit loss charge on financial assets</t>
        </is>
      </c>
      <c r="B10" s="6" t="n">
        <v>3798</v>
      </c>
      <c r="C10" s="6" t="n">
        <v>2936</v>
      </c>
      <c r="D10" s="6" t="n">
        <v>1428</v>
      </c>
      <c r="E10" s="6" t="n">
        <v>183</v>
      </c>
      <c r="F10" s="6" t="n">
        <v>-464</v>
      </c>
    </row>
    <row r="11">
      <c r="A11" s="6" t="inlineStr">
        <is>
          <t>Other non-cash items</t>
        </is>
      </c>
      <c r="B11" s="6" t="n">
        <v>191</v>
      </c>
      <c r="C11" s="6" t="n">
        <v>943</v>
      </c>
      <c r="D11" s="6" t="n">
        <v>340</v>
      </c>
      <c r="E11" s="6" t="n">
        <v>292</v>
      </c>
      <c r="F11" s="6" t="n">
        <v>565</v>
      </c>
    </row>
    <row r="12">
      <c r="A12" s="5" t="inlineStr">
        <is>
          <t>Net cash generated before changes in operating assets and liabilities</t>
        </is>
      </c>
      <c r="B12" s="5" t="n">
        <v>31165</v>
      </c>
      <c r="C12" s="5" t="n">
        <v>32553</v>
      </c>
      <c r="D12" s="5" t="n">
        <v>40710</v>
      </c>
      <c r="E12" s="5" t="n">
        <v>25055</v>
      </c>
      <c r="F12" s="5" t="n">
        <v>14187</v>
      </c>
    </row>
    <row r="13">
      <c r="A13" s="6" t="inlineStr">
        <is>
          <t>Treasury placements</t>
        </is>
      </c>
      <c r="B13" s="6" t="n"/>
      <c r="C13" s="6" t="n">
        <v>3330</v>
      </c>
      <c r="D13" s="6" t="n">
        <v>-350</v>
      </c>
      <c r="E13" s="6" t="n">
        <v>120</v>
      </c>
      <c r="F13" s="6" t="n">
        <v>-1318</v>
      </c>
    </row>
    <row r="14">
      <c r="A14" s="6" t="inlineStr">
        <is>
          <t>Encumbered non-cash balances</t>
        </is>
      </c>
      <c r="B14" s="6" t="n">
        <v>-1054</v>
      </c>
      <c r="C14" s="6" t="n"/>
      <c r="D14" s="6" t="n"/>
      <c r="E14" s="6" t="n"/>
      <c r="F14" s="6" t="n"/>
    </row>
    <row r="15">
      <c r="A15" s="6" t="inlineStr">
        <is>
          <t>Home purchase plans</t>
        </is>
      </c>
      <c r="B15" s="6" t="n">
        <v>45000</v>
      </c>
      <c r="C15" s="6" t="n">
        <v>61204</v>
      </c>
      <c r="D15" s="6" t="n">
        <v>106281</v>
      </c>
      <c r="E15" s="6" t="n">
        <v>92488</v>
      </c>
      <c r="F15" s="6" t="n">
        <v>1971</v>
      </c>
    </row>
    <row r="16">
      <c r="A16" s="6" t="inlineStr">
        <is>
          <t>Commercial property finance</t>
        </is>
      </c>
      <c r="B16" s="6" t="n"/>
      <c r="C16" s="6" t="n">
        <v>-278317</v>
      </c>
      <c r="D16" s="6" t="n">
        <v>-111420</v>
      </c>
      <c r="E16" s="6" t="n">
        <v>-120113</v>
      </c>
      <c r="F16" s="6" t="n">
        <v>-112138</v>
      </c>
    </row>
    <row r="17">
      <c r="A17" s="6" t="inlineStr">
        <is>
          <t>Structured real estate</t>
        </is>
      </c>
      <c r="B17" s="6" t="n">
        <v>-417886</v>
      </c>
      <c r="C17" s="6" t="n"/>
      <c r="D17" s="6" t="n"/>
      <c r="E17" s="6" t="n"/>
      <c r="F17" s="6" t="n"/>
    </row>
    <row r="18">
      <c r="A18" s="6" t="inlineStr">
        <is>
          <t>Securities purchased under reverse repurchase agreements</t>
        </is>
      </c>
      <c r="B18" s="6" t="n">
        <v>-74193</v>
      </c>
      <c r="C18" s="6" t="n"/>
      <c r="D18" s="6" t="n"/>
      <c r="E18" s="6" t="n"/>
      <c r="F18" s="6" t="n"/>
    </row>
    <row r="19">
      <c r="A19" s="6" t="inlineStr">
        <is>
          <t>Other assets</t>
        </is>
      </c>
      <c r="B19" s="6" t="n">
        <v>-2105</v>
      </c>
      <c r="C19" s="6" t="n">
        <v>925</v>
      </c>
      <c r="D19" s="6" t="n">
        <v>-138</v>
      </c>
      <c r="E19" s="6" t="n">
        <v>2191</v>
      </c>
      <c r="F19" s="6" t="n">
        <v>-1514</v>
      </c>
    </row>
    <row r="20">
      <c r="A20" s="6" t="inlineStr">
        <is>
          <t>Derivative financial instruments</t>
        </is>
      </c>
      <c r="B20" s="6" t="n">
        <v>1143</v>
      </c>
      <c r="C20" s="6" t="n">
        <v>3254</v>
      </c>
      <c r="D20" s="6" t="n">
        <v>-4188</v>
      </c>
      <c r="E20" s="6" t="n">
        <v>275</v>
      </c>
      <c r="F20" s="6" t="n">
        <v>5137</v>
      </c>
    </row>
    <row r="21">
      <c r="A21" s="6" t="inlineStr">
        <is>
          <t>Deposits from banks and financial institutions</t>
        </is>
      </c>
      <c r="B21" s="6" t="n">
        <v>156470</v>
      </c>
      <c r="C21" s="6" t="n">
        <v>-46485</v>
      </c>
      <c r="D21" s="6" t="n">
        <v>-34466</v>
      </c>
      <c r="E21" s="6" t="n">
        <v>46741</v>
      </c>
      <c r="F21" s="6" t="n">
        <v>61095</v>
      </c>
    </row>
    <row r="22">
      <c r="A22" s="6" t="inlineStr">
        <is>
          <t>Deposits from customers</t>
        </is>
      </c>
      <c r="B22" s="6" t="n">
        <v>64775</v>
      </c>
      <c r="C22" s="6" t="n">
        <v>263683</v>
      </c>
      <c r="D22" s="6" t="n">
        <v>105052</v>
      </c>
      <c r="E22" s="6" t="n">
        <v>84485</v>
      </c>
      <c r="F22" s="6" t="n">
        <v>-5338</v>
      </c>
    </row>
    <row r="23">
      <c r="A23" s="6" t="inlineStr">
        <is>
          <t>Other liabilities</t>
        </is>
      </c>
      <c r="B23" s="6" t="n">
        <v>-22811</v>
      </c>
      <c r="C23" s="6" t="n">
        <v>22284</v>
      </c>
      <c r="D23" s="6" t="n">
        <v>-3379</v>
      </c>
      <c r="E23" s="6" t="n">
        <v>2767</v>
      </c>
      <c r="F23" s="6" t="n">
        <v>3871</v>
      </c>
    </row>
    <row r="24">
      <c r="A24" s="6" t="inlineStr">
        <is>
          <t>Taxation paid</t>
        </is>
      </c>
      <c r="B24" s="6" t="n">
        <v>-4547</v>
      </c>
      <c r="C24" s="6" t="n">
        <v>-4688</v>
      </c>
      <c r="D24" s="6" t="n">
        <v>-6300</v>
      </c>
      <c r="E24" s="6" t="n">
        <v>-3140</v>
      </c>
      <c r="F24" s="6" t="n">
        <v>-1945</v>
      </c>
    </row>
    <row r="25">
      <c r="A25" s="5" t="inlineStr">
        <is>
          <t>Net cash generated from/(used in) operating activities</t>
        </is>
      </c>
      <c r="B25" s="5" t="n">
        <v>-224043</v>
      </c>
      <c r="C25" s="5" t="n">
        <v>57743</v>
      </c>
      <c r="D25" s="5" t="n">
        <v>91802</v>
      </c>
      <c r="E25" s="5" t="n">
        <v>130869</v>
      </c>
      <c r="F25" s="5" t="n">
        <v>-35992</v>
      </c>
    </row>
    <row r="26">
      <c r="A26" s="5" t="inlineStr">
        <is>
          <t>Investing activities</t>
        </is>
      </c>
      <c r="B26" s="6" t="n"/>
      <c r="C26" s="6" t="n"/>
      <c r="D26" s="6" t="n"/>
      <c r="E26" s="6" t="n"/>
      <c r="F26" s="6" t="n"/>
    </row>
    <row r="27">
      <c r="A27" s="6" t="inlineStr">
        <is>
          <t>Purchase of investment securities</t>
        </is>
      </c>
      <c r="B27" s="6" t="n">
        <v>-302813</v>
      </c>
      <c r="C27" s="6" t="n">
        <v>-200801</v>
      </c>
      <c r="D27" s="6" t="n">
        <v>-226418</v>
      </c>
      <c r="E27" s="6" t="n"/>
      <c r="F27" s="6" t="n"/>
    </row>
    <row r="28">
      <c r="A28" s="6" t="inlineStr">
        <is>
          <t>Sales/maturities of investment securities</t>
        </is>
      </c>
      <c r="B28" s="6" t="n">
        <v>205903</v>
      </c>
      <c r="C28" s="6" t="n">
        <v>209476</v>
      </c>
      <c r="D28" s="6" t="n">
        <v>189530</v>
      </c>
      <c r="E28" s="6" t="n"/>
      <c r="F28" s="6" t="n"/>
    </row>
    <row r="29">
      <c r="A29" s="6" t="inlineStr">
        <is>
          <t>Net sales of investment securities</t>
        </is>
      </c>
      <c r="B29" s="6" t="n"/>
      <c r="C29" s="6" t="n"/>
      <c r="D29" s="6" t="n"/>
      <c r="E29" s="6" t="n">
        <v>7253</v>
      </c>
      <c r="F29" s="6" t="n">
        <v>46245</v>
      </c>
    </row>
    <row r="30">
      <c r="A30" s="6" t="inlineStr">
        <is>
          <t>Purchase of property and equipment</t>
        </is>
      </c>
      <c r="B30" s="6" t="n">
        <v>-354</v>
      </c>
      <c r="C30" s="6" t="n">
        <v>-1826</v>
      </c>
      <c r="D30" s="6" t="n">
        <v>-1828</v>
      </c>
      <c r="E30" s="6" t="n">
        <v>-29430</v>
      </c>
      <c r="F30" s="6" t="n">
        <v>-40</v>
      </c>
    </row>
    <row r="31">
      <c r="A31" s="6" t="inlineStr">
        <is>
          <t>Investment in intangible assets</t>
        </is>
      </c>
      <c r="B31" s="6" t="n">
        <v>-1163</v>
      </c>
      <c r="C31" s="6" t="n">
        <v>-1167</v>
      </c>
      <c r="D31" s="6" t="n">
        <v>-1321</v>
      </c>
      <c r="E31" s="6" t="n">
        <v>-966</v>
      </c>
      <c r="F31" s="6" t="n">
        <v>-548</v>
      </c>
    </row>
    <row r="32">
      <c r="A32" s="5" t="inlineStr">
        <is>
          <t>Net cash generated from/(used in) investing activities</t>
        </is>
      </c>
      <c r="B32" s="5" t="n">
        <v>-98427</v>
      </c>
      <c r="C32" s="5" t="n">
        <v>5682</v>
      </c>
      <c r="D32" s="5" t="n">
        <v>-40037</v>
      </c>
      <c r="E32" s="5" t="n">
        <v>-23143</v>
      </c>
      <c r="F32" s="5" t="n">
        <v>45657</v>
      </c>
    </row>
    <row r="33">
      <c r="A33" s="5" t="inlineStr">
        <is>
          <t>Financing activities</t>
        </is>
      </c>
      <c r="B33" s="6" t="n"/>
      <c r="C33" s="6" t="n"/>
      <c r="D33" s="6" t="n"/>
      <c r="E33" s="6" t="n"/>
      <c r="F33" s="6" t="n"/>
    </row>
    <row r="34">
      <c r="A34" s="6" t="inlineStr">
        <is>
          <t>Redemption of sukuk funding</t>
        </is>
      </c>
      <c r="B34" s="6" t="n"/>
      <c r="C34" s="6" t="n"/>
      <c r="D34" s="6" t="n"/>
      <c r="E34" s="6" t="n"/>
      <c r="F34" s="6" t="n">
        <v>-146944</v>
      </c>
    </row>
    <row r="35">
      <c r="A35" s="6" t="inlineStr">
        <is>
          <t>Financing from banks</t>
        </is>
      </c>
      <c r="B35" s="6" t="n">
        <v>95247</v>
      </c>
      <c r="C35" s="6" t="n">
        <v>80776</v>
      </c>
      <c r="D35" s="6" t="n"/>
      <c r="E35" s="6" t="n"/>
      <c r="F35" s="6" t="n"/>
    </row>
    <row r="36">
      <c r="A36" s="6" t="inlineStr">
        <is>
          <t>Payment of principal in respect of leases</t>
        </is>
      </c>
      <c r="B36" s="6" t="n">
        <v>-435</v>
      </c>
      <c r="C36" s="6" t="n">
        <v>-325</v>
      </c>
      <c r="D36" s="6" t="n">
        <v>-1260</v>
      </c>
      <c r="E36" s="6" t="n">
        <v>-1019</v>
      </c>
      <c r="F36" s="6" t="n">
        <v>-1318</v>
      </c>
    </row>
    <row r="37">
      <c r="A37" s="6" t="inlineStr">
        <is>
          <t>Payment of financing in respect of leases</t>
        </is>
      </c>
      <c r="B37" s="6" t="n">
        <v>-25</v>
      </c>
      <c r="C37" s="6" t="n">
        <v>-27</v>
      </c>
      <c r="D37" s="6" t="n">
        <v>-33</v>
      </c>
      <c r="E37" s="6" t="n">
        <v>-116</v>
      </c>
      <c r="F37" s="6" t="n">
        <v>-194</v>
      </c>
    </row>
    <row r="38">
      <c r="A38" s="6" t="inlineStr">
        <is>
          <t>Payment of Additional Tier 1 Financing profit</t>
        </is>
      </c>
      <c r="B38" s="6" t="n">
        <v>-377</v>
      </c>
      <c r="C38" s="6" t="n">
        <v>-282</v>
      </c>
      <c r="D38" s="6" t="n">
        <v>-281</v>
      </c>
      <c r="E38" s="6" t="n">
        <v>-843</v>
      </c>
      <c r="F38" s="6" t="n"/>
    </row>
    <row r="39">
      <c r="A39" s="6" t="inlineStr">
        <is>
          <t>Payment of subordinated funding / profit on subordinated funding</t>
        </is>
      </c>
      <c r="B39" s="6" t="n">
        <v>-23618</v>
      </c>
      <c r="C39" s="6" t="n">
        <v>-2000</v>
      </c>
      <c r="D39" s="6" t="n">
        <v>-2000</v>
      </c>
      <c r="E39" s="6" t="n"/>
      <c r="F39" s="6" t="n"/>
    </row>
    <row r="40">
      <c r="A40" s="5" t="inlineStr">
        <is>
          <t>Net cash generated from/(used in) financing activities</t>
        </is>
      </c>
      <c r="B40" s="5" t="n">
        <v>70792</v>
      </c>
      <c r="C40" s="5" t="n">
        <v>78142</v>
      </c>
      <c r="D40" s="5" t="n">
        <v>-3574</v>
      </c>
      <c r="E40" s="5" t="n">
        <v>-1978</v>
      </c>
      <c r="F40" s="5" t="n">
        <v>-148456</v>
      </c>
    </row>
    <row r="41">
      <c r="A41" s="5" t="inlineStr">
        <is>
          <t>Net change in cash and cash equivalents</t>
        </is>
      </c>
      <c r="B41" s="5" t="n">
        <v>-251678</v>
      </c>
      <c r="C41" s="5" t="n">
        <v>141567</v>
      </c>
      <c r="D41" s="5" t="n">
        <v>48191</v>
      </c>
      <c r="E41" s="5" t="n">
        <v>105748</v>
      </c>
      <c r="F41" s="5" t="n">
        <v>-138791</v>
      </c>
    </row>
    <row r="42">
      <c r="A42" s="6" t="inlineStr">
        <is>
          <t>Foreign exchange gain/(loss)</t>
        </is>
      </c>
      <c r="B42" s="6" t="n">
        <v>4</v>
      </c>
      <c r="C42" s="6" t="n">
        <v>-274</v>
      </c>
      <c r="D42" s="6" t="n">
        <v>-266</v>
      </c>
      <c r="E42" s="6" t="n">
        <v>-10</v>
      </c>
      <c r="F42" s="6" t="n">
        <v>-354</v>
      </c>
    </row>
    <row r="43">
      <c r="A43" s="6" t="inlineStr">
        <is>
          <t>Opening cash and cash equivalents</t>
        </is>
      </c>
      <c r="B43" s="6" t="n">
        <v>539046</v>
      </c>
      <c r="C43" s="6" t="n">
        <v>397753</v>
      </c>
      <c r="D43" s="6" t="n">
        <v>349828</v>
      </c>
      <c r="E43" s="6" t="n">
        <v>244090</v>
      </c>
      <c r="F43" s="6" t="n">
        <v>383234</v>
      </c>
    </row>
    <row r="44">
      <c r="A44" s="5" t="inlineStr">
        <is>
          <t>Closing cash and cash equivalents</t>
        </is>
      </c>
      <c r="B44" s="5" t="n">
        <v>287372</v>
      </c>
      <c r="C44" s="5" t="n">
        <v>539046</v>
      </c>
      <c r="D44" s="5" t="n">
        <v>397753</v>
      </c>
      <c r="E44" s="5" t="n">
        <v>349828</v>
      </c>
      <c r="F44" s="5" t="n">
        <v>244090</v>
      </c>
    </row>
    <row r="46" ht="280" customHeight="1">
      <c r="A46" s="8" t="inlineStr">
        <is>
          <t>Sources - Al Rayan Bank's own Statement of Cash Flows, £'000s, all years:
FY2025: FY2025 Annual Report and Financial Statements (Companies House filing, made up to 31 Dec 2025, filed 16 Apr 2026), p.41 - https://find-and-update.company-information.service.gov.uk/company/04483430/filing-history/MzUxNTE1ODIyNGFkaXF6a2N4/document?format=pdf&amp;download=0
FY2024: FY2024 Annual Report and Financial Statements, p.42 - https://www.alrayanbank.co.uk/sites/default/files/media/file-uploads/2025-04/04a_-_arb_financial_statements_fy_31-12-2024_-_signed_ey.cleaned.pdf
FY2023: sourced from the FY2024 Annual Report's own FY2023 comparative column, p.42 - https://www.alrayanbank.co.uk/sites/default/files/media/file-uploads/2025-04/04a_-_arb_financial_statements_fy_31-12-2024_-_signed_ey.cleaned.pdf
FY2022: FY2022 Annual Report and Financial Statements (Companies House filing, made up to 31 Dec 2022, filed 23 Jun 2023), p.38 - https://find-and-update.company-information.service.gov.uk/company/04483430/filing-history/MzM4MzEwOTk0N2FkaXF6a2N4/document?format=pdf&amp;download=0
FY2021 (restated): sourced from the FY2022 Annual Report's own FY2021 comparative column, p.38 - https://find-and-update.company-information.service.gov.uk/company/04483430/filing-history/MzM4MzEwOTk0N2FkaXF6a2N4/document?format=pdf&amp;download=0. The FY2022 report's own footnote explains the FY2021 restatement: the Bank of England cash ratio deposit was removed from 'Cash and cash equivalents' and MasterCard balances were added, following updated IFRS Interpretations Committee guidance - the originally-reported FY2021 figures (from a standalone FY2021 Annual Report) were not used, this restated version was, consistent with project convention of using a year's most contemporary/authoritative appearance.
FY2025's Statement of Cash Flows introduces new line-item names not used in earlier years (e.g. 'Structured real estate' replacing 'Commercial property finance', a new 'Securities purchased under reverse repurchase agreements' line, 'Encumbered non-cash balances' replacing 'Treasury placements') - these are shown as separate rows below rather than force-merged into the old line items, consistent with how this project handles other banks' presentation changes; every year's own reported section TOTALs are unaffected and the full chain reconciles exactly across all 5 years except one immaterial £1k FY2021 rounding gap in the source document itself (opening 383,234 + net change -138,791 + FX -354 = 244,089 vs the printed closing balance of 244,090), kept as printed not force-corrected.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1">
    <mergeCell ref="A46:F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CET1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(CET1) capital</t>
        </is>
      </c>
      <c r="B4" s="6" t="n"/>
      <c r="C4" s="6" t="n">
        <v>208.2</v>
      </c>
      <c r="D4" s="6" t="n">
        <v>183.9</v>
      </c>
      <c r="E4" s="6" t="n">
        <v>152.7</v>
      </c>
      <c r="F4" s="6" t="n">
        <v>142.4</v>
      </c>
    </row>
    <row r="6" ht="200" customHeight="1">
      <c r="A6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1">
    <mergeCell ref="A6:F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CET1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n"/>
      <c r="C4" s="6" t="inlineStr">
        <is>
          <t>15.95%</t>
        </is>
      </c>
      <c r="D4" s="6" t="inlineStr">
        <is>
          <t>17.36%</t>
        </is>
      </c>
      <c r="E4" s="6" t="inlineStr">
        <is>
          <t>14.93%</t>
        </is>
      </c>
      <c r="F4" s="6" t="inlineStr">
        <is>
          <t>15.1%</t>
        </is>
      </c>
    </row>
    <row r="6" ht="200" customHeight="1">
      <c r="A6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FY2021 is from the pre-KM1 Executive Summary table (rounded to 1dp in the source); FY2022-FY2024 are from the formal KM1 Annex template (2dp).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1">
    <mergeCell ref="A6:F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Tier 1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capital</t>
        </is>
      </c>
      <c r="B4" s="6" t="n"/>
      <c r="C4" s="6" t="n">
        <v>211.2</v>
      </c>
      <c r="D4" s="6" t="n">
        <v>186.9</v>
      </c>
      <c r="E4" s="6" t="n">
        <v>155.7</v>
      </c>
      <c r="F4" s="6" t="n">
        <v>145.4</v>
      </c>
    </row>
    <row r="6" ht="200" customHeight="1">
      <c r="A6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1">
    <mergeCell ref="A6:F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Tier 1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n"/>
      <c r="C4" s="6" t="inlineStr">
        <is>
          <t>16.15%</t>
        </is>
      </c>
      <c r="D4" s="6" t="inlineStr">
        <is>
          <t>17.65%</t>
        </is>
      </c>
      <c r="E4" s="6" t="inlineStr">
        <is>
          <t>15.23%</t>
        </is>
      </c>
      <c r="F4" s="6" t="inlineStr">
        <is>
          <t>15.4%</t>
        </is>
      </c>
    </row>
    <row r="6" ht="200" customHeight="1">
      <c r="A6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1"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Total Capital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</t>
        </is>
      </c>
      <c r="B4" s="6" t="n"/>
      <c r="C4" s="6" t="n">
        <v>224.9</v>
      </c>
      <c r="D4" s="6" t="n">
        <v>205.5</v>
      </c>
      <c r="E4" s="6" t="n">
        <v>178.4</v>
      </c>
      <c r="F4" s="6" t="n">
        <v>170.4</v>
      </c>
    </row>
    <row r="6" ht="200" customHeight="1">
      <c r="A6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1">
    <mergeCell ref="A6:F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Total Capital Ratio</t>
        </is>
      </c>
    </row>
    <row r="2">
      <c r="A2" s="2" t="inlineStr">
        <is>
          <t>% of RWA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n"/>
      <c r="C4" s="6" t="inlineStr">
        <is>
          <t>17.19%</t>
        </is>
      </c>
      <c r="D4" s="6" t="inlineStr">
        <is>
          <t>19.41%</t>
        </is>
      </c>
      <c r="E4" s="6" t="inlineStr">
        <is>
          <t>17.45%</t>
        </is>
      </c>
      <c r="F4" s="6" t="inlineStr">
        <is>
          <t>18.1%</t>
        </is>
      </c>
    </row>
    <row r="6" ht="200" customHeight="1">
      <c r="A6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1">
    <mergeCell ref="A6:F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Total RWAs</t>
        </is>
      </c>
    </row>
    <row r="2">
      <c r="A2" s="2" t="inlineStr">
        <is>
          <t>£m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risk-weighted assets</t>
        </is>
      </c>
      <c r="B4" s="6" t="n"/>
      <c r="C4" s="6" t="n">
        <v>1307.8</v>
      </c>
      <c r="D4" s="6" t="n">
        <v>1059.1</v>
      </c>
      <c r="E4" s="6" t="n">
        <v>1022.3</v>
      </c>
      <c r="F4" s="6" t="n">
        <v>943.9</v>
      </c>
    </row>
    <row r="6" ht="200" customHeight="1">
      <c r="A6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1">
    <mergeCell ref="A6:F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n"/>
      <c r="C4" s="6" t="inlineStr">
        <is>
          <t>7.7%</t>
        </is>
      </c>
      <c r="D4" s="6" t="inlineStr">
        <is>
          <t>7.8%</t>
        </is>
      </c>
      <c r="E4" s="6" t="inlineStr">
        <is>
          <t>6.7%</t>
        </is>
      </c>
      <c r="F4" s="6" t="inlineStr">
        <is>
          <t>6.4%</t>
        </is>
      </c>
    </row>
    <row r="5" ht="60" customHeight="1">
      <c r="A5" s="7" t="inlineStr">
        <is>
          <t>Note: FY2022-FY2024 are on the 'excluding claims on central banks' KM1 basis; FY2021 (6.4%) is on the older CRR/LRSum basis, from before the PRA's leverage-framework methodology change (PRA PS21/21) - not directly comparable, same industry-wide basis break documented for several other banks in this project.</t>
        </is>
      </c>
    </row>
    <row r="7" ht="200" customHeight="1">
      <c r="A7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 (12-month average, KM1 basis)</t>
        </is>
      </c>
      <c r="B4" s="6" t="n"/>
      <c r="C4" s="6" t="inlineStr">
        <is>
          <t>523%</t>
        </is>
      </c>
      <c r="D4" s="6" t="inlineStr">
        <is>
          <t>641%</t>
        </is>
      </c>
      <c r="E4" s="6" t="inlineStr">
        <is>
          <t>442%</t>
        </is>
      </c>
      <c r="F4" s="6" t="inlineStr">
        <is>
          <t>316%</t>
        </is>
      </c>
    </row>
    <row r="5" ht="60" customHeight="1">
      <c r="A5" s="7" t="inlineStr">
        <is>
          <t>Note: This bank's Pillar 3 documents disclose TWO different LCR figures each year: a spot/point-in-time figure in the Executive Summary (FY2021 635%, FY2022 458%, FY2023 786%, FY2024 746% - none of these used here) and a 12-month AVERAGE figure in the formal KM1/Annex template (used here, for consistency with every other bank in this project and the standard regulatory template). FY2021's average figure comes from a dedicated 'Analysis of the Bank's average liquidity coverage ratio' table rather than a KM1 template (that edition pre-dates the bank's KM1 adoption).</t>
        </is>
      </c>
    </row>
    <row r="7" ht="200" customHeight="1">
      <c r="A7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5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NSFR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Net Stable Funding Ratio</t>
        </is>
      </c>
      <c r="B4" s="6" t="n"/>
      <c r="C4" s="6" t="inlineStr">
        <is>
          <t>161%</t>
        </is>
      </c>
      <c r="D4" s="6" t="inlineStr">
        <is>
          <t>157%</t>
        </is>
      </c>
      <c r="E4" s="6" t="inlineStr">
        <is>
          <t>155%</t>
        </is>
      </c>
      <c r="F4" s="6" t="inlineStr">
        <is>
          <t>146%</t>
        </is>
      </c>
    </row>
    <row r="6" ht="200" customHeight="1">
      <c r="A6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1">
    <mergeCell ref="A6:F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Alrayan Bank Limited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MREL is not mentioned anywhere in the FY2023 or FY2024 Pillar 3 Disclosures (searched directly, no hits) - consistent with a bank of this size not being its own resolution entity under the Bank of England's MREL framework.</t>
        </is>
      </c>
    </row>
    <row r="7" ht="150" customHeight="1">
      <c r="A7" s="8" t="inlineStr">
        <is>
          <t>Sources - Alrayan Bank Limited's own Pillar 3 Disclosures, £m capital amounts / % ratios, all years:
FY2024: Pillar 3 Disclosures - 31 December 2024, Annex I KM1 table, p.38 - https://www.alrayanbank.co.uk/sites/default/files/media/file-uploads/2025-09/alrayan_pillar_3_disclosures_2024_web_-_010925.pdf
FY2023: Pillar 3 Disclosures - 31 December 2023, Annex I KM1 table, p.33 - https://www.alrayanbank.co.uk/sites/default/files/media/file-uploads/2024-08/pb7703_al_rayan_pillar_3_disclosures_2023_v2.pdf
FY2022: sourced from the FY2023 Pillar 3 Disclosures' own FY2022 comparative column, Annex I KM1 table, p.33 - https://www.alrayanbank.co.uk/sites/default/files/media/file-uploads/2024-08/pb7703_al_rayan_pillar_3_disclosures_2023_v2.pdf
FY2021: Pillar 3 Disclosures - 31 December 2021, Table 1/2/3 (this edition pre-dates the bank's adoption of the standardised KM1 Annex template, so FY2021 figures come from the Executive Summary tables instead), p.5 - https://www.alrayanbank.co.uk/sites/default/files/media/file-uploads/2022-10/inv-rep-2021-pillar-3.pdf
FY2025: no Pillar 3 Disclosures document has been published yet as of this build (FY2025 accounts were only filed 16 Apr 2026; this bank's Pillar 3 editions have historically lagged the Annual Report by roughly 9 months) - left blank rather than guessed.
This bank's own Pillar 3 documents show small internal discrepancies between their Executive Summary narrative tables and their formal KM1 Annex tables in a couple of instances (e.g. FY2023 NSFR: 160% exec summary vs 157% KM1 annex; FY2022 Leverage Ratio: 6.8% exec summary vs 6.7% KM1 annex) - this workbook uses the KM1 Annex figures throughout for consistency with the standard regulatory template and with every other bank in this project.
ENTITY NOTE: Alrayan Bank Limited (FRN 229148, Companies House 04483430, matches Banks List 2608.xlsx exactly) is a UK Sharia-compliant bank, wholly owned by AlRayan Bank (Q.P.S.C.) of Qatar. Its own Annual Report/Pillar 3 documents style it 'Al Rayan Bank PLC' but Companies House confirms its current registered name is 'ALRAYAN BANK LIMITED' - same company number throughout, not an entity change, just inconsistent branding between the statutory filing and the bank's own PDFs.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2026-08-27T08:21:33Z</dcterms:created>
  <dcterms:modified xsi:type="dcterms:W3CDTF">2026-08-27T08:21:33Z</dcterms:modified>
</cp:coreProperties>
</file>