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4361EE"/>
        <bgColor rgb="004361E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Alrayan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'Overview'!J6</f>
            </strRef>
          </tx>
          <spPr>
            <a:ln xmlns:a="http://schemas.openxmlformats.org/drawingml/2006/main">
              <a:prstDash val="solid"/>
            </a:ln>
          </spPr>
          <cat>
            <numRef>
              <f>'Overview'!$K$5:$P$5</f>
            </numRef>
          </cat>
          <val>
            <numRef>
              <f>'Overview'!$K$6:$P$6</f>
            </numRef>
          </val>
        </ser>
        <ser>
          <idx val="1"/>
          <order val="1"/>
          <tx>
            <strRef>
              <f>'Overview'!J7</f>
            </strRef>
          </tx>
          <spPr>
            <a:ln xmlns:a="http://schemas.openxmlformats.org/drawingml/2006/main">
              <a:prstDash val="solid"/>
            </a:ln>
          </spPr>
          <cat>
            <numRef>
              <f>'Overview'!$K$5:$P$5</f>
            </numRef>
          </cat>
          <val>
            <numRef>
              <f>'Overview'!$K$7:$P$7</f>
            </numRef>
          </val>
        </ser>
        <ser>
          <idx val="2"/>
          <order val="2"/>
          <tx>
            <strRef>
              <f>'Overview'!J8</f>
            </strRef>
          </tx>
          <spPr>
            <a:ln xmlns:a="http://schemas.openxmlformats.org/drawingml/2006/main">
              <a:prstDash val="solid"/>
            </a:ln>
          </spPr>
          <cat>
            <numRef>
              <f>'Overview'!$K$5:$P$5</f>
            </numRef>
          </cat>
          <val>
            <numRef>
              <f>'Overview'!$K$8:$P$8</f>
            </numRef>
          </val>
        </ser>
        <ser>
          <idx val="3"/>
          <order val="3"/>
          <tx>
            <strRef>
              <f>'Overview'!J9</f>
            </strRef>
          </tx>
          <spPr>
            <a:ln xmlns:a="http://schemas.openxmlformats.org/drawingml/2006/main">
              <a:prstDash val="solid"/>
            </a:ln>
          </spPr>
          <cat>
            <numRef>
              <f>'Overview'!$K$5:$P$5</f>
            </numRef>
          </cat>
          <val>
            <numRef>
              <f>'Overview'!$K$9:$P$9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Alrayan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'Overview'!S13</f>
            </strRef>
          </tx>
          <spPr>
            <a:ln xmlns:a="http://schemas.openxmlformats.org/drawingml/2006/main">
              <a:prstDash val="solid"/>
            </a:ln>
          </spPr>
          <cat>
            <numRef>
              <f>'Overview'!$T$12:$Y$12</f>
            </numRef>
          </cat>
          <val>
            <numRef>
              <f>'Overview'!$T$13:$Y$13</f>
            </numRef>
          </val>
        </ser>
        <ser>
          <idx val="1"/>
          <order val="1"/>
          <tx>
            <strRef>
              <f>'Overview'!S14</f>
            </strRef>
          </tx>
          <spPr>
            <a:ln xmlns:a="http://schemas.openxmlformats.org/drawingml/2006/main">
              <a:prstDash val="solid"/>
            </a:ln>
          </spPr>
          <cat>
            <numRef>
              <f>'Overview'!$T$12:$Y$12</f>
            </numRef>
          </cat>
          <val>
            <numRef>
              <f>'Overview'!$T$14:$Y$14</f>
            </numRef>
          </val>
        </ser>
        <ser>
          <idx val="2"/>
          <order val="2"/>
          <tx>
            <strRef>
              <f>'Overview'!S15</f>
            </strRef>
          </tx>
          <spPr>
            <a:ln xmlns:a="http://schemas.openxmlformats.org/drawingml/2006/main">
              <a:prstDash val="solid"/>
            </a:ln>
          </spPr>
          <cat>
            <numRef>
              <f>'Overview'!$T$12:$Y$12</f>
            </numRef>
          </cat>
          <val>
            <numRef>
              <f>'Overview'!$T$15:$Y$15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Alrayan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'Overview'!AB19</f>
            </strRef>
          </tx>
          <spPr>
            <a:ln xmlns:a="http://schemas.openxmlformats.org/drawingml/2006/main">
              <a:prstDash val="solid"/>
            </a:ln>
          </spPr>
          <cat>
            <numRef>
              <f>'Overview'!$AC$18:$AH$18</f>
            </numRef>
          </cat>
          <val>
            <numRef>
              <f>'Overview'!$AC$19:$AH$19</f>
            </numRef>
          </val>
        </ser>
        <ser>
          <idx val="1"/>
          <order val="1"/>
          <tx>
            <strRef>
              <f>'Overview'!AB20</f>
            </strRef>
          </tx>
          <spPr>
            <a:ln xmlns:a="http://schemas.openxmlformats.org/drawingml/2006/main">
              <a:prstDash val="solid"/>
            </a:ln>
          </spPr>
          <cat>
            <numRef>
              <f>'Overview'!$AC$18:$AH$18</f>
            </numRef>
          </cat>
          <val>
            <numRef>
              <f>'Overview'!$AC$20:$AH$20</f>
            </numRef>
          </val>
        </ser>
        <ser>
          <idx val="2"/>
          <order val="2"/>
          <tx>
            <strRef>
              <f>'Overview'!AB21</f>
            </strRef>
          </tx>
          <spPr>
            <a:ln xmlns:a="http://schemas.openxmlformats.org/drawingml/2006/main">
              <a:prstDash val="solid"/>
            </a:ln>
          </spPr>
          <cat>
            <numRef>
              <f>'Overview'!$AC$18:$AH$18</f>
            </numRef>
          </cat>
          <val>
            <numRef>
              <f>'Overview'!$AC$21:$AH$21</f>
            </numRef>
          </val>
        </ser>
        <ser>
          <idx val="3"/>
          <order val="3"/>
          <tx>
            <strRef>
              <f>'Overview'!AB22</f>
            </strRef>
          </tx>
          <spPr>
            <a:ln xmlns:a="http://schemas.openxmlformats.org/drawingml/2006/main">
              <a:prstDash val="solid"/>
            </a:ln>
          </spPr>
          <cat>
            <numRef>
              <f>'Overview'!$AC$18:$AH$18</f>
            </numRef>
          </cat>
          <val>
            <numRef>
              <f>'Overview'!$AC$22:$AH$22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Alrayan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'Overview'!AK26</f>
            </strRef>
          </tx>
          <spPr>
            <a:ln xmlns:a="http://schemas.openxmlformats.org/drawingml/2006/main">
              <a:prstDash val="solid"/>
            </a:ln>
          </spPr>
          <cat>
            <numRef>
              <f>'Overview'!$AL$25:$AQ$25</f>
            </numRef>
          </cat>
          <val>
            <numRef>
              <f>'Overview'!$AL$26:$AQ$26</f>
            </numRef>
          </val>
        </ser>
        <ser>
          <idx val="1"/>
          <order val="1"/>
          <tx>
            <strRef>
              <f>'Overview'!AK27</f>
            </strRef>
          </tx>
          <spPr>
            <a:ln xmlns:a="http://schemas.openxmlformats.org/drawingml/2006/main">
              <a:prstDash val="solid"/>
            </a:ln>
          </spPr>
          <cat>
            <numRef>
              <f>'Overview'!$AL$25:$AQ$25</f>
            </numRef>
          </cat>
          <val>
            <numRef>
              <f>'Overview'!$AL$27:$AQ$27</f>
            </numRef>
          </val>
        </ser>
        <ser>
          <idx val="2"/>
          <order val="2"/>
          <tx>
            <strRef>
              <f>'Overview'!AK28</f>
            </strRef>
          </tx>
          <spPr>
            <a:ln xmlns:a="http://schemas.openxmlformats.org/drawingml/2006/main">
              <a:prstDash val="solid"/>
            </a:ln>
          </spPr>
          <cat>
            <numRef>
              <f>'Overview'!$AL$25:$AQ$25</f>
            </numRef>
          </cat>
          <val>
            <numRef>
              <f>'Overview'!$AL$28:$AQ$28</f>
            </numRef>
          </val>
        </ser>
        <ser>
          <idx val="3"/>
          <order val="3"/>
          <tx>
            <strRef>
              <f>'Overview'!AK29</f>
            </strRef>
          </tx>
          <spPr>
            <a:ln xmlns:a="http://schemas.openxmlformats.org/drawingml/2006/main">
              <a:prstDash val="solid"/>
            </a:ln>
          </spPr>
          <cat>
            <numRef>
              <f>'Overview'!$AL$25:$AQ$25</f>
            </numRef>
          </cat>
          <val>
            <numRef>
              <f>'Overview'!$AL$29:$AQ$29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£'000s</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Alrayan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'Overview'!AT6</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'Overview'!$AU$6:$AZ$6</f>
            </numRef>
          </val>
          <smooth val="0"/>
        </ser>
        <ser>
          <idx val="1"/>
          <order val="1"/>
          <tx>
            <strRef>
              <f>'Overview'!AT7</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'Overview'!$AU$7:$AZ$7</f>
            </numRef>
          </val>
          <smooth val="0"/>
        </ser>
        <ser>
          <idx val="2"/>
          <order val="2"/>
          <tx>
            <strRef>
              <f>'Overview'!AT8</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'Overview'!$AU$8:$AZ$8</f>
            </numRef>
          </val>
          <smooth val="0"/>
        </ser>
        <ser>
          <idx val="3"/>
          <order val="3"/>
          <tx>
            <strRef>
              <f>'Overview'!AT9</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'Overview'!$AU$9:$AZ$9</f>
            </numRef>
          </val>
          <smooth val="0"/>
        </ser>
        <ser>
          <idx val="4"/>
          <order val="4"/>
          <tx>
            <strRef>
              <f>'Overview'!AT10</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'Overview'!$AU$10:$AZ$10</f>
            </numRef>
          </val>
          <smooth val="0"/>
        </ser>
        <ser>
          <idx val="5"/>
          <order val="5"/>
          <tx>
            <strRef>
              <f>'Overview'!AT11</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'Overview'!$AU$11:$AZ$11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Z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s>
  <sheetData>
    <row r="1">
      <c r="A1" s="1" t="inlineStr">
        <is>
          <t>Alrayan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K5" t="inlineStr">
        <is>
          <t>FY2020</t>
        </is>
      </c>
      <c r="L5" t="inlineStr">
        <is>
          <t>FY2021</t>
        </is>
      </c>
      <c r="M5" t="inlineStr">
        <is>
          <t>FY2022</t>
        </is>
      </c>
      <c r="N5" t="inlineStr">
        <is>
          <t>FY2023</t>
        </is>
      </c>
      <c r="O5" t="inlineStr">
        <is>
          <t>FY2024</t>
        </is>
      </c>
      <c r="P5" t="inlineStr">
        <is>
          <t>FY2025</t>
        </is>
      </c>
      <c r="AU5" t="inlineStr">
        <is>
          <t>FY2020</t>
        </is>
      </c>
      <c r="AV5" t="inlineStr">
        <is>
          <t>FY2021</t>
        </is>
      </c>
      <c r="AW5" t="inlineStr">
        <is>
          <t>FY2022</t>
        </is>
      </c>
      <c r="AX5" t="inlineStr">
        <is>
          <t>FY2023</t>
        </is>
      </c>
      <c r="AY5" t="inlineStr">
        <is>
          <t>FY2024</t>
        </is>
      </c>
      <c r="AZ5" t="inlineStr">
        <is>
          <t>FY2025</t>
        </is>
      </c>
    </row>
    <row r="6">
      <c r="A6" s="5" t="inlineStr">
        <is>
          <t>Total assets</t>
        </is>
      </c>
      <c r="B6" s="5" t="n">
        <v>3125432</v>
      </c>
      <c r="C6" s="5" t="n">
        <v>2835724</v>
      </c>
      <c r="D6" s="5" t="n">
        <v>2493218</v>
      </c>
      <c r="E6" s="5" t="n">
        <v>2400294</v>
      </c>
      <c r="F6" s="5" t="n">
        <v>2258891</v>
      </c>
      <c r="G6" s="5" t="n">
        <v>2339821</v>
      </c>
      <c r="J6" t="inlineStr">
        <is>
          <t>Total assets</t>
        </is>
      </c>
      <c r="K6" t="n">
        <v>2339821</v>
      </c>
      <c r="L6" t="n">
        <v>2258891</v>
      </c>
      <c r="M6" t="n">
        <v>2400294</v>
      </c>
      <c r="N6" t="n">
        <v>2493218</v>
      </c>
      <c r="O6" t="n">
        <v>2835724</v>
      </c>
      <c r="P6" t="n">
        <v>3125432</v>
      </c>
      <c r="AT6" t="inlineStr">
        <is>
          <t>CET1 Ratio</t>
        </is>
      </c>
      <c r="AU6" t="n">
        <v>13.4</v>
      </c>
      <c r="AV6" t="n">
        <v>15.1</v>
      </c>
      <c r="AW6" t="n">
        <v>14.93</v>
      </c>
      <c r="AX6" t="n">
        <v>17.36</v>
      </c>
      <c r="AY6" t="n">
        <v>15.95</v>
      </c>
      <c r="AZ6" t="n">
        <v>15.45</v>
      </c>
    </row>
    <row r="7">
      <c r="A7" s="5" t="inlineStr">
        <is>
          <t>Loans and advances to customers (HPP + SRE/CPF)</t>
        </is>
      </c>
      <c r="B7" s="5" t="n">
        <v>2476074</v>
      </c>
      <c r="C7" s="5" t="n">
        <v>2106984</v>
      </c>
      <c r="D7" s="5" t="n">
        <v>1892807</v>
      </c>
      <c r="E7" s="5" t="n">
        <v>1889098</v>
      </c>
      <c r="F7" s="5" t="n">
        <v>1861637</v>
      </c>
      <c r="G7" s="5" t="n">
        <v>1750994</v>
      </c>
      <c r="J7" t="inlineStr">
        <is>
          <t>Loans and advances to customers (HPP + SRE/CPF)</t>
        </is>
      </c>
      <c r="K7" t="n">
        <v>1750994</v>
      </c>
      <c r="L7" t="n">
        <v>1861637</v>
      </c>
      <c r="M7" t="n">
        <v>1889098</v>
      </c>
      <c r="N7" t="n">
        <v>1892807</v>
      </c>
      <c r="O7" t="n">
        <v>2106984</v>
      </c>
      <c r="P7" t="n">
        <v>2476074</v>
      </c>
      <c r="AT7" t="inlineStr">
        <is>
          <t>Tier 1 Ratio</t>
        </is>
      </c>
      <c r="AU7" t="n">
        <v>13.7</v>
      </c>
      <c r="AV7" t="n">
        <v>15.4</v>
      </c>
      <c r="AW7" t="n">
        <v>15.23</v>
      </c>
      <c r="AX7" t="n">
        <v>17.65</v>
      </c>
      <c r="AY7" t="n">
        <v>16.15</v>
      </c>
      <c r="AZ7" t="n">
        <v>15.65</v>
      </c>
    </row>
    <row r="8">
      <c r="A8" s="5" t="inlineStr">
        <is>
          <t>Customer deposits</t>
        </is>
      </c>
      <c r="B8" s="5" t="n">
        <v>2477658</v>
      </c>
      <c r="C8" s="5" t="n">
        <v>2412883</v>
      </c>
      <c r="D8" s="5" t="n">
        <v>2149200</v>
      </c>
      <c r="E8" s="5" t="n">
        <v>2044149</v>
      </c>
      <c r="F8" s="5" t="n">
        <v>1959663</v>
      </c>
      <c r="G8" s="5" t="n">
        <v>1965001</v>
      </c>
      <c r="J8" t="inlineStr">
        <is>
          <t>Customer deposits</t>
        </is>
      </c>
      <c r="K8" t="n">
        <v>1965001</v>
      </c>
      <c r="L8" t="n">
        <v>1959663</v>
      </c>
      <c r="M8" t="n">
        <v>2044149</v>
      </c>
      <c r="N8" t="n">
        <v>2149200</v>
      </c>
      <c r="O8" t="n">
        <v>2412883</v>
      </c>
      <c r="P8" t="n">
        <v>2477658</v>
      </c>
      <c r="AT8" t="inlineStr">
        <is>
          <t>Total Capital Ratio</t>
        </is>
      </c>
      <c r="AU8" t="n">
        <v>16.2</v>
      </c>
      <c r="AV8" t="n">
        <v>18.1</v>
      </c>
      <c r="AW8" t="n">
        <v>17.45</v>
      </c>
      <c r="AX8" t="n">
        <v>19.41</v>
      </c>
      <c r="AY8" t="n">
        <v>17.19</v>
      </c>
      <c r="AZ8" t="n">
        <v>15.82</v>
      </c>
    </row>
    <row r="9">
      <c r="A9" s="5" t="inlineStr">
        <is>
          <t>Total equity</t>
        </is>
      </c>
      <c r="B9" s="5" t="n">
        <v>234003</v>
      </c>
      <c r="C9" s="5" t="n">
        <v>216474</v>
      </c>
      <c r="D9" s="5" t="n">
        <v>195138</v>
      </c>
      <c r="E9" s="5" t="n">
        <v>167315</v>
      </c>
      <c r="F9" s="5" t="n">
        <v>157311</v>
      </c>
      <c r="G9" s="5" t="n">
        <v>150056</v>
      </c>
      <c r="J9" t="inlineStr">
        <is>
          <t>Total equity</t>
        </is>
      </c>
      <c r="K9" t="n">
        <v>150056</v>
      </c>
      <c r="L9" t="n">
        <v>157311</v>
      </c>
      <c r="M9" t="n">
        <v>167315</v>
      </c>
      <c r="N9" t="n">
        <v>195138</v>
      </c>
      <c r="O9" t="n">
        <v>216474</v>
      </c>
      <c r="P9" t="n">
        <v>234003</v>
      </c>
      <c r="AT9" t="inlineStr">
        <is>
          <t>Leverage Ratio</t>
        </is>
      </c>
      <c r="AU9" t="n">
        <v>5.9</v>
      </c>
      <c r="AV9" t="n">
        <v>6.4</v>
      </c>
      <c r="AW9" t="n">
        <v>6.7</v>
      </c>
      <c r="AX9" t="n">
        <v>7.8</v>
      </c>
      <c r="AY9" t="n">
        <v>7.7</v>
      </c>
      <c r="AZ9" t="n">
        <v>7.6</v>
      </c>
    </row>
    <row r="10">
      <c r="AT10" t="inlineStr">
        <is>
          <t>LCR</t>
        </is>
      </c>
      <c r="AU10" t="n">
        <v>352</v>
      </c>
      <c r="AV10" t="n">
        <v>316</v>
      </c>
      <c r="AW10" t="n">
        <v>442</v>
      </c>
      <c r="AX10" t="n">
        <v>641</v>
      </c>
      <c r="AY10" t="n">
        <v>523</v>
      </c>
      <c r="AZ10" t="n">
        <v>481</v>
      </c>
    </row>
    <row r="11">
      <c r="A11" s="3" t="inlineStr">
        <is>
          <t>Profit &amp; Loss Summary (£'000)</t>
        </is>
      </c>
      <c r="AT11" t="inlineStr">
        <is>
          <t>NSFR</t>
        </is>
      </c>
      <c r="AU11" t="n">
        <v>145</v>
      </c>
      <c r="AV11" t="n">
        <v>146</v>
      </c>
      <c r="AW11" t="n">
        <v>155</v>
      </c>
      <c r="AX11" t="n">
        <v>157</v>
      </c>
      <c r="AY11" t="n">
        <v>161</v>
      </c>
      <c r="AZ11" t="n">
        <v>151</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T12" t="inlineStr">
        <is>
          <t>FY2020</t>
        </is>
      </c>
      <c r="U12" t="inlineStr">
        <is>
          <t>FY2021</t>
        </is>
      </c>
      <c r="V12" t="inlineStr">
        <is>
          <t>FY2022</t>
        </is>
      </c>
      <c r="W12" t="inlineStr">
        <is>
          <t>FY2023</t>
        </is>
      </c>
      <c r="X12" t="inlineStr">
        <is>
          <t>FY2024</t>
        </is>
      </c>
      <c r="Y12" t="inlineStr">
        <is>
          <t>FY2025</t>
        </is>
      </c>
    </row>
    <row r="13">
      <c r="A13" s="5" t="inlineStr">
        <is>
          <t>Total income</t>
        </is>
      </c>
      <c r="B13" s="5" t="n">
        <v>64204</v>
      </c>
      <c r="C13" s="5" t="n">
        <v>63431</v>
      </c>
      <c r="D13" s="5" t="n">
        <v>68397</v>
      </c>
      <c r="E13" s="5" t="n">
        <v>55807</v>
      </c>
      <c r="F13" s="5" t="n">
        <v>44396</v>
      </c>
      <c r="G13" s="5" t="n">
        <v>39109</v>
      </c>
      <c r="S13" t="inlineStr">
        <is>
          <t>Total income</t>
        </is>
      </c>
      <c r="T13" t="n">
        <v>39109</v>
      </c>
      <c r="U13" t="n">
        <v>44396</v>
      </c>
      <c r="V13" t="n">
        <v>55807</v>
      </c>
      <c r="W13" t="n">
        <v>68397</v>
      </c>
      <c r="X13" t="n">
        <v>63431</v>
      </c>
      <c r="Y13" t="n">
        <v>64204</v>
      </c>
    </row>
    <row r="14">
      <c r="A14" s="5" t="inlineStr">
        <is>
          <t>Total operating expense</t>
        </is>
      </c>
      <c r="B14" s="5" t="n">
        <v>-40617</v>
      </c>
      <c r="C14" s="5" t="n">
        <v>-39962</v>
      </c>
      <c r="D14" s="5" t="n">
        <v>-37789</v>
      </c>
      <c r="E14" s="5" t="n">
        <v>-35010</v>
      </c>
      <c r="F14" s="5" t="n">
        <v>-34769</v>
      </c>
      <c r="G14" s="5" t="n">
        <v>-34911</v>
      </c>
      <c r="S14" t="inlineStr">
        <is>
          <t>Total operating expense</t>
        </is>
      </c>
      <c r="T14" t="n">
        <v>-34911</v>
      </c>
      <c r="U14" t="n">
        <v>-34769</v>
      </c>
      <c r="V14" t="n">
        <v>-35010</v>
      </c>
      <c r="W14" t="n">
        <v>-37789</v>
      </c>
      <c r="X14" t="n">
        <v>-39962</v>
      </c>
      <c r="Y14" t="n">
        <v>-40617</v>
      </c>
    </row>
    <row r="15">
      <c r="A15" s="5" t="inlineStr">
        <is>
          <t>Profit for the financial year</t>
        </is>
      </c>
      <c r="B15" s="5" t="n">
        <v>17681</v>
      </c>
      <c r="C15" s="5" t="n">
        <v>17717</v>
      </c>
      <c r="D15" s="5" t="n">
        <v>23028</v>
      </c>
      <c r="E15" s="5" t="n">
        <v>16500</v>
      </c>
      <c r="F15" s="5" t="n">
        <v>9003</v>
      </c>
      <c r="G15" s="5" t="n">
        <v>3838</v>
      </c>
      <c r="S15" t="inlineStr">
        <is>
          <t>Profit for the financial year</t>
        </is>
      </c>
      <c r="T15" t="n">
        <v>3838</v>
      </c>
      <c r="U15" t="n">
        <v>9003</v>
      </c>
      <c r="V15" t="n">
        <v>16500</v>
      </c>
      <c r="W15" t="n">
        <v>23028</v>
      </c>
      <c r="X15" t="n">
        <v>17717</v>
      </c>
      <c r="Y15" t="n">
        <v>17681</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AC18" t="inlineStr">
        <is>
          <t>FY2020</t>
        </is>
      </c>
      <c r="AD18" t="inlineStr">
        <is>
          <t>FY2021</t>
        </is>
      </c>
      <c r="AE18" t="inlineStr">
        <is>
          <t>FY2022</t>
        </is>
      </c>
      <c r="AF18" t="inlineStr">
        <is>
          <t>FY2023</t>
        </is>
      </c>
      <c r="AG18" t="inlineStr">
        <is>
          <t>FY2024</t>
        </is>
      </c>
      <c r="AH18" t="inlineStr">
        <is>
          <t>FY2025</t>
        </is>
      </c>
    </row>
    <row r="19">
      <c r="A19" s="5" t="inlineStr">
        <is>
          <t>Opening equity</t>
        </is>
      </c>
      <c r="B19" s="5" t="n">
        <v>216474</v>
      </c>
      <c r="C19" s="5" t="n">
        <v>195138</v>
      </c>
      <c r="D19" s="5" t="n">
        <v>167315</v>
      </c>
      <c r="E19" s="5" t="n">
        <v>157311</v>
      </c>
      <c r="F19" s="5" t="n">
        <v>150056</v>
      </c>
      <c r="G19" s="5" t="n">
        <v>145821</v>
      </c>
      <c r="AB19" t="inlineStr">
        <is>
          <t>Opening equity</t>
        </is>
      </c>
      <c r="AC19" t="n">
        <v>145821</v>
      </c>
      <c r="AD19" t="n">
        <v>150056</v>
      </c>
      <c r="AE19" t="n">
        <v>157311</v>
      </c>
      <c r="AF19" t="n">
        <v>167315</v>
      </c>
      <c r="AG19" t="n">
        <v>195138</v>
      </c>
      <c r="AH19" t="n">
        <v>216474</v>
      </c>
    </row>
    <row r="20">
      <c r="A20" s="5" t="inlineStr">
        <is>
          <t>Total comprehensive income for the year</t>
        </is>
      </c>
      <c r="B20" s="5" t="n">
        <v>17906</v>
      </c>
      <c r="C20" s="5" t="n">
        <v>21618</v>
      </c>
      <c r="D20" s="5" t="n">
        <v>28104</v>
      </c>
      <c r="E20" s="5" t="n">
        <v>10847</v>
      </c>
      <c r="F20" s="5" t="n">
        <v>7255</v>
      </c>
      <c r="G20" s="5" t="n">
        <v>4235</v>
      </c>
      <c r="AB20" t="inlineStr">
        <is>
          <t>Total comprehensive income for the year</t>
        </is>
      </c>
      <c r="AC20" t="n">
        <v>4235</v>
      </c>
      <c r="AD20" t="n">
        <v>7255</v>
      </c>
      <c r="AE20" t="n">
        <v>10847</v>
      </c>
      <c r="AF20" t="n">
        <v>28104</v>
      </c>
      <c r="AG20" t="n">
        <v>21618</v>
      </c>
      <c r="AH20" t="n">
        <v>17906</v>
      </c>
    </row>
    <row r="21">
      <c r="A21" s="5" t="inlineStr">
        <is>
          <t>Other equity movements, net</t>
        </is>
      </c>
      <c r="B21" s="5" t="n">
        <v>-377</v>
      </c>
      <c r="C21" s="5" t="n">
        <v>-282</v>
      </c>
      <c r="D21" s="5" t="n">
        <v>-281</v>
      </c>
      <c r="E21" s="5" t="n">
        <v>-843</v>
      </c>
      <c r="F21" s="5" t="n">
        <v>0</v>
      </c>
      <c r="G21" s="5" t="n">
        <v>0</v>
      </c>
      <c r="AB21" t="inlineStr">
        <is>
          <t>Other equity movements, net</t>
        </is>
      </c>
      <c r="AC21" t="n">
        <v>0</v>
      </c>
      <c r="AD21" t="n">
        <v>0</v>
      </c>
      <c r="AE21" t="n">
        <v>-843</v>
      </c>
      <c r="AF21" t="n">
        <v>-281</v>
      </c>
      <c r="AG21" t="n">
        <v>-282</v>
      </c>
      <c r="AH21" t="n">
        <v>-377</v>
      </c>
    </row>
    <row r="22">
      <c r="A22" s="5" t="inlineStr">
        <is>
          <t>Closing equity</t>
        </is>
      </c>
      <c r="B22" s="5" t="n">
        <v>234003</v>
      </c>
      <c r="C22" s="5" t="n">
        <v>216474</v>
      </c>
      <c r="D22" s="5" t="n">
        <v>195138</v>
      </c>
      <c r="E22" s="5" t="n">
        <v>167315</v>
      </c>
      <c r="F22" s="5" t="n">
        <v>157311</v>
      </c>
      <c r="G22" s="5" t="n">
        <v>150056</v>
      </c>
      <c r="AB22" t="inlineStr">
        <is>
          <t>Closing equity</t>
        </is>
      </c>
      <c r="AC22" t="n">
        <v>150056</v>
      </c>
      <c r="AD22" t="n">
        <v>157311</v>
      </c>
      <c r="AE22" t="n">
        <v>167315</v>
      </c>
      <c r="AF22" t="n">
        <v>195138</v>
      </c>
      <c r="AG22" t="n">
        <v>216474</v>
      </c>
      <c r="AH22" t="n">
        <v>234003</v>
      </c>
    </row>
    <row r="24">
      <c r="A24" s="3" t="inlineStr">
        <is>
          <t>Cash Flow Summary (£'000s)</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AL25" t="inlineStr">
        <is>
          <t>FY2020</t>
        </is>
      </c>
      <c r="AM25" t="inlineStr">
        <is>
          <t>FY2021</t>
        </is>
      </c>
      <c r="AN25" t="inlineStr">
        <is>
          <t>FY2022</t>
        </is>
      </c>
      <c r="AO25" t="inlineStr">
        <is>
          <t>FY2023</t>
        </is>
      </c>
      <c r="AP25" t="inlineStr">
        <is>
          <t>FY2024</t>
        </is>
      </c>
      <c r="AQ25" t="inlineStr">
        <is>
          <t>FY2025</t>
        </is>
      </c>
    </row>
    <row r="26">
      <c r="A26" s="5" t="inlineStr">
        <is>
          <t>Net cash from/(used in) operating activities</t>
        </is>
      </c>
      <c r="B26" s="5" t="n">
        <v>-224043</v>
      </c>
      <c r="C26" s="5" t="n">
        <v>57743</v>
      </c>
      <c r="D26" s="5" t="n">
        <v>91802</v>
      </c>
      <c r="E26" s="5" t="n">
        <v>130869</v>
      </c>
      <c r="F26" s="5" t="n">
        <v>-35992</v>
      </c>
      <c r="G26" s="5" t="n">
        <v>24526</v>
      </c>
      <c r="AK26" t="inlineStr">
        <is>
          <t>Net cash from/(used in) operating activities</t>
        </is>
      </c>
      <c r="AL26" t="n">
        <v>24526</v>
      </c>
      <c r="AM26" t="n">
        <v>-35992</v>
      </c>
      <c r="AN26" t="n">
        <v>130869</v>
      </c>
      <c r="AO26" t="n">
        <v>91802</v>
      </c>
      <c r="AP26" t="n">
        <v>57743</v>
      </c>
      <c r="AQ26" t="n">
        <v>-224043</v>
      </c>
    </row>
    <row r="27">
      <c r="A27" s="5" t="inlineStr">
        <is>
          <t>Net cash from/(used in) investing activities</t>
        </is>
      </c>
      <c r="B27" s="5" t="n">
        <v>-98427</v>
      </c>
      <c r="C27" s="5" t="n">
        <v>5682</v>
      </c>
      <c r="D27" s="5" t="n">
        <v>-40037</v>
      </c>
      <c r="E27" s="5" t="n">
        <v>-23143</v>
      </c>
      <c r="F27" s="5" t="n">
        <v>45657</v>
      </c>
      <c r="G27" s="5" t="n">
        <v>57440</v>
      </c>
      <c r="AK27" t="inlineStr">
        <is>
          <t>Net cash from/(used in) investing activities</t>
        </is>
      </c>
      <c r="AL27" t="n">
        <v>57440</v>
      </c>
      <c r="AM27" t="n">
        <v>45657</v>
      </c>
      <c r="AN27" t="n">
        <v>-23143</v>
      </c>
      <c r="AO27" t="n">
        <v>-40037</v>
      </c>
      <c r="AP27" t="n">
        <v>5682</v>
      </c>
      <c r="AQ27" t="n">
        <v>-98427</v>
      </c>
    </row>
    <row r="28">
      <c r="A28" s="5" t="inlineStr">
        <is>
          <t>Net cash from/(used in) financing activities</t>
        </is>
      </c>
      <c r="B28" s="5" t="n">
        <v>70792</v>
      </c>
      <c r="C28" s="5" t="n">
        <v>78142</v>
      </c>
      <c r="D28" s="5" t="n">
        <v>-3574</v>
      </c>
      <c r="E28" s="5" t="n">
        <v>-1978</v>
      </c>
      <c r="F28" s="5" t="n">
        <v>-148456</v>
      </c>
      <c r="G28" s="5" t="n">
        <v>-35489</v>
      </c>
      <c r="AK28" t="inlineStr">
        <is>
          <t>Net cash from/(used in) financing activities</t>
        </is>
      </c>
      <c r="AL28" t="n">
        <v>-35489</v>
      </c>
      <c r="AM28" t="n">
        <v>-148456</v>
      </c>
      <c r="AN28" t="n">
        <v>-1978</v>
      </c>
      <c r="AO28" t="n">
        <v>-3574</v>
      </c>
      <c r="AP28" t="n">
        <v>78142</v>
      </c>
      <c r="AQ28" t="n">
        <v>70792</v>
      </c>
    </row>
    <row r="29">
      <c r="A29" s="5" t="inlineStr">
        <is>
          <t>Closing cash and cash equivalents</t>
        </is>
      </c>
      <c r="B29" s="5" t="n">
        <v>287372</v>
      </c>
      <c r="C29" s="5" t="n">
        <v>539046</v>
      </c>
      <c r="D29" s="5" t="n">
        <v>397753</v>
      </c>
      <c r="E29" s="5" t="n">
        <v>349828</v>
      </c>
      <c r="F29" s="5" t="n">
        <v>244090</v>
      </c>
      <c r="G29" s="5" t="n">
        <v>385376</v>
      </c>
      <c r="AK29" t="inlineStr">
        <is>
          <t>Closing cash and cash equivalents</t>
        </is>
      </c>
      <c r="AL29" t="n">
        <v>385376</v>
      </c>
      <c r="AM29" t="n">
        <v>244090</v>
      </c>
      <c r="AN29" t="n">
        <v>349828</v>
      </c>
      <c r="AO29" t="n">
        <v>397753</v>
      </c>
      <c r="AP29" t="n">
        <v>539046</v>
      </c>
      <c r="AQ29" t="n">
        <v>287372</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row>
    <row r="33">
      <c r="A33" s="6" t="inlineStr">
        <is>
          <t>CET1 Ratio</t>
        </is>
      </c>
      <c r="B33" s="6" t="inlineStr">
        <is>
          <t>15.45%</t>
        </is>
      </c>
      <c r="C33" s="6" t="inlineStr">
        <is>
          <t>15.95%</t>
        </is>
      </c>
      <c r="D33" s="6" t="inlineStr">
        <is>
          <t>17.36%</t>
        </is>
      </c>
      <c r="E33" s="6" t="inlineStr">
        <is>
          <t>14.93%</t>
        </is>
      </c>
      <c r="F33" s="6" t="inlineStr">
        <is>
          <t>15.1%</t>
        </is>
      </c>
      <c r="G33" s="6" t="inlineStr">
        <is>
          <t>13.4%</t>
        </is>
      </c>
    </row>
    <row r="34">
      <c r="A34" s="6" t="inlineStr">
        <is>
          <t>Tier 1 Ratio</t>
        </is>
      </c>
      <c r="B34" s="6" t="inlineStr">
        <is>
          <t>15.65%</t>
        </is>
      </c>
      <c r="C34" s="6" t="inlineStr">
        <is>
          <t>16.15%</t>
        </is>
      </c>
      <c r="D34" s="6" t="inlineStr">
        <is>
          <t>17.65%</t>
        </is>
      </c>
      <c r="E34" s="6" t="inlineStr">
        <is>
          <t>15.23%</t>
        </is>
      </c>
      <c r="F34" s="6" t="inlineStr">
        <is>
          <t>15.4%</t>
        </is>
      </c>
      <c r="G34" s="6" t="inlineStr">
        <is>
          <t>13.7%</t>
        </is>
      </c>
    </row>
    <row r="35">
      <c r="A35" s="6" t="inlineStr">
        <is>
          <t>Total Capital Ratio</t>
        </is>
      </c>
      <c r="B35" s="6" t="inlineStr">
        <is>
          <t>15.82%</t>
        </is>
      </c>
      <c r="C35" s="6" t="inlineStr">
        <is>
          <t>17.19%</t>
        </is>
      </c>
      <c r="D35" s="6" t="inlineStr">
        <is>
          <t>19.41%</t>
        </is>
      </c>
      <c r="E35" s="6" t="inlineStr">
        <is>
          <t>17.45%</t>
        </is>
      </c>
      <c r="F35" s="6" t="inlineStr">
        <is>
          <t>18.1%</t>
        </is>
      </c>
      <c r="G35" s="6" t="inlineStr">
        <is>
          <t>16.2%</t>
        </is>
      </c>
    </row>
    <row r="36">
      <c r="A36" s="6" t="inlineStr">
        <is>
          <t>Leverage Ratio</t>
        </is>
      </c>
      <c r="B36" s="6" t="inlineStr">
        <is>
          <t>7.6%</t>
        </is>
      </c>
      <c r="C36" s="6" t="inlineStr">
        <is>
          <t>7.7%</t>
        </is>
      </c>
      <c r="D36" s="6" t="inlineStr">
        <is>
          <t>7.8%</t>
        </is>
      </c>
      <c r="E36" s="6" t="inlineStr">
        <is>
          <t>6.7%</t>
        </is>
      </c>
      <c r="F36" s="6" t="inlineStr">
        <is>
          <t>6.4%</t>
        </is>
      </c>
      <c r="G36" s="6" t="inlineStr">
        <is>
          <t>5.9%</t>
        </is>
      </c>
    </row>
    <row r="37">
      <c r="A37" s="6" t="inlineStr">
        <is>
          <t>LCR</t>
        </is>
      </c>
      <c r="B37" s="6" t="inlineStr">
        <is>
          <t>481%</t>
        </is>
      </c>
      <c r="C37" s="6" t="inlineStr">
        <is>
          <t>523%</t>
        </is>
      </c>
      <c r="D37" s="6" t="inlineStr">
        <is>
          <t>641%</t>
        </is>
      </c>
      <c r="E37" s="6" t="inlineStr">
        <is>
          <t>442%</t>
        </is>
      </c>
      <c r="F37" s="6" t="inlineStr">
        <is>
          <t>316%</t>
        </is>
      </c>
      <c r="G37" s="6" t="inlineStr">
        <is>
          <t>352%</t>
        </is>
      </c>
    </row>
    <row r="38">
      <c r="A38" s="6" t="inlineStr">
        <is>
          <t>NSFR</t>
        </is>
      </c>
      <c r="B38" s="6" t="inlineStr">
        <is>
          <t>151%</t>
        </is>
      </c>
      <c r="C38" s="6" t="inlineStr">
        <is>
          <t>161%</t>
        </is>
      </c>
      <c r="D38" s="6" t="inlineStr">
        <is>
          <t>157%</t>
        </is>
      </c>
      <c r="E38" s="6" t="inlineStr">
        <is>
          <t>155%</t>
        </is>
      </c>
      <c r="F38" s="6" t="inlineStr">
        <is>
          <t>146%</t>
        </is>
      </c>
      <c r="G38" s="6" t="inlineStr">
        <is>
          <t>145%</t>
        </is>
      </c>
    </row>
    <row r="40" ht="117" customHeight="1">
      <c r="A40" s="7" t="inlineStr">
        <is>
          <t>Note: Figures are duplicated from the detail sheets for at-a-glance trend viewing; see each sheet's own source citation for the underlying document/page. CORRECTION, 18 September 2026 (KM1-032): this note previously read 'Pillar 3 ratios and RWA Breakdown are blank for FY2025 (no Pillar 3 disclosure published yet)'. That sentence was true when written and became false on 2026-09-15, when Alrayan's FY2025 Pillar 3 Disclosures appeared and every FY2025 Pillar 3 cell in this workbook was transcribed from its Annex I KM1/OV1 templates. The detail sheets were updated in that pass; this Overview block was not, so it carried a stale non-publication claim beside sheets that already held the figures. FY2025 is now filled here too, from the same KM1 Annex source the detail sheets cite. LCR uses the 12-month average/KM1 basis throughout, not the spot figures also disclosed in this bank's own Executive Summary tables - see the LCR sheet's note. 'Loans and advances to customers' combines Home Purchase Plans and Structured Real Estate/Commercial Property Finance (Al Rayan's Sharia-compliant financing products, functionally equivalent to loans/mortgages at a conventional bank). 'Other equity movements, net' combines the Additional Tier 1 profit payment and the small profit-stabilisation-reserve/share-premium-cancellation transfers each year - see the Statement of Changes in Equity sheet for the full breakdown. FY2020's own cash flow figures are on a pre-restatement classification basis and do not tie exactly into FY2021's opening cash figure - see the Cash Flow Statement sheet's own source note for the full explanation.</t>
        </is>
      </c>
    </row>
  </sheetData>
  <mergeCells count="1">
    <mergeCell ref="A40:G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Alrayan Bank Limited — Statement of Financial Position</t>
        </is>
      </c>
    </row>
    <row r="2">
      <c r="A2" s="2" t="inlineStr">
        <is>
          <t>Bank entity-level basis, £'000s.</t>
        </is>
      </c>
    </row>
    <row r="3">
      <c r="A3" s="4" t="inlineStr">
        <is>
          <t>Line item</t>
        </is>
      </c>
      <c r="B3" s="4" t="inlineStr">
        <is>
          <t>FY2025 (£'000s)</t>
        </is>
      </c>
      <c r="C3" s="4" t="inlineStr">
        <is>
          <t>FY2024 (£'000s)</t>
        </is>
      </c>
      <c r="D3" s="4" t="inlineStr">
        <is>
          <t>FY2023 (£'000s)</t>
        </is>
      </c>
      <c r="E3" s="4" t="inlineStr">
        <is>
          <t>FY2022 (£'000s)</t>
        </is>
      </c>
      <c r="F3" s="4" t="inlineStr">
        <is>
          <t>FY2021 (£'000s)</t>
        </is>
      </c>
      <c r="G3" s="4" t="inlineStr">
        <is>
          <t>FY2020 (£'000s)</t>
        </is>
      </c>
    </row>
    <row r="4">
      <c r="A4" s="5" t="inlineStr">
        <is>
          <t>Assets</t>
        </is>
      </c>
      <c r="B4" s="6" t="n"/>
      <c r="C4" s="6" t="n"/>
      <c r="D4" s="6" t="n"/>
      <c r="E4" s="6" t="n"/>
      <c r="F4" s="6" t="n"/>
      <c r="G4" s="6" t="n"/>
    </row>
    <row r="5">
      <c r="A5" s="6" t="inlineStr">
        <is>
          <t>Cash</t>
        </is>
      </c>
      <c r="B5" s="6" t="n">
        <v>1379</v>
      </c>
      <c r="C5" s="6" t="n">
        <v>1118</v>
      </c>
      <c r="D5" s="6" t="n">
        <v>953</v>
      </c>
      <c r="E5" s="6" t="n">
        <v>1234</v>
      </c>
      <c r="F5" s="6" t="n">
        <v>1867</v>
      </c>
      <c r="G5" s="6" t="n">
        <v>2638</v>
      </c>
    </row>
    <row r="6">
      <c r="A6" s="6" t="inlineStr">
        <is>
          <t>Treasury placements and cash balances with banks</t>
        </is>
      </c>
      <c r="B6" s="6" t="n">
        <v>288533</v>
      </c>
      <c r="C6" s="6" t="n">
        <v>539414</v>
      </c>
      <c r="D6" s="6" t="n">
        <v>401615</v>
      </c>
      <c r="E6" s="6" t="n">
        <v>353062</v>
      </c>
      <c r="F6" s="6" t="n">
        <v>246809</v>
      </c>
      <c r="G6" s="6" t="n">
        <v>383864</v>
      </c>
    </row>
    <row r="7">
      <c r="A7" s="6" t="inlineStr">
        <is>
          <t>Securities purchased under reverse repurchase agreements</t>
        </is>
      </c>
      <c r="B7" s="6" t="n">
        <v>74193</v>
      </c>
      <c r="C7" s="6" t="n"/>
      <c r="D7" s="6" t="n"/>
      <c r="E7" s="6" t="n"/>
      <c r="F7" s="6" t="n"/>
      <c r="G7" s="6" t="n"/>
    </row>
    <row r="8">
      <c r="A8" s="6" t="inlineStr">
        <is>
          <t>Investment securities through FVOCI</t>
        </is>
      </c>
      <c r="B8" s="6" t="n">
        <v>209111</v>
      </c>
      <c r="C8" s="6" t="n"/>
      <c r="D8" s="6" t="n"/>
      <c r="E8" s="6" t="n"/>
      <c r="F8" s="6" t="n"/>
      <c r="G8" s="6" t="n"/>
    </row>
    <row r="9">
      <c r="A9" s="6" t="inlineStr">
        <is>
          <t>Investment securities at amortised cost</t>
        </is>
      </c>
      <c r="B9" s="6" t="n">
        <v>30046</v>
      </c>
      <c r="C9" s="6" t="n"/>
      <c r="D9" s="6" t="n"/>
      <c r="E9" s="6" t="n"/>
      <c r="F9" s="6" t="n"/>
      <c r="G9" s="6" t="n"/>
    </row>
    <row r="10">
      <c r="A10" s="6" t="inlineStr">
        <is>
          <t>Investment securities</t>
        </is>
      </c>
      <c r="B10" s="6" t="n"/>
      <c r="C10" s="6" t="n">
        <v>141863</v>
      </c>
      <c r="D10" s="6" t="n">
        <v>148713</v>
      </c>
      <c r="E10" s="6" t="n">
        <v>108821</v>
      </c>
      <c r="F10" s="6" t="n">
        <v>123532</v>
      </c>
      <c r="G10" s="6" t="n">
        <v>170751</v>
      </c>
    </row>
    <row r="11">
      <c r="A11" s="6" t="inlineStr">
        <is>
          <t>Home Purchase Plans</t>
        </is>
      </c>
      <c r="B11" s="6" t="n">
        <v>887078</v>
      </c>
      <c r="C11" s="6" t="n">
        <v>933032</v>
      </c>
      <c r="D11" s="6" t="n">
        <v>993121</v>
      </c>
      <c r="E11" s="6" t="n">
        <v>1099728</v>
      </c>
      <c r="F11" s="6" t="n">
        <v>1191984</v>
      </c>
      <c r="G11" s="6" t="n">
        <v>1193727</v>
      </c>
    </row>
    <row r="12">
      <c r="A12" s="6" t="inlineStr">
        <is>
          <t>Structured Real Estate / Commercial Property Finance</t>
        </is>
      </c>
      <c r="B12" s="6" t="n">
        <v>1588996</v>
      </c>
      <c r="C12" s="6" t="n">
        <v>1173952</v>
      </c>
      <c r="D12" s="6" t="n">
        <v>899686</v>
      </c>
      <c r="E12" s="6" t="n">
        <v>789370</v>
      </c>
      <c r="F12" s="6" t="n">
        <v>669653</v>
      </c>
      <c r="G12" s="6" t="n">
        <v>557267</v>
      </c>
    </row>
    <row r="13">
      <c r="A13" s="6" t="inlineStr">
        <is>
          <t>Property and equipment</t>
        </is>
      </c>
      <c r="B13" s="6" t="n">
        <v>33780</v>
      </c>
      <c r="C13" s="6" t="n">
        <v>34833</v>
      </c>
      <c r="D13" s="6" t="n">
        <v>33561</v>
      </c>
      <c r="E13" s="6" t="n">
        <v>33072</v>
      </c>
      <c r="F13" s="6" t="n">
        <v>7628</v>
      </c>
      <c r="G13" s="6" t="n">
        <v>11198</v>
      </c>
    </row>
    <row r="14">
      <c r="A14" s="6" t="inlineStr">
        <is>
          <t>Intangible assets</t>
        </is>
      </c>
      <c r="B14" s="6" t="n">
        <v>3071</v>
      </c>
      <c r="C14" s="6" t="n">
        <v>2972</v>
      </c>
      <c r="D14" s="6" t="n">
        <v>3166</v>
      </c>
      <c r="E14" s="6" t="n">
        <v>3075</v>
      </c>
      <c r="F14" s="6" t="n">
        <v>4101</v>
      </c>
      <c r="G14" s="6" t="n">
        <v>5069</v>
      </c>
    </row>
    <row r="15">
      <c r="A15" s="6" t="inlineStr">
        <is>
          <t>Assets held for sale</t>
        </is>
      </c>
      <c r="B15" s="6" t="n">
        <v>2084</v>
      </c>
      <c r="C15" s="6" t="n">
        <v>2084</v>
      </c>
      <c r="D15" s="6" t="n"/>
      <c r="E15" s="6" t="n"/>
      <c r="F15" s="6" t="n"/>
      <c r="G15" s="6" t="n"/>
    </row>
    <row r="16">
      <c r="A16" s="6" t="inlineStr">
        <is>
          <t>Deferred tax asset</t>
        </is>
      </c>
      <c r="B16" s="6" t="n">
        <v>316</v>
      </c>
      <c r="C16" s="6" t="n">
        <v>2049</v>
      </c>
      <c r="D16" s="6" t="n">
        <v>4838</v>
      </c>
      <c r="E16" s="6" t="n"/>
      <c r="F16" s="6" t="n">
        <v>7607</v>
      </c>
      <c r="G16" s="6" t="n">
        <v>5977</v>
      </c>
    </row>
    <row r="17">
      <c r="A17" s="6" t="inlineStr">
        <is>
          <t>Derivative financial instruments (asset)</t>
        </is>
      </c>
      <c r="B17" s="6" t="n">
        <v>792</v>
      </c>
      <c r="C17" s="6" t="n">
        <v>733</v>
      </c>
      <c r="D17" s="6" t="n">
        <v>3344</v>
      </c>
      <c r="E17" s="6" t="n"/>
      <c r="F17" s="6" t="n"/>
      <c r="G17" s="6" t="n">
        <v>5137</v>
      </c>
    </row>
    <row r="18">
      <c r="A18" s="6" t="inlineStr">
        <is>
          <t>Other assets</t>
        </is>
      </c>
      <c r="B18" s="6" t="n">
        <v>6053</v>
      </c>
      <c r="C18" s="6" t="n">
        <v>3674</v>
      </c>
      <c r="D18" s="6" t="n">
        <v>4221</v>
      </c>
      <c r="E18" s="6" t="n">
        <v>3578</v>
      </c>
      <c r="F18" s="6" t="n">
        <v>5710</v>
      </c>
      <c r="G18" s="6" t="n">
        <v>4193</v>
      </c>
    </row>
    <row r="19">
      <c r="A19" s="5" t="inlineStr">
        <is>
          <t>Total assets</t>
        </is>
      </c>
      <c r="B19" s="5" t="n">
        <v>3125432</v>
      </c>
      <c r="C19" s="5" t="n">
        <v>2835724</v>
      </c>
      <c r="D19" s="5" t="n">
        <v>2493218</v>
      </c>
      <c r="E19" s="5" t="n">
        <v>2400294</v>
      </c>
      <c r="F19" s="5" t="n">
        <v>2258891</v>
      </c>
      <c r="G19" s="5" t="n">
        <v>2339821</v>
      </c>
    </row>
    <row r="20">
      <c r="A20" s="5" t="inlineStr">
        <is>
          <t>Liabilities</t>
        </is>
      </c>
      <c r="B20" s="6" t="n"/>
      <c r="C20" s="6" t="n"/>
      <c r="D20" s="6" t="n"/>
      <c r="E20" s="6" t="n"/>
      <c r="F20" s="6" t="n"/>
      <c r="G20" s="6" t="n"/>
    </row>
    <row r="21">
      <c r="A21" s="6" t="inlineStr">
        <is>
          <t>Deposits from banks and financial institutions</t>
        </is>
      </c>
      <c r="B21" s="6" t="n">
        <v>221222</v>
      </c>
      <c r="C21" s="6" t="n">
        <v>64752</v>
      </c>
      <c r="D21" s="6" t="n">
        <v>111237</v>
      </c>
      <c r="E21" s="6" t="n">
        <v>145703</v>
      </c>
      <c r="F21" s="6" t="n">
        <v>98962</v>
      </c>
      <c r="G21" s="6" t="n">
        <v>37867</v>
      </c>
    </row>
    <row r="22">
      <c r="A22" s="6" t="inlineStr">
        <is>
          <t>Deposits from customers</t>
        </is>
      </c>
      <c r="B22" s="6" t="n">
        <v>2477658</v>
      </c>
      <c r="C22" s="6" t="n">
        <v>2412883</v>
      </c>
      <c r="D22" s="6" t="n">
        <v>2149200</v>
      </c>
      <c r="E22" s="6" t="n">
        <v>2044149</v>
      </c>
      <c r="F22" s="6" t="n">
        <v>1959663</v>
      </c>
      <c r="G22" s="6" t="n">
        <v>1965001</v>
      </c>
    </row>
    <row r="23">
      <c r="A23" s="6" t="inlineStr">
        <is>
          <t>Financing from banks</t>
        </is>
      </c>
      <c r="B23" s="6" t="n">
        <v>176023</v>
      </c>
      <c r="C23" s="6" t="n">
        <v>80776</v>
      </c>
      <c r="D23" s="6" t="n"/>
      <c r="E23" s="6" t="n"/>
      <c r="F23" s="6" t="n"/>
      <c r="G23" s="6" t="n"/>
    </row>
    <row r="24">
      <c r="A24" s="6" t="inlineStr">
        <is>
          <t>Sukuk funding</t>
        </is>
      </c>
      <c r="B24" s="6" t="n"/>
      <c r="C24" s="6" t="n"/>
      <c r="D24" s="6" t="n"/>
      <c r="E24" s="6" t="n"/>
      <c r="F24" s="6" t="n"/>
      <c r="G24" s="6" t="n">
        <v>146944</v>
      </c>
    </row>
    <row r="25">
      <c r="A25" s="6" t="inlineStr">
        <is>
          <t>Subordinated funding</t>
        </is>
      </c>
      <c r="B25" s="6" t="n">
        <v>2500</v>
      </c>
      <c r="C25" s="6" t="n">
        <v>25000</v>
      </c>
      <c r="D25" s="6" t="n">
        <v>25000</v>
      </c>
      <c r="E25" s="6" t="n">
        <v>25000</v>
      </c>
      <c r="F25" s="6" t="n">
        <v>25000</v>
      </c>
      <c r="G25" s="6" t="n">
        <v>25000</v>
      </c>
    </row>
    <row r="26">
      <c r="A26" s="6" t="inlineStr">
        <is>
          <t>Derivative financial instruments (liability)</t>
        </is>
      </c>
      <c r="B26" s="6" t="n">
        <v>1950</v>
      </c>
      <c r="C26" s="6" t="n">
        <v>665</v>
      </c>
      <c r="D26" s="6" t="n">
        <v>22</v>
      </c>
      <c r="E26" s="6" t="n">
        <v>866</v>
      </c>
      <c r="F26" s="6" t="n">
        <v>592</v>
      </c>
      <c r="G26" s="6" t="n">
        <v>5</v>
      </c>
    </row>
    <row r="27">
      <c r="A27" s="6" t="inlineStr">
        <is>
          <t>Other liabilities</t>
        </is>
      </c>
      <c r="B27" s="6" t="n">
        <v>12076</v>
      </c>
      <c r="C27" s="6" t="n">
        <v>35174</v>
      </c>
      <c r="D27" s="6" t="n">
        <v>12621</v>
      </c>
      <c r="E27" s="6" t="n">
        <v>17261</v>
      </c>
      <c r="F27" s="6" t="n">
        <v>17363</v>
      </c>
      <c r="G27" s="6" t="n">
        <v>14948</v>
      </c>
    </row>
    <row r="28">
      <c r="A28" s="5" t="inlineStr">
        <is>
          <t>Total liabilities</t>
        </is>
      </c>
      <c r="B28" s="5" t="n">
        <v>2891429</v>
      </c>
      <c r="C28" s="5" t="n">
        <v>2619250</v>
      </c>
      <c r="D28" s="5" t="n">
        <v>2298080</v>
      </c>
      <c r="E28" s="5" t="n">
        <v>2232979</v>
      </c>
      <c r="F28" s="5" t="n">
        <v>2101580</v>
      </c>
      <c r="G28" s="5" t="n">
        <v>2189765</v>
      </c>
    </row>
    <row r="29">
      <c r="A29" s="5" t="inlineStr">
        <is>
          <t>Equity</t>
        </is>
      </c>
      <c r="B29" s="6" t="n"/>
      <c r="C29" s="6" t="n"/>
      <c r="D29" s="6" t="n"/>
      <c r="E29" s="6" t="n"/>
      <c r="F29" s="6" t="n"/>
      <c r="G29" s="6" t="n"/>
    </row>
    <row r="30">
      <c r="A30" s="6" t="inlineStr">
        <is>
          <t>Share capital</t>
        </is>
      </c>
      <c r="B30" s="6" t="n">
        <v>121219</v>
      </c>
      <c r="C30" s="6" t="n">
        <v>121219</v>
      </c>
      <c r="D30" s="6" t="n">
        <v>121219</v>
      </c>
      <c r="E30" s="6" t="n">
        <v>121219</v>
      </c>
      <c r="F30" s="6" t="n">
        <v>121219</v>
      </c>
      <c r="G30" s="6" t="n">
        <v>121219</v>
      </c>
    </row>
    <row r="31">
      <c r="A31" s="6" t="inlineStr">
        <is>
          <t>Share premium</t>
        </is>
      </c>
      <c r="B31" s="6" t="n"/>
      <c r="C31" s="6" t="n"/>
      <c r="D31" s="6" t="n"/>
      <c r="E31" s="6" t="n">
        <v>0</v>
      </c>
      <c r="F31" s="6" t="n">
        <v>0</v>
      </c>
      <c r="G31" s="6" t="n">
        <v>54807</v>
      </c>
    </row>
    <row r="32">
      <c r="A32" s="6" t="inlineStr">
        <is>
          <t>Contingent convertible investment</t>
        </is>
      </c>
      <c r="B32" s="6" t="n">
        <v>3000</v>
      </c>
      <c r="C32" s="6" t="n">
        <v>3000</v>
      </c>
      <c r="D32" s="6" t="n">
        <v>3000</v>
      </c>
      <c r="E32" s="6" t="n">
        <v>3000</v>
      </c>
      <c r="F32" s="6" t="n">
        <v>3000</v>
      </c>
      <c r="G32" s="6" t="n">
        <v>3000</v>
      </c>
    </row>
    <row r="33">
      <c r="A33" s="6" t="inlineStr">
        <is>
          <t>Investment securities fair value reserve / Reserve on investment securities</t>
        </is>
      </c>
      <c r="B33" s="6" t="n">
        <v>86</v>
      </c>
      <c r="C33" s="6" t="n">
        <v>-202</v>
      </c>
      <c r="D33" s="6" t="n">
        <v>-1572</v>
      </c>
      <c r="E33" s="6" t="n">
        <v>-6648</v>
      </c>
      <c r="F33" s="6" t="n">
        <v>-995</v>
      </c>
      <c r="G33" s="6" t="n">
        <v>753</v>
      </c>
    </row>
    <row r="34">
      <c r="A34" s="6" t="inlineStr">
        <is>
          <t>Property revaluation reserve</t>
        </is>
      </c>
      <c r="B34" s="6" t="n">
        <v>2491</v>
      </c>
      <c r="C34" s="6" t="n">
        <v>2531</v>
      </c>
      <c r="D34" s="6" t="n"/>
      <c r="E34" s="6" t="n"/>
      <c r="F34" s="6" t="n"/>
      <c r="G34" s="6" t="n"/>
    </row>
    <row r="35">
      <c r="A35" s="6" t="inlineStr">
        <is>
          <t>Cash flow hedge reserve</t>
        </is>
      </c>
      <c r="B35" s="6" t="n">
        <v>-63</v>
      </c>
      <c r="C35" s="6" t="n"/>
      <c r="D35" s="6" t="n"/>
      <c r="E35" s="6" t="n"/>
      <c r="F35" s="6" t="n"/>
      <c r="G35" s="6" t="n"/>
    </row>
    <row r="36">
      <c r="A36" s="6" t="inlineStr">
        <is>
          <t>Retained earnings/(deficit)</t>
        </is>
      </c>
      <c r="B36" s="6" t="n">
        <v>107172</v>
      </c>
      <c r="C36" s="6" t="n">
        <v>89830</v>
      </c>
      <c r="D36" s="6" t="n">
        <v>72392</v>
      </c>
      <c r="E36" s="6" t="n">
        <v>49647</v>
      </c>
      <c r="F36" s="6" t="n">
        <v>33989</v>
      </c>
      <c r="G36" s="6" t="n">
        <v>-29823</v>
      </c>
    </row>
    <row r="37">
      <c r="A37" s="6" t="inlineStr">
        <is>
          <t>Profit stabilisation reserve</t>
        </is>
      </c>
      <c r="B37" s="6" t="n">
        <v>98</v>
      </c>
      <c r="C37" s="6" t="n">
        <v>96</v>
      </c>
      <c r="D37" s="6" t="n">
        <v>99</v>
      </c>
      <c r="E37" s="6" t="n">
        <v>97</v>
      </c>
      <c r="F37" s="6" t="n">
        <v>98</v>
      </c>
      <c r="G37" s="6" t="n">
        <v>100</v>
      </c>
    </row>
    <row r="38">
      <c r="A38" s="5" t="inlineStr">
        <is>
          <t>Total equity</t>
        </is>
      </c>
      <c r="B38" s="5" t="n">
        <v>234003</v>
      </c>
      <c r="C38" s="5" t="n">
        <v>216474</v>
      </c>
      <c r="D38" s="5" t="n">
        <v>195138</v>
      </c>
      <c r="E38" s="5" t="n">
        <v>167315</v>
      </c>
      <c r="F38" s="5" t="n">
        <v>157311</v>
      </c>
      <c r="G38" s="5" t="n">
        <v>150056</v>
      </c>
    </row>
    <row r="39">
      <c r="A39" s="5" t="inlineStr">
        <is>
          <t>Total liabilities &amp; equity</t>
        </is>
      </c>
      <c r="B39" s="5" t="n">
        <v>3125432</v>
      </c>
      <c r="C39" s="5" t="n">
        <v>2835724</v>
      </c>
      <c r="D39" s="5" t="n">
        <v>2493218</v>
      </c>
      <c r="E39" s="5" t="n">
        <v>2400294</v>
      </c>
      <c r="F39" s="5" t="n">
        <v>2258891</v>
      </c>
      <c r="G39" s="5" t="n">
        <v>2339821</v>
      </c>
    </row>
    <row r="41" ht="351" customHeight="1">
      <c r="A41" s="8" t="inlineStr">
        <is>
          <t>Sources - Al Rayan Bank's own Statement of Financial Position, £'000s, all years:
FY2025: FY2025 Annual Report and Financial Statements (Companies House filing, made up to 31 Dec 2025, filed 16 Apr 2026, scanned/image-only - transcribed via visual reading of the rendered page), p.39 - https://find-and-update.company-information.service.gov.uk/company/04483430/filing-history/MzUxNTE1ODIyNGFkaXF6a2N4/document?format=pdf&amp;download=0
FY2024: FY2024 Annual Report and Financial Statements, p.40 - https://www.alrayanbank.co.uk/sites/default/files/media/file-uploads/2025-04/04a_-_arb_financial_statements_fy_31-12-2024_-_signed_ey.cleaned.pdf
FY2023: sourced from the FY2024 Annual Report's own FY2023 comparative column, p.40 - https://www.alrayanbank.co.uk/sites/default/files/media/file-uploads/2025-04/04a_-_arb_financial_statements_fy_31-12-2024_-_signed_ey.cleaned.pdf
FY2022: FY2022 Annual Report and Financial Statements (Companies House filing, made up to 31 Dec 2022, filed 23 Jun 2023, scanned/image-only - transcribed via visual reading of the rendered page), p.36 - https://find-and-update.company-information.service.gov.uk/company/04483430/filing-history/MzM4MzEwOTk0N2FkaXF6a2N4/document?format=pdf&amp;download=0
FY2021: sourced from the FY2022 Annual Report's own FY2021 comparative column, p.36 - https://find-and-update.company-information.service.gov.uk/company/04483430/filing-history/MzM4MzEwOTk0N2FkaXF6a2N4/document?format=pdf&amp;download=0
FY2020: sourced from the FY2021 Annual Report's own FY2020 comparative column (scanned/image-only - transcribed via visual reading of the rendered page), p.41 - https://find-and-update.company-information.service.gov.uk/company/04483430/filing-history/MzM0NDI4NjkxNGFkaXF6a2N4/document?format=pdf&amp;download=0
Presentation note: Al Rayan Bank's own line-item labels have changed across the 5 years shown - 'Commercial Property Finance' (FY2021-24) was renamed 'Structured Real Estate' in FY2025 (shown as a separate row here, not force-merged); 'Investment securities' (one line, FY2021-24) was split into 'Investment securities through FVOCI' and 'Investment securities at amortised cost' plus a new 'Securities purchased under reverse repurchase agreements' line in FY2025 (shown separately); 'Deferred tax asset' and 'Derivative financial instruments' (assets) are not disclosed as separate lines in FY2022 (blank that year, not zero); 'Financing from banks' (liability) only appears from FY2024 onward; 'Assets held for sale' only appears FY2024-25; 'Sharia compliant derivative financial instruments' (liability) is labelled that way FY2021-22, then just 'Derivative financial instruments' FY2023-25 - same line, relabelled. On equity: 'Share premium' (£54,807k at 1 Jan 2021) was fully cancelled during FY2021 and is £0/blank at every year-end shown; 'Reserve on investment securities' (FY2021-22 label) was relabelled 'Investment securities fair value reserve' from FY2023; 'Property revaluation reserve' only appears from FY2024 (the freehold property revaluation that year); 'Cash flow hedge reserve' only appears from FY2025 (a new hedge programme that year). Blank cells indicate that year's own balance sheet did not carry that line at all (not that the value was zero), except where noted as a disclosed nil ('-') above. FY2020 additionally carries a genuine £5,137k 'Sharia compliant derivative financial instruments' ASSET balance (merged into the 'Derivative financial instruments (asset)' row below) - the only year of the 5 shown where that asset-side line is non-nil; FY2020's 'Sukuk funding' liability (£146,944k) was fully repaid during FY2021 and never reappears; FY2020's 'Share premium' (£54,807k) and equity reserve labels match FY2021's, both pre-dating the FY2021 cancellation/relabelling described above.
ENTITY NOTE: Alrayan Bank Limited (FRN 229148, Companies House 04483430, matches Banks List 2608.xlsx exactly) is a UK Sharia-compliant bank, wholly owned by AlRayan Bank (Q.P.S.C.) of Qatar. Its own Annual Report/Pillar 3 documents style it 'Al Rayan Bank PLC' but Companies House confirms its current registered name is 'ALRAYAN BANK LIMITED' - same company number throughout, not an entity change, just inconsistent branding between the statutory filing and the bank's own PDFs.</t>
        </is>
      </c>
    </row>
  </sheetData>
  <mergeCells count="1">
    <mergeCell ref="A41:G4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Alrayan Bank Limited — Statement of Comprehensive Income</t>
        </is>
      </c>
    </row>
    <row r="2">
      <c r="A2" s="2" t="inlineStr">
        <is>
          <t>Bank entity-level basis, £'000s.</t>
        </is>
      </c>
    </row>
    <row r="3">
      <c r="A3" s="4" t="inlineStr">
        <is>
          <t>Line item</t>
        </is>
      </c>
      <c r="B3" s="4" t="inlineStr">
        <is>
          <t>FY2025 (£'000s)</t>
        </is>
      </c>
      <c r="C3" s="4" t="inlineStr">
        <is>
          <t>FY2024 (£'000s)</t>
        </is>
      </c>
      <c r="D3" s="4" t="inlineStr">
        <is>
          <t>FY2023 (£'000s)</t>
        </is>
      </c>
      <c r="E3" s="4" t="inlineStr">
        <is>
          <t>FY2022 (£'000s)</t>
        </is>
      </c>
      <c r="F3" s="4" t="inlineStr">
        <is>
          <t>FY2021 (£'000s)</t>
        </is>
      </c>
      <c r="G3" s="4" t="inlineStr">
        <is>
          <t>FY2020 (£'000s)</t>
        </is>
      </c>
    </row>
    <row r="4">
      <c r="A4" s="5" t="inlineStr">
        <is>
          <t>Income</t>
        </is>
      </c>
      <c r="B4" s="6" t="n"/>
      <c r="C4" s="6" t="n"/>
      <c r="D4" s="6" t="n"/>
      <c r="E4" s="6" t="n"/>
      <c r="F4" s="6" t="n"/>
      <c r="G4" s="6" t="n"/>
    </row>
    <row r="5">
      <c r="A5" s="6" t="inlineStr">
        <is>
          <t>Income from financing transactions</t>
        </is>
      </c>
      <c r="B5" s="6" t="n">
        <v>172541</v>
      </c>
      <c r="C5" s="6" t="n">
        <v>166206</v>
      </c>
      <c r="D5" s="6" t="n">
        <v>143577</v>
      </c>
      <c r="E5" s="6" t="n">
        <v>84762</v>
      </c>
      <c r="F5" s="6" t="n">
        <v>65755</v>
      </c>
      <c r="G5" s="6" t="n">
        <v>65896</v>
      </c>
    </row>
    <row r="6">
      <c r="A6" s="6" t="inlineStr">
        <is>
          <t>Returns to banks and customers</t>
        </is>
      </c>
      <c r="B6" s="6" t="n">
        <v>-108402</v>
      </c>
      <c r="C6" s="6" t="n">
        <v>-103641</v>
      </c>
      <c r="D6" s="6" t="n">
        <v>-71869</v>
      </c>
      <c r="E6" s="6" t="n">
        <v>-29308</v>
      </c>
      <c r="F6" s="6" t="n">
        <v>-22140</v>
      </c>
      <c r="G6" s="6" t="n">
        <v>-29682</v>
      </c>
    </row>
    <row r="7">
      <c r="A7" s="5" t="inlineStr">
        <is>
          <t>Net income from financing transactions</t>
        </is>
      </c>
      <c r="B7" s="5" t="n">
        <v>64139</v>
      </c>
      <c r="C7" s="5" t="n">
        <v>62565</v>
      </c>
      <c r="D7" s="5" t="n">
        <v>71708</v>
      </c>
      <c r="E7" s="5" t="n">
        <v>55454</v>
      </c>
      <c r="F7" s="5" t="n">
        <v>43615</v>
      </c>
      <c r="G7" s="5" t="n">
        <v>36214</v>
      </c>
    </row>
    <row r="8">
      <c r="A8" s="6" t="inlineStr">
        <is>
          <t>Fees and commission income</t>
        </is>
      </c>
      <c r="B8" s="6" t="n">
        <v>530</v>
      </c>
      <c r="C8" s="6" t="n">
        <v>882</v>
      </c>
      <c r="D8" s="6" t="n">
        <v>996</v>
      </c>
      <c r="E8" s="6" t="n">
        <v>1107</v>
      </c>
      <c r="F8" s="6" t="n">
        <v>1098</v>
      </c>
      <c r="G8" s="6" t="n">
        <v>1157</v>
      </c>
    </row>
    <row r="9">
      <c r="A9" s="6" t="inlineStr">
        <is>
          <t>Fees and commission expense</t>
        </is>
      </c>
      <c r="B9" s="6" t="n">
        <v>-596</v>
      </c>
      <c r="C9" s="6" t="n">
        <v>-658</v>
      </c>
      <c r="D9" s="6" t="n">
        <v>-394</v>
      </c>
      <c r="E9" s="6" t="n">
        <v>-745</v>
      </c>
      <c r="F9" s="6" t="n">
        <v>-452</v>
      </c>
      <c r="G9" s="6" t="n">
        <v>-363</v>
      </c>
    </row>
    <row r="10">
      <c r="A10" s="5" t="inlineStr">
        <is>
          <t>Net fees and commission (expense)/income</t>
        </is>
      </c>
      <c r="B10" s="5" t="n">
        <v>-66</v>
      </c>
      <c r="C10" s="5" t="n">
        <v>224</v>
      </c>
      <c r="D10" s="5" t="n">
        <v>602</v>
      </c>
      <c r="E10" s="5" t="n">
        <v>362</v>
      </c>
      <c r="F10" s="5" t="n">
        <v>646</v>
      </c>
      <c r="G10" s="5" t="n">
        <v>794</v>
      </c>
    </row>
    <row r="11">
      <c r="A11" s="6" t="inlineStr">
        <is>
          <t>Net (loss)/gain on profit rate swaps at fair value</t>
        </is>
      </c>
      <c r="B11" s="6" t="n">
        <v>-54</v>
      </c>
      <c r="C11" s="6" t="n">
        <v>733</v>
      </c>
      <c r="D11" s="6" t="n"/>
      <c r="E11" s="6" t="n"/>
      <c r="F11" s="6" t="n"/>
      <c r="G11" s="6" t="n"/>
    </row>
    <row r="12">
      <c r="A12" s="6" t="inlineStr">
        <is>
          <t>Loss on disposal of investment securities</t>
        </is>
      </c>
      <c r="B12" s="6" t="n"/>
      <c r="C12" s="6" t="n"/>
      <c r="D12" s="6" t="n">
        <v>-3766</v>
      </c>
      <c r="E12" s="6" t="n"/>
      <c r="F12" s="6" t="n"/>
      <c r="G12" s="6" t="n"/>
    </row>
    <row r="13">
      <c r="A13" s="6" t="inlineStr">
        <is>
          <t>Gain on disposal of investment securities</t>
        </is>
      </c>
      <c r="B13" s="6" t="n"/>
      <c r="C13" s="6" t="n"/>
      <c r="D13" s="6" t="n"/>
      <c r="E13" s="6" t="n">
        <v>51</v>
      </c>
      <c r="F13" s="6" t="n">
        <v>25</v>
      </c>
      <c r="G13" s="6" t="n">
        <v>2941</v>
      </c>
    </row>
    <row r="14">
      <c r="A14" s="6" t="inlineStr">
        <is>
          <t>Foreign exchange gain/(loss)</t>
        </is>
      </c>
      <c r="B14" s="6" t="n">
        <v>4</v>
      </c>
      <c r="C14" s="6" t="n">
        <v>-274</v>
      </c>
      <c r="D14" s="6" t="n">
        <v>-266</v>
      </c>
      <c r="E14" s="6" t="n">
        <v>-10</v>
      </c>
      <c r="F14" s="6" t="n">
        <v>-354</v>
      </c>
      <c r="G14" s="6" t="n">
        <v>-840</v>
      </c>
    </row>
    <row r="15">
      <c r="A15" s="6" t="inlineStr">
        <is>
          <t>Other non-fee income/(loss)</t>
        </is>
      </c>
      <c r="B15" s="6" t="n">
        <v>181</v>
      </c>
      <c r="C15" s="6" t="n">
        <v>183</v>
      </c>
      <c r="D15" s="6" t="n">
        <v>119</v>
      </c>
      <c r="E15" s="6" t="n">
        <v>-50</v>
      </c>
      <c r="F15" s="6" t="n">
        <v>464</v>
      </c>
      <c r="G15" s="6" t="n">
        <v>0</v>
      </c>
    </row>
    <row r="16">
      <c r="A16" s="5" t="inlineStr">
        <is>
          <t>Other income/(loss)</t>
        </is>
      </c>
      <c r="B16" s="5" t="n">
        <v>131</v>
      </c>
      <c r="C16" s="5" t="n">
        <v>642</v>
      </c>
      <c r="D16" s="5" t="n">
        <v>-3913</v>
      </c>
      <c r="E16" s="5" t="n">
        <v>-9</v>
      </c>
      <c r="F16" s="5" t="n">
        <v>135</v>
      </c>
      <c r="G16" s="5" t="n">
        <v>2101</v>
      </c>
    </row>
    <row r="17">
      <c r="A17" s="5" t="inlineStr">
        <is>
          <t>Total income</t>
        </is>
      </c>
      <c r="B17" s="5" t="n">
        <v>64204</v>
      </c>
      <c r="C17" s="5" t="n">
        <v>63431</v>
      </c>
      <c r="D17" s="5" t="n">
        <v>68397</v>
      </c>
      <c r="E17" s="5" t="n">
        <v>55807</v>
      </c>
      <c r="F17" s="5" t="n">
        <v>44396</v>
      </c>
      <c r="G17" s="5" t="n">
        <v>39109</v>
      </c>
    </row>
    <row r="18">
      <c r="A18" s="5" t="inlineStr">
        <is>
          <t>Operating expenses</t>
        </is>
      </c>
      <c r="B18" s="6" t="n"/>
      <c r="C18" s="6" t="n"/>
      <c r="D18" s="6" t="n"/>
      <c r="E18" s="6" t="n"/>
      <c r="F18" s="6" t="n"/>
      <c r="G18" s="6" t="n"/>
    </row>
    <row r="19">
      <c r="A19" s="6" t="inlineStr">
        <is>
          <t>Impairment (charge)/reversal</t>
        </is>
      </c>
      <c r="B19" s="6" t="n"/>
      <c r="C19" s="6" t="n"/>
      <c r="D19" s="6" t="n"/>
      <c r="E19" s="6" t="n">
        <v>-183</v>
      </c>
      <c r="F19" s="6" t="n">
        <v>468</v>
      </c>
      <c r="G19" s="6" t="n">
        <v>-1544</v>
      </c>
    </row>
    <row r="20">
      <c r="A20" s="6" t="inlineStr">
        <is>
          <t>Staff costs</t>
        </is>
      </c>
      <c r="B20" s="6" t="n">
        <v>-20773</v>
      </c>
      <c r="C20" s="6" t="n">
        <v>-20093</v>
      </c>
      <c r="D20" s="6" t="n">
        <v>-20423</v>
      </c>
      <c r="E20" s="6" t="n">
        <v>-18153</v>
      </c>
      <c r="F20" s="6" t="n">
        <v>-17737</v>
      </c>
      <c r="G20" s="6" t="n">
        <v>-17686</v>
      </c>
    </row>
    <row r="21">
      <c r="A21" s="6" t="inlineStr">
        <is>
          <t>General and administrative expenses</t>
        </is>
      </c>
      <c r="B21" s="6" t="n">
        <v>-13575</v>
      </c>
      <c r="C21" s="6" t="n">
        <v>-13728</v>
      </c>
      <c r="D21" s="6" t="n">
        <v>-13370</v>
      </c>
      <c r="E21" s="6" t="n">
        <v>-12840</v>
      </c>
      <c r="F21" s="6" t="n">
        <v>-13016</v>
      </c>
      <c r="G21" s="6" t="n">
        <v>-11329</v>
      </c>
    </row>
    <row r="22">
      <c r="A22" s="6" t="inlineStr">
        <is>
          <t>Expected credit loss charge</t>
        </is>
      </c>
      <c r="B22" s="6" t="n">
        <v>-3798</v>
      </c>
      <c r="C22" s="6" t="n">
        <v>-2936</v>
      </c>
      <c r="D22" s="6" t="n">
        <v>-1428</v>
      </c>
      <c r="E22" s="6" t="n"/>
      <c r="F22" s="6" t="n"/>
      <c r="G22" s="6" t="n"/>
    </row>
    <row r="23">
      <c r="A23" s="6" t="inlineStr">
        <is>
          <t>Depreciation &amp; Impairment</t>
        </is>
      </c>
      <c r="B23" s="6" t="n">
        <v>-1407</v>
      </c>
      <c r="C23" s="6" t="n">
        <v>-1844</v>
      </c>
      <c r="D23" s="6" t="n">
        <v>-1338</v>
      </c>
      <c r="E23" s="6" t="n">
        <v>-1843</v>
      </c>
      <c r="F23" s="6" t="n">
        <v>-2968</v>
      </c>
      <c r="G23" s="6" t="n">
        <v>-3040</v>
      </c>
    </row>
    <row r="24">
      <c r="A24" s="6" t="inlineStr">
        <is>
          <t>Amortisation</t>
        </is>
      </c>
      <c r="B24" s="6" t="n">
        <v>-1064</v>
      </c>
      <c r="C24" s="6" t="n">
        <v>-1361</v>
      </c>
      <c r="D24" s="6" t="n">
        <v>-1230</v>
      </c>
      <c r="E24" s="6" t="n">
        <v>-1991</v>
      </c>
      <c r="F24" s="6" t="n">
        <v>-1516</v>
      </c>
      <c r="G24" s="6" t="n">
        <v>-1312</v>
      </c>
    </row>
    <row r="25">
      <c r="A25" s="5" t="inlineStr">
        <is>
          <t>Total operating expenses</t>
        </is>
      </c>
      <c r="B25" s="5" t="n">
        <v>-40617</v>
      </c>
      <c r="C25" s="5" t="n">
        <v>-39962</v>
      </c>
      <c r="D25" s="5" t="n">
        <v>-37789</v>
      </c>
      <c r="E25" s="5" t="n">
        <v>-35010</v>
      </c>
      <c r="F25" s="5" t="n">
        <v>-34769</v>
      </c>
      <c r="G25" s="5" t="n">
        <v>-34911</v>
      </c>
    </row>
    <row r="26">
      <c r="A26" s="5" t="inlineStr">
        <is>
          <t>Profit before tax</t>
        </is>
      </c>
      <c r="B26" s="5" t="n">
        <v>23587</v>
      </c>
      <c r="C26" s="5" t="n">
        <v>23469</v>
      </c>
      <c r="D26" s="5" t="n">
        <v>30608</v>
      </c>
      <c r="E26" s="5" t="n">
        <v>20797</v>
      </c>
      <c r="F26" s="5" t="n">
        <v>9627</v>
      </c>
      <c r="G26" s="5" t="n">
        <v>4198</v>
      </c>
    </row>
    <row r="27">
      <c r="A27" s="6" t="inlineStr">
        <is>
          <t>Tax charge</t>
        </is>
      </c>
      <c r="B27" s="6" t="n">
        <v>-5906</v>
      </c>
      <c r="C27" s="6" t="n">
        <v>-5752</v>
      </c>
      <c r="D27" s="6" t="n">
        <v>-7580</v>
      </c>
      <c r="E27" s="6" t="n">
        <v>-4297</v>
      </c>
      <c r="F27" s="6" t="n">
        <v>-624</v>
      </c>
      <c r="G27" s="6" t="n">
        <v>-360</v>
      </c>
    </row>
    <row r="28">
      <c r="A28" s="5" t="inlineStr">
        <is>
          <t>Profit for the financial year</t>
        </is>
      </c>
      <c r="B28" s="5" t="n">
        <v>17681</v>
      </c>
      <c r="C28" s="5" t="n">
        <v>17717</v>
      </c>
      <c r="D28" s="5" t="n">
        <v>23028</v>
      </c>
      <c r="E28" s="5" t="n">
        <v>16500</v>
      </c>
      <c r="F28" s="5" t="n">
        <v>9003</v>
      </c>
      <c r="G28" s="5" t="n">
        <v>3838</v>
      </c>
    </row>
    <row r="29">
      <c r="A29" s="5" t="inlineStr">
        <is>
          <t>Other comprehensive income</t>
        </is>
      </c>
      <c r="B29" s="6" t="n"/>
      <c r="C29" s="6" t="n"/>
      <c r="D29" s="6" t="n"/>
      <c r="E29" s="6" t="n"/>
      <c r="F29" s="6" t="n"/>
      <c r="G29" s="6" t="n"/>
    </row>
    <row r="30">
      <c r="A30" s="6" t="inlineStr">
        <is>
          <t>Change in fair value of investment securities at FVOCI</t>
        </is>
      </c>
      <c r="B30" s="6" t="n">
        <v>386</v>
      </c>
      <c r="C30" s="6" t="n">
        <v>1825</v>
      </c>
      <c r="D30" s="6" t="n">
        <v>3003</v>
      </c>
      <c r="E30" s="6" t="n">
        <v>-5602</v>
      </c>
      <c r="F30" s="6" t="n">
        <v>-1723</v>
      </c>
      <c r="G30" s="6" t="n">
        <v>3338</v>
      </c>
    </row>
    <row r="31">
      <c r="A31" s="6" t="inlineStr">
        <is>
          <t>Amounts transferred to the income statement</t>
        </is>
      </c>
      <c r="B31" s="6" t="n"/>
      <c r="C31" s="6" t="n">
        <v>0</v>
      </c>
      <c r="D31" s="6" t="n">
        <v>3766</v>
      </c>
      <c r="E31" s="6" t="n">
        <v>-51</v>
      </c>
      <c r="F31" s="6" t="n">
        <v>-25</v>
      </c>
      <c r="G31" s="6" t="n">
        <v>-2941</v>
      </c>
    </row>
    <row r="32">
      <c r="A32" s="6" t="inlineStr">
        <is>
          <t>Taxation - deferred (investment securities)</t>
        </is>
      </c>
      <c r="B32" s="6" t="n">
        <v>-98</v>
      </c>
      <c r="C32" s="6" t="n">
        <v>-455</v>
      </c>
      <c r="D32" s="6" t="n"/>
      <c r="E32" s="6" t="n"/>
      <c r="F32" s="6" t="n"/>
      <c r="G32" s="6" t="n"/>
    </row>
    <row r="33">
      <c r="A33" s="6" t="inlineStr">
        <is>
          <t>Change in fair value of cash flow hedge</t>
        </is>
      </c>
      <c r="B33" s="6" t="n">
        <v>-84</v>
      </c>
      <c r="C33" s="6" t="n"/>
      <c r="D33" s="6" t="n"/>
      <c r="E33" s="6" t="n"/>
      <c r="F33" s="6" t="n"/>
      <c r="G33" s="6" t="n"/>
    </row>
    <row r="34">
      <c r="A34" s="6" t="inlineStr">
        <is>
          <t>Taxation - deferred (cash flow hedge)</t>
        </is>
      </c>
      <c r="B34" s="6" t="n">
        <v>21</v>
      </c>
      <c r="C34" s="6" t="n"/>
      <c r="D34" s="6" t="n"/>
      <c r="E34" s="6" t="n"/>
      <c r="F34" s="6" t="n"/>
      <c r="G34" s="6" t="n"/>
    </row>
    <row r="35">
      <c r="A35" s="6" t="inlineStr">
        <is>
          <t>Gain on the revaluation of freehold property</t>
        </is>
      </c>
      <c r="B35" s="6" t="n"/>
      <c r="C35" s="6" t="n">
        <v>3374</v>
      </c>
      <c r="D35" s="6" t="n"/>
      <c r="E35" s="6" t="n"/>
      <c r="F35" s="6" t="n"/>
      <c r="G35" s="6" t="n"/>
    </row>
    <row r="36">
      <c r="A36" s="6" t="inlineStr">
        <is>
          <t>Taxation - deferred (property revaluation)</t>
        </is>
      </c>
      <c r="B36" s="6" t="n"/>
      <c r="C36" s="6" t="n">
        <v>-843</v>
      </c>
      <c r="D36" s="6" t="n"/>
      <c r="E36" s="6" t="n"/>
      <c r="F36" s="6" t="n"/>
      <c r="G36" s="6" t="n"/>
    </row>
    <row r="37">
      <c r="A37" s="5" t="inlineStr">
        <is>
          <t>Total comprehensive income for the financial year</t>
        </is>
      </c>
      <c r="B37" s="5" t="n">
        <v>17906</v>
      </c>
      <c r="C37" s="5" t="n">
        <v>21618</v>
      </c>
      <c r="D37" s="5" t="n">
        <v>28104</v>
      </c>
      <c r="E37" s="5" t="n">
        <v>10847</v>
      </c>
      <c r="F37" s="5" t="n">
        <v>7255</v>
      </c>
      <c r="G37" s="5" t="n">
        <v>4235</v>
      </c>
    </row>
    <row r="39" ht="325" customHeight="1">
      <c r="A39" s="8" t="inlineStr">
        <is>
          <t>Sources - Al Rayan Bank's own Statement of Comprehensive Income, £'000s, all years:
FY2025: FY2025 Annual Report and Financial Statements (scanned/image-only - transcribed via visual reading of the rendered pages), pp.37-38 - https://find-and-update.company-information.service.gov.uk/company/04483430/filing-history/MzUxNTE1ODIyNGFkaXF6a2N4/document?format=pdf&amp;download=0
FY2024: FY2024 Annual Report and Financial Statements, p.39 - https://www.alrayanbank.co.uk/sites/default/files/media/file-uploads/2025-04/04a_-_arb_financial_statements_fy_31-12-2024_-_signed_ey.cleaned.pdf
FY2023: sourced from the FY2024 Annual Report's own FY2023 comparative column, p.39 - https://www.alrayanbank.co.uk/sites/default/files/media/file-uploads/2025-04/04a_-_arb_financial_statements_fy_31-12-2024_-_signed_ey.cleaned.pdf
FY2022: FY2022 Annual Report and Financial Statements (scanned/image-only - transcribed via visual reading of the rendered page), p.35 - https://find-and-update.company-information.service.gov.uk/company/04483430/filing-history/MzM4MzEwOTk0N2FkaXF6a2N4/document?format=pdf&amp;download=0
FY2021: sourced from the FY2022 Annual Report's own FY2021 comparative column, p.35 - https://find-and-update.company-information.service.gov.uk/company/04483430/filing-history/MzM4MzEwOTk0N2FkaXF6a2N4/document?format=pdf&amp;download=0
FY2020: sourced from the FY2021 Annual Report's own FY2020 comparative column (scanned/image-only - transcribed via visual reading of the rendered page), p.40 - https://find-and-update.company-information.service.gov.uk/company/04483430/filing-history/MzM0NDI4NjkxNGFkaXF6a2N4/document?format=pdf&amp;download=0
Presentation note: Al Rayan Bank's income statement structure changed materially between FY2021-22 and FY2023-25. FY2021-22 used 'Income from Islamic financing transactions' as the top line and included 'Impairment (charge)/reversal' as one of several operating-expense lines below Total income (i.e. before Total operating expenses, not netted against income); FY2023-25 renamed the top line 'Income from financing transactions' (no P&amp;L-level change, entity remains fully Sharia-compliant per ENTITY_NOTE) and moved the credit-loss line to 'Expected credit loss charge' within Total operating expenses too, so the structural difference is presentational (line placement/ordering) not substantive - Total income and Total operating expenses are comparable across all 5 years despite the internal reordering. FY2023-25 additionally show a 'Net (loss)/gain on profit rate swaps at fair value' line (FY2021-22 had no swap programme). Other comprehensive income sub-items ('Items that will not be reclassified' - the freehold property revaluation and its associated cash flow hedge reserve movement) only appear from FY2024 onward, consistent with the Balance Sheet sheet's presentation note. 'Total comprehensive income for the financial year' is the one row genuinely comparable and populated across all 6 years. FY2020 uses the same 'Income from Islamic financing transactions' top line as FY2021-22 (predates the FY2023 relabelling) and reports a genuine £nil 'Other non-fee income' that year (shown as 0, not blank, since the line is otherwise populated in every other year).
ENTITY NOTE: Alrayan Bank Limited (FRN 229148, Companies House 04483430, matches Banks List 2608.xlsx exactly) is a UK Sharia-compliant bank, wholly owned by AlRayan Bank (Q.P.S.C.) of Qatar. Its own Annual Report/Pillar 3 documents style it 'Al Rayan Bank PLC' but Companies House confirms its current registered name is 'ALRAYAN BANK LIMITED' - same company number throughout, not an entity change, just inconsistent branding between the statutory filing and the bank's own PDFs.</t>
        </is>
      </c>
    </row>
  </sheetData>
  <mergeCells count="1">
    <mergeCell ref="A39:G3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3"/>
  <sheetViews>
    <sheetView workbookViewId="0">
      <pane ySplit="4" topLeftCell="A5" activePane="bottomLeft" state="frozen"/>
      <selection pane="bottomLeft" activeCell="A1" sqref="A1"/>
    </sheetView>
  </sheetViews>
  <sheetFormatPr baseColWidth="8" defaultRowHeight="15"/>
  <cols>
    <col width="4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 t="inlineStr">
        <is>
          <t>Alrayan Bank Limited — Statement of Changes in Equity</t>
        </is>
      </c>
    </row>
    <row r="2">
      <c r="A2" s="2" t="inlineStr">
        <is>
          <t>Bank entity-level basis, £'000s. Chronological, oldest to newest.</t>
        </is>
      </c>
    </row>
    <row r="3">
      <c r="A3" s="4" t="inlineStr">
        <is>
          <t>Movement</t>
        </is>
      </c>
      <c r="B3" s="4" t="inlineStr">
        <is>
          <t>Share capital</t>
        </is>
      </c>
      <c r="C3" s="4" t="inlineStr">
        <is>
          <t>Share premium</t>
        </is>
      </c>
      <c r="D3" s="4" t="inlineStr">
        <is>
          <t>Contingent convertible investment</t>
        </is>
      </c>
      <c r="E3" s="4" t="inlineStr">
        <is>
          <t>Investment securities fair value reserve</t>
        </is>
      </c>
      <c r="F3" s="4" t="inlineStr">
        <is>
          <t>Property revaluation reserve</t>
        </is>
      </c>
      <c r="G3" s="4" t="inlineStr">
        <is>
          <t>Cash flow hedge reserve</t>
        </is>
      </c>
      <c r="H3" s="4" t="inlineStr">
        <is>
          <t>Retained earnings/(deficit)</t>
        </is>
      </c>
      <c r="I3" s="4" t="inlineStr">
        <is>
          <t>Profit stabilisation reserve</t>
        </is>
      </c>
      <c r="J3" s="4" t="inlineStr">
        <is>
          <t>Total</t>
        </is>
      </c>
    </row>
    <row r="4">
      <c r="A4" s="5" t="inlineStr">
        <is>
          <t>Balance at 1 January 2020</t>
        </is>
      </c>
      <c r="B4" s="5" t="n">
        <v>121219</v>
      </c>
      <c r="C4" s="5" t="n">
        <v>54807</v>
      </c>
      <c r="D4" s="5" t="n">
        <v>3000</v>
      </c>
      <c r="E4" s="5" t="n">
        <v>356</v>
      </c>
      <c r="F4" s="5" t="n"/>
      <c r="G4" s="5" t="n"/>
      <c r="H4" s="5" t="n">
        <v>-33660</v>
      </c>
      <c r="I4" s="5" t="n">
        <v>99</v>
      </c>
      <c r="J4" s="5" t="n">
        <v>145821</v>
      </c>
    </row>
    <row r="5">
      <c r="A5" s="6" t="inlineStr">
        <is>
          <t>Profit for the year</t>
        </is>
      </c>
      <c r="B5" s="6" t="n"/>
      <c r="C5" s="6" t="n"/>
      <c r="D5" s="6" t="n"/>
      <c r="E5" s="6" t="n"/>
      <c r="F5" s="6" t="n"/>
      <c r="G5" s="6" t="n"/>
      <c r="H5" s="6" t="n">
        <v>3838</v>
      </c>
      <c r="I5" s="6" t="n"/>
      <c r="J5" s="6" t="n">
        <v>3838</v>
      </c>
    </row>
    <row r="6">
      <c r="A6" s="6" t="inlineStr">
        <is>
          <t>Other comprehensive income</t>
        </is>
      </c>
      <c r="B6" s="6" t="n"/>
      <c r="C6" s="6" t="n"/>
      <c r="D6" s="6" t="n"/>
      <c r="E6" s="6" t="n">
        <v>397</v>
      </c>
      <c r="F6" s="6" t="n"/>
      <c r="G6" s="6" t="n"/>
      <c r="H6" s="6" t="n"/>
      <c r="I6" s="6" t="n"/>
      <c r="J6" s="6" t="n">
        <v>397</v>
      </c>
    </row>
    <row r="7">
      <c r="A7" s="5" t="inlineStr">
        <is>
          <t>Total comprehensive income</t>
        </is>
      </c>
      <c r="B7" s="5" t="n"/>
      <c r="C7" s="5" t="n"/>
      <c r="D7" s="5" t="n"/>
      <c r="E7" s="5" t="n">
        <v>397</v>
      </c>
      <c r="F7" s="5" t="n"/>
      <c r="G7" s="5" t="n"/>
      <c r="H7" s="5" t="n">
        <v>3838</v>
      </c>
      <c r="I7" s="5" t="n"/>
      <c r="J7" s="5" t="n">
        <v>4235</v>
      </c>
    </row>
    <row r="8">
      <c r="A8" s="6" t="inlineStr">
        <is>
          <t>Transfer to profit stabilisation reserve</t>
        </is>
      </c>
      <c r="B8" s="6" t="n"/>
      <c r="C8" s="6" t="n"/>
      <c r="D8" s="6" t="n"/>
      <c r="E8" s="6" t="n"/>
      <c r="F8" s="6" t="n"/>
      <c r="G8" s="6" t="n"/>
      <c r="H8" s="6" t="n">
        <v>-1</v>
      </c>
      <c r="I8" s="6" t="n">
        <v>1</v>
      </c>
      <c r="J8" s="6" t="n">
        <v>0</v>
      </c>
    </row>
    <row r="9">
      <c r="A9" s="5" t="inlineStr">
        <is>
          <t>Balance at 31 December 2020</t>
        </is>
      </c>
      <c r="B9" s="5" t="n">
        <v>121219</v>
      </c>
      <c r="C9" s="5" t="n">
        <v>54807</v>
      </c>
      <c r="D9" s="5" t="n">
        <v>3000</v>
      </c>
      <c r="E9" s="5" t="n">
        <v>753</v>
      </c>
      <c r="F9" s="5" t="n"/>
      <c r="G9" s="5" t="n"/>
      <c r="H9" s="5" t="n">
        <v>-29823</v>
      </c>
      <c r="I9" s="5" t="n">
        <v>100</v>
      </c>
      <c r="J9" s="5" t="n">
        <v>150056</v>
      </c>
    </row>
    <row r="10">
      <c r="A10" s="5" t="inlineStr">
        <is>
          <t>Balance at 1 January 2021</t>
        </is>
      </c>
      <c r="B10" s="5" t="n">
        <v>121219</v>
      </c>
      <c r="C10" s="5" t="n">
        <v>54807</v>
      </c>
      <c r="D10" s="5" t="n">
        <v>3000</v>
      </c>
      <c r="E10" s="5" t="n">
        <v>753</v>
      </c>
      <c r="F10" s="5" t="n"/>
      <c r="G10" s="5" t="n"/>
      <c r="H10" s="5" t="n">
        <v>-29823</v>
      </c>
      <c r="I10" s="5" t="n">
        <v>100</v>
      </c>
      <c r="J10" s="5" t="n">
        <v>150056</v>
      </c>
    </row>
    <row r="11">
      <c r="A11" s="6" t="inlineStr">
        <is>
          <t>Profit for the year</t>
        </is>
      </c>
      <c r="B11" s="6" t="n"/>
      <c r="C11" s="6" t="n"/>
      <c r="D11" s="6" t="n"/>
      <c r="E11" s="6" t="n"/>
      <c r="F11" s="6" t="n"/>
      <c r="G11" s="6" t="n"/>
      <c r="H11" s="6" t="n">
        <v>9003</v>
      </c>
      <c r="I11" s="6" t="n"/>
      <c r="J11" s="6" t="n">
        <v>9003</v>
      </c>
    </row>
    <row r="12">
      <c r="A12" s="6" t="inlineStr">
        <is>
          <t>Other comprehensive loss</t>
        </is>
      </c>
      <c r="B12" s="6" t="n"/>
      <c r="C12" s="6" t="n"/>
      <c r="D12" s="6" t="n"/>
      <c r="E12" s="6" t="n">
        <v>-1748</v>
      </c>
      <c r="F12" s="6" t="n"/>
      <c r="G12" s="6" t="n"/>
      <c r="H12" s="6" t="n"/>
      <c r="I12" s="6" t="n"/>
      <c r="J12" s="6" t="n">
        <v>-1748</v>
      </c>
    </row>
    <row r="13">
      <c r="A13" s="5" t="inlineStr">
        <is>
          <t>Total comprehensive income</t>
        </is>
      </c>
      <c r="B13" s="5" t="n"/>
      <c r="C13" s="5" t="n"/>
      <c r="D13" s="5" t="n"/>
      <c r="E13" s="5" t="n">
        <v>-1748</v>
      </c>
      <c r="F13" s="5" t="n"/>
      <c r="G13" s="5" t="n"/>
      <c r="H13" s="5" t="n">
        <v>9003</v>
      </c>
      <c r="I13" s="5" t="n"/>
      <c r="J13" s="5" t="n">
        <v>7255</v>
      </c>
    </row>
    <row r="14">
      <c r="A14" s="6" t="inlineStr">
        <is>
          <t>Cancellation of Share Premium</t>
        </is>
      </c>
      <c r="B14" s="6" t="n"/>
      <c r="C14" s="6" t="n">
        <v>-54807</v>
      </c>
      <c r="D14" s="6" t="n"/>
      <c r="E14" s="6" t="n"/>
      <c r="F14" s="6" t="n"/>
      <c r="G14" s="6" t="n"/>
      <c r="H14" s="6" t="n">
        <v>54807</v>
      </c>
      <c r="I14" s="6" t="n"/>
      <c r="J14" s="6" t="n">
        <v>0</v>
      </c>
    </row>
    <row r="15">
      <c r="A15" s="6" t="inlineStr">
        <is>
          <t>Transfer to profit stabilisation reserve</t>
        </is>
      </c>
      <c r="B15" s="6" t="n"/>
      <c r="C15" s="6" t="n"/>
      <c r="D15" s="6" t="n"/>
      <c r="E15" s="6" t="n"/>
      <c r="F15" s="6" t="n"/>
      <c r="G15" s="6" t="n"/>
      <c r="H15" s="6" t="n">
        <v>2</v>
      </c>
      <c r="I15" s="6" t="n">
        <v>-2</v>
      </c>
      <c r="J15" s="6" t="n">
        <v>0</v>
      </c>
    </row>
    <row r="16">
      <c r="A16" s="5" t="inlineStr">
        <is>
          <t>Balance at 31 December 2021</t>
        </is>
      </c>
      <c r="B16" s="5" t="n">
        <v>121219</v>
      </c>
      <c r="C16" s="5" t="n">
        <v>0</v>
      </c>
      <c r="D16" s="5" t="n">
        <v>3000</v>
      </c>
      <c r="E16" s="5" t="n">
        <v>-995</v>
      </c>
      <c r="F16" s="5" t="n"/>
      <c r="G16" s="5" t="n"/>
      <c r="H16" s="5" t="n">
        <v>33989</v>
      </c>
      <c r="I16" s="5" t="n">
        <v>98</v>
      </c>
      <c r="J16" s="5" t="n">
        <v>157311</v>
      </c>
    </row>
    <row r="17">
      <c r="A17" s="6" t="inlineStr">
        <is>
          <t>Profit for the year</t>
        </is>
      </c>
      <c r="B17" s="6" t="n"/>
      <c r="C17" s="6" t="n"/>
      <c r="D17" s="6" t="n"/>
      <c r="E17" s="6" t="n"/>
      <c r="F17" s="6" t="n"/>
      <c r="G17" s="6" t="n"/>
      <c r="H17" s="6" t="n">
        <v>16500</v>
      </c>
      <c r="I17" s="6" t="n"/>
      <c r="J17" s="6" t="n">
        <v>16500</v>
      </c>
    </row>
    <row r="18">
      <c r="A18" s="6" t="inlineStr">
        <is>
          <t>Other comprehensive loss</t>
        </is>
      </c>
      <c r="B18" s="6" t="n"/>
      <c r="C18" s="6" t="n"/>
      <c r="D18" s="6" t="n"/>
      <c r="E18" s="6" t="n">
        <v>-5653</v>
      </c>
      <c r="F18" s="6" t="n"/>
      <c r="G18" s="6" t="n"/>
      <c r="H18" s="6" t="n"/>
      <c r="I18" s="6" t="n"/>
      <c r="J18" s="6" t="n">
        <v>-5653</v>
      </c>
    </row>
    <row r="19">
      <c r="A19" s="5" t="inlineStr">
        <is>
          <t>Total comprehensive income</t>
        </is>
      </c>
      <c r="B19" s="5" t="n"/>
      <c r="C19" s="5" t="n"/>
      <c r="D19" s="5" t="n"/>
      <c r="E19" s="5" t="n">
        <v>-5653</v>
      </c>
      <c r="F19" s="5" t="n"/>
      <c r="G19" s="5" t="n"/>
      <c r="H19" s="5" t="n">
        <v>16500</v>
      </c>
      <c r="I19" s="5" t="n"/>
      <c r="J19" s="5" t="n">
        <v>10847</v>
      </c>
    </row>
    <row r="20">
      <c r="A20" s="6" t="inlineStr">
        <is>
          <t>Profit Payment to Additional Tier 1 capital holders</t>
        </is>
      </c>
      <c r="B20" s="6" t="n"/>
      <c r="C20" s="6" t="n"/>
      <c r="D20" s="6" t="n"/>
      <c r="E20" s="6" t="n"/>
      <c r="F20" s="6" t="n"/>
      <c r="G20" s="6" t="n"/>
      <c r="H20" s="6" t="n">
        <v>-843</v>
      </c>
      <c r="I20" s="6" t="n"/>
      <c r="J20" s="6" t="n">
        <v>-843</v>
      </c>
    </row>
    <row r="21">
      <c r="A21" s="6" t="inlineStr">
        <is>
          <t>Transfer to profit stabilisation reserve</t>
        </is>
      </c>
      <c r="B21" s="6" t="n"/>
      <c r="C21" s="6" t="n"/>
      <c r="D21" s="6" t="n"/>
      <c r="E21" s="6" t="n"/>
      <c r="F21" s="6" t="n"/>
      <c r="G21" s="6" t="n"/>
      <c r="H21" s="6" t="n">
        <v>1</v>
      </c>
      <c r="I21" s="6" t="n">
        <v>-1</v>
      </c>
      <c r="J21" s="6" t="n">
        <v>0</v>
      </c>
    </row>
    <row r="22">
      <c r="A22" s="5" t="inlineStr">
        <is>
          <t>Balance at 31 December 2022</t>
        </is>
      </c>
      <c r="B22" s="5" t="n">
        <v>121219</v>
      </c>
      <c r="C22" s="5" t="n">
        <v>0</v>
      </c>
      <c r="D22" s="5" t="n">
        <v>3000</v>
      </c>
      <c r="E22" s="5" t="n">
        <v>-6648</v>
      </c>
      <c r="F22" s="5" t="n"/>
      <c r="G22" s="5" t="n"/>
      <c r="H22" s="5" t="n">
        <v>49647</v>
      </c>
      <c r="I22" s="5" t="n">
        <v>97</v>
      </c>
      <c r="J22" s="5" t="n">
        <v>167315</v>
      </c>
    </row>
    <row r="23">
      <c r="A23" s="6" t="inlineStr">
        <is>
          <t>Profit for the year</t>
        </is>
      </c>
      <c r="B23" s="6" t="n"/>
      <c r="C23" s="6" t="n"/>
      <c r="D23" s="6" t="n"/>
      <c r="E23" s="6" t="n"/>
      <c r="F23" s="6" t="n"/>
      <c r="G23" s="6" t="n"/>
      <c r="H23" s="6" t="n">
        <v>23028</v>
      </c>
      <c r="I23" s="6" t="n"/>
      <c r="J23" s="6" t="n">
        <v>23028</v>
      </c>
    </row>
    <row r="24">
      <c r="A24" s="6" t="inlineStr">
        <is>
          <t>Other comprehensive income</t>
        </is>
      </c>
      <c r="B24" s="6" t="n"/>
      <c r="C24" s="6" t="n"/>
      <c r="D24" s="6" t="n"/>
      <c r="E24" s="6" t="n">
        <v>5076</v>
      </c>
      <c r="F24" s="6" t="n"/>
      <c r="G24" s="6" t="n"/>
      <c r="H24" s="6" t="n"/>
      <c r="I24" s="6" t="n"/>
      <c r="J24" s="6" t="n">
        <v>5076</v>
      </c>
    </row>
    <row r="25">
      <c r="A25" s="5" t="inlineStr">
        <is>
          <t>Total comprehensive income</t>
        </is>
      </c>
      <c r="B25" s="5" t="n"/>
      <c r="C25" s="5" t="n"/>
      <c r="D25" s="5" t="n"/>
      <c r="E25" s="5" t="n">
        <v>5076</v>
      </c>
      <c r="F25" s="5" t="n"/>
      <c r="G25" s="5" t="n"/>
      <c r="H25" s="5" t="n">
        <v>23028</v>
      </c>
      <c r="I25" s="5" t="n"/>
      <c r="J25" s="5" t="n">
        <v>28104</v>
      </c>
    </row>
    <row r="26">
      <c r="A26" s="6" t="inlineStr">
        <is>
          <t>Profit payment to additional Tier 1 capital holders</t>
        </is>
      </c>
      <c r="B26" s="6" t="n"/>
      <c r="C26" s="6" t="n"/>
      <c r="D26" s="6" t="n"/>
      <c r="E26" s="6" t="n"/>
      <c r="F26" s="6" t="n"/>
      <c r="G26" s="6" t="n"/>
      <c r="H26" s="6" t="n">
        <v>-281</v>
      </c>
      <c r="I26" s="6" t="n"/>
      <c r="J26" s="6" t="n">
        <v>-281</v>
      </c>
    </row>
    <row r="27">
      <c r="A27" s="6" t="inlineStr">
        <is>
          <t>Transfer to profit stabilisation reserve</t>
        </is>
      </c>
      <c r="B27" s="6" t="n"/>
      <c r="C27" s="6" t="n"/>
      <c r="D27" s="6" t="n"/>
      <c r="E27" s="6" t="n"/>
      <c r="F27" s="6" t="n"/>
      <c r="G27" s="6" t="n"/>
      <c r="H27" s="6" t="n">
        <v>-2</v>
      </c>
      <c r="I27" s="6" t="n">
        <v>2</v>
      </c>
      <c r="J27" s="6" t="n">
        <v>0</v>
      </c>
    </row>
    <row r="28">
      <c r="A28" s="5" t="inlineStr">
        <is>
          <t>Balance at 31 December 2023</t>
        </is>
      </c>
      <c r="B28" s="5" t="n">
        <v>121219</v>
      </c>
      <c r="C28" s="5" t="n"/>
      <c r="D28" s="5" t="n">
        <v>3000</v>
      </c>
      <c r="E28" s="5" t="n">
        <v>-1572</v>
      </c>
      <c r="F28" s="5" t="n"/>
      <c r="G28" s="5" t="n"/>
      <c r="H28" s="5" t="n">
        <v>72392</v>
      </c>
      <c r="I28" s="5" t="n">
        <v>99</v>
      </c>
      <c r="J28" s="5" t="n">
        <v>195138</v>
      </c>
    </row>
    <row r="29">
      <c r="A29" s="6" t="inlineStr">
        <is>
          <t>Profit for the year</t>
        </is>
      </c>
      <c r="B29" s="6" t="n"/>
      <c r="C29" s="6" t="n"/>
      <c r="D29" s="6" t="n"/>
      <c r="E29" s="6" t="n"/>
      <c r="F29" s="6" t="n"/>
      <c r="G29" s="6" t="n"/>
      <c r="H29" s="6" t="n">
        <v>17717</v>
      </c>
      <c r="I29" s="6" t="n"/>
      <c r="J29" s="6" t="n">
        <v>17717</v>
      </c>
    </row>
    <row r="30">
      <c r="A30" s="6" t="inlineStr">
        <is>
          <t>Other comprehensive income</t>
        </is>
      </c>
      <c r="B30" s="6" t="n"/>
      <c r="C30" s="6" t="n"/>
      <c r="D30" s="6" t="n"/>
      <c r="E30" s="6" t="n">
        <v>1370</v>
      </c>
      <c r="F30" s="6" t="n">
        <v>2531</v>
      </c>
      <c r="G30" s="6" t="n"/>
      <c r="H30" s="6" t="n"/>
      <c r="I30" s="6" t="n"/>
      <c r="J30" s="6" t="n">
        <v>3901</v>
      </c>
    </row>
    <row r="31">
      <c r="A31" s="5" t="inlineStr">
        <is>
          <t>Total comprehensive income</t>
        </is>
      </c>
      <c r="B31" s="5" t="n"/>
      <c r="C31" s="5" t="n"/>
      <c r="D31" s="5" t="n"/>
      <c r="E31" s="5" t="n">
        <v>1370</v>
      </c>
      <c r="F31" s="5" t="n">
        <v>2531</v>
      </c>
      <c r="G31" s="5" t="n"/>
      <c r="H31" s="5" t="n">
        <v>17717</v>
      </c>
      <c r="I31" s="5" t="n"/>
      <c r="J31" s="5" t="n">
        <v>21618</v>
      </c>
    </row>
    <row r="32">
      <c r="A32" s="6" t="inlineStr">
        <is>
          <t>Profit payment to additional Tier 1 capital holders</t>
        </is>
      </c>
      <c r="B32" s="6" t="n"/>
      <c r="C32" s="6" t="n"/>
      <c r="D32" s="6" t="n"/>
      <c r="E32" s="6" t="n"/>
      <c r="F32" s="6" t="n"/>
      <c r="G32" s="6" t="n"/>
      <c r="H32" s="6" t="n">
        <v>-282</v>
      </c>
      <c r="I32" s="6" t="n"/>
      <c r="J32" s="6" t="n">
        <v>-282</v>
      </c>
    </row>
    <row r="33">
      <c r="A33" s="6" t="inlineStr">
        <is>
          <t>Transfer to profit stabilisation reserve</t>
        </is>
      </c>
      <c r="B33" s="6" t="n"/>
      <c r="C33" s="6" t="n"/>
      <c r="D33" s="6" t="n"/>
      <c r="E33" s="6" t="n"/>
      <c r="F33" s="6" t="n"/>
      <c r="G33" s="6" t="n"/>
      <c r="H33" s="6" t="n">
        <v>3</v>
      </c>
      <c r="I33" s="6" t="n">
        <v>-3</v>
      </c>
      <c r="J33" s="6" t="n">
        <v>0</v>
      </c>
    </row>
    <row r="34">
      <c r="A34" s="5" t="inlineStr">
        <is>
          <t>Balance at 31 December 2024</t>
        </is>
      </c>
      <c r="B34" s="5" t="n">
        <v>121219</v>
      </c>
      <c r="C34" s="5" t="n"/>
      <c r="D34" s="5" t="n">
        <v>3000</v>
      </c>
      <c r="E34" s="5" t="n">
        <v>-202</v>
      </c>
      <c r="F34" s="5" t="n">
        <v>2531</v>
      </c>
      <c r="G34" s="5" t="n"/>
      <c r="H34" s="5" t="n">
        <v>89830</v>
      </c>
      <c r="I34" s="5" t="n">
        <v>96</v>
      </c>
      <c r="J34" s="5" t="n">
        <v>216474</v>
      </c>
    </row>
    <row r="35">
      <c r="A35" s="6" t="inlineStr">
        <is>
          <t>Profit for the year</t>
        </is>
      </c>
      <c r="B35" s="6" t="n"/>
      <c r="C35" s="6" t="n"/>
      <c r="D35" s="6" t="n"/>
      <c r="E35" s="6" t="n"/>
      <c r="F35" s="6" t="n"/>
      <c r="G35" s="6" t="n"/>
      <c r="H35" s="6" t="n">
        <v>17681</v>
      </c>
      <c r="I35" s="6" t="n"/>
      <c r="J35" s="6" t="n">
        <v>17681</v>
      </c>
    </row>
    <row r="36">
      <c r="A36" s="6" t="inlineStr">
        <is>
          <t>Other comprehensive income</t>
        </is>
      </c>
      <c r="B36" s="6" t="n"/>
      <c r="C36" s="6" t="n"/>
      <c r="D36" s="6" t="n"/>
      <c r="E36" s="6" t="n">
        <v>288</v>
      </c>
      <c r="F36" s="6" t="n"/>
      <c r="G36" s="6" t="n">
        <v>-63</v>
      </c>
      <c r="H36" s="6" t="n"/>
      <c r="I36" s="6" t="n"/>
      <c r="J36" s="6" t="n">
        <v>225</v>
      </c>
    </row>
    <row r="37">
      <c r="A37" s="5" t="inlineStr">
        <is>
          <t>Total comprehensive income</t>
        </is>
      </c>
      <c r="B37" s="5" t="n"/>
      <c r="C37" s="5" t="n"/>
      <c r="D37" s="5" t="n"/>
      <c r="E37" s="5" t="n">
        <v>288</v>
      </c>
      <c r="F37" s="5" t="n"/>
      <c r="G37" s="5" t="n">
        <v>-63</v>
      </c>
      <c r="H37" s="5" t="n">
        <v>17681</v>
      </c>
      <c r="I37" s="5" t="n"/>
      <c r="J37" s="5" t="n">
        <v>17906</v>
      </c>
    </row>
    <row r="38">
      <c r="A38" s="6" t="inlineStr">
        <is>
          <t>Profit payment to additional Tier 1 capital holders</t>
        </is>
      </c>
      <c r="B38" s="6" t="n"/>
      <c r="C38" s="6" t="n"/>
      <c r="D38" s="6" t="n"/>
      <c r="E38" s="6" t="n"/>
      <c r="F38" s="6" t="n"/>
      <c r="G38" s="6" t="n"/>
      <c r="H38" s="6" t="n">
        <v>-377</v>
      </c>
      <c r="I38" s="6" t="n"/>
      <c r="J38" s="6" t="n">
        <v>-377</v>
      </c>
    </row>
    <row r="39">
      <c r="A39" s="6" t="inlineStr">
        <is>
          <t>Transfer to profit stabilisation reserve</t>
        </is>
      </c>
      <c r="B39" s="6" t="n"/>
      <c r="C39" s="6" t="n"/>
      <c r="D39" s="6" t="n"/>
      <c r="E39" s="6" t="n"/>
      <c r="F39" s="6" t="n"/>
      <c r="G39" s="6" t="n"/>
      <c r="H39" s="6" t="n">
        <v>-2</v>
      </c>
      <c r="I39" s="6" t="n">
        <v>2</v>
      </c>
      <c r="J39" s="6" t="n">
        <v>0</v>
      </c>
    </row>
    <row r="40">
      <c r="A40" s="6" t="inlineStr">
        <is>
          <t>Transfer of depreciation on revaluation surplus</t>
        </is>
      </c>
      <c r="B40" s="6" t="n"/>
      <c r="C40" s="6" t="n"/>
      <c r="D40" s="6" t="n"/>
      <c r="E40" s="6" t="n"/>
      <c r="F40" s="6" t="n">
        <v>-40</v>
      </c>
      <c r="G40" s="6" t="n"/>
      <c r="H40" s="6" t="n">
        <v>40</v>
      </c>
      <c r="I40" s="6" t="n"/>
      <c r="J40" s="6" t="n">
        <v>0</v>
      </c>
    </row>
    <row r="41">
      <c r="A41" s="5" t="inlineStr">
        <is>
          <t>Balance at 31 December 2025</t>
        </is>
      </c>
      <c r="B41" s="5" t="n">
        <v>121219</v>
      </c>
      <c r="C41" s="5" t="n"/>
      <c r="D41" s="5" t="n">
        <v>3000</v>
      </c>
      <c r="E41" s="5" t="n">
        <v>86</v>
      </c>
      <c r="F41" s="5" t="n">
        <v>2491</v>
      </c>
      <c r="G41" s="5" t="n">
        <v>-63</v>
      </c>
      <c r="H41" s="5" t="n">
        <v>107172</v>
      </c>
      <c r="I41" s="5" t="n">
        <v>98</v>
      </c>
      <c r="J41" s="5" t="n">
        <v>234003</v>
      </c>
    </row>
    <row r="43" ht="280" customHeight="1">
      <c r="A43" s="8" t="inlineStr">
        <is>
          <t>Sources - Al Rayan Bank's own Statement of Changes in Equity, £'000s, all years:
FY2020-2021: FY2021 Annual Report and Financial Statements (scanned/image-only - transcribed via visual reading of the rendered page), p.42 - https://find-and-update.company-information.service.gov.uk/company/04483430/filing-history/MzM0NDI4NjkxNGFkaXF6a2N4/document?format=pdf&amp;download=0
FY2021-2022: FY2022 Annual Report and Financial Statements (scanned/image-only - transcribed via visual reading of the rendered page), p.37 - https://find-and-update.company-information.service.gov.uk/company/04483430/filing-history/MzM4MzEwOTk0N2FkaXF6a2N4/document?format=pdf&amp;download=0
FY2023-2024: FY2024 Annual Report and Financial Statements, p.41 - https://www.alrayanbank.co.uk/sites/default/files/media/file-uploads/2025-04/04a_-_arb_financial_statements_fy_31-12-2024_-_signed_ey.cleaned.pdf
FY2025: FY2025 Annual Report and Financial Statements (scanned/image-only - transcribed via visual reading of the rendered page), p.40 - https://find-and-update.company-information.service.gov.uk/company/04483430/filing-history/MzUxNTE1ODIyNGFkaXF6a2N4/document?format=pdf&amp;download=0
Presentation note: read chronologically (oldest to newest), unlike every other sheet in this workbook. 'Share premium' (£54,807k at 1 Jan 2021) was fully cancelled during FY2021 and is £0/blank at every later balance date - shown as a column here for completeness, not force-dropped. 'Investment securities fair value reserve' was labelled 'Reserve on investment securities' in the FY2021-22 statements (same reserve, relabelled from FY2023). 'Property revaluation reserve' and 'Cash flow hedge reserve' columns are blank before the balance in which they first appear (FY2024 and FY2025 respectively) since the component didn't exist yet - see the Balance Sheet sheet's presentation note for the same components. 'Transfer to profit stabilisation reserve' rows are small (net-zero-to-Total) reallocations between retained earnings and the profit stabilisation reserve, reported as-is from each year's own statement. FY2020's ladder starts at 1 January 2020 (the earliest opening balance obtainable, from the FY2021 Annual Report's own FY2020 comparative column) - Share premium (£54,807k) and the reserve on investment securities are both still present at their pre-FY2021-cancellation/relabelling levels.
ENTITY NOTE: Alrayan Bank Limited (FRN 229148, Companies House 04483430, matches Banks List 2608.xlsx exactly) is a UK Sharia-compliant bank, wholly owned by AlRayan Bank (Q.P.S.C.) of Qatar. Its own Annual Report/Pillar 3 documents style it 'Al Rayan Bank PLC' but Companies House confirms its current registered name is 'ALRAYAN BANK LIMITED' - same company number throughout, not an entity change, just inconsistent branding between the statutory filing and the bank's own PDFs.</t>
        </is>
      </c>
    </row>
  </sheetData>
  <mergeCells count="1">
    <mergeCell ref="A43:J4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Alrayan Bank Limited — Statement of Cash Flows</t>
        </is>
      </c>
    </row>
    <row r="2">
      <c r="A2" s="2" t="inlineStr">
        <is>
          <t>Bank entity-level basis, £'000s. Full 6 years, no cash-flow exemption.</t>
        </is>
      </c>
    </row>
    <row r="3">
      <c r="A3" s="4" t="inlineStr">
        <is>
          <t>Line item</t>
        </is>
      </c>
      <c r="B3" s="4" t="inlineStr">
        <is>
          <t>FY2025 (£'000s)</t>
        </is>
      </c>
      <c r="C3" s="4" t="inlineStr">
        <is>
          <t>FY2024 (£'000s)</t>
        </is>
      </c>
      <c r="D3" s="4" t="inlineStr">
        <is>
          <t>FY2023 (£'000s)</t>
        </is>
      </c>
      <c r="E3" s="4" t="inlineStr">
        <is>
          <t>FY2022 (£'000s)</t>
        </is>
      </c>
      <c r="F3" s="4" t="inlineStr">
        <is>
          <t>FY2021 (£'000s)</t>
        </is>
      </c>
      <c r="G3" s="4" t="inlineStr">
        <is>
          <t>FY2020 (£'000s)</t>
        </is>
      </c>
    </row>
    <row r="4">
      <c r="A4" s="5" t="inlineStr">
        <is>
          <t>Operating activities</t>
        </is>
      </c>
      <c r="B4" s="6" t="n"/>
      <c r="C4" s="6" t="n"/>
      <c r="D4" s="6" t="n"/>
      <c r="E4" s="6" t="n"/>
      <c r="F4" s="6" t="n"/>
      <c r="G4" s="6" t="n"/>
    </row>
    <row r="5">
      <c r="A5" s="6" t="inlineStr">
        <is>
          <t>Profit before tax</t>
        </is>
      </c>
      <c r="B5" s="6" t="n">
        <v>23587</v>
      </c>
      <c r="C5" s="6" t="n">
        <v>23469</v>
      </c>
      <c r="D5" s="6" t="n">
        <v>30608</v>
      </c>
      <c r="E5" s="6" t="n">
        <v>20797</v>
      </c>
      <c r="F5" s="6" t="n">
        <v>9627</v>
      </c>
      <c r="G5" s="6" t="n">
        <v>4198</v>
      </c>
    </row>
    <row r="6">
      <c r="A6" s="6" t="inlineStr">
        <is>
          <t>Depreciation</t>
        </is>
      </c>
      <c r="B6" s="6" t="n">
        <v>1407</v>
      </c>
      <c r="C6" s="6" t="n">
        <v>1844</v>
      </c>
      <c r="D6" s="6" t="n">
        <v>1338</v>
      </c>
      <c r="E6" s="6" t="n">
        <v>1843</v>
      </c>
      <c r="F6" s="6" t="n">
        <v>2968</v>
      </c>
      <c r="G6" s="6" t="n">
        <v>3040</v>
      </c>
    </row>
    <row r="7">
      <c r="A7" s="6" t="inlineStr">
        <is>
          <t>Amortisation</t>
        </is>
      </c>
      <c r="B7" s="6" t="n">
        <v>1064</v>
      </c>
      <c r="C7" s="6" t="n">
        <v>1361</v>
      </c>
      <c r="D7" s="6" t="n">
        <v>1230</v>
      </c>
      <c r="E7" s="6" t="n">
        <v>1991</v>
      </c>
      <c r="F7" s="6" t="n">
        <v>1516</v>
      </c>
      <c r="G7" s="6" t="n">
        <v>1312</v>
      </c>
    </row>
    <row r="8">
      <c r="A8" s="6" t="inlineStr">
        <is>
          <t>Loss/(gain) on disposal of investment securities</t>
        </is>
      </c>
      <c r="B8" s="6" t="n"/>
      <c r="C8" s="6" t="n"/>
      <c r="D8" s="6" t="n">
        <v>3766</v>
      </c>
      <c r="E8" s="6" t="n">
        <v>-51</v>
      </c>
      <c r="F8" s="6" t="n">
        <v>-25</v>
      </c>
      <c r="G8" s="6" t="n">
        <v>-2941</v>
      </c>
    </row>
    <row r="9">
      <c r="A9" s="6" t="inlineStr">
        <is>
          <t>Cost of subordinated funding</t>
        </is>
      </c>
      <c r="B9" s="6" t="n">
        <v>1118</v>
      </c>
      <c r="C9" s="6" t="n">
        <v>2000</v>
      </c>
      <c r="D9" s="6" t="n">
        <v>2000</v>
      </c>
      <c r="E9" s="6" t="n"/>
      <c r="F9" s="6" t="n"/>
      <c r="G9" s="6" t="n"/>
    </row>
    <row r="10">
      <c r="A10" s="6" t="inlineStr">
        <is>
          <t>Impairment / expected credit loss charge on financial assets</t>
        </is>
      </c>
      <c r="B10" s="6" t="n">
        <v>3798</v>
      </c>
      <c r="C10" s="6" t="n">
        <v>2936</v>
      </c>
      <c r="D10" s="6" t="n">
        <v>1428</v>
      </c>
      <c r="E10" s="6" t="n">
        <v>183</v>
      </c>
      <c r="F10" s="6" t="n">
        <v>-464</v>
      </c>
      <c r="G10" s="6" t="n">
        <v>1544</v>
      </c>
    </row>
    <row r="11">
      <c r="A11" s="6" t="inlineStr">
        <is>
          <t>Other non-cash items</t>
        </is>
      </c>
      <c r="B11" s="6" t="n">
        <v>191</v>
      </c>
      <c r="C11" s="6" t="n">
        <v>943</v>
      </c>
      <c r="D11" s="6" t="n">
        <v>340</v>
      </c>
      <c r="E11" s="6" t="n">
        <v>292</v>
      </c>
      <c r="F11" s="6" t="n">
        <v>565</v>
      </c>
      <c r="G11" s="6" t="n">
        <v>1092</v>
      </c>
    </row>
    <row r="12">
      <c r="A12" s="5" t="inlineStr">
        <is>
          <t>Net cash generated before changes in operating assets and liabilities</t>
        </is>
      </c>
      <c r="B12" s="5" t="n">
        <v>31165</v>
      </c>
      <c r="C12" s="5" t="n">
        <v>32553</v>
      </c>
      <c r="D12" s="5" t="n">
        <v>40710</v>
      </c>
      <c r="E12" s="5" t="n">
        <v>25055</v>
      </c>
      <c r="F12" s="5" t="n">
        <v>14187</v>
      </c>
      <c r="G12" s="5" t="n">
        <v>8245</v>
      </c>
    </row>
    <row r="13">
      <c r="A13" s="6" t="inlineStr">
        <is>
          <t>Treasury placements</t>
        </is>
      </c>
      <c r="B13" s="6" t="n"/>
      <c r="C13" s="6" t="n">
        <v>3330</v>
      </c>
      <c r="D13" s="6" t="n">
        <v>-350</v>
      </c>
      <c r="E13" s="6" t="n">
        <v>120</v>
      </c>
      <c r="F13" s="6" t="n">
        <v>-1318</v>
      </c>
      <c r="G13" s="6" t="n">
        <v>-126</v>
      </c>
    </row>
    <row r="14">
      <c r="A14" s="6" t="inlineStr">
        <is>
          <t>Encumbered non-cash balances</t>
        </is>
      </c>
      <c r="B14" s="6" t="n">
        <v>-1054</v>
      </c>
      <c r="C14" s="6" t="n"/>
      <c r="D14" s="6" t="n"/>
      <c r="E14" s="6" t="n"/>
      <c r="F14" s="6" t="n"/>
      <c r="G14" s="6" t="n"/>
    </row>
    <row r="15">
      <c r="A15" s="6" t="inlineStr">
        <is>
          <t>Home purchase plans</t>
        </is>
      </c>
      <c r="B15" s="6" t="n">
        <v>45000</v>
      </c>
      <c r="C15" s="6" t="n">
        <v>61204</v>
      </c>
      <c r="D15" s="6" t="n">
        <v>106281</v>
      </c>
      <c r="E15" s="6" t="n">
        <v>92488</v>
      </c>
      <c r="F15" s="6" t="n">
        <v>1971</v>
      </c>
      <c r="G15" s="6" t="n">
        <v>-9860</v>
      </c>
    </row>
    <row r="16">
      <c r="A16" s="6" t="inlineStr">
        <is>
          <t>Commercial property finance</t>
        </is>
      </c>
      <c r="B16" s="6" t="n"/>
      <c r="C16" s="6" t="n">
        <v>-278317</v>
      </c>
      <c r="D16" s="6" t="n">
        <v>-111420</v>
      </c>
      <c r="E16" s="6" t="n">
        <v>-120113</v>
      </c>
      <c r="F16" s="6" t="n">
        <v>-112138</v>
      </c>
      <c r="G16" s="6" t="n">
        <v>-92616</v>
      </c>
    </row>
    <row r="17">
      <c r="A17" s="6" t="inlineStr">
        <is>
          <t>Structured real estate</t>
        </is>
      </c>
      <c r="B17" s="6" t="n">
        <v>-417886</v>
      </c>
      <c r="C17" s="6" t="n"/>
      <c r="D17" s="6" t="n"/>
      <c r="E17" s="6" t="n"/>
      <c r="F17" s="6" t="n"/>
      <c r="G17" s="6" t="n"/>
    </row>
    <row r="18">
      <c r="A18" s="6" t="inlineStr">
        <is>
          <t>Securities purchased under reverse repurchase agreements</t>
        </is>
      </c>
      <c r="B18" s="6" t="n">
        <v>-74193</v>
      </c>
      <c r="C18" s="6" t="n"/>
      <c r="D18" s="6" t="n"/>
      <c r="E18" s="6" t="n"/>
      <c r="F18" s="6" t="n"/>
      <c r="G18" s="6" t="n"/>
    </row>
    <row r="19">
      <c r="A19" s="6" t="inlineStr">
        <is>
          <t>Other assets</t>
        </is>
      </c>
      <c r="B19" s="6" t="n">
        <v>-2105</v>
      </c>
      <c r="C19" s="6" t="n">
        <v>925</v>
      </c>
      <c r="D19" s="6" t="n">
        <v>-138</v>
      </c>
      <c r="E19" s="6" t="n">
        <v>2191</v>
      </c>
      <c r="F19" s="6" t="n">
        <v>-1514</v>
      </c>
      <c r="G19" s="6" t="n">
        <v>-150</v>
      </c>
    </row>
    <row r="20">
      <c r="A20" s="6" t="inlineStr">
        <is>
          <t>Derivative financial instruments</t>
        </is>
      </c>
      <c r="B20" s="6" t="n">
        <v>1143</v>
      </c>
      <c r="C20" s="6" t="n">
        <v>3254</v>
      </c>
      <c r="D20" s="6" t="n">
        <v>-4188</v>
      </c>
      <c r="E20" s="6" t="n">
        <v>275</v>
      </c>
      <c r="F20" s="6" t="n">
        <v>5137</v>
      </c>
      <c r="G20" s="6" t="n">
        <v>-3852</v>
      </c>
    </row>
    <row r="21">
      <c r="A21" s="6" t="inlineStr">
        <is>
          <t>Deposits from banks and financial institutions</t>
        </is>
      </c>
      <c r="B21" s="6" t="n">
        <v>156470</v>
      </c>
      <c r="C21" s="6" t="n">
        <v>-46485</v>
      </c>
      <c r="D21" s="6" t="n">
        <v>-34466</v>
      </c>
      <c r="E21" s="6" t="n">
        <v>46741</v>
      </c>
      <c r="F21" s="6" t="n">
        <v>61095</v>
      </c>
      <c r="G21" s="6" t="n">
        <v>61</v>
      </c>
    </row>
    <row r="22">
      <c r="A22" s="6" t="inlineStr">
        <is>
          <t>Deposits from customers</t>
        </is>
      </c>
      <c r="B22" s="6" t="n">
        <v>64775</v>
      </c>
      <c r="C22" s="6" t="n">
        <v>263683</v>
      </c>
      <c r="D22" s="6" t="n">
        <v>105052</v>
      </c>
      <c r="E22" s="6" t="n">
        <v>84485</v>
      </c>
      <c r="F22" s="6" t="n">
        <v>-5338</v>
      </c>
      <c r="G22" s="6" t="n">
        <v>124178</v>
      </c>
    </row>
    <row r="23">
      <c r="A23" s="6" t="inlineStr">
        <is>
          <t>Other liabilities</t>
        </is>
      </c>
      <c r="B23" s="6" t="n">
        <v>-22811</v>
      </c>
      <c r="C23" s="6" t="n">
        <v>22284</v>
      </c>
      <c r="D23" s="6" t="n">
        <v>-3379</v>
      </c>
      <c r="E23" s="6" t="n">
        <v>2767</v>
      </c>
      <c r="F23" s="6" t="n">
        <v>3871</v>
      </c>
      <c r="G23" s="6" t="n">
        <v>-1053</v>
      </c>
    </row>
    <row r="24">
      <c r="A24" s="6" t="inlineStr">
        <is>
          <t>Deferred tax asset</t>
        </is>
      </c>
      <c r="B24" s="6" t="n"/>
      <c r="C24" s="6" t="n"/>
      <c r="D24" s="6" t="n"/>
      <c r="E24" s="6" t="n"/>
      <c r="F24" s="6" t="n"/>
      <c r="G24" s="6" t="n">
        <v>131</v>
      </c>
    </row>
    <row r="25">
      <c r="A25" s="6" t="inlineStr">
        <is>
          <t>Taxation paid</t>
        </is>
      </c>
      <c r="B25" s="6" t="n">
        <v>-4547</v>
      </c>
      <c r="C25" s="6" t="n">
        <v>-4688</v>
      </c>
      <c r="D25" s="6" t="n">
        <v>-6300</v>
      </c>
      <c r="E25" s="6" t="n">
        <v>-3140</v>
      </c>
      <c r="F25" s="6" t="n">
        <v>-1945</v>
      </c>
      <c r="G25" s="6" t="n">
        <v>-432</v>
      </c>
    </row>
    <row r="26">
      <c r="A26" s="5" t="inlineStr">
        <is>
          <t>Net cash generated from/(used in) operating activities</t>
        </is>
      </c>
      <c r="B26" s="5" t="n">
        <v>-224043</v>
      </c>
      <c r="C26" s="5" t="n">
        <v>57743</v>
      </c>
      <c r="D26" s="5" t="n">
        <v>91802</v>
      </c>
      <c r="E26" s="5" t="n">
        <v>130869</v>
      </c>
      <c r="F26" s="5" t="n">
        <v>-35992</v>
      </c>
      <c r="G26" s="5" t="n">
        <v>24526</v>
      </c>
    </row>
    <row r="27">
      <c r="A27" s="5" t="inlineStr">
        <is>
          <t>Investing activities</t>
        </is>
      </c>
      <c r="B27" s="6" t="n"/>
      <c r="C27" s="6" t="n"/>
      <c r="D27" s="6" t="n"/>
      <c r="E27" s="6" t="n"/>
      <c r="F27" s="6" t="n"/>
      <c r="G27" s="6" t="n"/>
    </row>
    <row r="28">
      <c r="A28" s="6" t="inlineStr">
        <is>
          <t>Purchase of investment securities</t>
        </is>
      </c>
      <c r="B28" s="6" t="n">
        <v>-302813</v>
      </c>
      <c r="C28" s="6" t="n">
        <v>-200801</v>
      </c>
      <c r="D28" s="6" t="n">
        <v>-226418</v>
      </c>
      <c r="E28" s="6" t="n"/>
      <c r="F28" s="6" t="n"/>
      <c r="G28" s="6" t="n"/>
    </row>
    <row r="29">
      <c r="A29" s="6" t="inlineStr">
        <is>
          <t>Sales/maturities of investment securities</t>
        </is>
      </c>
      <c r="B29" s="6" t="n">
        <v>205903</v>
      </c>
      <c r="C29" s="6" t="n">
        <v>209476</v>
      </c>
      <c r="D29" s="6" t="n">
        <v>189530</v>
      </c>
      <c r="E29" s="6" t="n"/>
      <c r="F29" s="6" t="n"/>
      <c r="G29" s="6" t="n"/>
    </row>
    <row r="30">
      <c r="A30" s="6" t="inlineStr">
        <is>
          <t>Net sales of investment securities</t>
        </is>
      </c>
      <c r="B30" s="6" t="n"/>
      <c r="C30" s="6" t="n"/>
      <c r="D30" s="6" t="n"/>
      <c r="E30" s="6" t="n">
        <v>7253</v>
      </c>
      <c r="F30" s="6" t="n">
        <v>46245</v>
      </c>
      <c r="G30" s="6" t="n">
        <v>60010</v>
      </c>
    </row>
    <row r="31">
      <c r="A31" s="6" t="inlineStr">
        <is>
          <t>Purchase of property and equipment</t>
        </is>
      </c>
      <c r="B31" s="6" t="n">
        <v>-354</v>
      </c>
      <c r="C31" s="6" t="n">
        <v>-1826</v>
      </c>
      <c r="D31" s="6" t="n">
        <v>-1828</v>
      </c>
      <c r="E31" s="6" t="n">
        <v>-29430</v>
      </c>
      <c r="F31" s="6" t="n">
        <v>-40</v>
      </c>
      <c r="G31" s="6" t="n">
        <v>-251</v>
      </c>
    </row>
    <row r="32">
      <c r="A32" s="6" t="inlineStr">
        <is>
          <t>Investment in intangible assets</t>
        </is>
      </c>
      <c r="B32" s="6" t="n">
        <v>-1163</v>
      </c>
      <c r="C32" s="6" t="n">
        <v>-1167</v>
      </c>
      <c r="D32" s="6" t="n">
        <v>-1321</v>
      </c>
      <c r="E32" s="6" t="n">
        <v>-966</v>
      </c>
      <c r="F32" s="6" t="n">
        <v>-548</v>
      </c>
      <c r="G32" s="6" t="n">
        <v>-2319</v>
      </c>
    </row>
    <row r="33">
      <c r="A33" s="5" t="inlineStr">
        <is>
          <t>Net cash generated from/(used in) investing activities</t>
        </is>
      </c>
      <c r="B33" s="5" t="n">
        <v>-98427</v>
      </c>
      <c r="C33" s="5" t="n">
        <v>5682</v>
      </c>
      <c r="D33" s="5" t="n">
        <v>-40037</v>
      </c>
      <c r="E33" s="5" t="n">
        <v>-23143</v>
      </c>
      <c r="F33" s="5" t="n">
        <v>45657</v>
      </c>
      <c r="G33" s="5" t="n">
        <v>57440</v>
      </c>
    </row>
    <row r="34">
      <c r="A34" s="5" t="inlineStr">
        <is>
          <t>Financing activities</t>
        </is>
      </c>
      <c r="B34" s="6" t="n"/>
      <c r="C34" s="6" t="n"/>
      <c r="D34" s="6" t="n"/>
      <c r="E34" s="6" t="n"/>
      <c r="F34" s="6" t="n"/>
      <c r="G34" s="6" t="n"/>
    </row>
    <row r="35">
      <c r="A35" s="6" t="inlineStr">
        <is>
          <t>Redemption of sukuk funding</t>
        </is>
      </c>
      <c r="B35" s="6" t="n"/>
      <c r="C35" s="6" t="n"/>
      <c r="D35" s="6" t="n"/>
      <c r="E35" s="6" t="n"/>
      <c r="F35" s="6" t="n">
        <v>-146944</v>
      </c>
      <c r="G35" s="6" t="n">
        <v>-34047</v>
      </c>
    </row>
    <row r="36">
      <c r="A36" s="6" t="inlineStr">
        <is>
          <t>Financing from banks</t>
        </is>
      </c>
      <c r="B36" s="6" t="n">
        <v>95247</v>
      </c>
      <c r="C36" s="6" t="n">
        <v>80776</v>
      </c>
      <c r="D36" s="6" t="n"/>
      <c r="E36" s="6" t="n"/>
      <c r="F36" s="6" t="n"/>
      <c r="G36" s="6" t="n"/>
    </row>
    <row r="37">
      <c r="A37" s="6" t="inlineStr">
        <is>
          <t>Payment of principal in respect of leases</t>
        </is>
      </c>
      <c r="B37" s="6" t="n">
        <v>-435</v>
      </c>
      <c r="C37" s="6" t="n">
        <v>-325</v>
      </c>
      <c r="D37" s="6" t="n">
        <v>-1260</v>
      </c>
      <c r="E37" s="6" t="n">
        <v>-1019</v>
      </c>
      <c r="F37" s="6" t="n">
        <v>-1318</v>
      </c>
      <c r="G37" s="6" t="n">
        <v>-1096</v>
      </c>
    </row>
    <row r="38">
      <c r="A38" s="6" t="inlineStr">
        <is>
          <t>Payment of financing in respect of leases</t>
        </is>
      </c>
      <c r="B38" s="6" t="n">
        <v>-25</v>
      </c>
      <c r="C38" s="6" t="n">
        <v>-27</v>
      </c>
      <c r="D38" s="6" t="n">
        <v>-33</v>
      </c>
      <c r="E38" s="6" t="n">
        <v>-116</v>
      </c>
      <c r="F38" s="6" t="n">
        <v>-194</v>
      </c>
      <c r="G38" s="6" t="n">
        <v>-346</v>
      </c>
    </row>
    <row r="39">
      <c r="A39" s="6" t="inlineStr">
        <is>
          <t>Payment of Additional Tier 1 Financing profit</t>
        </is>
      </c>
      <c r="B39" s="6" t="n">
        <v>-377</v>
      </c>
      <c r="C39" s="6" t="n">
        <v>-282</v>
      </c>
      <c r="D39" s="6" t="n">
        <v>-281</v>
      </c>
      <c r="E39" s="6" t="n">
        <v>-843</v>
      </c>
      <c r="F39" s="6" t="n"/>
      <c r="G39" s="6" t="n"/>
    </row>
    <row r="40">
      <c r="A40" s="6" t="inlineStr">
        <is>
          <t>Payment of subordinated funding / profit on subordinated funding</t>
        </is>
      </c>
      <c r="B40" s="6" t="n">
        <v>-23618</v>
      </c>
      <c r="C40" s="6" t="n">
        <v>-2000</v>
      </c>
      <c r="D40" s="6" t="n">
        <v>-2000</v>
      </c>
      <c r="E40" s="6" t="n"/>
      <c r="F40" s="6" t="n"/>
      <c r="G40" s="6" t="n"/>
    </row>
    <row r="41">
      <c r="A41" s="5" t="inlineStr">
        <is>
          <t>Net cash generated from/(used in) financing activities</t>
        </is>
      </c>
      <c r="B41" s="5" t="n">
        <v>70792</v>
      </c>
      <c r="C41" s="5" t="n">
        <v>78142</v>
      </c>
      <c r="D41" s="5" t="n">
        <v>-3574</v>
      </c>
      <c r="E41" s="5" t="n">
        <v>-1978</v>
      </c>
      <c r="F41" s="5" t="n">
        <v>-148456</v>
      </c>
      <c r="G41" s="5" t="n">
        <v>-35489</v>
      </c>
    </row>
    <row r="42">
      <c r="A42" s="5" t="inlineStr">
        <is>
          <t>Net change in cash and cash equivalents</t>
        </is>
      </c>
      <c r="B42" s="5" t="n">
        <v>-251678</v>
      </c>
      <c r="C42" s="5" t="n">
        <v>141567</v>
      </c>
      <c r="D42" s="5" t="n">
        <v>48191</v>
      </c>
      <c r="E42" s="5" t="n">
        <v>105748</v>
      </c>
      <c r="F42" s="5" t="n">
        <v>-138791</v>
      </c>
      <c r="G42" s="5" t="n">
        <v>46477</v>
      </c>
    </row>
    <row r="43">
      <c r="A43" s="6" t="inlineStr">
        <is>
          <t>Foreign exchange gain/(loss)</t>
        </is>
      </c>
      <c r="B43" s="6" t="n">
        <v>4</v>
      </c>
      <c r="C43" s="6" t="n">
        <v>-274</v>
      </c>
      <c r="D43" s="6" t="n">
        <v>-266</v>
      </c>
      <c r="E43" s="6" t="n">
        <v>-10</v>
      </c>
      <c r="F43" s="6" t="n">
        <v>-354</v>
      </c>
      <c r="G43" s="6" t="n">
        <v>-840</v>
      </c>
    </row>
    <row r="44">
      <c r="A44" s="6" t="inlineStr">
        <is>
          <t>Opening cash and cash equivalents</t>
        </is>
      </c>
      <c r="B44" s="6" t="n">
        <v>539046</v>
      </c>
      <c r="C44" s="6" t="n">
        <v>397753</v>
      </c>
      <c r="D44" s="6" t="n">
        <v>349828</v>
      </c>
      <c r="E44" s="6" t="n">
        <v>244090</v>
      </c>
      <c r="F44" s="6" t="n">
        <v>383234</v>
      </c>
      <c r="G44" s="6" t="n">
        <v>339739</v>
      </c>
    </row>
    <row r="45">
      <c r="A45" s="5" t="inlineStr">
        <is>
          <t>Closing cash and cash equivalents</t>
        </is>
      </c>
      <c r="B45" s="5" t="n">
        <v>287372</v>
      </c>
      <c r="C45" s="5" t="n">
        <v>539046</v>
      </c>
      <c r="D45" s="5" t="n">
        <v>397753</v>
      </c>
      <c r="E45" s="5" t="n">
        <v>349828</v>
      </c>
      <c r="F45" s="5" t="n">
        <v>244090</v>
      </c>
      <c r="G45" s="5" t="n">
        <v>385376</v>
      </c>
    </row>
    <row r="47" ht="377" customHeight="1">
      <c r="A47" s="8" t="inlineStr">
        <is>
          <t>Sources - Al Rayan Bank's own Statement of Cash Flows, £'000s, all years:
FY2025: FY2025 Annual Report and Financial Statements (Companies House filing, made up to 31 Dec 2025, filed 16 Apr 2026), p.41 - https://find-and-update.company-information.service.gov.uk/company/04483430/filing-history/MzUxNTE1ODIyNGFkaXF6a2N4/document?format=pdf&amp;download=0
FY2024: FY2024 Annual Report and Financial Statements, p.42 - https://www.alrayanbank.co.uk/sites/default/files/media/file-uploads/2025-04/04a_-_arb_financial_statements_fy_31-12-2024_-_signed_ey.cleaned.pdf
FY2023: sourced from the FY2024 Annual Report's own FY2023 comparative column, p.42 - https://www.alrayanbank.co.uk/sites/default/files/media/file-uploads/2025-04/04a_-_arb_financial_statements_fy_31-12-2024_-_signed_ey.cleaned.pdf
FY2022: FY2022 Annual Report and Financial Statements (Companies House filing, made up to 31 Dec 2022, filed 23 Jun 2023), p.38 - https://find-and-update.company-information.service.gov.uk/company/04483430/filing-history/MzM4MzEwOTk0N2FkaXF6a2N4/document?format=pdf&amp;download=0
FY2021 (restated): sourced from the FY2022 Annual Report's own FY2021 comparative column, p.38 - https://find-and-update.company-information.service.gov.uk/company/04483430/filing-history/MzM4MzEwOTk0N2FkaXF6a2N4/document?format=pdf&amp;download=0. The FY2022 report's own footnote explains the FY2021 restatement: the Bank of England cash ratio deposit was removed from 'Cash and cash equivalents' and MasterCard balances were added, following updated IFRS Interpretations Committee guidance - the originally-reported FY2021 figures (from a standalone FY2021 Annual Report) were not used, this restated version was, consistent with project convention of using a year's most contemporary/authoritative appearance.
FY2020: sourced from the FY2021 Annual Report's own FY2020 comparative column (scanned/image-only - transcribed via visual reading of the rendered page), p.43 - https://find-and-update.company-information.service.gov.uk/company/04483430/filing-history/MzM0NDI4NjkxNGFkaXF6a2N4/document?format=pdf&amp;download=0. This is FY2020's ONLY available appearance anywhere - no FY2022 report (or later) carries a FY2020 comparative column, so there is no restated version of FY2020 to prefer over the original, unlike FY2021. GENUINE RECONCILIATION BREAK (not a transcription error): FY2020's own reported closing cash and cash equivalents is £385,376k, on the pre-restatement classification basis (BoE cash ratio deposit still included, MasterCard balances not yet added) - this does NOT tie to FY2021's own opening cash of £383,234k shown above, because that FY2021 figure is the FY2022-restated version. The ~£2,142k gap at the FY2020/FY2021 boundary is the direct, unavoidable effect of a restatement that was only ever published one year back (in FY2022's FY2021 comparative), never restated further back to FY2020 - so this workbook shows FY2020 on its own original basis (the only basis that exists for it) with the break documented here rather than force-adjusted to an invented restated figure. Several of FY2020's own 'Movement in' line items likewise differ from FY2021's restated figures already in this workbook for the same reason (e.g. Treasury Placements FY2021 shows -1,318 restated above, but FY2021's OWN original figure per this same FY2021 Annual Report page is +148 - not used here, shown only to explain why FY2020's -126 doesn't sit on an identical footing to the FY2021 column beside it). FY2020 also carries a one-off 'Deferred tax asset' movement line (+131) not present in any other year's own cash flow statement - shown as its own row rather than merged into 'Other liabilities'.
FY2025's Statement of Cash Flows introduces new line-item names not used in earlier years (e.g. 'Structured real estate' replacing 'Commercial property finance', a new 'Securities purchased under reverse repurchase agreements' line, 'Encumbered non-cash balances' replacing 'Treasury placements') - these are shown as separate rows below rather than force-merged into the old line items, consistent with how this project handles other banks' presentation changes; every year's own reported section TOTALs are unaffected and the full chain reconciles exactly across FY2021-FY2025 except one immaterial £1k FY2021 rounding gap in the source document itself (opening 383,234 + net change -138,791 + FX -354 = 244,089 vs the printed closing balance of 244,090), kept as printed not force-corrected. FY2020's own column ties exactly within itself (opening 339,739 + net change 46,477 + FX -840 = 385,376 = the printed closing balance) but not into FY2021's column beside it, per the restatement break explained above.
ENTITY NOTE: Alrayan Bank Limited (FRN 229148, Companies House 04483430, matches Banks List 2608.xlsx exactly) is a UK Sharia-compliant bank, wholly owned by AlRayan Bank (Q.P.S.C.) of Qatar. Its own Annual Report/Pillar 3 documents style it 'Al Rayan Bank PLC' but Companies House confirms its current registered name is 'ALRAYAN BANK LIMITED' - same company number throughout, not an entity change, just inconsistent branding between the statutory filing and the bank's own PDFs.</t>
        </is>
      </c>
    </row>
  </sheetData>
  <mergeCells count="1">
    <mergeCell ref="A47:G4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Alrayan Bank Limited — Asset Quality / Credit Risk Disclosures</t>
        </is>
      </c>
    </row>
    <row r="2">
      <c r="A2" s="2" t="inlineStr">
        <is>
          <t>Customer financing book (HPP + Structured Real Estate/CPF + Consumer Finance), £'000s.</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5" t="inlineStr">
        <is>
          <t>Customer financing by product (gross carrying amount)</t>
        </is>
      </c>
      <c r="B4" s="6" t="n"/>
      <c r="C4" s="6" t="n"/>
      <c r="D4" s="6" t="n"/>
      <c r="E4" s="6" t="n"/>
      <c r="F4" s="6" t="n"/>
      <c r="G4" s="6" t="n"/>
    </row>
    <row r="5">
      <c r="A5" s="6" t="inlineStr">
        <is>
          <t>Home Purchase Plans</t>
        </is>
      </c>
      <c r="B5" s="6" t="n">
        <v>888120</v>
      </c>
      <c r="C5" s="6" t="n">
        <v>933121</v>
      </c>
      <c r="D5" s="6" t="n">
        <v>994318</v>
      </c>
      <c r="E5" s="6" t="n">
        <v>1100598</v>
      </c>
      <c r="F5" s="6" t="n">
        <v>1193086</v>
      </c>
      <c r="G5" s="6" t="n">
        <v>1195056</v>
      </c>
    </row>
    <row r="6">
      <c r="A6" s="6" t="inlineStr">
        <is>
          <t>Structured Real Estate / Commercial Property Finance</t>
        </is>
      </c>
      <c r="B6" s="6" t="n">
        <v>1599705</v>
      </c>
      <c r="C6" s="6" t="n">
        <v>1181818</v>
      </c>
      <c r="D6" s="6" t="n">
        <v>903501</v>
      </c>
      <c r="E6" s="6" t="n">
        <v>792082</v>
      </c>
      <c r="F6" s="6" t="n">
        <v>671968</v>
      </c>
      <c r="G6" s="6" t="n">
        <v>559830</v>
      </c>
    </row>
    <row r="7">
      <c r="A7" s="6" t="inlineStr">
        <is>
          <t>Consumer Finance</t>
        </is>
      </c>
      <c r="B7" s="6" t="n">
        <v>57</v>
      </c>
      <c r="C7" s="6" t="n">
        <v>55</v>
      </c>
      <c r="D7" s="6" t="n">
        <v>62</v>
      </c>
      <c r="E7" s="6" t="n">
        <v>64</v>
      </c>
      <c r="F7" s="6" t="n">
        <v>47</v>
      </c>
      <c r="G7" s="6" t="n">
        <v>40</v>
      </c>
    </row>
    <row r="8">
      <c r="A8" s="5" t="inlineStr">
        <is>
          <t>Total customer financing (gross)</t>
        </is>
      </c>
      <c r="B8" s="5" t="n">
        <v>2487882</v>
      </c>
      <c r="C8" s="5" t="n">
        <v>2114994</v>
      </c>
      <c r="D8" s="5" t="n">
        <v>1897881</v>
      </c>
      <c r="E8" s="5" t="n">
        <v>1892744</v>
      </c>
      <c r="F8" s="5" t="n">
        <v>1865101</v>
      </c>
      <c r="G8" s="5" t="n">
        <v>1754926</v>
      </c>
    </row>
    <row r="9">
      <c r="A9" s="5" t="inlineStr">
        <is>
          <t>Customer financing by product (ECL allowance)</t>
        </is>
      </c>
      <c r="B9" s="6" t="n"/>
      <c r="C9" s="6" t="n"/>
      <c r="D9" s="6" t="n"/>
      <c r="E9" s="6" t="n"/>
      <c r="F9" s="6" t="n"/>
      <c r="G9" s="6" t="n"/>
    </row>
    <row r="10">
      <c r="A10" s="6" t="inlineStr">
        <is>
          <t>Home Purchase Plans</t>
        </is>
      </c>
      <c r="B10" s="6" t="n">
        <v>-1042</v>
      </c>
      <c r="C10" s="6" t="n">
        <v>-89</v>
      </c>
      <c r="D10" s="6" t="n">
        <v>-1197</v>
      </c>
      <c r="E10" s="6" t="n">
        <v>-870</v>
      </c>
      <c r="F10" s="6" t="n">
        <v>-1102</v>
      </c>
      <c r="G10" s="6" t="n">
        <v>-1329</v>
      </c>
    </row>
    <row r="11">
      <c r="A11" s="6" t="inlineStr">
        <is>
          <t>Structured Real Estate / Commercial Property Finance</t>
        </is>
      </c>
      <c r="B11" s="6" t="n">
        <v>-10709</v>
      </c>
      <c r="C11" s="6" t="n">
        <v>-7866</v>
      </c>
      <c r="D11" s="6" t="n">
        <v>-3815</v>
      </c>
      <c r="E11" s="6" t="n">
        <v>-2712</v>
      </c>
      <c r="F11" s="6" t="n">
        <v>-2315</v>
      </c>
      <c r="G11" s="6" t="n">
        <v>-2563</v>
      </c>
    </row>
    <row r="12">
      <c r="A12" s="6" t="inlineStr">
        <is>
          <t>Consumer Finance</t>
        </is>
      </c>
      <c r="B12" s="6" t="n">
        <v>-57</v>
      </c>
      <c r="C12" s="6" t="n">
        <v>-55</v>
      </c>
      <c r="D12" s="6" t="n">
        <v>-62</v>
      </c>
      <c r="E12" s="6" t="n">
        <v>-64</v>
      </c>
      <c r="F12" s="6" t="n">
        <v>-47</v>
      </c>
      <c r="G12" s="6" t="n">
        <v>-40</v>
      </c>
    </row>
    <row r="13">
      <c r="A13" s="5" t="inlineStr">
        <is>
          <t>Total ECL allowance</t>
        </is>
      </c>
      <c r="B13" s="5" t="n">
        <v>-11808</v>
      </c>
      <c r="C13" s="5" t="n">
        <v>-8010</v>
      </c>
      <c r="D13" s="5" t="n">
        <v>-5074</v>
      </c>
      <c r="E13" s="5" t="n">
        <v>-3646</v>
      </c>
      <c r="F13" s="5" t="n">
        <v>-3464</v>
      </c>
      <c r="G13" s="5" t="n">
        <v>-3932</v>
      </c>
    </row>
    <row r="14">
      <c r="A14" s="5" t="inlineStr">
        <is>
          <t>Customer financing by IFRS 9 stage - gross carrying amount</t>
        </is>
      </c>
      <c r="B14" s="6" t="n"/>
      <c r="C14" s="6" t="n"/>
      <c r="D14" s="6" t="n"/>
      <c r="E14" s="6" t="n"/>
      <c r="F14" s="6" t="n"/>
      <c r="G14" s="6" t="n"/>
    </row>
    <row r="15">
      <c r="A15" s="6" t="inlineStr">
        <is>
          <t>Stage 1</t>
        </is>
      </c>
      <c r="B15" s="6" t="n">
        <v>2317361</v>
      </c>
      <c r="C15" s="6" t="n">
        <v>1944293</v>
      </c>
      <c r="D15" s="6" t="n">
        <v>1748008</v>
      </c>
      <c r="E15" s="6" t="n">
        <v>1802774</v>
      </c>
      <c r="F15" s="6" t="n">
        <v>1713571</v>
      </c>
      <c r="G15" s="6" t="n">
        <v>1645461</v>
      </c>
    </row>
    <row r="16">
      <c r="A16" s="6" t="inlineStr">
        <is>
          <t>Stage 2</t>
        </is>
      </c>
      <c r="B16" s="6" t="n">
        <v>67436</v>
      </c>
      <c r="C16" s="6" t="n">
        <v>91124</v>
      </c>
      <c r="D16" s="6" t="n">
        <v>88514</v>
      </c>
      <c r="E16" s="6" t="n">
        <v>70443</v>
      </c>
      <c r="F16" s="6" t="n">
        <v>143576</v>
      </c>
      <c r="G16" s="6" t="n">
        <v>104823</v>
      </c>
    </row>
    <row r="17">
      <c r="A17" s="6" t="inlineStr">
        <is>
          <t>Stage 3</t>
        </is>
      </c>
      <c r="B17" s="6" t="n">
        <v>103085</v>
      </c>
      <c r="C17" s="6" t="n">
        <v>79577</v>
      </c>
      <c r="D17" s="6" t="n">
        <v>61359</v>
      </c>
      <c r="E17" s="6" t="n">
        <v>19527</v>
      </c>
      <c r="F17" s="6" t="n">
        <v>7954</v>
      </c>
      <c r="G17" s="6" t="n">
        <v>4642</v>
      </c>
    </row>
    <row r="18">
      <c r="A18" s="5" t="inlineStr">
        <is>
          <t>Total (gross)</t>
        </is>
      </c>
      <c r="B18" s="5" t="n">
        <v>2487882</v>
      </c>
      <c r="C18" s="5" t="n">
        <v>2114994</v>
      </c>
      <c r="D18" s="5" t="n">
        <v>1897881</v>
      </c>
      <c r="E18" s="5" t="n">
        <v>1892744</v>
      </c>
      <c r="F18" s="5" t="n">
        <v>1865101</v>
      </c>
      <c r="G18" s="5" t="n">
        <v>1754926</v>
      </c>
    </row>
    <row r="19">
      <c r="A19" s="5" t="inlineStr">
        <is>
          <t>Customer financing by IFRS 9 stage - ECL allowance</t>
        </is>
      </c>
      <c r="B19" s="6" t="n"/>
      <c r="C19" s="6" t="n"/>
      <c r="D19" s="6" t="n"/>
      <c r="E19" s="6" t="n"/>
      <c r="F19" s="6" t="n"/>
      <c r="G19" s="6" t="n"/>
    </row>
    <row r="20">
      <c r="A20" s="6" t="inlineStr">
        <is>
          <t>Stage 1</t>
        </is>
      </c>
      <c r="B20" s="6" t="n">
        <v>-604</v>
      </c>
      <c r="C20" s="6" t="n">
        <v>-350</v>
      </c>
      <c r="D20" s="6" t="n">
        <v>-327</v>
      </c>
      <c r="E20" s="6" t="n">
        <v>-2519</v>
      </c>
      <c r="F20" s="6" t="n">
        <v>-1279</v>
      </c>
      <c r="G20" s="6" t="n">
        <v>-1797</v>
      </c>
    </row>
    <row r="21">
      <c r="A21" s="6" t="inlineStr">
        <is>
          <t>Stage 2</t>
        </is>
      </c>
      <c r="B21" s="6" t="n">
        <v>-50</v>
      </c>
      <c r="C21" s="6" t="n">
        <v>-155</v>
      </c>
      <c r="D21" s="6" t="n">
        <v>-142</v>
      </c>
      <c r="E21" s="6" t="n">
        <v>-106</v>
      </c>
      <c r="F21" s="6" t="n">
        <v>-1807</v>
      </c>
      <c r="G21" s="6" t="n">
        <v>-1765</v>
      </c>
    </row>
    <row r="22">
      <c r="A22" s="6" t="inlineStr">
        <is>
          <t>Stage 3</t>
        </is>
      </c>
      <c r="B22" s="6" t="n">
        <v>-11154</v>
      </c>
      <c r="C22" s="6" t="n">
        <v>-7505</v>
      </c>
      <c r="D22" s="6" t="n">
        <v>-4605</v>
      </c>
      <c r="E22" s="6" t="n">
        <v>-1021</v>
      </c>
      <c r="F22" s="6" t="n">
        <v>-378</v>
      </c>
      <c r="G22" s="6" t="n">
        <v>-369</v>
      </c>
    </row>
    <row r="23">
      <c r="A23" s="5" t="inlineStr">
        <is>
          <t>Total ECL allowance</t>
        </is>
      </c>
      <c r="B23" s="5" t="n">
        <v>-11808</v>
      </c>
      <c r="C23" s="5" t="n">
        <v>-8010</v>
      </c>
      <c r="D23" s="5" t="n">
        <v>-5074</v>
      </c>
      <c r="E23" s="5" t="n">
        <v>-3646</v>
      </c>
      <c r="F23" s="5" t="n">
        <v>-3464</v>
      </c>
      <c r="G23" s="5" t="n">
        <v>-3931</v>
      </c>
    </row>
    <row r="24">
      <c r="A24" s="5" t="inlineStr">
        <is>
          <t>Derived ratios</t>
        </is>
      </c>
      <c r="B24" s="6" t="n"/>
      <c r="C24" s="6" t="n"/>
      <c r="D24" s="6" t="n"/>
      <c r="E24" s="6" t="n"/>
      <c r="F24" s="6" t="n"/>
      <c r="G24" s="6" t="n"/>
    </row>
    <row r="25">
      <c r="A25" s="6" t="inlineStr">
        <is>
          <t>ECL coverage ratio (Total ECL / Total gross)</t>
        </is>
      </c>
      <c r="B25" s="6" t="inlineStr">
        <is>
          <t>0.47%</t>
        </is>
      </c>
      <c r="C25" s="6" t="inlineStr">
        <is>
          <t>0.38%</t>
        </is>
      </c>
      <c r="D25" s="6" t="inlineStr">
        <is>
          <t>0.27%</t>
        </is>
      </c>
      <c r="E25" s="6" t="inlineStr">
        <is>
          <t>0.19%</t>
        </is>
      </c>
      <c r="F25" s="6" t="inlineStr">
        <is>
          <t>0.19%</t>
        </is>
      </c>
      <c r="G25" s="6" t="inlineStr">
        <is>
          <t>0.22%</t>
        </is>
      </c>
    </row>
    <row r="26">
      <c r="A26" s="6" t="inlineStr">
        <is>
          <t>Stage 3 (NPL) ratio (Stage 3 gross / Total gross)</t>
        </is>
      </c>
      <c r="B26" s="6" t="inlineStr">
        <is>
          <t>4.14%</t>
        </is>
      </c>
      <c r="C26" s="6" t="inlineStr">
        <is>
          <t>3.76%</t>
        </is>
      </c>
      <c r="D26" s="6" t="inlineStr">
        <is>
          <t>3.23%</t>
        </is>
      </c>
      <c r="E26" s="6" t="inlineStr">
        <is>
          <t>1.03%</t>
        </is>
      </c>
      <c r="F26" s="6" t="inlineStr">
        <is>
          <t>0.43%</t>
        </is>
      </c>
      <c r="G26" s="6" t="inlineStr">
        <is>
          <t>0.26%</t>
        </is>
      </c>
    </row>
    <row r="27">
      <c r="A27" s="6" t="inlineStr">
        <is>
          <t>Stage 3 coverage ratio (Stage 3 ECL / Stage 3 gross)</t>
        </is>
      </c>
      <c r="B27" s="6" t="inlineStr">
        <is>
          <t>10.82%</t>
        </is>
      </c>
      <c r="C27" s="6" t="inlineStr">
        <is>
          <t>9.43%</t>
        </is>
      </c>
      <c r="D27" s="6" t="inlineStr">
        <is>
          <t>7.51%</t>
        </is>
      </c>
      <c r="E27" s="6" t="inlineStr">
        <is>
          <t>5.23%</t>
        </is>
      </c>
      <c r="F27" s="6" t="inlineStr">
        <is>
          <t>4.75%</t>
        </is>
      </c>
      <c r="G27" s="6" t="inlineStr">
        <is>
          <t>7.95%</t>
        </is>
      </c>
    </row>
    <row r="29" ht="364" customHeight="1">
      <c r="A29" s="8" t="inlineStr">
        <is>
          <t>Sources - Al Rayan Bank's own credit risk note (IFRS 9 staging and by-product gross/ECL/coverage tables), £'000s, all years:
FY2025: FY2025 Annual Report and Financial Statements, Note 30 'Financial risk management' (scanned/image-only - transcribed via visual reading of the rendered pages), pp.73, 75 - https://find-and-update.company-information.service.gov.uk/company/04483430/filing-history/MzUxNTE1ODIyNGFkaXF6a2N4/document?format=pdf&amp;download=0
FY2024: FY2024 Annual Report and Financial Statements, Note 28/29 'Financing assets' / 'Financial risk management', pp.65, 68 - https://www.alrayanbank.co.uk/sites/default/files/media/file-uploads/2025-04/04a_-_arb_financial_statements_fy_31-12-2024_-_signed_ey.cleaned.pdf
FY2023: sourced from the FY2024 Annual Report's own FY2023 comparative columns, Note 28/29, pp.65, 69 - https://www.alrayanbank.co.uk/sites/default/files/media/file-uploads/2025-04/04a_-_arb_financial_statements_fy_31-12-2024_-_signed_ey.cleaned.pdf
FY2022: FY2022 Annual Report and Financial Statements, Note 26 'Financial risk management' (scanned/image-only - transcribed via visual reading of the rendered page), p.62 - https://find-and-update.company-information.service.gov.uk/company/04483430/filing-history/MzM4MzEwOTk0N2FkaXF6a2N4/document?format=pdf&amp;download=0
FY2021: sourced from the FY2022 Annual Report's own FY2021 comparative table, Note 26, p.63 - https://find-and-update.company-information.service.gov.uk/company/04483430/filing-history/MzM4MzEwOTk0N2FkaXF6a2N4/document?format=pdf&amp;download=0
FY2020: FY2021 Annual Report and Financial Statements, Note 29 'Financial risk management' - 'Total financing assets and ECL at 31 December 2020' table (scanned/image-only - transcribed via visual reading of the rendered page), p.74 - https://find-and-update.company-information.service.gov.uk/company/04483430/filing-history/MzM0NDI4NjkxNGFkaXF6a2N4/document?format=pdf&amp;download=0
Presentation note: scope is the Bank's customer financing book only (Home Purchase Plans + Structured Real Estate/Commercial Property Finance + Consumer Finance) - Treasury placements and Investment securities are excluded from this sheet as they are 100% Stage 1 with ~0% coverage every year (pure treasury exposure, not customer lending; see the Balance Sheet sheet for their carrying values). 'Structured Real Estate' is FY2025's renamed 'Commercial Property Finance' line (same product, see the Balance Sheet sheet's note). By-IFRS9-stage figures for FY2021-2023 are derived by subtracting Treasury/Investment securities' Stage 1 exposure (which is disclosed together with customer financing in a combined 'Total financing assets and ECL' table in those years' own Annual Reports) from that combined table's totals - Stage 2/3 are unaffected since treasury/investment securities carry none. This nets out to the exact same figures as the customer-financing-only table both FY2024 and FY2025 disclose directly, cross-checked line for line. ECL coverage / NPL (Stage 3) ratio / Stage 3 coverage are calculated here (gross carrying amount and ECL allowance are as disclosed; the ratios are this workbook's own division, not transcribed from a source document's own rounded coverage % column, so they may differ from a source table's own coverage % column in the last decimal place). FY2020's own source document has a genuine internal £1k rounding gap between its combined Stage 3 total (£4,642k) and the by-product Stage 3 figures it separately discloses (HPP £4,601k + Consumer Finance £40k + nil CPF = £4,641k) - kept as printed in each of this sheet's own by-product and by-stage sections, not force-corrected; likewise FY2020's by-product Total ECL allowance (£3,932k) is £1k off its by-stage Total ECL allowance (£3,931k), same source-document rounding, both kept as printed.
ENTITY NOTE: Alrayan Bank Limited (FRN 229148, Companies House 04483430, matches Banks List 2608.xlsx exactly) is a UK Sharia-compliant bank, wholly owned by AlRayan Bank (Q.P.S.C.) of Qatar. Its own Annual Report/Pillar 3 documents style it 'Al Rayan Bank PLC' but Companies House confirms its current registered name is 'ALRAYAN BANK LIMITED' - same company number throughout, not an entity change, just inconsistent branding between the statutory filing and the bank's own PDFs.</t>
        </is>
      </c>
    </row>
  </sheetData>
  <mergeCells count="1">
    <mergeCell ref="A29:G2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s>
  <sheetData>
    <row r="1">
      <c r="A1" s="1" t="inlineStr">
        <is>
          <t>Alrayan Bank Limited — KM1 Key Metrics</t>
        </is>
      </c>
    </row>
    <row r="2">
      <c r="A2" s="2" t="inlineStr">
        <is>
          <t>The bank's own published UK KM1 template (Annex I of its Pillar 3 Disclosures), reproduced in Alrayan's row order with its own template row numbers and printed precision. Amounts in £m, ratios as printed. FY2021 and FY2020 pre-date the template and are intentionally blank.</t>
        </is>
      </c>
    </row>
    <row r="3">
      <c r="A3" s="4" t="inlineStr">
        <is>
          <t>Line item</t>
        </is>
      </c>
      <c r="B3" s="4" t="inlineStr">
        <is>
          <t>FY2025</t>
        </is>
      </c>
      <c r="C3" s="4" t="inlineStr">
        <is>
          <t>FY2024</t>
        </is>
      </c>
      <c r="D3" s="4" t="inlineStr">
        <is>
          <t>FY2023</t>
        </is>
      </c>
      <c r="E3" s="4" t="inlineStr">
        <is>
          <t>FY2022</t>
        </is>
      </c>
    </row>
    <row r="4">
      <c r="A4" s="5" t="inlineStr">
        <is>
          <t>Available own funds (amounts, £m)</t>
        </is>
      </c>
      <c r="B4" s="6" t="n"/>
      <c r="C4" s="6" t="n"/>
      <c r="D4" s="6" t="n"/>
      <c r="E4" s="6" t="n"/>
    </row>
    <row r="5">
      <c r="A5" s="6" t="inlineStr">
        <is>
          <t>1    Common Equity Tier 1 (CET1) capital</t>
        </is>
      </c>
      <c r="B5" s="6" t="n">
        <v>227.3</v>
      </c>
      <c r="C5" s="6" t="n">
        <v>208.2</v>
      </c>
      <c r="D5" s="6" t="n">
        <v>183.9</v>
      </c>
      <c r="E5" s="6" t="n">
        <v>152.7</v>
      </c>
    </row>
    <row r="6">
      <c r="A6" s="6" t="inlineStr">
        <is>
          <t>2    Tier 1 capital</t>
        </is>
      </c>
      <c r="B6" s="6" t="n">
        <v>230.3</v>
      </c>
      <c r="C6" s="6" t="n">
        <v>211.2</v>
      </c>
      <c r="D6" s="6" t="n">
        <v>186.9</v>
      </c>
      <c r="E6" s="6" t="n">
        <v>155.7</v>
      </c>
    </row>
    <row r="7">
      <c r="A7" s="6" t="inlineStr">
        <is>
          <t>3    Total capital</t>
        </is>
      </c>
      <c r="B7" s="6" t="n">
        <v>232.8</v>
      </c>
      <c r="C7" s="6" t="n">
        <v>224.9</v>
      </c>
      <c r="D7" s="6" t="n">
        <v>205.5</v>
      </c>
      <c r="E7" s="6" t="n">
        <v>178.4</v>
      </c>
    </row>
    <row r="8">
      <c r="A8" s="5" t="inlineStr">
        <is>
          <t>Risk-weighted exposure amounts (£m)</t>
        </is>
      </c>
      <c r="B8" s="6" t="n"/>
      <c r="C8" s="6" t="n"/>
      <c r="D8" s="6" t="n"/>
      <c r="E8" s="6" t="n"/>
    </row>
    <row r="9">
      <c r="A9" s="6" t="inlineStr">
        <is>
          <t>4    Total risk-weighted exposure amount</t>
        </is>
      </c>
      <c r="B9" s="6" t="n">
        <v>1471.7</v>
      </c>
      <c r="C9" s="6" t="n">
        <v>1307.8</v>
      </c>
      <c r="D9" s="6" t="n">
        <v>1059.1</v>
      </c>
      <c r="E9" s="6" t="n">
        <v>1022.3</v>
      </c>
    </row>
    <row r="10">
      <c r="A10" s="5" t="inlineStr">
        <is>
          <t>Capital ratios (as a percentage of risk-weighted exposure amount)</t>
        </is>
      </c>
      <c r="B10" s="6" t="n"/>
      <c r="C10" s="6" t="n"/>
      <c r="D10" s="6" t="n"/>
      <c r="E10" s="6" t="n"/>
    </row>
    <row r="11">
      <c r="A11" s="6" t="inlineStr">
        <is>
          <t>5    Common Equity Tier 1 ratio (%)</t>
        </is>
      </c>
      <c r="B11" s="6" t="inlineStr">
        <is>
          <t>15.45%</t>
        </is>
      </c>
      <c r="C11" s="6" t="inlineStr">
        <is>
          <t>15.95%</t>
        </is>
      </c>
      <c r="D11" s="6" t="inlineStr">
        <is>
          <t>17.36%</t>
        </is>
      </c>
      <c r="E11" s="6" t="inlineStr">
        <is>
          <t>14.93%</t>
        </is>
      </c>
    </row>
    <row r="12">
      <c r="A12" s="6" t="inlineStr">
        <is>
          <t>6    Tier 1 ratio (%)</t>
        </is>
      </c>
      <c r="B12" s="6" t="inlineStr">
        <is>
          <t>15.65%</t>
        </is>
      </c>
      <c r="C12" s="6" t="inlineStr">
        <is>
          <t>16.15%</t>
        </is>
      </c>
      <c r="D12" s="6" t="inlineStr">
        <is>
          <t>17.65%</t>
        </is>
      </c>
      <c r="E12" s="6" t="inlineStr">
        <is>
          <t>15.23%</t>
        </is>
      </c>
    </row>
    <row r="13">
      <c r="A13" s="6" t="inlineStr">
        <is>
          <t>7    Total capital ratio (%)</t>
        </is>
      </c>
      <c r="B13" s="6" t="inlineStr">
        <is>
          <t>15.82%</t>
        </is>
      </c>
      <c r="C13" s="6" t="inlineStr">
        <is>
          <t>17.19%</t>
        </is>
      </c>
      <c r="D13" s="6" t="inlineStr">
        <is>
          <t>19.41%</t>
        </is>
      </c>
      <c r="E13" s="6" t="inlineStr">
        <is>
          <t>17.45%</t>
        </is>
      </c>
    </row>
    <row r="14">
      <c r="A14" s="5" t="inlineStr">
        <is>
          <t>Additional own funds requirements based on SREP (as a percentage of risk-weighted exposure amount)</t>
        </is>
      </c>
      <c r="B14" s="6" t="n"/>
      <c r="C14" s="6" t="n"/>
      <c r="D14" s="6" t="n"/>
      <c r="E14" s="6" t="n"/>
    </row>
    <row r="15">
      <c r="A15" s="6" t="inlineStr">
        <is>
          <t>UK 7a    Additional CET1 SREP requirements (%)</t>
        </is>
      </c>
      <c r="B15" s="6" t="inlineStr">
        <is>
          <t>1.54%</t>
        </is>
      </c>
      <c r="C15" s="6" t="inlineStr">
        <is>
          <t>1.80%</t>
        </is>
      </c>
      <c r="D15" s="6" t="inlineStr">
        <is>
          <t>1.80%</t>
        </is>
      </c>
      <c r="E15" s="6" t="inlineStr">
        <is>
          <t>2.82%</t>
        </is>
      </c>
    </row>
    <row r="16">
      <c r="A16" s="6" t="inlineStr">
        <is>
          <t>UK 7d    Total SREP own funds requirements (%)</t>
        </is>
      </c>
      <c r="B16" s="6" t="inlineStr">
        <is>
          <t>9.54%</t>
        </is>
      </c>
      <c r="C16" s="6" t="inlineStr">
        <is>
          <t>9.80%</t>
        </is>
      </c>
      <c r="D16" s="6" t="inlineStr">
        <is>
          <t>9.80%</t>
        </is>
      </c>
      <c r="E16" s="6" t="inlineStr">
        <is>
          <t>10.82%</t>
        </is>
      </c>
    </row>
    <row r="17">
      <c r="A17" s="5" t="inlineStr">
        <is>
          <t>Combined buffer requirement (as a percentage of risk-weighted exposure amount)</t>
        </is>
      </c>
      <c r="B17" s="6" t="n"/>
      <c r="C17" s="6" t="n"/>
      <c r="D17" s="6" t="n"/>
      <c r="E17" s="6" t="n"/>
    </row>
    <row r="18">
      <c r="A18" s="6" t="inlineStr">
        <is>
          <t>8    Capital conservation buffer (%)</t>
        </is>
      </c>
      <c r="B18" s="6" t="inlineStr">
        <is>
          <t>2.50%</t>
        </is>
      </c>
      <c r="C18" s="6" t="inlineStr">
        <is>
          <t>2.50%</t>
        </is>
      </c>
      <c r="D18" s="6" t="inlineStr">
        <is>
          <t>2.50%</t>
        </is>
      </c>
      <c r="E18" s="6" t="inlineStr">
        <is>
          <t>2.50%</t>
        </is>
      </c>
    </row>
    <row r="19">
      <c r="A19" s="6" t="inlineStr">
        <is>
          <t>9    Institution specific countercyclical capital buffer (%)</t>
        </is>
      </c>
      <c r="B19" s="6" t="inlineStr">
        <is>
          <t>1.38%</t>
        </is>
      </c>
      <c r="C19" s="6" t="inlineStr">
        <is>
          <t>1.25%</t>
        </is>
      </c>
      <c r="D19" s="6" t="inlineStr">
        <is>
          <t>1.33%</t>
        </is>
      </c>
      <c r="E19" s="6" t="inlineStr">
        <is>
          <t>0.65%</t>
        </is>
      </c>
    </row>
    <row r="20">
      <c r="A20" s="6" t="inlineStr">
        <is>
          <t>11    Combined buffer requirement (%)</t>
        </is>
      </c>
      <c r="B20" s="6" t="inlineStr">
        <is>
          <t>3.88%</t>
        </is>
      </c>
      <c r="C20" s="6" t="inlineStr">
        <is>
          <t>3.75%</t>
        </is>
      </c>
      <c r="D20" s="6" t="inlineStr">
        <is>
          <t>3.83%</t>
        </is>
      </c>
      <c r="E20" s="6" t="inlineStr">
        <is>
          <t>3.15%</t>
        </is>
      </c>
    </row>
    <row r="21">
      <c r="A21" s="6" t="inlineStr">
        <is>
          <t>UK 11a    Overall capital requirements (%)</t>
        </is>
      </c>
      <c r="B21" s="6" t="inlineStr">
        <is>
          <t>13.42%</t>
        </is>
      </c>
      <c r="C21" s="6" t="inlineStr">
        <is>
          <t>13.55%</t>
        </is>
      </c>
      <c r="D21" s="6" t="inlineStr">
        <is>
          <t>13.63%</t>
        </is>
      </c>
      <c r="E21" s="6" t="inlineStr">
        <is>
          <t>13.97%</t>
        </is>
      </c>
    </row>
    <row r="22">
      <c r="A22" s="6" t="inlineStr">
        <is>
          <t>12    CET1 available after meeting the total SREP own funds requirements (%)</t>
        </is>
      </c>
      <c r="B22" s="6" t="inlineStr">
        <is>
          <t>38%</t>
        </is>
      </c>
      <c r="C22" s="6" t="inlineStr">
        <is>
          <t>38%</t>
        </is>
      </c>
      <c r="D22" s="6" t="inlineStr">
        <is>
          <t>44%</t>
        </is>
      </c>
      <c r="E22" s="6" t="inlineStr">
        <is>
          <t>28%</t>
        </is>
      </c>
    </row>
    <row r="23">
      <c r="A23" s="5" t="inlineStr">
        <is>
          <t>Leverage ratio (£m / %)</t>
        </is>
      </c>
      <c r="B23" s="6" t="n"/>
      <c r="C23" s="6" t="n"/>
      <c r="D23" s="6" t="n"/>
      <c r="E23" s="6" t="n"/>
    </row>
    <row r="24">
      <c r="A24" s="6" t="inlineStr">
        <is>
          <t>13    Total exposure measure excluding claims on central banks</t>
        </is>
      </c>
      <c r="B24" s="6" t="n">
        <v>3027</v>
      </c>
      <c r="C24" s="6" t="n">
        <v>2758</v>
      </c>
      <c r="D24" s="6" t="n">
        <v>2399.4</v>
      </c>
      <c r="E24" s="6" t="n">
        <v>2306.6</v>
      </c>
    </row>
    <row r="25">
      <c r="A25" s="6" t="inlineStr">
        <is>
          <t>14    Leverage ratio excluding claims on central banks (%)</t>
        </is>
      </c>
      <c r="B25" s="6" t="inlineStr">
        <is>
          <t>7.6%</t>
        </is>
      </c>
      <c r="C25" s="6" t="inlineStr">
        <is>
          <t>7.7%</t>
        </is>
      </c>
      <c r="D25" s="6" t="inlineStr">
        <is>
          <t>7.8%</t>
        </is>
      </c>
      <c r="E25" s="6" t="inlineStr">
        <is>
          <t>6.7%</t>
        </is>
      </c>
    </row>
    <row r="26">
      <c r="A26" s="5" t="inlineStr">
        <is>
          <t>Additional leverage ratio disclosure requirements</t>
        </is>
      </c>
      <c r="B26" s="6" t="n"/>
      <c r="C26" s="6" t="n"/>
      <c r="D26" s="6" t="n"/>
      <c r="E26" s="6" t="n"/>
    </row>
    <row r="27">
      <c r="A27" s="5" t="inlineStr">
        <is>
          <t>Liquidity Coverage Ratio (£m / %)</t>
        </is>
      </c>
      <c r="B27" s="6" t="n"/>
      <c r="C27" s="6" t="n"/>
      <c r="D27" s="6" t="n"/>
      <c r="E27" s="6" t="n"/>
    </row>
    <row r="28">
      <c r="A28" s="6" t="inlineStr">
        <is>
          <t>15    Total high-quality liquid assets (HQLA) (Weighted value -average)</t>
        </is>
      </c>
      <c r="B28" s="6" t="n">
        <v>249.5</v>
      </c>
      <c r="C28" s="6" t="n">
        <v>229.7</v>
      </c>
      <c r="D28" s="6" t="n">
        <v>202.1</v>
      </c>
      <c r="E28" s="6" t="n">
        <v>173.6</v>
      </c>
    </row>
    <row r="29">
      <c r="A29" s="6" t="inlineStr">
        <is>
          <t>UK 16a    Cash outflows – Total weighted value</t>
        </is>
      </c>
      <c r="B29" s="6" t="n">
        <v>208.5</v>
      </c>
      <c r="C29" s="6" t="n">
        <v>198.3</v>
      </c>
      <c r="D29" s="6" t="n">
        <v>132.4</v>
      </c>
      <c r="E29" s="6" t="n">
        <v>159.4</v>
      </c>
    </row>
    <row r="30">
      <c r="A30" s="6" t="inlineStr">
        <is>
          <t>UK 16b    Cash inflows – Total weighted value</t>
        </is>
      </c>
      <c r="B30" s="6" t="n">
        <v>290.2</v>
      </c>
      <c r="C30" s="6" t="n">
        <v>344</v>
      </c>
      <c r="D30" s="6" t="n">
        <v>266.6</v>
      </c>
      <c r="E30" s="6" t="n">
        <v>255.1</v>
      </c>
    </row>
    <row r="31">
      <c r="A31" s="6" t="inlineStr">
        <is>
          <t>16    Total net cash outflows (adjusted value)</t>
        </is>
      </c>
      <c r="B31" s="6" t="n">
        <v>52.1</v>
      </c>
      <c r="C31" s="6" t="n">
        <v>49.6</v>
      </c>
      <c r="D31" s="6" t="n">
        <v>33.1</v>
      </c>
      <c r="E31" s="6" t="n">
        <v>39.8</v>
      </c>
    </row>
    <row r="32">
      <c r="A32" s="6" t="inlineStr">
        <is>
          <t>17    Liquidity coverage ratio (%)</t>
        </is>
      </c>
      <c r="B32" s="6" t="inlineStr">
        <is>
          <t>481%</t>
        </is>
      </c>
      <c r="C32" s="6" t="inlineStr">
        <is>
          <t>523%</t>
        </is>
      </c>
      <c r="D32" s="6" t="inlineStr">
        <is>
          <t>641%</t>
        </is>
      </c>
      <c r="E32" s="6" t="inlineStr">
        <is>
          <t>442%</t>
        </is>
      </c>
    </row>
    <row r="33">
      <c r="A33" s="5" t="inlineStr">
        <is>
          <t>Net Stable Funding Ratio (£m / %)</t>
        </is>
      </c>
      <c r="B33" s="6" t="n"/>
      <c r="C33" s="6" t="n"/>
      <c r="D33" s="6" t="n"/>
      <c r="E33" s="6" t="n"/>
    </row>
    <row r="34">
      <c r="A34" s="6" t="inlineStr">
        <is>
          <t>18    Total available stable funding</t>
        </is>
      </c>
      <c r="B34" s="6" t="n">
        <v>2540.2</v>
      </c>
      <c r="C34" s="6" t="n">
        <v>2331</v>
      </c>
      <c r="D34" s="6" t="n">
        <v>2071.3</v>
      </c>
      <c r="E34" s="6" t="n">
        <v>1982.3</v>
      </c>
    </row>
    <row r="35">
      <c r="A35" s="6" t="inlineStr">
        <is>
          <t>19    Total required stable funding</t>
        </is>
      </c>
      <c r="B35" s="6" t="n">
        <v>1687.6</v>
      </c>
      <c r="C35" s="6" t="n">
        <v>1449.3</v>
      </c>
      <c r="D35" s="6" t="n">
        <v>1321.3</v>
      </c>
      <c r="E35" s="6" t="n">
        <v>1280.8</v>
      </c>
    </row>
    <row r="36">
      <c r="A36" s="6" t="inlineStr">
        <is>
          <t>20    NSFR ratio (%)</t>
        </is>
      </c>
      <c r="B36" s="6" t="inlineStr">
        <is>
          <t>151%</t>
        </is>
      </c>
      <c r="C36" s="6" t="inlineStr">
        <is>
          <t>161%</t>
        </is>
      </c>
      <c r="D36" s="6" t="inlineStr">
        <is>
          <t>157%</t>
        </is>
      </c>
      <c r="E36" s="6" t="inlineStr">
        <is>
          <t>155%</t>
        </is>
      </c>
    </row>
    <row r="38" ht="390" customHeight="1">
      <c r="A38" s="8" t="inlineStr">
        <is>
          <t>Sources - Alrayan Bank Limited's own Pillar 3 Disclosures, £m capital amounts / % ratios, all years:
FY2025: Pillar 3 Disclosures - 31 December 2025, Annex I KM1 table, p.39 - https://www.alrayanbank.co.uk/sites/default/files/media/file-uploads/2026-09/pb8084_alrayan_pillar_3_disclosures_2025.pdf
FY2024: Pillar 3 Disclosures - 31 December 2024, Annex I KM1 table, p.38 - https://www.alrayanbank.co.uk/sites/default/files/media/file-uploads/2025-09/alrayan_pillar_3_disclosures_2024_web_-_010925.pdf
FY2023: Pillar 3 Disclosures - 31 December 2023, Annex I KM1 table, p.33 - https://www.alrayanbank.co.uk/sites/default/files/media/file-uploads/2024-08/pb7703_al_rayan_pillar_3_disclosures_2023_v2.pdf
FY2022: Pillar 3 Disclosures - 31 December 2022, Annex I KM1 table, p.29, column a '31/12/2022' - https://www.alrayanbank.co.uk/sites/default/files/media/file-uploads/2023-08/al_rayan_pillar_three_32pp_brochure_-_final.pdf
  FY2022 RE-SOURCED 2026-10-08 TO ITS OWN EDITION (KM1 locked rule 1), AND WHAT THE CHECK FOUND IS RECORDED BECAUSE IT IS EVIDENCE. This citation used to read 'sourced from the FY2023 Pillar 3 Disclosures' own FY2022 comparative column, Annex I KM1 table, p.33'. Rule 1 says use each year's OWN edition, never a later edition's comparative, because a comparative imports the later edition's restatements and errors invisibly. The FY2022 edition was fetched (32pp, cover 'Pillar 3 Disclosures 31 December 2022') and its Annex I KM1 on p.29 read at 200 dpi off the page image: every one of the 24 figures this workbook carries for FY2022 - 152.7 / 155.7 / 178.4 / 1,022.3, 14.93% / 15.23% / 17.45%, 2.82% / 10.82%, 2.50% / 0.65% / 3.15% / 13.97% / 28%, 2,306.6 / 6.7%, 173.6 / 159.4 / 255.1 / 39.8 / 442%, 1,982.3 / 1,280.8 / 155% - matches digit for digit. So NO FIGURE CHANGED: the FY2023 edition did not restate FY2022, and that agreement is now established rather than assumed. The citation points at the own edition so the next reader does not have to re-do this.
  Two things that stay as they are, both deliberate: the FY2022 edition also prints a 31/12/2021 KM1 comparative column (142.4 / 145.4 / 170.4 / 943.9, 15.08% / 15.40% / 18.05%, 6.8%, 357%), and rule 1 forbids using it - FY2021's own edition pre-dates the template, so the KM1 sheet's FY2021 column stays blank. Its footnote on NSFR ('only been reported for 2022 ... however, the amount calculated by the Bank and reported within the 2021 disclosures was 146%') is the Bank quoting its own earlier document, not a KM1 row, so it does not fill a KM1 cell either.
FY2021: Pillar 3 Disclosures - 31 December 2021, Table 1/2/3 (this edition pre-dates the bank's adoption of the standardised KM1 Annex template, so FY2021 figures come from the Executive Summary tables instead), p.5 - https://www.alrayanbank.co.uk/sites/default/files/media/file-uploads/2022-10/inv-rep-2021-pillar-3.pdf
FY2020: Pillar 3 Disclosures - 31 December 2020, Table 1/2 'Available capital'/'Capital ratios as a percentage of RWA' (same pre-KM1 Executive Summary format as FY2021's edition - this document has a genuine text layer, unlike the scanned Annual Reports, so figures are machine-read not visually transcribed), p.3 - https://www.alrayanbank.co.uk/sites/default/files/media/file-uploads/2021-07/2020_pillar_3_disclosures_-_final.pdf. Cross-checked against the FY2021 Annual Report's own FY2020 credit-risk comparative note and ties exactly.
FY2025 FILLED 2026-09-15: the FY2025 Pillar 3 Disclosures PDF is now live on the Bank's investor-relations regulatory-information page (published 2026-09), and every FY2025 Pillar 3 cell in this workbook is transcribed from its Annex I KM1/OV1 templates - nothing is carried over from the Annual Report. One consequence: the CET1 ratio cell for FY2025 was previously 15.41% (the FY2025 Annual Report's own KPI table, the only capital figure available before the Pillar 3 document appeared) and is now 15.45%, the KM1 Annex figure. The two are different bases, not a correction of an error - the same AR-KPI-vs-KM1 spread this project keeps blank elsewhere - and the KM1 figure is used here for consistency with FY2020-FY2024 and with every other bank in this project. Likewise the LCR cell uses KM1 line 17's twelve-month average (481%), not the Executive Summary's point-in-time 598%.</t>
        </is>
      </c>
    </row>
    <row r="40" ht="260" customHeight="1">
      <c r="A40" s="8" t="inlineStr">
        <is>
          <t>(continued)
This bank's own Pillar 3 documents show small internal discrepancies between their Executive Summary narrative tables and their formal KM1 Annex tables in a couple of instances (e.g. FY2023 NSFR: 160% exec summary vs 157% KM1 annex; FY2022 Leverage Ratio: 6.8% exec summary vs 6.7% KM1 annex) - this workbook uses the KM1 Annex figures throughout for consistency with the standard regulatory template and with every other bank in this project.
KM1 presentation notes:
• Alrayan publishes the table under the heading "Key Metrics Template – KM1" in Annex I of each Pillar 3 Disclosures document, in £m. Rows are reproduced in the bank's own order with its own template row numbers and printed precision.
• REDUCED ROW SET: Alrayan has never printed rows UK 7b, UK 7c, UK 8a, UK 9a, 10, UK 10a or UK 14a-14e in any edition — only UK 7a and UK 7d appear in the SREP block. Those rows are absent here rather than shown blank, because the bank's template does not contain them.
• The "Additional leverage ratio disclosure requirements" heading is printed with no rows beneath it in the FY2023 and FY2024 editions and is dropped entirely in the FY2025 edition. It is retained here as published.
• UK 16b (cash inflows) exceeds UK 16a (cash outflows) in every year. That is as published and is why row 16 (net outflows) is not 16a minus 16b: the LCR calculation caps recognised inflows at 75% of outflows, so the excess inflow is disregarded.
• Row 12 is printed to whole percents while rows 5-7 carry two decimals; that mixed precision is the bank's own.
• FY2021 and FY2020 are blank: the Pillar 3 Disclosures for those years pre-date Alrayan's adoption of the Annex I templates and contain no key-metrics table. The FY2021/FY2020 figures on the individual metric sheets in this workbook come from those editions' Executive Summary tables instead.
ENTITY NOTE: Alrayan Bank Limited (FRN 229148, Companies House 04483430, matches Banks List 2608.xlsx exactly) is a UK Sharia-compliant bank, wholly owned by AlRayan Bank (Q.P.S.C.) of Qatar. Its own Annual Report/Pillar 3 documents style it 'Al Rayan Bank PLC' but Companies House confirms its current registered name is 'ALRAYAN BANK LIMITED' - same company number throughout, not an entity change, just inconsistent branding between the statutory filing and the bank's own PDFs.</t>
        </is>
      </c>
    </row>
  </sheetData>
  <mergeCells count="2">
    <mergeCell ref="A40:E40"/>
    <mergeCell ref="A38:E3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Alrayan Bank Limited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Common Equity Tier 1 (CET1) capital</t>
        </is>
      </c>
      <c r="B4" s="6" t="n">
        <v>227.3</v>
      </c>
      <c r="C4" s="6" t="n">
        <v>208.2</v>
      </c>
      <c r="D4" s="6" t="n">
        <v>183.9</v>
      </c>
      <c r="E4" s="6" t="n">
        <v>152.7</v>
      </c>
      <c r="F4" s="6" t="n">
        <v>142.4</v>
      </c>
      <c r="G4" s="6" t="n">
        <v>135.7</v>
      </c>
    </row>
    <row r="6" ht="364" customHeight="1">
      <c r="A6" s="8" t="inlineStr">
        <is>
          <t>Sources - Alrayan Bank Limited's own Pillar 3 Disclosures, £m capital amounts / % ratios, all years:
FY2025: Pillar 3 Disclosures - 31 December 2025, Annex I KM1 table, p.39 - https://www.alrayanbank.co.uk/sites/default/files/media/file-uploads/2026-09/pb8084_alrayan_pillar_3_disclosures_2025.pdf
FY2024: Pillar 3 Disclosures - 31 December 2024, Annex I KM1 table, p.38 - https://www.alrayanbank.co.uk/sites/default/files/media/file-uploads/2025-09/alrayan_pillar_3_disclosures_2024_web_-_010925.pdf
FY2023: Pillar 3 Disclosures - 31 December 2023, Annex I KM1 table, p.33 - https://www.alrayanbank.co.uk/sites/default/files/media/file-uploads/2024-08/pb7703_al_rayan_pillar_3_disclosures_2023_v2.pdf
FY2022: Pillar 3 Disclosures - 31 December 2022, Annex I KM1 table, p.29, column a '31/12/2022' - https://www.alrayanbank.co.uk/sites/default/files/media/file-uploads/2023-08/al_rayan_pillar_three_32pp_brochure_-_final.pdf
  FY2022 RE-SOURCED 2026-10-08 TO ITS OWN EDITION (KM1 locked rule 1), AND WHAT THE CHECK FOUND IS RECORDED BECAUSE IT IS EVIDENCE. This citation used to read 'sourced from the FY2023 Pillar 3 Disclosures' own FY2022 comparative column, Annex I KM1 table, p.33'. Rule 1 says use each year's OWN edition, never a later edition's comparative, because a comparative imports the later edition's restatements and errors invisibly. The FY2022 edition was fetched (32pp, cover 'Pillar 3 Disclosures 31 December 2022') and its Annex I KM1 on p.29 read at 200 dpi off the page image: every one of the 24 figures this workbook carries for FY2022 - 152.7 / 155.7 / 178.4 / 1,022.3, 14.93% / 15.23% / 17.45%, 2.82% / 10.82%, 2.50% / 0.65% / 3.15% / 13.97% / 28%, 2,306.6 / 6.7%, 173.6 / 159.4 / 255.1 / 39.8 / 442%, 1,982.3 / 1,280.8 / 155% - matches digit for digit. So NO FIGURE CHANGED: the FY2023 edition did not restate FY2022, and that agreement is now established rather than assumed. The citation points at the own edition so the next reader does not have to re-do this.
  Two things that stay as they are, both deliberate: the FY2022 edition also prints a 31/12/2021 KM1 comparative column (142.4 / 145.4 / 170.4 / 943.9, 15.08% / 15.40% / 18.05%, 6.8%, 357%), and rule 1 forbids using it - FY2021's own edition pre-dates the template, so the KM1 sheet's FY2021 column stays blank. Its footnote on NSFR ('only been reported for 2022 ... however, the amount calculated by the Bank and reported within the 2021 disclosures was 146%') is the Bank quoting its own earlier document, not a KM1 row, so it does not fill a KM1 cell either.
FY2021: Pillar 3 Disclosures - 31 December 2021, Table 1/2/3 (this edition pre-dates the bank's adoption of the standardised KM1 Annex template, so FY2021 figures come from the Executive Summary tables instead), p.5 - https://www.alrayanbank.co.uk/sites/default/files/media/file-uploads/2022-10/inv-rep-2021-pillar-3.pdf
FY2020: Pillar 3 Disclosures - 31 December 2020, Table 1/2 'Available capital'/'Capital ratios as a percentage of RWA' (same pre-KM1 Executive Summary format as FY2021's edition - this document has a genuine text layer, unlike the scanned Annual Reports, so figures are machine-read not visually transcribed), p.3 - https://www.alrayanbank.co.uk/sites/default/files/media/file-uploads/2021-07/2020_pillar_3_disclosures_-_final.pdf. Cross-checked against the FY2021 Annual Report's own FY2020 credit-risk comparative note and ties exactly.
FY2025 FILLED 2026-09-15: the FY2025 Pillar 3 Disclosures PDF is now live on the Bank's investor-relations regulatory-information page (published 2026-09), and every FY2025 Pillar 3 cell in this workbook is transcribed from its Annex I KM1/OV1 templates - nothing is carried over from the Annual Report. One consequence: the CET1 ratio cell for FY2025 was previously 15.41% (the FY2025 Annual Report's own KPI table, the only capital figure available before the Pillar 3 document appeared) and is now 15.45%, the KM1 Annex figure. The two are different bases, not a correction of an error - the same AR-KPI-vs-KM1 spread this project keeps blank elsewhere - and the KM1 figure is used here for consistency with FY2020-FY2024 and with every other bank in this project. Likewise the LCR cell uses KM1 line 17's twelve-month average (481%), not the Executive Summary's point-in-time 598%.</t>
        </is>
      </c>
    </row>
    <row r="8" ht="200" customHeight="1">
      <c r="A8" s="8" t="inlineStr">
        <is>
          <t>(continued)
This bank's own Pillar 3 documents show small internal discrepancies between their Executive Summary narrative tables and their formal KM1 Annex tables in a couple of instances (e.g. FY2023 NSFR: 160% exec summary vs 157% KM1 annex; FY2022 Leverage Ratio: 6.8% exec summary vs 6.7% KM1 annex) - this workbook uses the KM1 Annex figures throughout for consistency with the standard regulatory template and with every other bank in this project.
ENTITY NOTE: Alrayan Bank Limited (FRN 229148, Companies House 04483430, matches Banks List 2608.xlsx exactly) is a UK Sharia-compliant bank, wholly owned by AlRayan Bank (Q.P.S.C.) of Qatar. Its own Annual Report/Pillar 3 documents style it 'Al Rayan Bank PLC' but Companies House confirms its current registered name is 'ALRAYAN BANK LIMITED' - same company number throughout, not an entity change, just inconsistent branding between the statutory filing and the bank's own PDFs.</t>
        </is>
      </c>
    </row>
  </sheetData>
  <mergeCells count="2">
    <mergeCell ref="A8:G8"/>
    <mergeCell ref="A6:G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Alrayan Bank Limited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CET1 ratio</t>
        </is>
      </c>
      <c r="B4" s="6" t="inlineStr">
        <is>
          <t>15.45%</t>
        </is>
      </c>
      <c r="C4" s="6" t="inlineStr">
        <is>
          <t>15.95%</t>
        </is>
      </c>
      <c r="D4" s="6" t="inlineStr">
        <is>
          <t>17.36%</t>
        </is>
      </c>
      <c r="E4" s="6" t="inlineStr">
        <is>
          <t>14.93%</t>
        </is>
      </c>
      <c r="F4" s="6" t="inlineStr">
        <is>
          <t>15.1%</t>
        </is>
      </c>
      <c r="G4" s="6" t="inlineStr">
        <is>
          <t>13.4%</t>
        </is>
      </c>
    </row>
    <row r="6" ht="364" customHeight="1">
      <c r="A6" s="8" t="inlineStr">
        <is>
          <t>Sources - Alrayan Bank Limited's own Pillar 3 Disclosures, £m capital amounts / % ratios, all years:
FY2025: Pillar 3 Disclosures - 31 December 2025, Annex I KM1 table, p.39 - https://www.alrayanbank.co.uk/sites/default/files/media/file-uploads/2026-09/pb8084_alrayan_pillar_3_disclosures_2025.pdf
FY2024: Pillar 3 Disclosures - 31 December 2024, Annex I KM1 table, p.38 - https://www.alrayanbank.co.uk/sites/default/files/media/file-uploads/2025-09/alrayan_pillar_3_disclosures_2024_web_-_010925.pdf
FY2023: Pillar 3 Disclosures - 31 December 2023, Annex I KM1 table, p.33 - https://www.alrayanbank.co.uk/sites/default/files/media/file-uploads/2024-08/pb7703_al_rayan_pillar_3_disclosures_2023_v2.pdf
FY2022: Pillar 3 Disclosures - 31 December 2022, Annex I KM1 table, p.29, column a '31/12/2022' - https://www.alrayanbank.co.uk/sites/default/files/media/file-uploads/2023-08/al_rayan_pillar_three_32pp_brochure_-_final.pdf
  FY2022 RE-SOURCED 2026-10-08 TO ITS OWN EDITION (KM1 locked rule 1), AND WHAT THE CHECK FOUND IS RECORDED BECAUSE IT IS EVIDENCE. This citation used to read 'sourced from the FY2023 Pillar 3 Disclosures' own FY2022 comparative column, Annex I KM1 table, p.33'. Rule 1 says use each year's OWN edition, never a later edition's comparative, because a comparative imports the later edition's restatements and errors invisibly. The FY2022 edition was fetched (32pp, cover 'Pillar 3 Disclosures 31 December 2022') and its Annex I KM1 on p.29 read at 200 dpi off the page image: every one of the 24 figures this workbook carries for FY2022 - 152.7 / 155.7 / 178.4 / 1,022.3, 14.93% / 15.23% / 17.45%, 2.82% / 10.82%, 2.50% / 0.65% / 3.15% / 13.97% / 28%, 2,306.6 / 6.7%, 173.6 / 159.4 / 255.1 / 39.8 / 442%, 1,982.3 / 1,280.8 / 155% - matches digit for digit. So NO FIGURE CHANGED: the FY2023 edition did not restate FY2022, and that agreement is now established rather than assumed. The citation points at the own edition so the next reader does not have to re-do this.
  Two things that stay as they are, both deliberate: the FY2022 edition also prints a 31/12/2021 KM1 comparative column (142.4 / 145.4 / 170.4 / 943.9, 15.08% / 15.40% / 18.05%, 6.8%, 357%), and rule 1 forbids using it - FY2021's own edition pre-dates the template, so the KM1 sheet's FY2021 column stays blank. Its footnote on NSFR ('only been reported for 2022 ... however, the amount calculated by the Bank and reported within the 2021 disclosures was 146%') is the Bank quoting its own earlier document, not a KM1 row, so it does not fill a KM1 cell either.
FY2021: Pillar 3 Disclosures - 31 December 2021, Table 1/2/3 (this edition pre-dates the bank's adoption of the standardised KM1 Annex template, so FY2021 figures come from the Executive Summary tables instead), p.5 - https://www.alrayanbank.co.uk/sites/default/files/media/file-uploads/2022-10/inv-rep-2021-pillar-3.pdf
FY2020: Pillar 3 Disclosures - 31 December 2020, Table 1/2 'Available capital'/'Capital ratios as a percentage of RWA' (same pre-KM1 Executive Summary format as FY2021's edition - this document has a genuine text layer, unlike the scanned Annual Reports, so figures are machine-read not visually transcribed), p.3 - https://www.alrayanbank.co.uk/sites/default/files/media/file-uploads/2021-07/2020_pillar_3_disclosures_-_final.pdf. Cross-checked against the FY2021 Annual Report's own FY2020 credit-risk comparative note and ties exactly.
FY2025 FILLED 2026-09-15: the FY2025 Pillar 3 Disclosures PDF is now live on the Bank's investor-relations regulatory-information page (published 2026-09), and every FY2025 Pillar 3 cell in this workbook is transcribed from its Annex I KM1/OV1 templates - nothing is carried over from the Annual Report. One consequence: the CET1 ratio cell for FY2025 was previously 15.41% (the FY2025 Annual Report's own KPI table, the only capital figure available before the Pillar 3 document appeared) and is now 15.45%, the KM1 Annex figure. The two are different bases, not a correction of an error - the same AR-KPI-vs-KM1 spread this project keeps blank elsewhere - and the KM1 figure is used here for consistency with FY2020-FY2024 and with every other bank in this project. Likewise the LCR cell uses KM1 line 17's twelve-month average (481%), not the Executive Summary's point-in-time 598%.</t>
        </is>
      </c>
    </row>
    <row r="8" ht="200" customHeight="1">
      <c r="A8" s="8" t="inlineStr">
        <is>
          <t>(continued)
This bank's own Pillar 3 documents show small internal discrepancies between their Executive Summary narrative tables and their formal KM1 Annex tables in a couple of instances (e.g. FY2023 NSFR: 160% exec summary vs 157% KM1 annex; FY2022 Leverage Ratio: 6.8% exec summary vs 6.7% KM1 annex) - this workbook uses the KM1 Annex figures throughout for consistency with the standard regulatory template and with every other bank in this project.
FY2020-FY2021 are from the pre-KM1 Executive Summary table (rounded to 1dp in the source); FY2022-FY2024 are from the formal KM1 Annex template (2dp).
ENTITY NOTE: Alrayan Bank Limited (FRN 229148, Companies House 04483430, matches Banks List 2608.xlsx exactly) is a UK Sharia-compliant bank, wholly owned by AlRayan Bank (Q.P.S.C.) of Qatar. Its own Annual Report/Pillar 3 documents style it 'Al Rayan Bank PLC' but Companies House confirms its current registered name is 'ALRAYAN BANK LIMITED' - same company number throughout, not an entity change, just inconsistent branding between the statutory filing and the bank's own PDFs.</t>
        </is>
      </c>
    </row>
  </sheetData>
  <mergeCells count="2">
    <mergeCell ref="A8:G8"/>
    <mergeCell ref="A6:G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Alrayan Bank Limited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Tier 1 capital</t>
        </is>
      </c>
      <c r="B4" s="6" t="n">
        <v>230.3</v>
      </c>
      <c r="C4" s="6" t="n">
        <v>211.2</v>
      </c>
      <c r="D4" s="6" t="n">
        <v>186.9</v>
      </c>
      <c r="E4" s="6" t="n">
        <v>155.7</v>
      </c>
      <c r="F4" s="6" t="n">
        <v>145.4</v>
      </c>
      <c r="G4" s="6" t="n">
        <v>138.7</v>
      </c>
    </row>
    <row r="6" ht="364" customHeight="1">
      <c r="A6" s="8" t="inlineStr">
        <is>
          <t>Sources - Alrayan Bank Limited's own Pillar 3 Disclosures, £m capital amounts / % ratios, all years:
FY2025: Pillar 3 Disclosures - 31 December 2025, Annex I KM1 table, p.39 - https://www.alrayanbank.co.uk/sites/default/files/media/file-uploads/2026-09/pb8084_alrayan_pillar_3_disclosures_2025.pdf
FY2024: Pillar 3 Disclosures - 31 December 2024, Annex I KM1 table, p.38 - https://www.alrayanbank.co.uk/sites/default/files/media/file-uploads/2025-09/alrayan_pillar_3_disclosures_2024_web_-_010925.pdf
FY2023: Pillar 3 Disclosures - 31 December 2023, Annex I KM1 table, p.33 - https://www.alrayanbank.co.uk/sites/default/files/media/file-uploads/2024-08/pb7703_al_rayan_pillar_3_disclosures_2023_v2.pdf
FY2022: Pillar 3 Disclosures - 31 December 2022, Annex I KM1 table, p.29, column a '31/12/2022' - https://www.alrayanbank.co.uk/sites/default/files/media/file-uploads/2023-08/al_rayan_pillar_three_32pp_brochure_-_final.pdf
  FY2022 RE-SOURCED 2026-10-08 TO ITS OWN EDITION (KM1 locked rule 1), AND WHAT THE CHECK FOUND IS RECORDED BECAUSE IT IS EVIDENCE. This citation used to read 'sourced from the FY2023 Pillar 3 Disclosures' own FY2022 comparative column, Annex I KM1 table, p.33'. Rule 1 says use each year's OWN edition, never a later edition's comparative, because a comparative imports the later edition's restatements and errors invisibly. The FY2022 edition was fetched (32pp, cover 'Pillar 3 Disclosures 31 December 2022') and its Annex I KM1 on p.29 read at 200 dpi off the page image: every one of the 24 figures this workbook carries for FY2022 - 152.7 / 155.7 / 178.4 / 1,022.3, 14.93% / 15.23% / 17.45%, 2.82% / 10.82%, 2.50% / 0.65% / 3.15% / 13.97% / 28%, 2,306.6 / 6.7%, 173.6 / 159.4 / 255.1 / 39.8 / 442%, 1,982.3 / 1,280.8 / 155% - matches digit for digit. So NO FIGURE CHANGED: the FY2023 edition did not restate FY2022, and that agreement is now established rather than assumed. The citation points at the own edition so the next reader does not have to re-do this.
  Two things that stay as they are, both deliberate: the FY2022 edition also prints a 31/12/2021 KM1 comparative column (142.4 / 145.4 / 170.4 / 943.9, 15.08% / 15.40% / 18.05%, 6.8%, 357%), and rule 1 forbids using it - FY2021's own edition pre-dates the template, so the KM1 sheet's FY2021 column stays blank. Its footnote on NSFR ('only been reported for 2022 ... however, the amount calculated by the Bank and reported within the 2021 disclosures was 146%') is the Bank quoting its own earlier document, not a KM1 row, so it does not fill a KM1 cell either.
FY2021: Pillar 3 Disclosures - 31 December 2021, Table 1/2/3 (this edition pre-dates the bank's adoption of the standardised KM1 Annex template, so FY2021 figures come from the Executive Summary tables instead), p.5 - https://www.alrayanbank.co.uk/sites/default/files/media/file-uploads/2022-10/inv-rep-2021-pillar-3.pdf
FY2020: Pillar 3 Disclosures - 31 December 2020, Table 1/2 'Available capital'/'Capital ratios as a percentage of RWA' (same pre-KM1 Executive Summary format as FY2021's edition - this document has a genuine text layer, unlike the scanned Annual Reports, so figures are machine-read not visually transcribed), p.3 - https://www.alrayanbank.co.uk/sites/default/files/media/file-uploads/2021-07/2020_pillar_3_disclosures_-_final.pdf. Cross-checked against the FY2021 Annual Report's own FY2020 credit-risk comparative note and ties exactly.
FY2025 FILLED 2026-09-15: the FY2025 Pillar 3 Disclosures PDF is now live on the Bank's investor-relations regulatory-information page (published 2026-09), and every FY2025 Pillar 3 cell in this workbook is transcribed from its Annex I KM1/OV1 templates - nothing is carried over from the Annual Report. One consequence: the CET1 ratio cell for FY2025 was previously 15.41% (the FY2025 Annual Report's own KPI table, the only capital figure available before the Pillar 3 document appeared) and is now 15.45%, the KM1 Annex figure. The two are different bases, not a correction of an error - the same AR-KPI-vs-KM1 spread this project keeps blank elsewhere - and the KM1 figure is used here for consistency with FY2020-FY2024 and with every other bank in this project. Likewise the LCR cell uses KM1 line 17's twelve-month average (481%), not the Executive Summary's point-in-time 598%.</t>
        </is>
      </c>
    </row>
    <row r="8" ht="200" customHeight="1">
      <c r="A8" s="8" t="inlineStr">
        <is>
          <t>(continued)
This bank's own Pillar 3 documents show small internal discrepancies between their Executive Summary narrative tables and their formal KM1 Annex tables in a couple of instances (e.g. FY2023 NSFR: 160% exec summary vs 157% KM1 annex; FY2022 Leverage Ratio: 6.8% exec summary vs 6.7% KM1 annex) - this workbook uses the KM1 Annex figures throughout for consistency with the standard regulatory template and with every other bank in this project.
ENTITY NOTE: Alrayan Bank Limited (FRN 229148, Companies House 04483430, matches Banks List 2608.xlsx exactly) is a UK Sharia-compliant bank, wholly owned by AlRayan Bank (Q.P.S.C.) of Qatar. Its own Annual Report/Pillar 3 documents style it 'Al Rayan Bank PLC' but Companies House confirms its current registered name is 'ALRAYAN BANK LIMITED' - same company number throughout, not an entity change, just inconsistent branding between the statutory filing and the bank's own PDFs.</t>
        </is>
      </c>
    </row>
  </sheetData>
  <mergeCells count="2">
    <mergeCell ref="A8:G8"/>
    <mergeCell ref="A6:G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Alrayan Bank Limited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Tier 1 ratio</t>
        </is>
      </c>
      <c r="B4" s="6" t="inlineStr">
        <is>
          <t>15.65%</t>
        </is>
      </c>
      <c r="C4" s="6" t="inlineStr">
        <is>
          <t>16.15%</t>
        </is>
      </c>
      <c r="D4" s="6" t="inlineStr">
        <is>
          <t>17.65%</t>
        </is>
      </c>
      <c r="E4" s="6" t="inlineStr">
        <is>
          <t>15.23%</t>
        </is>
      </c>
      <c r="F4" s="6" t="inlineStr">
        <is>
          <t>15.4%</t>
        </is>
      </c>
      <c r="G4" s="6" t="inlineStr">
        <is>
          <t>13.7%</t>
        </is>
      </c>
    </row>
    <row r="6" ht="364" customHeight="1">
      <c r="A6" s="8" t="inlineStr">
        <is>
          <t>Sources - Alrayan Bank Limited's own Pillar 3 Disclosures, £m capital amounts / % ratios, all years:
FY2025: Pillar 3 Disclosures - 31 December 2025, Annex I KM1 table, p.39 - https://www.alrayanbank.co.uk/sites/default/files/media/file-uploads/2026-09/pb8084_alrayan_pillar_3_disclosures_2025.pdf
FY2024: Pillar 3 Disclosures - 31 December 2024, Annex I KM1 table, p.38 - https://www.alrayanbank.co.uk/sites/default/files/media/file-uploads/2025-09/alrayan_pillar_3_disclosures_2024_web_-_010925.pdf
FY2023: Pillar 3 Disclosures - 31 December 2023, Annex I KM1 table, p.33 - https://www.alrayanbank.co.uk/sites/default/files/media/file-uploads/2024-08/pb7703_al_rayan_pillar_3_disclosures_2023_v2.pdf
FY2022: Pillar 3 Disclosures - 31 December 2022, Annex I KM1 table, p.29, column a '31/12/2022' - https://www.alrayanbank.co.uk/sites/default/files/media/file-uploads/2023-08/al_rayan_pillar_three_32pp_brochure_-_final.pdf
  FY2022 RE-SOURCED 2026-10-08 TO ITS OWN EDITION (KM1 locked rule 1), AND WHAT THE CHECK FOUND IS RECORDED BECAUSE IT IS EVIDENCE. This citation used to read 'sourced from the FY2023 Pillar 3 Disclosures' own FY2022 comparative column, Annex I KM1 table, p.33'. Rule 1 says use each year's OWN edition, never a later edition's comparative, because a comparative imports the later edition's restatements and errors invisibly. The FY2022 edition was fetched (32pp, cover 'Pillar 3 Disclosures 31 December 2022') and its Annex I KM1 on p.29 read at 200 dpi off the page image: every one of the 24 figures this workbook carries for FY2022 - 152.7 / 155.7 / 178.4 / 1,022.3, 14.93% / 15.23% / 17.45%, 2.82% / 10.82%, 2.50% / 0.65% / 3.15% / 13.97% / 28%, 2,306.6 / 6.7%, 173.6 / 159.4 / 255.1 / 39.8 / 442%, 1,982.3 / 1,280.8 / 155% - matches digit for digit. So NO FIGURE CHANGED: the FY2023 edition did not restate FY2022, and that agreement is now established rather than assumed. The citation points at the own edition so the next reader does not have to re-do this.
  Two things that stay as they are, both deliberate: the FY2022 edition also prints a 31/12/2021 KM1 comparative column (142.4 / 145.4 / 170.4 / 943.9, 15.08% / 15.40% / 18.05%, 6.8%, 357%), and rule 1 forbids using it - FY2021's own edition pre-dates the template, so the KM1 sheet's FY2021 column stays blank. Its footnote on NSFR ('only been reported for 2022 ... however, the amount calculated by the Bank and reported within the 2021 disclosures was 146%') is the Bank quoting its own earlier document, not a KM1 row, so it does not fill a KM1 cell either.
FY2021: Pillar 3 Disclosures - 31 December 2021, Table 1/2/3 (this edition pre-dates the bank's adoption of the standardised KM1 Annex template, so FY2021 figures come from the Executive Summary tables instead), p.5 - https://www.alrayanbank.co.uk/sites/default/files/media/file-uploads/2022-10/inv-rep-2021-pillar-3.pdf
FY2020: Pillar 3 Disclosures - 31 December 2020, Table 1/2 'Available capital'/'Capital ratios as a percentage of RWA' (same pre-KM1 Executive Summary format as FY2021's edition - this document has a genuine text layer, unlike the scanned Annual Reports, so figures are machine-read not visually transcribed), p.3 - https://www.alrayanbank.co.uk/sites/default/files/media/file-uploads/2021-07/2020_pillar_3_disclosures_-_final.pdf. Cross-checked against the FY2021 Annual Report's own FY2020 credit-risk comparative note and ties exactly.
FY2025 FILLED 2026-09-15: the FY2025 Pillar 3 Disclosures PDF is now live on the Bank's investor-relations regulatory-information page (published 2026-09), and every FY2025 Pillar 3 cell in this workbook is transcribed from its Annex I KM1/OV1 templates - nothing is carried over from the Annual Report. One consequence: the CET1 ratio cell for FY2025 was previously 15.41% (the FY2025 Annual Report's own KPI table, the only capital figure available before the Pillar 3 document appeared) and is now 15.45%, the KM1 Annex figure. The two are different bases, not a correction of an error - the same AR-KPI-vs-KM1 spread this project keeps blank elsewhere - and the KM1 figure is used here for consistency with FY2020-FY2024 and with every other bank in this project. Likewise the LCR cell uses KM1 line 17's twelve-month average (481%), not the Executive Summary's point-in-time 598%.</t>
        </is>
      </c>
    </row>
    <row r="8" ht="200" customHeight="1">
      <c r="A8" s="8" t="inlineStr">
        <is>
          <t>(continued)
This bank's own Pillar 3 documents show small internal discrepancies between their Executive Summary narrative tables and their formal KM1 Annex tables in a couple of instances (e.g. FY2023 NSFR: 160% exec summary vs 157% KM1 annex; FY2022 Leverage Ratio: 6.8% exec summary vs 6.7% KM1 annex) - this workbook uses the KM1 Annex figures throughout for consistency with the standard regulatory template and with every other bank in this project.
ENTITY NOTE: Alrayan Bank Limited (FRN 229148, Companies House 04483430, matches Banks List 2608.xlsx exactly) is a UK Sharia-compliant bank, wholly owned by AlRayan Bank (Q.P.S.C.) of Qatar. Its own Annual Report/Pillar 3 documents style it 'Al Rayan Bank PLC' but Companies House confirms its current registered name is 'ALRAYAN BANK LIMITED' - same company number throughout, not an entity change, just inconsistent branding between the statutory filing and the bank's own PDFs.</t>
        </is>
      </c>
    </row>
  </sheetData>
  <mergeCells count="2">
    <mergeCell ref="A8:G8"/>
    <mergeCell ref="A6:G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Alrayan Bank Limited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capital</t>
        </is>
      </c>
      <c r="B4" s="6" t="n">
        <v>232.8</v>
      </c>
      <c r="C4" s="6" t="n">
        <v>224.9</v>
      </c>
      <c r="D4" s="6" t="n">
        <v>205.5</v>
      </c>
      <c r="E4" s="6" t="n">
        <v>178.4</v>
      </c>
      <c r="F4" s="6" t="n">
        <v>170.4</v>
      </c>
      <c r="G4" s="6" t="n">
        <v>163.7</v>
      </c>
    </row>
    <row r="6" ht="364" customHeight="1">
      <c r="A6" s="8" t="inlineStr">
        <is>
          <t>Sources - Alrayan Bank Limited's own Pillar 3 Disclosures, £m capital amounts / % ratios, all years:
FY2025: Pillar 3 Disclosures - 31 December 2025, Annex I KM1 table, p.39 - https://www.alrayanbank.co.uk/sites/default/files/media/file-uploads/2026-09/pb8084_alrayan_pillar_3_disclosures_2025.pdf
FY2024: Pillar 3 Disclosures - 31 December 2024, Annex I KM1 table, p.38 - https://www.alrayanbank.co.uk/sites/default/files/media/file-uploads/2025-09/alrayan_pillar_3_disclosures_2024_web_-_010925.pdf
FY2023: Pillar 3 Disclosures - 31 December 2023, Annex I KM1 table, p.33 - https://www.alrayanbank.co.uk/sites/default/files/media/file-uploads/2024-08/pb7703_al_rayan_pillar_3_disclosures_2023_v2.pdf
FY2022: Pillar 3 Disclosures - 31 December 2022, Annex I KM1 table, p.29, column a '31/12/2022' - https://www.alrayanbank.co.uk/sites/default/files/media/file-uploads/2023-08/al_rayan_pillar_three_32pp_brochure_-_final.pdf
  FY2022 RE-SOURCED 2026-10-08 TO ITS OWN EDITION (KM1 locked rule 1), AND WHAT THE CHECK FOUND IS RECORDED BECAUSE IT IS EVIDENCE. This citation used to read 'sourced from the FY2023 Pillar 3 Disclosures' own FY2022 comparative column, Annex I KM1 table, p.33'. Rule 1 says use each year's OWN edition, never a later edition's comparative, because a comparative imports the later edition's restatements and errors invisibly. The FY2022 edition was fetched (32pp, cover 'Pillar 3 Disclosures 31 December 2022') and its Annex I KM1 on p.29 read at 200 dpi off the page image: every one of the 24 figures this workbook carries for FY2022 - 152.7 / 155.7 / 178.4 / 1,022.3, 14.93% / 15.23% / 17.45%, 2.82% / 10.82%, 2.50% / 0.65% / 3.15% / 13.97% / 28%, 2,306.6 / 6.7%, 173.6 / 159.4 / 255.1 / 39.8 / 442%, 1,982.3 / 1,280.8 / 155% - matches digit for digit. So NO FIGURE CHANGED: the FY2023 edition did not restate FY2022, and that agreement is now established rather than assumed. The citation points at the own edition so the next reader does not have to re-do this.
  Two things that stay as they are, both deliberate: the FY2022 edition also prints a 31/12/2021 KM1 comparative column (142.4 / 145.4 / 170.4 / 943.9, 15.08% / 15.40% / 18.05%, 6.8%, 357%), and rule 1 forbids using it - FY2021's own edition pre-dates the template, so the KM1 sheet's FY2021 column stays blank. Its footnote on NSFR ('only been reported for 2022 ... however, the amount calculated by the Bank and reported within the 2021 disclosures was 146%') is the Bank quoting its own earlier document, not a KM1 row, so it does not fill a KM1 cell either.
FY2021: Pillar 3 Disclosures - 31 December 2021, Table 1/2/3 (this edition pre-dates the bank's adoption of the standardised KM1 Annex template, so FY2021 figures come from the Executive Summary tables instead), p.5 - https://www.alrayanbank.co.uk/sites/default/files/media/file-uploads/2022-10/inv-rep-2021-pillar-3.pdf
FY2020: Pillar 3 Disclosures - 31 December 2020, Table 1/2 'Available capital'/'Capital ratios as a percentage of RWA' (same pre-KM1 Executive Summary format as FY2021's edition - this document has a genuine text layer, unlike the scanned Annual Reports, so figures are machine-read not visually transcribed), p.3 - https://www.alrayanbank.co.uk/sites/default/files/media/file-uploads/2021-07/2020_pillar_3_disclosures_-_final.pdf. Cross-checked against the FY2021 Annual Report's own FY2020 credit-risk comparative note and ties exactly.
FY2025 FILLED 2026-09-15: the FY2025 Pillar 3 Disclosures PDF is now live on the Bank's investor-relations regulatory-information page (published 2026-09), and every FY2025 Pillar 3 cell in this workbook is transcribed from its Annex I KM1/OV1 templates - nothing is carried over from the Annual Report. One consequence: the CET1 ratio cell for FY2025 was previously 15.41% (the FY2025 Annual Report's own KPI table, the only capital figure available before the Pillar 3 document appeared) and is now 15.45%, the KM1 Annex figure. The two are different bases, not a correction of an error - the same AR-KPI-vs-KM1 spread this project keeps blank elsewhere - and the KM1 figure is used here for consistency with FY2020-FY2024 and with every other bank in this project. Likewise the LCR cell uses KM1 line 17's twelve-month average (481%), not the Executive Summary's point-in-time 598%.</t>
        </is>
      </c>
    </row>
    <row r="8" ht="200" customHeight="1">
      <c r="A8" s="8" t="inlineStr">
        <is>
          <t>(continued)
This bank's own Pillar 3 documents show small internal discrepancies between their Executive Summary narrative tables and their formal KM1 Annex tables in a couple of instances (e.g. FY2023 NSFR: 160% exec summary vs 157% KM1 annex; FY2022 Leverage Ratio: 6.8% exec summary vs 6.7% KM1 annex) - this workbook uses the KM1 Annex figures throughout for consistency with the standard regulatory template and with every other bank in this project.
ENTITY NOTE: Alrayan Bank Limited (FRN 229148, Companies House 04483430, matches Banks List 2608.xlsx exactly) is a UK Sharia-compliant bank, wholly owned by AlRayan Bank (Q.P.S.C.) of Qatar. Its own Annual Report/Pillar 3 documents style it 'Al Rayan Bank PLC' but Companies House confirms its current registered name is 'ALRAYAN BANK LIMITED' - same company number throughout, not an entity change, just inconsistent branding between the statutory filing and the bank's own PDFs.</t>
        </is>
      </c>
    </row>
  </sheetData>
  <mergeCells count="2">
    <mergeCell ref="A8:G8"/>
    <mergeCell ref="A6:G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Alrayan Bank Limited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capital ratio</t>
        </is>
      </c>
      <c r="B4" s="6" t="inlineStr">
        <is>
          <t>15.82%</t>
        </is>
      </c>
      <c r="C4" s="6" t="inlineStr">
        <is>
          <t>17.19%</t>
        </is>
      </c>
      <c r="D4" s="6" t="inlineStr">
        <is>
          <t>19.41%</t>
        </is>
      </c>
      <c r="E4" s="6" t="inlineStr">
        <is>
          <t>17.45%</t>
        </is>
      </c>
      <c r="F4" s="6" t="inlineStr">
        <is>
          <t>18.1%</t>
        </is>
      </c>
      <c r="G4" s="6" t="inlineStr">
        <is>
          <t>16.2%</t>
        </is>
      </c>
    </row>
    <row r="6" ht="364" customHeight="1">
      <c r="A6" s="8" t="inlineStr">
        <is>
          <t>Sources - Alrayan Bank Limited's own Pillar 3 Disclosures, £m capital amounts / % ratios, all years:
FY2025: Pillar 3 Disclosures - 31 December 2025, Annex I KM1 table, p.39 - https://www.alrayanbank.co.uk/sites/default/files/media/file-uploads/2026-09/pb8084_alrayan_pillar_3_disclosures_2025.pdf
FY2024: Pillar 3 Disclosures - 31 December 2024, Annex I KM1 table, p.38 - https://www.alrayanbank.co.uk/sites/default/files/media/file-uploads/2025-09/alrayan_pillar_3_disclosures_2024_web_-_010925.pdf
FY2023: Pillar 3 Disclosures - 31 December 2023, Annex I KM1 table, p.33 - https://www.alrayanbank.co.uk/sites/default/files/media/file-uploads/2024-08/pb7703_al_rayan_pillar_3_disclosures_2023_v2.pdf
FY2022: Pillar 3 Disclosures - 31 December 2022, Annex I KM1 table, p.29, column a '31/12/2022' - https://www.alrayanbank.co.uk/sites/default/files/media/file-uploads/2023-08/al_rayan_pillar_three_32pp_brochure_-_final.pdf
  FY2022 RE-SOURCED 2026-10-08 TO ITS OWN EDITION (KM1 locked rule 1), AND WHAT THE CHECK FOUND IS RECORDED BECAUSE IT IS EVIDENCE. This citation used to read 'sourced from the FY2023 Pillar 3 Disclosures' own FY2022 comparative column, Annex I KM1 table, p.33'. Rule 1 says use each year's OWN edition, never a later edition's comparative, because a comparative imports the later edition's restatements and errors invisibly. The FY2022 edition was fetched (32pp, cover 'Pillar 3 Disclosures 31 December 2022') and its Annex I KM1 on p.29 read at 200 dpi off the page image: every one of the 24 figures this workbook carries for FY2022 - 152.7 / 155.7 / 178.4 / 1,022.3, 14.93% / 15.23% / 17.45%, 2.82% / 10.82%, 2.50% / 0.65% / 3.15% / 13.97% / 28%, 2,306.6 / 6.7%, 173.6 / 159.4 / 255.1 / 39.8 / 442%, 1,982.3 / 1,280.8 / 155% - matches digit for digit. So NO FIGURE CHANGED: the FY2023 edition did not restate FY2022, and that agreement is now established rather than assumed. The citation points at the own edition so the next reader does not have to re-do this.
  Two things that stay as they are, both deliberate: the FY2022 edition also prints a 31/12/2021 KM1 comparative column (142.4 / 145.4 / 170.4 / 943.9, 15.08% / 15.40% / 18.05%, 6.8%, 357%), and rule 1 forbids using it - FY2021's own edition pre-dates the template, so the KM1 sheet's FY2021 column stays blank. Its footnote on NSFR ('only been reported for 2022 ... however, the amount calculated by the Bank and reported within the 2021 disclosures was 146%') is the Bank quoting its own earlier document, not a KM1 row, so it does not fill a KM1 cell either.
FY2021: Pillar 3 Disclosures - 31 December 2021, Table 1/2/3 (this edition pre-dates the bank's adoption of the standardised KM1 Annex template, so FY2021 figures come from the Executive Summary tables instead), p.5 - https://www.alrayanbank.co.uk/sites/default/files/media/file-uploads/2022-10/inv-rep-2021-pillar-3.pdf
FY2020: Pillar 3 Disclosures - 31 December 2020, Table 1/2 'Available capital'/'Capital ratios as a percentage of RWA' (same pre-KM1 Executive Summary format as FY2021's edition - this document has a genuine text layer, unlike the scanned Annual Reports, so figures are machine-read not visually transcribed), p.3 - https://www.alrayanbank.co.uk/sites/default/files/media/file-uploads/2021-07/2020_pillar_3_disclosures_-_final.pdf. Cross-checked against the FY2021 Annual Report's own FY2020 credit-risk comparative note and ties exactly.
FY2025 FILLED 2026-09-15: the FY2025 Pillar 3 Disclosures PDF is now live on the Bank's investor-relations regulatory-information page (published 2026-09), and every FY2025 Pillar 3 cell in this workbook is transcribed from its Annex I KM1/OV1 templates - nothing is carried over from the Annual Report. One consequence: the CET1 ratio cell for FY2025 was previously 15.41% (the FY2025 Annual Report's own KPI table, the only capital figure available before the Pillar 3 document appeared) and is now 15.45%, the KM1 Annex figure. The two are different bases, not a correction of an error - the same AR-KPI-vs-KM1 spread this project keeps blank elsewhere - and the KM1 figure is used here for consistency with FY2020-FY2024 and with every other bank in this project. Likewise the LCR cell uses KM1 line 17's twelve-month average (481%), not the Executive Summary's point-in-time 598%.</t>
        </is>
      </c>
    </row>
    <row r="8" ht="200" customHeight="1">
      <c r="A8" s="8" t="inlineStr">
        <is>
          <t>(continued)
This bank's own Pillar 3 documents show small internal discrepancies between their Executive Summary narrative tables and their formal KM1 Annex tables in a couple of instances (e.g. FY2023 NSFR: 160% exec summary vs 157% KM1 annex; FY2022 Leverage Ratio: 6.8% exec summary vs 6.7% KM1 annex) - this workbook uses the KM1 Annex figures throughout for consistency with the standard regulatory template and with every other bank in this project.
ENTITY NOTE: Alrayan Bank Limited (FRN 229148, Companies House 04483430, matches Banks List 2608.xlsx exactly) is a UK Sharia-compliant bank, wholly owned by AlRayan Bank (Q.P.S.C.) of Qatar. Its own Annual Report/Pillar 3 documents style it 'Al Rayan Bank PLC' but Companies House confirms its current registered name is 'ALRAYAN BANK LIMITED' - same company number throughout, not an entity change, just inconsistent branding between the statutory filing and the bank's own PDFs.</t>
        </is>
      </c>
    </row>
  </sheetData>
  <mergeCells count="2">
    <mergeCell ref="A8:G8"/>
    <mergeCell ref="A6:G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Alrayan Bank Limited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risk-weighted assets</t>
        </is>
      </c>
      <c r="B4" s="6" t="n">
        <v>1471.7</v>
      </c>
      <c r="C4" s="6" t="n">
        <v>1307.8</v>
      </c>
      <c r="D4" s="6" t="n">
        <v>1059.1</v>
      </c>
      <c r="E4" s="6" t="n">
        <v>1022.3</v>
      </c>
      <c r="F4" s="6" t="n">
        <v>943.9</v>
      </c>
      <c r="G4" s="6" t="n">
        <v>1012.5</v>
      </c>
    </row>
    <row r="6" ht="364" customHeight="1">
      <c r="A6" s="8" t="inlineStr">
        <is>
          <t>Sources - Alrayan Bank Limited's own Pillar 3 Disclosures, £m capital amounts / % ratios, all years:
FY2025: Pillar 3 Disclosures - 31 December 2025, Annex I KM1 table, p.39 - https://www.alrayanbank.co.uk/sites/default/files/media/file-uploads/2026-09/pb8084_alrayan_pillar_3_disclosures_2025.pdf
FY2024: Pillar 3 Disclosures - 31 December 2024, Annex I KM1 table, p.38 - https://www.alrayanbank.co.uk/sites/default/files/media/file-uploads/2025-09/alrayan_pillar_3_disclosures_2024_web_-_010925.pdf
FY2023: Pillar 3 Disclosures - 31 December 2023, Annex I KM1 table, p.33 - https://www.alrayanbank.co.uk/sites/default/files/media/file-uploads/2024-08/pb7703_al_rayan_pillar_3_disclosures_2023_v2.pdf
FY2022: Pillar 3 Disclosures - 31 December 2022, Annex I KM1 table, p.29, column a '31/12/2022' - https://www.alrayanbank.co.uk/sites/default/files/media/file-uploads/2023-08/al_rayan_pillar_three_32pp_brochure_-_final.pdf
  FY2022 RE-SOURCED 2026-10-08 TO ITS OWN EDITION (KM1 locked rule 1), AND WHAT THE CHECK FOUND IS RECORDED BECAUSE IT IS EVIDENCE. This citation used to read 'sourced from the FY2023 Pillar 3 Disclosures' own FY2022 comparative column, Annex I KM1 table, p.33'. Rule 1 says use each year's OWN edition, never a later edition's comparative, because a comparative imports the later edition's restatements and errors invisibly. The FY2022 edition was fetched (32pp, cover 'Pillar 3 Disclosures 31 December 2022') and its Annex I KM1 on p.29 read at 200 dpi off the page image: every one of the 24 figures this workbook carries for FY2022 - 152.7 / 155.7 / 178.4 / 1,022.3, 14.93% / 15.23% / 17.45%, 2.82% / 10.82%, 2.50% / 0.65% / 3.15% / 13.97% / 28%, 2,306.6 / 6.7%, 173.6 / 159.4 / 255.1 / 39.8 / 442%, 1,982.3 / 1,280.8 / 155% - matches digit for digit. So NO FIGURE CHANGED: the FY2023 edition did not restate FY2022, and that agreement is now established rather than assumed. The citation points at the own edition so the next reader does not have to re-do this.
  Two things that stay as they are, both deliberate: the FY2022 edition also prints a 31/12/2021 KM1 comparative column (142.4 / 145.4 / 170.4 / 943.9, 15.08% / 15.40% / 18.05%, 6.8%, 357%), and rule 1 forbids using it - FY2021's own edition pre-dates the template, so the KM1 sheet's FY2021 column stays blank. Its footnote on NSFR ('only been reported for 2022 ... however, the amount calculated by the Bank and reported within the 2021 disclosures was 146%') is the Bank quoting its own earlier document, not a KM1 row, so it does not fill a KM1 cell either.
FY2021: Pillar 3 Disclosures - 31 December 2021, Table 1/2/3 (this edition pre-dates the bank's adoption of the standardised KM1 Annex template, so FY2021 figures come from the Executive Summary tables instead), p.5 - https://www.alrayanbank.co.uk/sites/default/files/media/file-uploads/2022-10/inv-rep-2021-pillar-3.pdf
FY2020: Pillar 3 Disclosures - 31 December 2020, Table 1/2 'Available capital'/'Capital ratios as a percentage of RWA' (same pre-KM1 Executive Summary format as FY2021's edition - this document has a genuine text layer, unlike the scanned Annual Reports, so figures are machine-read not visually transcribed), p.3 - https://www.alrayanbank.co.uk/sites/default/files/media/file-uploads/2021-07/2020_pillar_3_disclosures_-_final.pdf. Cross-checked against the FY2021 Annual Report's own FY2020 credit-risk comparative note and ties exactly.
FY2025 FILLED 2026-09-15: the FY2025 Pillar 3 Disclosures PDF is now live on the Bank's investor-relations regulatory-information page (published 2026-09), and every FY2025 Pillar 3 cell in this workbook is transcribed from its Annex I KM1/OV1 templates - nothing is carried over from the Annual Report. One consequence: the CET1 ratio cell for FY2025 was previously 15.41% (the FY2025 Annual Report's own KPI table, the only capital figure available before the Pillar 3 document appeared) and is now 15.45%, the KM1 Annex figure. The two are different bases, not a correction of an error - the same AR-KPI-vs-KM1 spread this project keeps blank elsewhere - and the KM1 figure is used here for consistency with FY2020-FY2024 and with every other bank in this project. Likewise the LCR cell uses KM1 line 17's twelve-month average (481%), not the Executive Summary's point-in-time 598%.</t>
        </is>
      </c>
    </row>
    <row r="8" ht="200" customHeight="1">
      <c r="A8" s="8" t="inlineStr">
        <is>
          <t>(continued)
This bank's own Pillar 3 documents show small internal discrepancies between their Executive Summary narrative tables and their formal KM1 Annex tables in a couple of instances (e.g. FY2023 NSFR: 160% exec summary vs 157% KM1 annex; FY2022 Leverage Ratio: 6.8% exec summary vs 6.7% KM1 annex) - this workbook uses the KM1 Annex figures throughout for consistency with the standard regulatory template and with every other bank in this project.
ENTITY NOTE: Alrayan Bank Limited (FRN 229148, Companies House 04483430, matches Banks List 2608.xlsx exactly) is a UK Sharia-compliant bank, wholly owned by AlRayan Bank (Q.P.S.C.) of Qatar. Its own Annual Report/Pillar 3 documents style it 'Al Rayan Bank PLC' but Companies House confirms its current registered name is 'ALRAYAN BANK LIMITED' - same company number throughout, not an entity change, just inconsistent branding between the statutory filing and the bank's own PDFs.</t>
        </is>
      </c>
    </row>
  </sheetData>
  <mergeCells count="2">
    <mergeCell ref="A8:G8"/>
    <mergeCell ref="A6:G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Alrayan Bank Limited — RWA Breakdown (UK OV1)</t>
        </is>
      </c>
    </row>
    <row r="2">
      <c r="A2" s="2" t="inlineStr">
        <is>
          <t>Bank entity-level basis, £m.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row>
    <row r="4">
      <c r="A4" s="5" t="inlineStr">
        <is>
          <t>Risk-weighted exposure amounts (£m)</t>
        </is>
      </c>
      <c r="B4" s="6" t="n"/>
      <c r="C4" s="6" t="n"/>
      <c r="D4" s="6" t="n"/>
      <c r="E4" s="6" t="n"/>
      <c r="F4" s="6" t="n"/>
      <c r="G4" s="6" t="n"/>
    </row>
    <row r="5">
      <c r="A5" s="6" t="inlineStr">
        <is>
          <t>Credit risk (excluding CCR)</t>
        </is>
      </c>
      <c r="B5" s="6" t="n">
        <v>1335</v>
      </c>
      <c r="C5" s="6" t="n">
        <v>1184.1</v>
      </c>
      <c r="D5" s="6" t="n">
        <v>950.5</v>
      </c>
      <c r="E5" s="6" t="n">
        <v>936.3</v>
      </c>
      <c r="F5" s="6" t="n"/>
      <c r="G5" s="6" t="n"/>
    </row>
    <row r="6">
      <c r="A6" s="6" t="inlineStr">
        <is>
          <t>Credit risk (incl. commitments/Sharia-compliant derivatives, pre-OV1 combined basis)</t>
        </is>
      </c>
      <c r="B6" s="6" t="n"/>
      <c r="C6" s="6" t="n"/>
      <c r="D6" s="6" t="n"/>
      <c r="E6" s="6" t="n"/>
      <c r="F6" s="6" t="n">
        <v>865.1</v>
      </c>
      <c r="G6" s="6" t="n">
        <v>937.3</v>
      </c>
    </row>
    <row r="7">
      <c r="A7" s="6" t="inlineStr">
        <is>
          <t>Counterparty credit risk (CCR)</t>
        </is>
      </c>
      <c r="B7" s="6" t="n">
        <v>14.2</v>
      </c>
      <c r="C7" s="6" t="n">
        <v>6.4</v>
      </c>
      <c r="D7" s="6" t="n">
        <v>3.2</v>
      </c>
      <c r="E7" s="6" t="n">
        <v>0.1</v>
      </c>
      <c r="F7" s="6" t="n"/>
      <c r="G7" s="6" t="n"/>
    </row>
    <row r="8">
      <c r="A8" s="6" t="inlineStr">
        <is>
          <t>Operational risk</t>
        </is>
      </c>
      <c r="B8" s="6" t="n">
        <v>122.5</v>
      </c>
      <c r="C8" s="6" t="n">
        <v>117.3</v>
      </c>
      <c r="D8" s="6" t="n">
        <v>105.4</v>
      </c>
      <c r="E8" s="6" t="n">
        <v>85.90000000000001</v>
      </c>
      <c r="F8" s="6" t="n">
        <v>78.8</v>
      </c>
      <c r="G8" s="6" t="n">
        <v>75.2</v>
      </c>
    </row>
    <row r="9">
      <c r="A9" s="5" t="inlineStr">
        <is>
          <t>Total risk-weighted exposure amounts</t>
        </is>
      </c>
      <c r="B9" s="5" t="n">
        <v>1471.7</v>
      </c>
      <c r="C9" s="5" t="n">
        <v>1307.8</v>
      </c>
      <c r="D9" s="5" t="n">
        <v>1059.1</v>
      </c>
      <c r="E9" s="5" t="n">
        <v>1022.3</v>
      </c>
      <c r="F9" s="5" t="n">
        <v>943.9</v>
      </c>
      <c r="G9" s="5" t="n">
        <v>1012.5</v>
      </c>
    </row>
    <row r="11" ht="273" customHeight="1">
      <c r="A11" s="8" t="inlineStr">
        <is>
          <t>Sources - Alrayan Bank Limited's own Pillar 3 Disclosures, UK OV1 'Overview of risk weighted exposure amounts' template (or its pre-KM1 equivalent for FY2020-FY2021), £m, all years:
FY2025: Pillar 3 Disclosures - 31 December 2025, Annex I OV1 table, p.40 - https://www.alrayanbank.co.uk/sites/default/files/media/file-uploads/2026-09/pb8084_alrayan_pillar_3_disclosures_2025.pdf
FY2024: Pillar 3 Disclosures - 31 December 2024, Annex I OV1 table, p.39 - https://www.alrayanbank.co.uk/sites/default/files/media/file-uploads/2025-09/alrayan_pillar_3_disclosures_2024_web_-_010925.pdf
FY2023: Pillar 3 Disclosures - 31 December 2023, Annex I OV1 table, p.34 - https://www.alrayanbank.co.uk/sites/default/files/media/file-uploads/2024-08/pb7703_al_rayan_pillar_3_disclosures_2023_v2.pdf
FY2022: Pillar 3 Disclosures - 31 December 2022, Annex I OV1 table, p.30, column a '31/12/2022' (Credit risk excluding CCR 936.3, CCR 0.1, Operational risk 85.9, Total 1,022.3 - read at 300 dpi off the page image 2026-10-08; identical to the FY2023 edition's FY2022 comparative, which this line used to cite, so no figure changed when it was re-sourced to its own edition under KM1 locked rule 1) - https://www.alrayanbank.co.uk/sites/default/files/media/file-uploads/2023-08/al_rayan_pillar_three_32pp_brochure_-_final.pdf
  [SUPERSEDED] FY2022 was previously sourced from the FY2023 Pillar 3 Disclosures' own FY2022 comparative column, Annex I OV1 table, p.34 - https://www.alrayanbank.co.uk/sites/default/files/media/file-uploads/2024-08/pb7703_al_rayan_pillar_3_disclosures_2023_v2.pdf
FY2021: Pillar 3 Disclosures - 31 December 2021, Table 7 'Pillar 1 capital requirements: credit risk' + Table 29 'Operational risk RWAs flow statement', pp.18, 31 - https://www.alrayanbank.co.uk/sites/default/files/media/file-uploads/2022-10/inv-rep-2021-pillar-3.pdf
FY2020: Pillar 3 Disclosures - 31 December 2020, Table 34 'Overview of RWA &amp; Pillar I' + Table 29 'Operational risk RWAs flow statement', pp.30, 26 - https://www.alrayanbank.co.uk/sites/default/files/media/file-uploads/2021-07/2020_pillar_3_disclosures_-_final.pdf
Presentation note: FY2025 was added 2026-09-15 from the newly published FY2025 Pillar 3 Disclosures' own Annex I OV1 template (p.40). FY2020-FY2021's Pillar 3 editions pre-date the bank's adoption of the standardised UK OV1 template - their 'Table 7/8: Pillar 1 capital requirements: credit risk' presents credit risk RWA together with small counterparty-credit-risk-like 'Commitment to finance' and 'Sharia compliant derivatives' categories as one combined total (£937.3m FY2020, £865.1m FY2021), rather than the later editions' separate 'Credit risk (excluding CCR)' / 'Counterparty credit risk - CCR' OV1 line split - so FY2020/FY2021's Credit risk cells below are those combined figures, and the CCR cells are left blank rather than force-split. Every year's Total ties out exactly to the pre-existing Total RWAs sheet.
ENTITY NOTE: Alrayan Bank Limited (FRN 229148, Companies House 04483430, matches Banks List 2608.xlsx exactly) is a UK Sharia-compliant bank, wholly owned by AlRayan Bank (Q.P.S.C.) of Qatar. Its own Annual Report/Pillar 3 documents style it 'Al Rayan Bank PLC' but Companies House confirms its current registered name is 'ALRAYAN BANK LIMITED' - same company number throughout, not an entity change, just inconsistent branding between the statutory filing and the bank's own PDFs.</t>
        </is>
      </c>
    </row>
  </sheetData>
  <mergeCells count="1">
    <mergeCell ref="A11:G1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Alrayan Bank Limited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Leverage ratio - FY2022 onward excluding claims on central banks (UK KM1); FY2020-FY2021 old CRR single exposure measure, no split; see note</t>
        </is>
      </c>
      <c r="B4" s="6" t="inlineStr">
        <is>
          <t>7.6%</t>
        </is>
      </c>
      <c r="C4" s="6" t="inlineStr">
        <is>
          <t>7.7%</t>
        </is>
      </c>
      <c r="D4" s="6" t="inlineStr">
        <is>
          <t>7.8%</t>
        </is>
      </c>
      <c r="E4" s="6" t="inlineStr">
        <is>
          <t>6.7%</t>
        </is>
      </c>
      <c r="F4" s="6" t="inlineStr">
        <is>
          <t>6.4%</t>
        </is>
      </c>
      <c r="G4" s="6" t="inlineStr">
        <is>
          <t>5.9%</t>
        </is>
      </c>
    </row>
    <row r="5" ht="182" customHeight="1">
      <c r="A5" s="7" t="inlineStr">
        <is>
          <t xml:space="preserve">Note: FY2022-FY2024 are on the 'excluding claims on central banks' KM1 basis; FY2020-FY2021 (5.9%/6.4%) are on the older CRR/LRSum basis, from before the PRA's leverage-framework methodology change (PRA PS21/21) - not directly comparable, same industry-wide basis break documented for several other banks in this project.
ONE LEVERAGE BASIS ONLY - CHECKED AND RECORDED 2026-10-09 (GA-026). Template UK LR2 (LRCom) asks for BOTH leverage measures - rows 24 and UK-25c on the including-claims-on-central-banks basis, UK-24b and 25 on the excluding basis, with the reconciling deduction at UK-24a - and 47 workbooks in this corpus carry both. This sheet carries the excluding side alone because that is all this bank publishes, not because the including side was missed.
HOW THAT WAS ESTABLISHED: all 6 source URLs cited on this sheet and its KM1 sheet were re-fetched on 2026-10-09 (6 returned a real PDF, %PDF magic bytes checked), and each document's full text was searched for an LR2/LRCom template and for the 'including claims on central banks' wording. Every match was opened and read on 2026-10-09; none is an in-scope disclosure. In PRE-2022 editions the hit is the OLD CRR 'Leverage ratio common disclosure', not the UK dual-basis template: it prints a single 'Leverage ratio total exposure measure' with no excluding/including split, which is why those same documents carry no 'excluding claims on central banks' wording either. The UK split took effect only for periods from 1 January 2022, so those editions confirm the dual basis did not yet exist rather than offering a figure to carry. The bank files UK KM1, whose leverage block (rows 13 and 14) asks only for the excluding measure; a KM1 filer that publishes no LR2 therefore discloses one basis.
THIS IS A RECORDED FINDING, NOT AN UNCHECKED GAP. Do not reopen it on the sheet's shape alone. It should be reopened when a NEW edition appears, since a bank can begin printing LR2 at any time - Aldermore's FY2026 report is the first of its eight editions to do so. And note the method's own limit: the text search is defeated by a figure wrapping into the middle of a label (UBP's KM1 renders as '...excluding claims  4,407,957  on central banks'), so a hit was always read by hand and only a clean zero across every edition supports this finding. </t>
        </is>
      </c>
    </row>
    <row r="7" ht="364" customHeight="1">
      <c r="A7" s="8" t="inlineStr">
        <is>
          <t>Sources - Alrayan Bank Limited's own Pillar 3 Disclosures, £m capital amounts / % ratios, all years:
FY2025: Pillar 3 Disclosures - 31 December 2025, Annex I KM1 table, p.39 - https://www.alrayanbank.co.uk/sites/default/files/media/file-uploads/2026-09/pb8084_alrayan_pillar_3_disclosures_2025.pdf
FY2024: Pillar 3 Disclosures - 31 December 2024, Annex I KM1 table, p.38 - https://www.alrayanbank.co.uk/sites/default/files/media/file-uploads/2025-09/alrayan_pillar_3_disclosures_2024_web_-_010925.pdf
FY2023: Pillar 3 Disclosures - 31 December 2023, Annex I KM1 table, p.33 - https://www.alrayanbank.co.uk/sites/default/files/media/file-uploads/2024-08/pb7703_al_rayan_pillar_3_disclosures_2023_v2.pdf
FY2022: Pillar 3 Disclosures - 31 December 2022, Annex I KM1 table, p.29, column a '31/12/2022' - https://www.alrayanbank.co.uk/sites/default/files/media/file-uploads/2023-08/al_rayan_pillar_three_32pp_brochure_-_final.pdf
  FY2022 RE-SOURCED 2026-10-08 TO ITS OWN EDITION (KM1 locked rule 1), AND WHAT THE CHECK FOUND IS RECORDED BECAUSE IT IS EVIDENCE. This citation used to read 'sourced from the FY2023 Pillar 3 Disclosures' own FY2022 comparative column, Annex I KM1 table, p.33'. Rule 1 says use each year's OWN edition, never a later edition's comparative, because a comparative imports the later edition's restatements and errors invisibly. The FY2022 edition was fetched (32pp, cover 'Pillar 3 Disclosures 31 December 2022') and its Annex I KM1 on p.29 read at 200 dpi off the page image: every one of the 24 figures this workbook carries for FY2022 - 152.7 / 155.7 / 178.4 / 1,022.3, 14.93% / 15.23% / 17.45%, 2.82% / 10.82%, 2.50% / 0.65% / 3.15% / 13.97% / 28%, 2,306.6 / 6.7%, 173.6 / 159.4 / 255.1 / 39.8 / 442%, 1,982.3 / 1,280.8 / 155% - matches digit for digit. So NO FIGURE CHANGED: the FY2023 edition did not restate FY2022, and that agreement is now established rather than assumed. The citation points at the own edition so the next reader does not have to re-do this.
  Two things that stay as they are, both deliberate: the FY2022 edition also prints a 31/12/2021 KM1 comparative column (142.4 / 145.4 / 170.4 / 943.9, 15.08% / 15.40% / 18.05%, 6.8%, 357%), and rule 1 forbids using it - FY2021's own edition pre-dates the template, so the KM1 sheet's FY2021 column stays blank. Its footnote on NSFR ('only been reported for 2022 ... however, the amount calculated by the Bank and reported within the 2021 disclosures was 146%') is the Bank quoting its own earlier document, not a KM1 row, so it does not fill a KM1 cell either.
FY2021: Pillar 3 Disclosures - 31 December 2021, Table 1/2/3 (this edition pre-dates the bank's adoption of the standardised KM1 Annex template, so FY2021 figures come from the Executive Summary tables instead), p.5 - https://www.alrayanbank.co.uk/sites/default/files/media/file-uploads/2022-10/inv-rep-2021-pillar-3.pdf
FY2020: Pillar 3 Disclosures - 31 December 2020, Table 1/2 'Available capital'/'Capital ratios as a percentage of RWA' (same pre-KM1 Executive Summary format as FY2021's edition - this document has a genuine text layer, unlike the scanned Annual Reports, so figures are machine-read not visually transcribed), p.3 - https://www.alrayanbank.co.uk/sites/default/files/media/file-uploads/2021-07/2020_pillar_3_disclosures_-_final.pdf. Cross-checked against the FY2021 Annual Report's own FY2020 credit-risk comparative note and ties exactly.
FY2025 FILLED 2026-09-15: the FY2025 Pillar 3 Disclosures PDF is now live on the Bank's investor-relations regulatory-information page (published 2026-09), and every FY2025 Pillar 3 cell in this workbook is transcribed from its Annex I KM1/OV1 templates - nothing is carried over from the Annual Report. One consequence: the CET1 ratio cell for FY2025 was previously 15.41% (the FY2025 Annual Report's own KPI table, the only capital figure available before the Pillar 3 document appeared) and is now 15.45%, the KM1 Annex figure. The two are different bases, not a correction of an error - the same AR-KPI-vs-KM1 spread this project keeps blank elsewhere - and the KM1 figure is used here for consistency with FY2020-FY2024 and with every other bank in this project. Likewise the LCR cell uses KM1 line 17's twelve-month average (481%), not the Executive Summary's point-in-time 598%.</t>
        </is>
      </c>
    </row>
    <row r="9" ht="200" customHeight="1">
      <c r="A9" s="8" t="inlineStr">
        <is>
          <t>(continued)
This bank's own Pillar 3 documents show small internal discrepancies between their Executive Summary narrative tables and their formal KM1 Annex tables in a couple of instances (e.g. FY2023 NSFR: 160% exec summary vs 157% KM1 annex; FY2022 Leverage Ratio: 6.8% exec summary vs 6.7% KM1 annex) - this workbook uses the KM1 Annex figures throughout for consistency with the standard regulatory template and with every other bank in this project.
ENTITY NOTE: Alrayan Bank Limited (FRN 229148, Companies House 04483430, matches Banks List 2608.xlsx exactly) is a UK Sharia-compliant bank, wholly owned by AlRayan Bank (Q.P.S.C.) of Qatar. Its own Annual Report/Pillar 3 documents style it 'Al Rayan Bank PLC' but Companies House confirms its current registered name is 'ALRAYAN BANK LIMITED' - same company number throughout, not an entity change, just inconsistent branding between the statutory filing and the bank's own PDFs.</t>
        </is>
      </c>
    </row>
  </sheetData>
  <mergeCells count="3">
    <mergeCell ref="A7:G7"/>
    <mergeCell ref="A5:G5"/>
    <mergeCell ref="A9:G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Alrayan Bank Limited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Liquidity Coverage Ratio (12-month average, KM1 basis)</t>
        </is>
      </c>
      <c r="B4" s="6" t="inlineStr">
        <is>
          <t>481%</t>
        </is>
      </c>
      <c r="C4" s="6" t="inlineStr">
        <is>
          <t>523%</t>
        </is>
      </c>
      <c r="D4" s="6" t="inlineStr">
        <is>
          <t>641%</t>
        </is>
      </c>
      <c r="E4" s="6" t="inlineStr">
        <is>
          <t>442%</t>
        </is>
      </c>
      <c r="F4" s="6" t="inlineStr">
        <is>
          <t>316%</t>
        </is>
      </c>
      <c r="G4" s="6" t="inlineStr">
        <is>
          <t>352%</t>
        </is>
      </c>
    </row>
    <row r="5" ht="52" customHeight="1">
      <c r="A5" s="7" t="inlineStr">
        <is>
          <t>Note: This bank's Pillar 3 documents disclose TWO different LCR figures each year: a spot/point-in-time figure in the Executive Summary (FY2020 288%, FY2021 635%, FY2022 458%, FY2023 786%, FY2024 746% - none of these used here) and a 12-month AVERAGE figure in the formal KM1/Annex template (used here, for consistency with every other bank in this project and the standard regulatory template). FY2020-FY2021's average figures come from a dedicated 'Analysis of the Bank's average liquidity coverage ratio' table rather than a KM1 template (those editions pre-date the bank's KM1 adoption).</t>
        </is>
      </c>
    </row>
    <row r="7" ht="364" customHeight="1">
      <c r="A7" s="8" t="inlineStr">
        <is>
          <t>Sources - Alrayan Bank Limited's own Pillar 3 Disclosures, £m capital amounts / % ratios, all years:
FY2025: Pillar 3 Disclosures - 31 December 2025, Annex I KM1 table, p.39 - https://www.alrayanbank.co.uk/sites/default/files/media/file-uploads/2026-09/pb8084_alrayan_pillar_3_disclosures_2025.pdf
FY2024: Pillar 3 Disclosures - 31 December 2024, Annex I KM1 table, p.38 - https://www.alrayanbank.co.uk/sites/default/files/media/file-uploads/2025-09/alrayan_pillar_3_disclosures_2024_web_-_010925.pdf
FY2023: Pillar 3 Disclosures - 31 December 2023, Annex I KM1 table, p.33 - https://www.alrayanbank.co.uk/sites/default/files/media/file-uploads/2024-08/pb7703_al_rayan_pillar_3_disclosures_2023_v2.pdf
FY2022: Pillar 3 Disclosures - 31 December 2022, Annex I KM1 table, p.29, column a '31/12/2022' - https://www.alrayanbank.co.uk/sites/default/files/media/file-uploads/2023-08/al_rayan_pillar_three_32pp_brochure_-_final.pdf
  FY2022 RE-SOURCED 2026-10-08 TO ITS OWN EDITION (KM1 locked rule 1), AND WHAT THE CHECK FOUND IS RECORDED BECAUSE IT IS EVIDENCE. This citation used to read 'sourced from the FY2023 Pillar 3 Disclosures' own FY2022 comparative column, Annex I KM1 table, p.33'. Rule 1 says use each year's OWN edition, never a later edition's comparative, because a comparative imports the later edition's restatements and errors invisibly. The FY2022 edition was fetched (32pp, cover 'Pillar 3 Disclosures 31 December 2022') and its Annex I KM1 on p.29 read at 200 dpi off the page image: every one of the 24 figures this workbook carries for FY2022 - 152.7 / 155.7 / 178.4 / 1,022.3, 14.93% / 15.23% / 17.45%, 2.82% / 10.82%, 2.50% / 0.65% / 3.15% / 13.97% / 28%, 2,306.6 / 6.7%, 173.6 / 159.4 / 255.1 / 39.8 / 442%, 1,982.3 / 1,280.8 / 155% - matches digit for digit. So NO FIGURE CHANGED: the FY2023 edition did not restate FY2022, and that agreement is now established rather than assumed. The citation points at the own edition so the next reader does not have to re-do this.
  Two things that stay as they are, both deliberate: the FY2022 edition also prints a 31/12/2021 KM1 comparative column (142.4 / 145.4 / 170.4 / 943.9, 15.08% / 15.40% / 18.05%, 6.8%, 357%), and rule 1 forbids using it - FY2021's own edition pre-dates the template, so the KM1 sheet's FY2021 column stays blank. Its footnote on NSFR ('only been reported for 2022 ... however, the amount calculated by the Bank and reported within the 2021 disclosures was 146%') is the Bank quoting its own earlier document, not a KM1 row, so it does not fill a KM1 cell either.
FY2021: Pillar 3 Disclosures - 31 December 2021, Table 1/2/3 (this edition pre-dates the bank's adoption of the standardised KM1 Annex template, so FY2021 figures come from the Executive Summary tables instead), p.5 - https://www.alrayanbank.co.uk/sites/default/files/media/file-uploads/2022-10/inv-rep-2021-pillar-3.pdf
FY2020: Pillar 3 Disclosures - 31 December 2020, Table 1/2 'Available capital'/'Capital ratios as a percentage of RWA' (same pre-KM1 Executive Summary format as FY2021's edition - this document has a genuine text layer, unlike the scanned Annual Reports, so figures are machine-read not visually transcribed), p.3 - https://www.alrayanbank.co.uk/sites/default/files/media/file-uploads/2021-07/2020_pillar_3_disclosures_-_final.pdf. Cross-checked against the FY2021 Annual Report's own FY2020 credit-risk comparative note and ties exactly.
FY2025 FILLED 2026-09-15: the FY2025 Pillar 3 Disclosures PDF is now live on the Bank's investor-relations regulatory-information page (published 2026-09), and every FY2025 Pillar 3 cell in this workbook is transcribed from its Annex I KM1/OV1 templates - nothing is carried over from the Annual Report. One consequence: the CET1 ratio cell for FY2025 was previously 15.41% (the FY2025 Annual Report's own KPI table, the only capital figure available before the Pillar 3 document appeared) and is now 15.45%, the KM1 Annex figure. The two are different bases, not a correction of an error - the same AR-KPI-vs-KM1 spread this project keeps blank elsewhere - and the KM1 figure is used here for consistency with FY2020-FY2024 and with every other bank in this project. Likewise the LCR cell uses KM1 line 17's twelve-month average (481%), not the Executive Summary's point-in-time 598%.</t>
        </is>
      </c>
    </row>
    <row r="9" ht="200" customHeight="1">
      <c r="A9" s="8" t="inlineStr">
        <is>
          <t>(continued)
This bank's own Pillar 3 documents show small internal discrepancies between their Executive Summary narrative tables and their formal KM1 Annex tables in a couple of instances (e.g. FY2023 NSFR: 160% exec summary vs 157% KM1 annex; FY2022 Leverage Ratio: 6.8% exec summary vs 6.7% KM1 annex) - this workbook uses the KM1 Annex figures throughout for consistency with the standard regulatory template and with every other bank in this project.
ENTITY NOTE: Alrayan Bank Limited (FRN 229148, Companies House 04483430, matches Banks List 2608.xlsx exactly) is a UK Sharia-compliant bank, wholly owned by AlRayan Bank (Q.P.S.C.) of Qatar. Its own Annual Report/Pillar 3 documents style it 'Al Rayan Bank PLC' but Companies House confirms its current registered name is 'ALRAYAN BANK LIMITED' - same company number throughout, not an entity change, just inconsistent branding between the statutory filing and the bank's own PDFs.</t>
        </is>
      </c>
    </row>
  </sheetData>
  <mergeCells count="3">
    <mergeCell ref="A7:G7"/>
    <mergeCell ref="A5:G5"/>
    <mergeCell ref="A9:G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Alrayan Bank Limited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Net Stable Funding Ratio</t>
        </is>
      </c>
      <c r="B4" s="6" t="inlineStr">
        <is>
          <t>151%</t>
        </is>
      </c>
      <c r="C4" s="6" t="inlineStr">
        <is>
          <t>161%</t>
        </is>
      </c>
      <c r="D4" s="6" t="inlineStr">
        <is>
          <t>157%</t>
        </is>
      </c>
      <c r="E4" s="6" t="inlineStr">
        <is>
          <t>155%</t>
        </is>
      </c>
      <c r="F4" s="6" t="inlineStr">
        <is>
          <t>146%</t>
        </is>
      </c>
      <c r="G4" s="6" t="inlineStr">
        <is>
          <t>145%</t>
        </is>
      </c>
    </row>
    <row r="6" ht="364" customHeight="1">
      <c r="A6" s="8" t="inlineStr">
        <is>
          <t>Sources - Alrayan Bank Limited's own Pillar 3 Disclosures, £m capital amounts / % ratios, all years:
FY2025: Pillar 3 Disclosures - 31 December 2025, Annex I KM1 table, p.39 - https://www.alrayanbank.co.uk/sites/default/files/media/file-uploads/2026-09/pb8084_alrayan_pillar_3_disclosures_2025.pdf
FY2024: Pillar 3 Disclosures - 31 December 2024, Annex I KM1 table, p.38 - https://www.alrayanbank.co.uk/sites/default/files/media/file-uploads/2025-09/alrayan_pillar_3_disclosures_2024_web_-_010925.pdf
FY2023: Pillar 3 Disclosures - 31 December 2023, Annex I KM1 table, p.33 - https://www.alrayanbank.co.uk/sites/default/files/media/file-uploads/2024-08/pb7703_al_rayan_pillar_3_disclosures_2023_v2.pdf
FY2022: Pillar 3 Disclosures - 31 December 2022, Annex I KM1 table, p.29, column a '31/12/2022' - https://www.alrayanbank.co.uk/sites/default/files/media/file-uploads/2023-08/al_rayan_pillar_three_32pp_brochure_-_final.pdf
  FY2022 RE-SOURCED 2026-10-08 TO ITS OWN EDITION (KM1 locked rule 1), AND WHAT THE CHECK FOUND IS RECORDED BECAUSE IT IS EVIDENCE. This citation used to read 'sourced from the FY2023 Pillar 3 Disclosures' own FY2022 comparative column, Annex I KM1 table, p.33'. Rule 1 says use each year's OWN edition, never a later edition's comparative, because a comparative imports the later edition's restatements and errors invisibly. The FY2022 edition was fetched (32pp, cover 'Pillar 3 Disclosures 31 December 2022') and its Annex I KM1 on p.29 read at 200 dpi off the page image: every one of the 24 figures this workbook carries for FY2022 - 152.7 / 155.7 / 178.4 / 1,022.3, 14.93% / 15.23% / 17.45%, 2.82% / 10.82%, 2.50% / 0.65% / 3.15% / 13.97% / 28%, 2,306.6 / 6.7%, 173.6 / 159.4 / 255.1 / 39.8 / 442%, 1,982.3 / 1,280.8 / 155% - matches digit for digit. So NO FIGURE CHANGED: the FY2023 edition did not restate FY2022, and that agreement is now established rather than assumed. The citation points at the own edition so the next reader does not have to re-do this.
  Two things that stay as they are, both deliberate: the FY2022 edition also prints a 31/12/2021 KM1 comparative column (142.4 / 145.4 / 170.4 / 943.9, 15.08% / 15.40% / 18.05%, 6.8%, 357%), and rule 1 forbids using it - FY2021's own edition pre-dates the template, so the KM1 sheet's FY2021 column stays blank. Its footnote on NSFR ('only been reported for 2022 ... however, the amount calculated by the Bank and reported within the 2021 disclosures was 146%') is the Bank quoting its own earlier document, not a KM1 row, so it does not fill a KM1 cell either.
FY2021: Pillar 3 Disclosures - 31 December 2021, Table 1/2/3 (this edition pre-dates the bank's adoption of the standardised KM1 Annex template, so FY2021 figures come from the Executive Summary tables instead), p.5 - https://www.alrayanbank.co.uk/sites/default/files/media/file-uploads/2022-10/inv-rep-2021-pillar-3.pdf
FY2020: Pillar 3 Disclosures - 31 December 2020, Table 1/2 'Available capital'/'Capital ratios as a percentage of RWA' (same pre-KM1 Executive Summary format as FY2021's edition - this document has a genuine text layer, unlike the scanned Annual Reports, so figures are machine-read not visually transcribed), p.3 - https://www.alrayanbank.co.uk/sites/default/files/media/file-uploads/2021-07/2020_pillar_3_disclosures_-_final.pdf. Cross-checked against the FY2021 Annual Report's own FY2020 credit-risk comparative note and ties exactly.
FY2025 FILLED 2026-09-15: the FY2025 Pillar 3 Disclosures PDF is now live on the Bank's investor-relations regulatory-information page (published 2026-09), and every FY2025 Pillar 3 cell in this workbook is transcribed from its Annex I KM1/OV1 templates - nothing is carried over from the Annual Report. One consequence: the CET1 ratio cell for FY2025 was previously 15.41% (the FY2025 Annual Report's own KPI table, the only capital figure available before the Pillar 3 document appeared) and is now 15.45%, the KM1 Annex figure. The two are different bases, not a correction of an error - the same AR-KPI-vs-KM1 spread this project keeps blank elsewhere - and the KM1 figure is used here for consistency with FY2020-FY2024 and with every other bank in this project. Likewise the LCR cell uses KM1 line 17's twelve-month average (481%), not the Executive Summary's point-in-time 598%.</t>
        </is>
      </c>
    </row>
    <row r="8" ht="200" customHeight="1">
      <c r="A8" s="8" t="inlineStr">
        <is>
          <t>(continued)
This bank's own Pillar 3 documents show small internal discrepancies between their Executive Summary narrative tables and their formal KM1 Annex tables in a couple of instances (e.g. FY2023 NSFR: 160% exec summary vs 157% KM1 annex; FY2022 Leverage Ratio: 6.8% exec summary vs 6.7% KM1 annex) - this workbook uses the KM1 Annex figures throughout for consistency with the standard regulatory template and with every other bank in this project.
ENTITY NOTE: Alrayan Bank Limited (FRN 229148, Companies House 04483430, matches Banks List 2608.xlsx exactly) is a UK Sharia-compliant bank, wholly owned by AlRayan Bank (Q.P.S.C.) of Qatar. Its own Annual Report/Pillar 3 documents style it 'Al Rayan Bank PLC' but Companies House confirms its current registered name is 'ALRAYAN BANK LIMITED' - same company number throughout, not an entity change, just inconsistent branding between the statutory filing and the bank's own PDFs.</t>
        </is>
      </c>
    </row>
  </sheetData>
  <mergeCells count="2">
    <mergeCell ref="A8:G8"/>
    <mergeCell ref="A6:G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Alrayan Bank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MREL Ratio</t>
        </is>
      </c>
      <c r="B4" s="6" t="inlineStr">
        <is>
          <t>Not published – no MREL figure or reference in this year's Pillar 3 (all six editions FY2020-FY2025 full-text searched 2026-09-19, zero 'MREL')</t>
        </is>
      </c>
      <c r="C4" s="6" t="inlineStr">
        <is>
          <t>Not published – no MREL figure or reference in this year's Pillar 3 (all six editions FY2020-FY2025 full-text searched 2026-09-19, zero 'MREL')</t>
        </is>
      </c>
      <c r="D4" s="6" t="inlineStr">
        <is>
          <t>Not published – no MREL figure or reference in this year's Pillar 3 (all six editions FY2020-FY2025 full-text searched 2026-09-19, zero 'MREL')</t>
        </is>
      </c>
      <c r="E4" s="6" t="inlineStr">
        <is>
          <t>Not published – no MREL figure or reference in this year's Pillar 3 (all six editions FY2020-FY2025 full-text searched 2026-09-19, zero 'MREL')</t>
        </is>
      </c>
      <c r="F4" s="6" t="inlineStr">
        <is>
          <t>Not published – no MREL figure or reference in this year's Pillar 3 (all six editions FY2020-FY2025 full-text searched 2026-09-19, zero 'MREL')</t>
        </is>
      </c>
      <c r="G4" s="6" t="inlineStr">
        <is>
          <t>Not published – no MREL figure or reference in this year's Pillar 3 (all six editions FY2020-FY2025 full-text searched 2026-09-19, zero 'MREL')</t>
        </is>
      </c>
    </row>
    <row r="5" ht="52" customHeight="1">
      <c r="A5" s="7" t="inlineStr">
        <is>
          <t>Note: MREL is not mentioned anywhere in the FY2020, FY2021, FY2022, FY2023, FY2024 or FY2025 Pillar 3 Disclosures (full-text searched 2026-09-19 for 'MREL', 'minimum requirement for own funds' and 'eligible liabilities': no hits, against 98-115 hits for 'capital' per edition). The FY2022 edition is https://www.alrayanbank.co.uk/sites/default/files/media/file-uploads/2023-08/al_rayan_pillar_three_32pp_brochure_-_final.pdf . The FY2024 annual report's single 'eligible liabilities' hit is the Bank of England cash ratio deposit scheme, not MREL. Consistent with a bank of this size not being its own resolution entity under the Bank of England's MREL framework.</t>
        </is>
      </c>
    </row>
    <row r="7" ht="377" customHeight="1">
      <c r="A7" s="8" t="inlineStr">
        <is>
          <t>Sources - Alrayan Bank Limited's own Pillar 3 Disclosures, £m capital amounts / % ratios, all years:
FY2025: Pillar 3 Disclosures - 31 December 2025, Annex I KM1 table, p.39 - https://www.alrayanbank.co.uk/sites/default/files/media/file-uploads/2026-09/pb8084_alrayan_pillar_3_disclosures_2025.pdf
FY2024: Pillar 3 Disclosures - 31 December 2024, Annex I KM1 table, p.38 - https://www.alrayanbank.co.uk/sites/default/files/media/file-uploads/2025-09/alrayan_pillar_3_disclosures_2024_web_-_010925.pdf
FY2023: Pillar 3 Disclosures - 31 December 2023, Annex I KM1 table, p.33 - https://www.alrayanbank.co.uk/sites/default/files/media/file-uploads/2024-08/pb7703_al_rayan_pillar_3_disclosures_2023_v2.pdf
FY2022: Pillar 3 Disclosures - 31 December 2022, Annex I KM1 table, p.29, column a '31/12/2022' - https://www.alrayanbank.co.uk/sites/default/files/media/file-uploads/2023-08/al_rayan_pillar_three_32pp_brochure_-_final.pdf
  FY2022 RE-SOURCED 2026-10-08 TO ITS OWN EDITION (KM1 locked rule 1), AND WHAT THE CHECK FOUND IS RECORDED BECAUSE IT IS EVIDENCE. This citation used to read 'sourced from the FY2023 Pillar 3 Disclosures' own FY2022 comparative column, Annex I KM1 table, p.33'. Rule 1 says use each year's OWN edition, never a later edition's comparative, because a comparative imports the later edition's restatements and errors invisibly. The FY2022 edition was fetched (32pp, cover 'Pillar 3 Disclosures 31 December 2022') and its Annex I KM1 on p.29 read at 200 dpi off the page image: every one of the 24 figures this workbook carries for FY2022 - 152.7 / 155.7 / 178.4 / 1,022.3, 14.93% / 15.23% / 17.45%, 2.82% / 10.82%, 2.50% / 0.65% / 3.15% / 13.97% / 28%, 2,306.6 / 6.7%, 173.6 / 159.4 / 255.1 / 39.8 / 442%, 1,982.3 / 1,280.8 / 155% - matches digit for digit. So NO FIGURE CHANGED: the FY2023 edition did not restate FY2022, and that agreement is now established rather than assumed. The citation points at the own edition so the next reader does not have to re-do this.
  Two things that stay as they are, both deliberate: the FY2022 edition also prints a 31/12/2021 KM1 comparative column (142.4 / 145.4 / 170.4 / 943.9, 15.08% / 15.40% / 18.05%, 6.8%, 357%), and rule 1 forbids using it - FY2021's own edition pre-dates the template, so the KM1 sheet's FY2021 column stays blank. Its footnote on NSFR ('only been reported for 2022 ... however, the amount calculated by the Bank and reported within the 2021 disclosures was 146%') is the Bank quoting its own earlier document, not a KM1 row, so it does not fill a KM1 cell either.
FY2021: Pillar 3 Disclosures - 31 December 2021, Table 1/2/3 (this edition pre-dates the bank's adoption of the standardised KM1 Annex template, so FY2021 figures come from the Executive Summary tables instead), p.5 - https://www.alrayanbank.co.uk/sites/default/files/media/file-uploads/2022-10/inv-rep-2021-pillar-3.pdf
FY2020: Pillar 3 Disclosures - 31 December 2020, Table 1/2 'Available capital'/'Capital ratios as a percentage of RWA' (same pre-KM1 Executive Summary format as FY2021's edition - this document has a genuine text layer, unlike the scanned Annual Reports, so figures are machine-read not visually transcribed), p.3 - https://www.alrayanbank.co.uk/sites/default/files/media/file-uploads/2021-07/2020_pillar_3_disclosures_-_final.pdf. Cross-checked against the FY2021 Annual Report's own FY2020 credit-risk comparative note and ties exactly.
FY2025 FILLED 2026-09-15: the FY2025 Pillar 3 Disclosures PDF is now live on the Bank's investor-relations regulatory-information page (published 2026-09), and every FY2025 Pillar 3 cell in this workbook is transcribed from its Annex I KM1/OV1 templates - nothing is carried over from the Annual Report. One consequence: the CET1 ratio cell for FY2025 was previously 15.41% (the FY2025 Annual Report's own KPI table, the only capital figure available before the Pillar 3 document appeared) and is now 15.45%, the KM1 Annex figure. The two are different bases, not a correction of an error - the same AR-KPI-vs-KM1 spread this project keeps blank elsewhere - and the KM1 figure is used here for consistency with FY2020-FY2024 and with every other bank in this project. Likewise the LCR cell uses KM1 line 17's twelve-month average (481%), not the Executive Summary's point-in-time 598%.</t>
        </is>
      </c>
    </row>
    <row r="9" ht="150" customHeight="1">
      <c r="A9" s="8" t="inlineStr">
        <is>
          <t>(continued)
This bank's own Pillar 3 documents show small internal discrepancies between their Executive Summary narrative tables and their formal KM1 Annex tables in a couple of instances (e.g. FY2023 NSFR: 160% exec summary vs 157% KM1 annex; FY2022 Leverage Ratio: 6.8% exec summary vs 6.7% KM1 annex) - this workbook uses the KM1 Annex figures throughout for consistency with the standard regulatory template and with every other bank in this project.
ENTITY NOTE: Alrayan Bank Limited (FRN 229148, Companies House 04483430, matches Banks List 2608.xlsx exactly) is a UK Sharia-compliant bank, wholly owned by AlRayan Bank (Q.P.S.C.) of Qatar. Its own Annual Report/Pillar 3 documents style it 'Al Rayan Bank PLC' but Companies House confirms its current registered name is 'ALRAYAN BANK LIMITED' - same company number throughout, not an entity change, just inconsistent branding between the statutory filing and the bank's own PDFs.</t>
        </is>
      </c>
    </row>
  </sheetData>
  <mergeCells count="3">
    <mergeCell ref="A7:G7"/>
    <mergeCell ref="A5:G5"/>
    <mergeCell ref="A9:G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2026-10-10T15:08:18Z</dcterms:created>
  <dcterms:modified xmlns:dcterms="http://purl.org/dc/terms/" xmlns:xsi="http://www.w3.org/2001/XMLSchema-instance" xsi:type="dcterms:W3CDTF">2026-10-10T15:08:18Z</dcterms:modified>
</cp:coreProperties>
</file>