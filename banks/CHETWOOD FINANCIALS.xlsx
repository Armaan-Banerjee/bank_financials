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Profit &amp; Loss" sheetId="3" state="visible" r:id="rId3"/>
    <sheet xmlns:r="http://schemas.openxmlformats.org/officeDocument/2006/relationships" name="Statement of Changes in Equity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Asset Quality" sheetId="6" state="visible" r:id="rId6"/>
    <sheet xmlns:r="http://schemas.openxmlformats.org/officeDocument/2006/relationships" name="CET1 Capital" sheetId="7" state="visible" r:id="rId7"/>
    <sheet xmlns:r="http://schemas.openxmlformats.org/officeDocument/2006/relationships" name="CET1 Ratio" sheetId="8" state="visible" r:id="rId8"/>
    <sheet xmlns:r="http://schemas.openxmlformats.org/officeDocument/2006/relationships" name="Tier 1 Capital" sheetId="9" state="visible" r:id="rId9"/>
    <sheet xmlns:r="http://schemas.openxmlformats.org/officeDocument/2006/relationships" name="Tier 1 Ratio" sheetId="10" state="visible" r:id="rId10"/>
    <sheet xmlns:r="http://schemas.openxmlformats.org/officeDocument/2006/relationships" name="Total Capital" sheetId="11" state="visible" r:id="rId11"/>
    <sheet xmlns:r="http://schemas.openxmlformats.org/officeDocument/2006/relationships" name="Total Capital Ratio" sheetId="12" state="visible" r:id="rId12"/>
    <sheet xmlns:r="http://schemas.openxmlformats.org/officeDocument/2006/relationships" name="Total RWAs" sheetId="13" state="visible" r:id="rId13"/>
    <sheet xmlns:r="http://schemas.openxmlformats.org/officeDocument/2006/relationships" name="RWA Breakdown" sheetId="14" state="visible" r:id="rId14"/>
    <sheet xmlns:r="http://schemas.openxmlformats.org/officeDocument/2006/relationships" name="Leverage Ratio" sheetId="15" state="visible" r:id="rId15"/>
    <sheet xmlns:r="http://schemas.openxmlformats.org/officeDocument/2006/relationships" name="LCR" sheetId="16" state="visible" r:id="rId16"/>
    <sheet xmlns:r="http://schemas.openxmlformats.org/officeDocument/2006/relationships" name="NSFR" sheetId="17" state="visible" r:id="rId17"/>
    <sheet xmlns:r="http://schemas.openxmlformats.org/officeDocument/2006/relationships" name="MREL Ratio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003232"/>
        <bgColor rgb="0000323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Chetwood Financial Limited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'Overview'!K6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'Overview'!$L$5:$R$5</f>
            </numRef>
          </cat>
          <val>
            <numRef>
              <f>'Overview'!$L$6:$R$6</f>
            </numRef>
          </val>
        </ser>
        <ser>
          <idx val="1"/>
          <order val="1"/>
          <tx>
            <strRef>
              <f>'Overview'!K7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'Overview'!$L$5:$R$5</f>
            </numRef>
          </cat>
          <val>
            <numRef>
              <f>'Overview'!$L$7:$R$7</f>
            </numRef>
          </val>
        </ser>
        <ser>
          <idx val="2"/>
          <order val="2"/>
          <tx>
            <strRef>
              <f>'Overview'!K8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'Overview'!$L$5:$R$5</f>
            </numRef>
          </cat>
          <val>
            <numRef>
              <f>'Overview'!$L$8:$R$8</f>
            </numRef>
          </val>
        </ser>
        <ser>
          <idx val="3"/>
          <order val="3"/>
          <tx>
            <strRef>
              <f>'Overview'!K9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'Overview'!$L$5:$R$5</f>
            </numRef>
          </cat>
          <val>
            <numRef>
              <f>'Overview'!$L$9:$R$9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Chetwood Financial Limited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'Overview'!U13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'Overview'!$V$12:$AB$12</f>
            </numRef>
          </cat>
          <val>
            <numRef>
              <f>'Overview'!$V$13:$AB$13</f>
            </numRef>
          </val>
        </ser>
        <ser>
          <idx val="1"/>
          <order val="1"/>
          <tx>
            <strRef>
              <f>'Overview'!U14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'Overview'!$V$12:$AB$12</f>
            </numRef>
          </cat>
          <val>
            <numRef>
              <f>'Overview'!$V$14:$AB$14</f>
            </numRef>
          </val>
        </ser>
        <ser>
          <idx val="2"/>
          <order val="2"/>
          <tx>
            <strRef>
              <f>'Overview'!U15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'Overview'!$V$12:$AB$12</f>
            </numRef>
          </cat>
          <val>
            <numRef>
              <f>'Overview'!$V$15:$AB$15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Chetwood Financial Limited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'Overview'!AE19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'Overview'!$AF$18:$AL$18</f>
            </numRef>
          </cat>
          <val>
            <numRef>
              <f>'Overview'!$AF$19:$AL$19</f>
            </numRef>
          </val>
        </ser>
        <ser>
          <idx val="1"/>
          <order val="1"/>
          <tx>
            <strRef>
              <f>'Overview'!AE20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'Overview'!$AF$18:$AL$18</f>
            </numRef>
          </cat>
          <val>
            <numRef>
              <f>'Overview'!$AF$20:$AL$20</f>
            </numRef>
          </val>
        </ser>
        <ser>
          <idx val="2"/>
          <order val="2"/>
          <tx>
            <strRef>
              <f>'Overview'!AE21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'Overview'!$AF$18:$AL$18</f>
            </numRef>
          </cat>
          <val>
            <numRef>
              <f>'Overview'!$AF$21:$AL$21</f>
            </numRef>
          </val>
        </ser>
        <ser>
          <idx val="3"/>
          <order val="3"/>
          <tx>
            <strRef>
              <f>'Overview'!AE22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'Overview'!$AF$18:$AL$18</f>
            </numRef>
          </cat>
          <val>
            <numRef>
              <f>'Overview'!$AF$22:$AL$22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Chetwood Financial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'Overview'!AO26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'Overview'!$AP$25:$AV$25</f>
            </numRef>
          </cat>
          <val>
            <numRef>
              <f>'Overview'!$AP$26:$AV$26</f>
            </numRef>
          </val>
        </ser>
        <ser>
          <idx val="1"/>
          <order val="1"/>
          <tx>
            <strRef>
              <f>'Overview'!AO27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'Overview'!$AP$25:$AV$25</f>
            </numRef>
          </cat>
          <val>
            <numRef>
              <f>'Overview'!$AP$27:$AV$27</f>
            </numRef>
          </val>
        </ser>
        <ser>
          <idx val="2"/>
          <order val="2"/>
          <tx>
            <strRef>
              <f>'Overview'!AO28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'Overview'!$AP$25:$AV$25</f>
            </numRef>
          </cat>
          <val>
            <numRef>
              <f>'Overview'!$AP$28:$AV$28</f>
            </numRef>
          </val>
        </ser>
        <ser>
          <idx val="3"/>
          <order val="3"/>
          <tx>
            <strRef>
              <f>'Overview'!AO29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'Overview'!$AP$25:$AV$25</f>
            </numRef>
          </cat>
          <val>
            <numRef>
              <f>'Overview'!$AP$29:$AV$29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Chetwood Financial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'Overview'!AY6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'Overview'!$AZ$6:$BF$6</f>
            </numRef>
          </val>
          <smooth val="0"/>
        </ser>
        <ser>
          <idx val="1"/>
          <order val="1"/>
          <tx>
            <strRef>
              <f>'Overview'!AY7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'Overview'!$AZ$7:$BF$7</f>
            </numRef>
          </val>
          <smooth val="0"/>
        </ser>
        <ser>
          <idx val="2"/>
          <order val="2"/>
          <tx>
            <strRef>
              <f>'Overview'!AY8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'Overview'!$AZ$8:$BF$8</f>
            </numRef>
          </val>
          <smooth val="0"/>
        </ser>
        <ser>
          <idx val="3"/>
          <order val="3"/>
          <tx>
            <strRef>
              <f>'Overview'!AY9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'Overview'!$AZ$9:$BF$9</f>
            </numRef>
          </val>
          <smooth val="0"/>
        </ser>
        <ser>
          <idx val="4"/>
          <order val="4"/>
          <tx>
            <strRef>
              <f>'Overview'!AY10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'Overview'!$AZ$10:$BF$10</f>
            </numRef>
          </val>
          <smooth val="0"/>
        </ser>
        <ser>
          <idx val="5"/>
          <order val="5"/>
          <tx>
            <strRef>
              <f>'Overview'!AY11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'Overview'!$AZ$5:$BF$5</f>
            </numRef>
          </cat>
          <val>
            <numRef>
              <f>'Overview'!$AZ$11:$BF$11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42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64</row>
      <rowOff>0</rowOff>
    </from>
    <ext cx="864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86</row>
      <rowOff>0</rowOff>
    </from>
    <ext cx="86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108</row>
      <rowOff>0</rowOff>
    </from>
    <ext cx="864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130</row>
      <rowOff>0</rowOff>
    </from>
    <ext cx="8640000" cy="57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4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</cols>
  <sheetData>
    <row r="1">
      <c r="A1" s="1" t="inlineStr">
        <is>
          <t>Chetwood Financial Limited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FY2024*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FY2021†</t>
        </is>
      </c>
      <c r="G5" s="4" t="inlineStr">
        <is>
          <t>FY2020†‡</t>
        </is>
      </c>
      <c r="H5" s="4" t="inlineStr">
        <is>
          <t>FY2019†‡</t>
        </is>
      </c>
      <c r="L5" t="inlineStr">
        <is>
          <t>FY2019†‡</t>
        </is>
      </c>
      <c r="M5" t="inlineStr">
        <is>
          <t>FY2020†‡</t>
        </is>
      </c>
      <c r="N5" t="inlineStr">
        <is>
          <t>FY2021†</t>
        </is>
      </c>
      <c r="O5" t="inlineStr">
        <is>
          <t>FY2022</t>
        </is>
      </c>
      <c r="P5" t="inlineStr">
        <is>
          <t>FY2023</t>
        </is>
      </c>
      <c r="Q5" t="inlineStr">
        <is>
          <t>FY2024*</t>
        </is>
      </c>
      <c r="R5" t="inlineStr">
        <is>
          <t>FY2025</t>
        </is>
      </c>
      <c r="AZ5" t="inlineStr">
        <is>
          <t>FY2019†‡</t>
        </is>
      </c>
      <c r="BA5" t="inlineStr">
        <is>
          <t>FY2020†‡</t>
        </is>
      </c>
      <c r="BB5" t="inlineStr">
        <is>
          <t>FY2021†</t>
        </is>
      </c>
      <c r="BC5" t="inlineStr">
        <is>
          <t>FY2022</t>
        </is>
      </c>
      <c r="BD5" t="inlineStr">
        <is>
          <t>FY2023</t>
        </is>
      </c>
      <c r="BE5" t="inlineStr">
        <is>
          <t>FY2024*</t>
        </is>
      </c>
      <c r="BF5" t="inlineStr">
        <is>
          <t>FY2025</t>
        </is>
      </c>
    </row>
    <row r="6">
      <c r="A6" s="5" t="inlineStr">
        <is>
          <t>Total assets</t>
        </is>
      </c>
      <c r="B6" s="5" t="n">
        <v>4532547</v>
      </c>
      <c r="C6" s="5" t="n">
        <v>3077904</v>
      </c>
      <c r="D6" s="5" t="n">
        <v>1494541</v>
      </c>
      <c r="E6" s="5" t="n">
        <v>400038</v>
      </c>
      <c r="F6" s="5" t="n">
        <v>216524</v>
      </c>
      <c r="G6" s="5" t="n">
        <v>266053</v>
      </c>
      <c r="H6" s="5" t="n">
        <v>77767</v>
      </c>
      <c r="K6" t="inlineStr">
        <is>
          <t>Total assets</t>
        </is>
      </c>
      <c r="L6" t="n">
        <v>77767</v>
      </c>
      <c r="M6" t="n">
        <v>266053</v>
      </c>
      <c r="N6" t="n">
        <v>216524</v>
      </c>
      <c r="O6" t="n">
        <v>400038</v>
      </c>
      <c r="P6" t="n">
        <v>1494541</v>
      </c>
      <c r="Q6" t="n">
        <v>3077904</v>
      </c>
      <c r="R6" t="n">
        <v>4532547</v>
      </c>
      <c r="AY6" t="inlineStr">
        <is>
          <t>CET1 Ratio</t>
        </is>
      </c>
      <c r="BB6" t="n">
        <v>28</v>
      </c>
      <c r="BC6" t="n">
        <v>29.3</v>
      </c>
      <c r="BD6" t="n">
        <v>26.6</v>
      </c>
      <c r="BF6" t="n">
        <v>15.2</v>
      </c>
    </row>
    <row r="7">
      <c r="A7" s="5" t="inlineStr">
        <is>
          <t>Loans and advances to customers</t>
        </is>
      </c>
      <c r="B7" s="5" t="n">
        <v>2691247</v>
      </c>
      <c r="C7" s="5" t="n">
        <v>1833411</v>
      </c>
      <c r="D7" s="5" t="n">
        <v>649179</v>
      </c>
      <c r="E7" s="5" t="n">
        <v>302546</v>
      </c>
      <c r="F7" s="5" t="n">
        <v>156249</v>
      </c>
      <c r="G7" s="5" t="n">
        <v>145022</v>
      </c>
      <c r="H7" s="5" t="n">
        <v>46269</v>
      </c>
      <c r="K7" t="inlineStr">
        <is>
          <t>Loans and advances to customers</t>
        </is>
      </c>
      <c r="L7" t="n">
        <v>46269</v>
      </c>
      <c r="M7" t="n">
        <v>145022</v>
      </c>
      <c r="N7" t="n">
        <v>156249</v>
      </c>
      <c r="O7" t="n">
        <v>302546</v>
      </c>
      <c r="P7" t="n">
        <v>649179</v>
      </c>
      <c r="Q7" t="n">
        <v>1833411</v>
      </c>
      <c r="R7" t="n">
        <v>2691247</v>
      </c>
      <c r="AY7" t="inlineStr">
        <is>
          <t>Tier 1 Ratio</t>
        </is>
      </c>
      <c r="BB7" t="n">
        <v>28</v>
      </c>
      <c r="BC7" t="n">
        <v>29.3</v>
      </c>
      <c r="BD7" t="n">
        <v>26.6</v>
      </c>
      <c r="BF7" t="n">
        <v>15.2</v>
      </c>
    </row>
    <row r="8">
      <c r="A8" s="5" t="inlineStr">
        <is>
          <t>Customer deposits</t>
        </is>
      </c>
      <c r="B8" s="5" t="n">
        <v>3812429</v>
      </c>
      <c r="C8" s="5" t="n">
        <v>2856737</v>
      </c>
      <c r="D8" s="5" t="n">
        <v>1383305</v>
      </c>
      <c r="E8" s="5" t="n">
        <v>322625</v>
      </c>
      <c r="F8" s="5" t="n">
        <v>160015</v>
      </c>
      <c r="G8" s="5" t="n">
        <v>210783</v>
      </c>
      <c r="H8" s="5" t="n">
        <v>26107</v>
      </c>
      <c r="K8" t="inlineStr">
        <is>
          <t>Customer deposits</t>
        </is>
      </c>
      <c r="L8" t="n">
        <v>26107</v>
      </c>
      <c r="M8" t="n">
        <v>210783</v>
      </c>
      <c r="N8" t="n">
        <v>160015</v>
      </c>
      <c r="O8" t="n">
        <v>322625</v>
      </c>
      <c r="P8" t="n">
        <v>1383305</v>
      </c>
      <c r="Q8" t="n">
        <v>2856737</v>
      </c>
      <c r="R8" t="n">
        <v>3812429</v>
      </c>
      <c r="AY8" t="inlineStr">
        <is>
          <t>Total Capital Ratio</t>
        </is>
      </c>
      <c r="BB8" t="n">
        <v>28</v>
      </c>
      <c r="BC8" t="n">
        <v>29.3</v>
      </c>
      <c r="BD8" t="n">
        <v>26.6</v>
      </c>
      <c r="BF8" t="n">
        <v>15.2</v>
      </c>
    </row>
    <row r="9">
      <c r="A9" s="5" t="inlineStr">
        <is>
          <t>Total equity</t>
        </is>
      </c>
      <c r="B9" s="5" t="n">
        <v>196143</v>
      </c>
      <c r="C9" s="5" t="n">
        <v>173082</v>
      </c>
      <c r="D9" s="5" t="n">
        <v>92483</v>
      </c>
      <c r="E9" s="5" t="n">
        <v>65993</v>
      </c>
      <c r="F9" s="5" t="n">
        <v>50830</v>
      </c>
      <c r="G9" s="5" t="n">
        <v>51182</v>
      </c>
      <c r="H9" s="5" t="n">
        <v>49484</v>
      </c>
      <c r="K9" t="inlineStr">
        <is>
          <t>Total equity</t>
        </is>
      </c>
      <c r="L9" t="n">
        <v>49484</v>
      </c>
      <c r="M9" t="n">
        <v>51182</v>
      </c>
      <c r="N9" t="n">
        <v>50830</v>
      </c>
      <c r="O9" t="n">
        <v>65993</v>
      </c>
      <c r="P9" t="n">
        <v>92483</v>
      </c>
      <c r="Q9" t="n">
        <v>173082</v>
      </c>
      <c r="R9" t="n">
        <v>196143</v>
      </c>
      <c r="AY9" t="inlineStr">
        <is>
          <t>Leverage Ratio</t>
        </is>
      </c>
      <c r="BB9" t="n">
        <v>23.4</v>
      </c>
      <c r="BC9" t="n">
        <v>14.58</v>
      </c>
      <c r="BD9" t="n">
        <v>6.01</v>
      </c>
      <c r="BF9" t="n">
        <v>5.19</v>
      </c>
    </row>
    <row r="10">
      <c r="AY10" t="inlineStr">
        <is>
          <t>LCR</t>
        </is>
      </c>
      <c r="BB10" t="n">
        <v>51086</v>
      </c>
      <c r="BC10" t="n">
        <v>4823</v>
      </c>
      <c r="BD10" t="n">
        <v>1015</v>
      </c>
      <c r="BF10" t="n">
        <v>194</v>
      </c>
    </row>
    <row r="11">
      <c r="A11" s="3" t="inlineStr">
        <is>
          <t>Profit &amp; Loss Summary (£'000)</t>
        </is>
      </c>
      <c r="AY11" t="inlineStr">
        <is>
          <t>NSFR</t>
        </is>
      </c>
      <c r="BB11" t="n">
        <v>146.5</v>
      </c>
      <c r="BC11" t="n">
        <v>162.9</v>
      </c>
      <c r="BD11" t="n">
        <v>243</v>
      </c>
      <c r="BF11" t="n">
        <v>145</v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FY2024*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FY2021†</t>
        </is>
      </c>
      <c r="G12" s="4" t="inlineStr">
        <is>
          <t>FY2020†‡</t>
        </is>
      </c>
      <c r="H12" s="4" t="inlineStr">
        <is>
          <t>FY2019†‡</t>
        </is>
      </c>
      <c r="V12" t="inlineStr">
        <is>
          <t>FY2019†‡</t>
        </is>
      </c>
      <c r="W12" t="inlineStr">
        <is>
          <t>FY2020†‡</t>
        </is>
      </c>
      <c r="X12" t="inlineStr">
        <is>
          <t>FY2021†</t>
        </is>
      </c>
      <c r="Y12" t="inlineStr">
        <is>
          <t>FY2022</t>
        </is>
      </c>
      <c r="Z12" t="inlineStr">
        <is>
          <t>FY2023</t>
        </is>
      </c>
      <c r="AA12" t="inlineStr">
        <is>
          <t>FY2024*</t>
        </is>
      </c>
      <c r="AB12" t="inlineStr">
        <is>
          <t>FY2025</t>
        </is>
      </c>
    </row>
    <row r="13">
      <c r="A13" s="5" t="inlineStr">
        <is>
          <t>Total income</t>
        </is>
      </c>
      <c r="B13" s="5" t="n">
        <v>54238</v>
      </c>
      <c r="C13" s="5" t="n">
        <v>45989</v>
      </c>
      <c r="D13" s="5" t="n">
        <v>21471</v>
      </c>
      <c r="E13" s="5" t="n">
        <v>27428</v>
      </c>
      <c r="F13" s="5" t="n">
        <v>14447</v>
      </c>
      <c r="G13" s="5" t="n">
        <v>7673</v>
      </c>
      <c r="H13" s="5" t="n">
        <v>1699</v>
      </c>
      <c r="U13" t="inlineStr">
        <is>
          <t>Total income</t>
        </is>
      </c>
      <c r="V13" t="n">
        <v>1699</v>
      </c>
      <c r="W13" t="n">
        <v>7673</v>
      </c>
      <c r="X13" t="n">
        <v>14447</v>
      </c>
      <c r="Y13" t="n">
        <v>27428</v>
      </c>
      <c r="Z13" t="n">
        <v>21471</v>
      </c>
      <c r="AA13" t="n">
        <v>45989</v>
      </c>
      <c r="AB13" t="n">
        <v>54238</v>
      </c>
    </row>
    <row r="14">
      <c r="A14" s="5" t="inlineStr">
        <is>
          <t>Administrative expenses</t>
        </is>
      </c>
      <c r="B14" s="5" t="n">
        <v>-57209</v>
      </c>
      <c r="C14" s="5" t="n">
        <v>-53995</v>
      </c>
      <c r="D14" s="5" t="n">
        <v>-56119</v>
      </c>
      <c r="E14" s="5" t="n">
        <v>-30809</v>
      </c>
      <c r="F14" s="5" t="n">
        <v>-22372</v>
      </c>
      <c r="G14" s="5" t="n">
        <v>-14413</v>
      </c>
      <c r="H14" s="5" t="n">
        <v>-11240</v>
      </c>
      <c r="U14" t="inlineStr">
        <is>
          <t>Administrative expenses</t>
        </is>
      </c>
      <c r="V14" t="n">
        <v>-11240</v>
      </c>
      <c r="W14" t="n">
        <v>-14413</v>
      </c>
      <c r="X14" t="n">
        <v>-22372</v>
      </c>
      <c r="Y14" t="n">
        <v>-30809</v>
      </c>
      <c r="Z14" t="n">
        <v>-56119</v>
      </c>
      <c r="AA14" t="n">
        <v>-53995</v>
      </c>
      <c r="AB14" t="n">
        <v>-57209</v>
      </c>
    </row>
    <row r="15">
      <c r="A15" s="5" t="inlineStr">
        <is>
          <t>Loss after tax and loss for the year</t>
        </is>
      </c>
      <c r="B15" s="5" t="n">
        <v>-4702</v>
      </c>
      <c r="C15" s="5" t="n">
        <v>-8861</v>
      </c>
      <c r="D15" s="5" t="n">
        <v>-58148</v>
      </c>
      <c r="E15" s="5" t="n">
        <v>-29753</v>
      </c>
      <c r="F15" s="5" t="n">
        <v>-21310</v>
      </c>
      <c r="G15" s="5" t="n">
        <v>-18314</v>
      </c>
      <c r="H15" s="5" t="n">
        <v>-11536</v>
      </c>
      <c r="U15" t="inlineStr">
        <is>
          <t>Loss after tax and loss for the year</t>
        </is>
      </c>
      <c r="V15" t="n">
        <v>-11536</v>
      </c>
      <c r="W15" t="n">
        <v>-18314</v>
      </c>
      <c r="X15" t="n">
        <v>-21310</v>
      </c>
      <c r="Y15" t="n">
        <v>-29753</v>
      </c>
      <c r="Z15" t="n">
        <v>-58148</v>
      </c>
      <c r="AA15" t="n">
        <v>-8861</v>
      </c>
      <c r="AB15" t="n">
        <v>-4702</v>
      </c>
    </row>
    <row r="17">
      <c r="A17" s="3" t="inlineStr">
        <is>
          <t>Statement of Changes in Equity Summary (£'000)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FY2024*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FY2021†</t>
        </is>
      </c>
      <c r="G18" s="4" t="inlineStr">
        <is>
          <t>FY2020†‡</t>
        </is>
      </c>
      <c r="H18" s="4" t="inlineStr">
        <is>
          <t>FY2019†‡</t>
        </is>
      </c>
      <c r="AF18" t="inlineStr">
        <is>
          <t>FY2019†‡</t>
        </is>
      </c>
      <c r="AG18" t="inlineStr">
        <is>
          <t>FY2020†‡</t>
        </is>
      </c>
      <c r="AH18" t="inlineStr">
        <is>
          <t>FY2021†</t>
        </is>
      </c>
      <c r="AI18" t="inlineStr">
        <is>
          <t>FY2022</t>
        </is>
      </c>
      <c r="AJ18" t="inlineStr">
        <is>
          <t>FY2023</t>
        </is>
      </c>
      <c r="AK18" t="inlineStr">
        <is>
          <t>FY2024*</t>
        </is>
      </c>
      <c r="AL18" t="inlineStr">
        <is>
          <t>FY2025</t>
        </is>
      </c>
    </row>
    <row r="19">
      <c r="A19" s="5" t="inlineStr">
        <is>
          <t>Opening equity</t>
        </is>
      </c>
      <c r="B19" s="5" t="n">
        <v>173082</v>
      </c>
      <c r="C19" s="5" t="n">
        <v>92483</v>
      </c>
      <c r="D19" s="5" t="n">
        <v>65993</v>
      </c>
      <c r="E19" s="5" t="n">
        <v>50830</v>
      </c>
      <c r="F19" s="5" t="n">
        <v>43067</v>
      </c>
      <c r="G19" s="5" t="n">
        <v>49484</v>
      </c>
      <c r="H19" s="5" t="n">
        <v>5783</v>
      </c>
      <c r="AE19" t="inlineStr">
        <is>
          <t>Opening equity</t>
        </is>
      </c>
      <c r="AF19" t="n">
        <v>5783</v>
      </c>
      <c r="AG19" t="n">
        <v>49484</v>
      </c>
      <c r="AH19" t="n">
        <v>43067</v>
      </c>
      <c r="AI19" t="n">
        <v>50830</v>
      </c>
      <c r="AJ19" t="n">
        <v>65993</v>
      </c>
      <c r="AK19" t="n">
        <v>92483</v>
      </c>
      <c r="AL19" t="n">
        <v>173082</v>
      </c>
    </row>
    <row r="20">
      <c r="A20" s="5" t="inlineStr">
        <is>
          <t>Total comprehensive income/(loss)</t>
        </is>
      </c>
      <c r="B20" s="5" t="n">
        <v>-4084</v>
      </c>
      <c r="C20" s="5" t="n">
        <v>-8685</v>
      </c>
      <c r="D20" s="5" t="n">
        <v>-58324</v>
      </c>
      <c r="E20" s="5" t="n">
        <v>-29873</v>
      </c>
      <c r="F20" s="5" t="n">
        <v>-21339</v>
      </c>
      <c r="G20" s="5" t="n">
        <v>-18314</v>
      </c>
      <c r="H20" s="5" t="n">
        <v>-11536</v>
      </c>
      <c r="AE20" t="inlineStr">
        <is>
          <t>Total comprehensive income/(loss)</t>
        </is>
      </c>
      <c r="AF20" t="n">
        <v>-11536</v>
      </c>
      <c r="AG20" t="n">
        <v>-18314</v>
      </c>
      <c r="AH20" t="n">
        <v>-21339</v>
      </c>
      <c r="AI20" t="n">
        <v>-29873</v>
      </c>
      <c r="AJ20" t="n">
        <v>-58324</v>
      </c>
      <c r="AK20" t="n">
        <v>-8685</v>
      </c>
      <c r="AL20" t="n">
        <v>-4084</v>
      </c>
    </row>
    <row r="21">
      <c r="A21" s="5" t="inlineStr">
        <is>
          <t>Other movements, net</t>
        </is>
      </c>
      <c r="B21" s="5" t="n">
        <v>27145</v>
      </c>
      <c r="C21" s="5" t="n">
        <v>89284</v>
      </c>
      <c r="D21" s="5" t="n">
        <v>84814</v>
      </c>
      <c r="E21" s="5" t="n">
        <v>45036</v>
      </c>
      <c r="F21" s="5" t="n">
        <v>29102</v>
      </c>
      <c r="G21" s="5" t="n">
        <v>20012</v>
      </c>
      <c r="H21" s="5" t="n">
        <v>55237</v>
      </c>
      <c r="AE21" t="inlineStr">
        <is>
          <t>Other movements, net</t>
        </is>
      </c>
      <c r="AF21" t="n">
        <v>55237</v>
      </c>
      <c r="AG21" t="n">
        <v>20012</v>
      </c>
      <c r="AH21" t="n">
        <v>29102</v>
      </c>
      <c r="AI21" t="n">
        <v>45036</v>
      </c>
      <c r="AJ21" t="n">
        <v>84814</v>
      </c>
      <c r="AK21" t="n">
        <v>89284</v>
      </c>
      <c r="AL21" t="n">
        <v>27145</v>
      </c>
    </row>
    <row r="22">
      <c r="A22" s="5" t="inlineStr">
        <is>
          <t>Closing equity</t>
        </is>
      </c>
      <c r="B22" s="5" t="n">
        <v>196143</v>
      </c>
      <c r="C22" s="5" t="n">
        <v>173082</v>
      </c>
      <c r="D22" s="5" t="n">
        <v>92483</v>
      </c>
      <c r="E22" s="5" t="n">
        <v>65993</v>
      </c>
      <c r="F22" s="5" t="n">
        <v>50830</v>
      </c>
      <c r="G22" s="5" t="n">
        <v>51182</v>
      </c>
      <c r="H22" s="5" t="n">
        <v>49484</v>
      </c>
      <c r="AE22" t="inlineStr">
        <is>
          <t>Closing equity</t>
        </is>
      </c>
      <c r="AF22" t="n">
        <v>49484</v>
      </c>
      <c r="AG22" t="n">
        <v>51182</v>
      </c>
      <c r="AH22" t="n">
        <v>50830</v>
      </c>
      <c r="AI22" t="n">
        <v>65993</v>
      </c>
      <c r="AJ22" t="n">
        <v>92483</v>
      </c>
      <c r="AK22" t="n">
        <v>173082</v>
      </c>
      <c r="AL22" t="n">
        <v>196143</v>
      </c>
    </row>
    <row r="24">
      <c r="A24" s="3" t="inlineStr">
        <is>
          <t>Cash Flow Summary (£'000)</t>
        </is>
      </c>
    </row>
    <row r="25">
      <c r="A25" s="4" t="inlineStr">
        <is>
          <t>Line item</t>
        </is>
      </c>
      <c r="B25" s="4" t="inlineStr">
        <is>
          <t>FY2025</t>
        </is>
      </c>
      <c r="C25" s="4" t="inlineStr">
        <is>
          <t>FY2024*</t>
        </is>
      </c>
      <c r="D25" s="4" t="inlineStr">
        <is>
          <t>FY2023</t>
        </is>
      </c>
      <c r="E25" s="4" t="inlineStr">
        <is>
          <t>FY2022</t>
        </is>
      </c>
      <c r="F25" s="4" t="inlineStr">
        <is>
          <t>FY2021†</t>
        </is>
      </c>
      <c r="G25" s="4" t="inlineStr">
        <is>
          <t>FY2020†‡</t>
        </is>
      </c>
      <c r="H25" s="4" t="inlineStr">
        <is>
          <t>FY2019†‡</t>
        </is>
      </c>
      <c r="AP25" t="inlineStr">
        <is>
          <t>FY2019†‡</t>
        </is>
      </c>
      <c r="AQ25" t="inlineStr">
        <is>
          <t>FY2020†‡</t>
        </is>
      </c>
      <c r="AR25" t="inlineStr">
        <is>
          <t>FY2021†</t>
        </is>
      </c>
      <c r="AS25" t="inlineStr">
        <is>
          <t>FY2022</t>
        </is>
      </c>
      <c r="AT25" t="inlineStr">
        <is>
          <t>FY2023</t>
        </is>
      </c>
      <c r="AU25" t="inlineStr">
        <is>
          <t>FY2024*</t>
        </is>
      </c>
      <c r="AV25" t="inlineStr">
        <is>
          <t>FY2025</t>
        </is>
      </c>
    </row>
    <row r="26">
      <c r="A26" s="5" t="inlineStr">
        <is>
          <t>Net cash from operating activities</t>
        </is>
      </c>
      <c r="B26" s="5" t="n">
        <v>43038</v>
      </c>
      <c r="C26" s="5" t="n">
        <v>189520</v>
      </c>
      <c r="D26" s="5" t="n">
        <v>653419</v>
      </c>
      <c r="E26" s="5" t="n">
        <v>16976</v>
      </c>
      <c r="F26" s="5" t="n">
        <v>-92120</v>
      </c>
      <c r="G26" s="5" t="n">
        <v>69197</v>
      </c>
      <c r="H26" s="5" t="n">
        <v>-27621</v>
      </c>
      <c r="AO26" t="inlineStr">
        <is>
          <t>Net cash from operating activities</t>
        </is>
      </c>
      <c r="AP26" t="n">
        <v>-27621</v>
      </c>
      <c r="AQ26" t="n">
        <v>69197</v>
      </c>
      <c r="AR26" t="n">
        <v>-92120</v>
      </c>
      <c r="AS26" t="n">
        <v>16976</v>
      </c>
      <c r="AT26" t="n">
        <v>653419</v>
      </c>
      <c r="AU26" t="n">
        <v>189520</v>
      </c>
      <c r="AV26" t="n">
        <v>43038</v>
      </c>
    </row>
    <row r="27">
      <c r="A27" s="5" t="inlineStr">
        <is>
          <t>Net cash from/(used in) investing activities</t>
        </is>
      </c>
      <c r="B27" s="5" t="n">
        <v>-741638</v>
      </c>
      <c r="C27" s="5" t="n">
        <v>-389775</v>
      </c>
      <c r="D27" s="5" t="n">
        <v>-124128</v>
      </c>
      <c r="E27" s="5" t="n">
        <v>-177719</v>
      </c>
      <c r="F27" s="5" t="n">
        <v>26853</v>
      </c>
      <c r="G27" s="5" t="n">
        <v>-149</v>
      </c>
      <c r="H27" s="5" t="n">
        <v>-514</v>
      </c>
      <c r="AO27" t="inlineStr">
        <is>
          <t>Net cash from/(used in) investing activities</t>
        </is>
      </c>
      <c r="AP27" t="n">
        <v>-514</v>
      </c>
      <c r="AQ27" t="n">
        <v>-149</v>
      </c>
      <c r="AR27" t="n">
        <v>26853</v>
      </c>
      <c r="AS27" t="n">
        <v>-177719</v>
      </c>
      <c r="AT27" t="n">
        <v>-124128</v>
      </c>
      <c r="AU27" t="n">
        <v>-389775</v>
      </c>
      <c r="AV27" t="n">
        <v>-741638</v>
      </c>
    </row>
    <row r="28">
      <c r="A28" s="5" t="inlineStr">
        <is>
          <t>Net cash from/(used in) financing activities</t>
        </is>
      </c>
      <c r="B28" s="5" t="n">
        <v>500016</v>
      </c>
      <c r="C28" s="5" t="n">
        <v>98027</v>
      </c>
      <c r="D28" s="5" t="n">
        <v>84573</v>
      </c>
      <c r="E28" s="5" t="n">
        <v>183068</v>
      </c>
      <c r="F28" s="5" t="n">
        <v>28960</v>
      </c>
      <c r="G28" s="5" t="n">
        <v>-8176</v>
      </c>
      <c r="H28" s="5" t="n">
        <v>53243</v>
      </c>
      <c r="AO28" t="inlineStr">
        <is>
          <t>Net cash from/(used in) financing activities</t>
        </is>
      </c>
      <c r="AP28" t="n">
        <v>53243</v>
      </c>
      <c r="AQ28" t="n">
        <v>-8176</v>
      </c>
      <c r="AR28" t="n">
        <v>28960</v>
      </c>
      <c r="AS28" t="n">
        <v>183068</v>
      </c>
      <c r="AT28" t="n">
        <v>84573</v>
      </c>
      <c r="AU28" t="n">
        <v>98027</v>
      </c>
      <c r="AV28" t="n">
        <v>500016</v>
      </c>
    </row>
    <row r="29">
      <c r="A29" s="5" t="inlineStr">
        <is>
          <t>Closing cash and cash equivalents</t>
        </is>
      </c>
      <c r="B29" s="5" t="n">
        <v>387550</v>
      </c>
      <c r="C29" s="5" t="n">
        <v>586134</v>
      </c>
      <c r="D29" s="5" t="n">
        <v>688362</v>
      </c>
      <c r="E29" s="5" t="n">
        <v>74498</v>
      </c>
      <c r="F29" s="5" t="n">
        <v>52173</v>
      </c>
      <c r="G29" s="5" t="n">
        <v>88480</v>
      </c>
      <c r="H29" s="5" t="n">
        <v>27607</v>
      </c>
      <c r="AO29" t="inlineStr">
        <is>
          <t>Closing cash and cash equivalents</t>
        </is>
      </c>
      <c r="AP29" t="n">
        <v>27607</v>
      </c>
      <c r="AQ29" t="n">
        <v>88480</v>
      </c>
      <c r="AR29" t="n">
        <v>52173</v>
      </c>
      <c r="AS29" t="n">
        <v>74498</v>
      </c>
      <c r="AT29" t="n">
        <v>688362</v>
      </c>
      <c r="AU29" t="n">
        <v>586134</v>
      </c>
      <c r="AV29" t="n">
        <v>387550</v>
      </c>
    </row>
    <row r="31">
      <c r="A31" s="3" t="inlineStr">
        <is>
          <t>Pillar 3 Key Metrics</t>
        </is>
      </c>
    </row>
    <row r="32">
      <c r="A32" s="4" t="inlineStr">
        <is>
          <t>Line item</t>
        </is>
      </c>
      <c r="B32" s="4" t="inlineStr">
        <is>
          <t>FY2025</t>
        </is>
      </c>
      <c r="C32" s="4" t="inlineStr">
        <is>
          <t>FY2024*</t>
        </is>
      </c>
      <c r="D32" s="4" t="inlineStr">
        <is>
          <t>FY2023</t>
        </is>
      </c>
      <c r="E32" s="4" t="inlineStr">
        <is>
          <t>FY2022</t>
        </is>
      </c>
      <c r="F32" s="4" t="inlineStr">
        <is>
          <t>FY2021†</t>
        </is>
      </c>
      <c r="G32" s="4" t="inlineStr">
        <is>
          <t>FY2020†‡</t>
        </is>
      </c>
      <c r="H32" s="4" t="inlineStr">
        <is>
          <t>FY2019†‡</t>
        </is>
      </c>
    </row>
    <row r="33">
      <c r="A33" s="6" t="inlineStr">
        <is>
          <t>CET1 Ratio</t>
        </is>
      </c>
      <c r="B33" s="6" t="inlineStr">
        <is>
          <t>15.2%</t>
        </is>
      </c>
      <c r="C33" s="6" t="n"/>
      <c r="D33" s="6" t="inlineStr">
        <is>
          <t>26.6%</t>
        </is>
      </c>
      <c r="E33" s="6" t="inlineStr">
        <is>
          <t>29.3%</t>
        </is>
      </c>
      <c r="F33" s="6" t="inlineStr">
        <is>
          <t>28%</t>
        </is>
      </c>
      <c r="G33" s="6" t="n"/>
      <c r="H33" s="6" t="n"/>
    </row>
    <row r="34">
      <c r="A34" s="6" t="inlineStr">
        <is>
          <t>Tier 1 Ratio</t>
        </is>
      </c>
      <c r="B34" s="6" t="inlineStr">
        <is>
          <t>15.2%</t>
        </is>
      </c>
      <c r="C34" s="6" t="n"/>
      <c r="D34" s="6" t="inlineStr">
        <is>
          <t>26.6%</t>
        </is>
      </c>
      <c r="E34" s="6" t="inlineStr">
        <is>
          <t>29.3%</t>
        </is>
      </c>
      <c r="F34" s="6" t="inlineStr">
        <is>
          <t>28%</t>
        </is>
      </c>
      <c r="G34" s="6" t="n"/>
      <c r="H34" s="6" t="n"/>
    </row>
    <row r="35">
      <c r="A35" s="6" t="inlineStr">
        <is>
          <t>Total Capital Ratio</t>
        </is>
      </c>
      <c r="B35" s="6" t="inlineStr">
        <is>
          <t>15.2%</t>
        </is>
      </c>
      <c r="C35" s="6" t="n"/>
      <c r="D35" s="6" t="inlineStr">
        <is>
          <t>26.6%</t>
        </is>
      </c>
      <c r="E35" s="6" t="inlineStr">
        <is>
          <t>29.3%</t>
        </is>
      </c>
      <c r="F35" s="6" t="inlineStr">
        <is>
          <t>28%</t>
        </is>
      </c>
      <c r="G35" s="6" t="n"/>
      <c r="H35" s="6" t="n"/>
    </row>
    <row r="36">
      <c r="A36" s="6" t="inlineStr">
        <is>
          <t>Leverage Ratio</t>
        </is>
      </c>
      <c r="B36" s="6" t="inlineStr">
        <is>
          <t>5.19%</t>
        </is>
      </c>
      <c r="C36" s="6" t="n"/>
      <c r="D36" s="6" t="inlineStr">
        <is>
          <t>6.01%</t>
        </is>
      </c>
      <c r="E36" s="6" t="inlineStr">
        <is>
          <t>14.58%</t>
        </is>
      </c>
      <c r="F36" s="6" t="inlineStr">
        <is>
          <t>23.4%</t>
        </is>
      </c>
      <c r="G36" s="6" t="n"/>
      <c r="H36" s="6" t="n"/>
    </row>
    <row r="37">
      <c r="A37" s="6" t="inlineStr">
        <is>
          <t>LCR</t>
        </is>
      </c>
      <c r="B37" s="6" t="inlineStr">
        <is>
          <t>194%</t>
        </is>
      </c>
      <c r="C37" s="6" t="n"/>
      <c r="D37" s="6" t="inlineStr">
        <is>
          <t>1,015%</t>
        </is>
      </c>
      <c r="E37" s="6" t="inlineStr">
        <is>
          <t>4,823%</t>
        </is>
      </c>
      <c r="F37" s="6" t="inlineStr">
        <is>
          <t>51,086%</t>
        </is>
      </c>
      <c r="G37" s="6" t="n"/>
      <c r="H37" s="6" t="n"/>
    </row>
    <row r="38">
      <c r="A38" s="6" t="inlineStr">
        <is>
          <t>NSFR</t>
        </is>
      </c>
      <c r="B38" s="6" t="inlineStr">
        <is>
          <t>145%</t>
        </is>
      </c>
      <c r="C38" s="6" t="n"/>
      <c r="D38" s="6" t="inlineStr">
        <is>
          <t>243%</t>
        </is>
      </c>
      <c r="E38" s="6" t="inlineStr">
        <is>
          <t>162.9%</t>
        </is>
      </c>
      <c r="F38" s="6" t="inlineStr">
        <is>
          <t>146.5%</t>
        </is>
      </c>
      <c r="G38" s="6" t="n"/>
      <c r="H38" s="6" t="n"/>
    </row>
    <row r="40" ht="45" customHeight="1">
      <c r="A40" s="7" t="inlineStr">
        <is>
          <t>Note: Figures are duplicated from the detail sheets for at-a-glance trend viewing; see each sheet's own source citation for the underlying document/page. Ratios are blank for FY2019/FY2020 (no Pillar 3 disclosure published for those years). Note the ~£8.1m FY2020-closing/FY2021-opening equity gap explained on the Statement of Changes in Equity sheet (FRS 102-to-IFRS transition). FY2024 is blank - no Pillar 3 disclosure 'as at 31 March 2024' was published/archived. FY2019 and FY2020 are also blank on every Pillar 3 sheet - Chetwood published no Pillar 3 disclosure at all for those two years (its FY2018/FY2019 statutory accounts say a Pillar 3 document 'will be published...in due course', but the earliest one actually published/archived is 'as at 31 March 2021'). See source note.</t>
        </is>
      </c>
    </row>
  </sheetData>
  <mergeCells count="1">
    <mergeCell ref="A40:H4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Chetwood Financial Limited — Consolidated Statement of Financial Position</t>
        </is>
      </c>
    </row>
    <row r="2">
      <c r="A2" s="2" t="inlineStr">
        <is>
          <t>£'000. Consolidated (Group) basis except FY2019-FY2021 († standalone entity - Group and Company are identical those years; FY2019-FY2020 also FRS 102 basis, marked ‡).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FY2024*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FY2021† (£'000)</t>
        </is>
      </c>
      <c r="G3" s="4" t="inlineStr">
        <is>
          <t>FY2020†‡ (£'000)</t>
        </is>
      </c>
      <c r="H3" s="4" t="inlineStr">
        <is>
          <t>FY2019†‡ (£'000)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6" t="inlineStr">
        <is>
          <t>Cash and cash equivalents / Loans and advances to banks</t>
        </is>
      </c>
      <c r="B5" s="6" t="n">
        <v>387550</v>
      </c>
      <c r="C5" s="6" t="n">
        <v>586134</v>
      </c>
      <c r="D5" s="6" t="n">
        <v>688362</v>
      </c>
      <c r="E5" s="6" t="n">
        <v>74498</v>
      </c>
      <c r="F5" s="6" t="n">
        <v>52173</v>
      </c>
      <c r="G5" s="6" t="n">
        <v>88480</v>
      </c>
      <c r="H5" s="6" t="n">
        <v>27607</v>
      </c>
    </row>
    <row r="6">
      <c r="A6" s="6" t="inlineStr">
        <is>
          <t>Derivative financial assets</t>
        </is>
      </c>
      <c r="B6" s="6" t="n">
        <v>49410</v>
      </c>
      <c r="C6" s="6" t="n">
        <v>58475</v>
      </c>
      <c r="D6" s="6" t="n">
        <v>4565</v>
      </c>
      <c r="E6" s="6" t="n">
        <v>138</v>
      </c>
      <c r="F6" s="6" t="n">
        <v>19</v>
      </c>
      <c r="G6" s="6" t="n">
        <v>4</v>
      </c>
      <c r="H6" s="6" t="n"/>
    </row>
    <row r="7">
      <c r="A7" s="6" t="inlineStr">
        <is>
          <t>Investment in debt securities</t>
        </is>
      </c>
      <c r="B7" s="6" t="n">
        <v>1321666</v>
      </c>
      <c r="C7" s="6" t="n">
        <v>537291</v>
      </c>
      <c r="D7" s="6" t="n">
        <v>129595</v>
      </c>
      <c r="E7" s="6" t="n">
        <v>4883</v>
      </c>
      <c r="F7" s="6" t="n"/>
      <c r="G7" s="6" t="n">
        <v>30170</v>
      </c>
      <c r="H7" s="6" t="n">
        <v>1994</v>
      </c>
    </row>
    <row r="8">
      <c r="A8" s="6" t="inlineStr">
        <is>
          <t>Loans and advances to customers</t>
        </is>
      </c>
      <c r="B8" s="6" t="n">
        <v>2691247</v>
      </c>
      <c r="C8" s="6" t="n">
        <v>1833411</v>
      </c>
      <c r="D8" s="6" t="n">
        <v>649179</v>
      </c>
      <c r="E8" s="6" t="n">
        <v>302546</v>
      </c>
      <c r="F8" s="6" t="n">
        <v>156249</v>
      </c>
      <c r="G8" s="6" t="n">
        <v>145022</v>
      </c>
      <c r="H8" s="6" t="n">
        <v>46269</v>
      </c>
    </row>
    <row r="9">
      <c r="A9" s="6" t="inlineStr">
        <is>
          <t>Fair value adjustments on hedged assets</t>
        </is>
      </c>
      <c r="B9" s="6" t="n">
        <v>5615</v>
      </c>
      <c r="C9" s="6" t="n">
        <v>12926</v>
      </c>
      <c r="D9" s="6" t="n">
        <v>-1069</v>
      </c>
      <c r="E9" s="6" t="n"/>
      <c r="F9" s="6" t="n"/>
      <c r="G9" s="6" t="n"/>
      <c r="H9" s="6" t="n"/>
    </row>
    <row r="10">
      <c r="A10" s="6" t="inlineStr">
        <is>
          <t>Other assets</t>
        </is>
      </c>
      <c r="B10" s="6" t="n">
        <v>63998</v>
      </c>
      <c r="C10" s="6" t="n">
        <v>43910</v>
      </c>
      <c r="D10" s="6" t="n">
        <v>18897</v>
      </c>
      <c r="E10" s="6" t="n">
        <v>8620</v>
      </c>
      <c r="F10" s="6" t="n">
        <v>3486</v>
      </c>
      <c r="G10" s="6" t="n">
        <v>605</v>
      </c>
      <c r="H10" s="6" t="n">
        <v>448</v>
      </c>
    </row>
    <row r="11">
      <c r="A11" s="6" t="inlineStr">
        <is>
          <t>Prepayments and accrued income</t>
        </is>
      </c>
      <c r="B11" s="6" t="n">
        <v>4177</v>
      </c>
      <c r="C11" s="6" t="n">
        <v>4353</v>
      </c>
      <c r="D11" s="6" t="n">
        <v>999</v>
      </c>
      <c r="E11" s="6" t="n">
        <v>930</v>
      </c>
      <c r="F11" s="6" t="n">
        <v>555</v>
      </c>
      <c r="G11" s="6" t="n">
        <v>810</v>
      </c>
      <c r="H11" s="6" t="n">
        <v>406</v>
      </c>
    </row>
    <row r="12">
      <c r="A12" s="6" t="inlineStr">
        <is>
          <t>Property, plant and equipment</t>
        </is>
      </c>
      <c r="B12" s="6" t="n">
        <v>913</v>
      </c>
      <c r="C12" s="6" t="n">
        <v>883</v>
      </c>
      <c r="D12" s="6" t="n">
        <v>1246</v>
      </c>
      <c r="E12" s="6" t="n">
        <v>690</v>
      </c>
      <c r="F12" s="6" t="n">
        <v>819</v>
      </c>
      <c r="G12" s="6" t="n">
        <v>477</v>
      </c>
      <c r="H12" s="6" t="n">
        <v>557</v>
      </c>
    </row>
    <row r="13">
      <c r="A13" s="6" t="inlineStr">
        <is>
          <t>Intangible assets</t>
        </is>
      </c>
      <c r="B13" s="6" t="n">
        <v>2044</v>
      </c>
      <c r="C13" s="6" t="n">
        <v>521</v>
      </c>
      <c r="D13" s="6" t="n">
        <v>2767</v>
      </c>
      <c r="E13" s="6" t="n">
        <v>7669</v>
      </c>
      <c r="F13" s="6" t="n">
        <v>3178</v>
      </c>
      <c r="G13" s="6" t="n">
        <v>485</v>
      </c>
      <c r="H13" s="6" t="n">
        <v>486</v>
      </c>
    </row>
    <row r="14">
      <c r="A14" s="6" t="inlineStr">
        <is>
          <t>Goodwill</t>
        </is>
      </c>
      <c r="B14" s="6" t="n">
        <v>5927</v>
      </c>
      <c r="C14" s="6" t="n"/>
      <c r="D14" s="6" t="n"/>
      <c r="E14" s="6" t="n"/>
      <c r="F14" s="6" t="n"/>
      <c r="G14" s="6" t="n"/>
      <c r="H14" s="6" t="n"/>
    </row>
    <row r="15">
      <c r="A15" s="5" t="inlineStr">
        <is>
          <t>Total assets</t>
        </is>
      </c>
      <c r="B15" s="5" t="n">
        <v>4532547</v>
      </c>
      <c r="C15" s="5" t="n">
        <v>3077904</v>
      </c>
      <c r="D15" s="5" t="n">
        <v>1494541</v>
      </c>
      <c r="E15" s="5" t="n">
        <v>400038</v>
      </c>
      <c r="F15" s="5" t="n">
        <v>216524</v>
      </c>
      <c r="G15" s="5" t="n">
        <v>266053</v>
      </c>
      <c r="H15" s="5" t="n">
        <v>77767</v>
      </c>
    </row>
    <row r="16">
      <c r="A16" s="5" t="inlineStr">
        <is>
          <t>Liabilities</t>
        </is>
      </c>
      <c r="B16" s="6" t="n"/>
      <c r="C16" s="6" t="n"/>
      <c r="D16" s="6" t="n"/>
      <c r="E16" s="6" t="n"/>
      <c r="F16" s="6" t="n"/>
      <c r="G16" s="6" t="n"/>
      <c r="H16" s="6" t="n"/>
    </row>
    <row r="17">
      <c r="A17" s="6" t="inlineStr">
        <is>
          <t>Customer deposits</t>
        </is>
      </c>
      <c r="B17" s="6" t="n">
        <v>3812429</v>
      </c>
      <c r="C17" s="6" t="n">
        <v>2856737</v>
      </c>
      <c r="D17" s="6" t="n">
        <v>1383305</v>
      </c>
      <c r="E17" s="6" t="n">
        <v>322625</v>
      </c>
      <c r="F17" s="6" t="n">
        <v>160015</v>
      </c>
      <c r="G17" s="6" t="n">
        <v>210783</v>
      </c>
      <c r="H17" s="6" t="n">
        <v>26107</v>
      </c>
    </row>
    <row r="18">
      <c r="A18" s="6" t="inlineStr">
        <is>
          <t>Fair value adjustments on hedged liabilities</t>
        </is>
      </c>
      <c r="B18" s="6" t="n">
        <v>621</v>
      </c>
      <c r="C18" s="6" t="n">
        <v>-1073</v>
      </c>
      <c r="D18" s="6" t="n">
        <v>-3286</v>
      </c>
      <c r="E18" s="6" t="n"/>
      <c r="F18" s="6" t="n"/>
      <c r="G18" s="6" t="n"/>
      <c r="H18" s="6" t="n"/>
    </row>
    <row r="19">
      <c r="A19" s="6" t="inlineStr">
        <is>
          <t>Provisions</t>
        </is>
      </c>
      <c r="B19" s="6" t="n">
        <v>2252</v>
      </c>
      <c r="C19" s="6" t="n">
        <v>2909</v>
      </c>
      <c r="D19" s="6" t="n">
        <v>2015</v>
      </c>
      <c r="E19" s="6" t="n">
        <v>591</v>
      </c>
      <c r="F19" s="6" t="n"/>
      <c r="G19" s="6" t="n"/>
      <c r="H19" s="6" t="n"/>
    </row>
    <row r="20">
      <c r="A20" s="6" t="inlineStr">
        <is>
          <t>Amounts owed to credit institutions</t>
        </is>
      </c>
      <c r="B20" s="6" t="n">
        <v>488932</v>
      </c>
      <c r="C20" s="6" t="n">
        <v>9107</v>
      </c>
      <c r="D20" s="6" t="n"/>
      <c r="E20" s="6" t="n"/>
      <c r="F20" s="6" t="n"/>
      <c r="G20" s="6" t="n"/>
      <c r="H20" s="6" t="n"/>
    </row>
    <row r="21">
      <c r="A21" s="6" t="inlineStr">
        <is>
          <t>Debt securities in issue</t>
        </is>
      </c>
      <c r="B21" s="6" t="n">
        <v>89</v>
      </c>
      <c r="C21" s="6" t="n">
        <v>99</v>
      </c>
      <c r="D21" s="6" t="n"/>
      <c r="E21" s="6" t="n"/>
      <c r="F21" s="6" t="n"/>
      <c r="G21" s="6" t="n"/>
      <c r="H21" s="6" t="n"/>
    </row>
    <row r="22">
      <c r="A22" s="6" t="inlineStr">
        <is>
          <t>Accruals</t>
        </is>
      </c>
      <c r="B22" s="6" t="n">
        <v>10864</v>
      </c>
      <c r="C22" s="6" t="n">
        <v>9766</v>
      </c>
      <c r="D22" s="6" t="n">
        <v>7279</v>
      </c>
      <c r="E22" s="6" t="n">
        <v>6790</v>
      </c>
      <c r="F22" s="6" t="n">
        <v>4127</v>
      </c>
      <c r="G22" s="6" t="n">
        <v>2768</v>
      </c>
      <c r="H22" s="6" t="n">
        <v>1649</v>
      </c>
    </row>
    <row r="23">
      <c r="A23" s="6" t="inlineStr">
        <is>
          <t>Derivative financial liabilities</t>
        </is>
      </c>
      <c r="B23" s="6" t="n">
        <v>12216</v>
      </c>
      <c r="C23" s="6" t="n">
        <v>18713</v>
      </c>
      <c r="D23" s="6" t="n">
        <v>6645</v>
      </c>
      <c r="E23" s="6" t="n">
        <v>457</v>
      </c>
      <c r="F23" s="6" t="n">
        <v>5</v>
      </c>
      <c r="G23" s="6" t="n">
        <v>9</v>
      </c>
      <c r="H23" s="6" t="n"/>
    </row>
    <row r="24">
      <c r="A24" s="6" t="inlineStr">
        <is>
          <t>Other liabilities</t>
        </is>
      </c>
      <c r="B24" s="6" t="n">
        <v>8795</v>
      </c>
      <c r="C24" s="6" t="n">
        <v>8564</v>
      </c>
      <c r="D24" s="6" t="n">
        <v>6100</v>
      </c>
      <c r="E24" s="6" t="n">
        <v>3582</v>
      </c>
      <c r="F24" s="6" t="n">
        <v>1547</v>
      </c>
      <c r="G24" s="6" t="n">
        <v>1311</v>
      </c>
      <c r="H24" s="6" t="n">
        <v>527</v>
      </c>
    </row>
    <row r="25">
      <c r="A25" s="6" t="inlineStr">
        <is>
          <t>Deferred tax liabilities</t>
        </is>
      </c>
      <c r="B25" s="6" t="n">
        <v>206</v>
      </c>
      <c r="C25" s="6" t="n"/>
      <c r="D25" s="6" t="n"/>
      <c r="E25" s="6" t="n"/>
      <c r="F25" s="6" t="n"/>
      <c r="G25" s="6" t="n"/>
      <c r="H25" s="6" t="n"/>
    </row>
    <row r="26">
      <c r="A26" s="5" t="inlineStr">
        <is>
          <t>Total liabilities</t>
        </is>
      </c>
      <c r="B26" s="5" t="n">
        <v>4336404</v>
      </c>
      <c r="C26" s="5" t="n">
        <v>2904822</v>
      </c>
      <c r="D26" s="5" t="n">
        <v>1402058</v>
      </c>
      <c r="E26" s="5" t="n">
        <v>334045</v>
      </c>
      <c r="F26" s="5" t="n">
        <v>165694</v>
      </c>
      <c r="G26" s="5" t="n">
        <v>214871</v>
      </c>
      <c r="H26" s="5" t="n">
        <v>28283</v>
      </c>
    </row>
    <row r="27">
      <c r="A27" s="5" t="inlineStr">
        <is>
          <t>Equity</t>
        </is>
      </c>
      <c r="B27" s="6" t="n"/>
      <c r="C27" s="6" t="n"/>
      <c r="D27" s="6" t="n"/>
      <c r="E27" s="6" t="n"/>
      <c r="F27" s="6" t="n"/>
      <c r="G27" s="6" t="n"/>
      <c r="H27" s="6" t="n"/>
    </row>
    <row r="28">
      <c r="A28" s="6" t="inlineStr">
        <is>
          <t>Called up share capital</t>
        </is>
      </c>
      <c r="B28" s="6" t="n">
        <v>253913</v>
      </c>
      <c r="C28" s="6" t="n">
        <v>253730</v>
      </c>
      <c r="D28" s="6" t="n">
        <v>253297</v>
      </c>
      <c r="E28" s="6" t="n">
        <v>168688</v>
      </c>
      <c r="F28" s="6" t="n">
        <v>113688</v>
      </c>
      <c r="G28" s="6" t="n">
        <v>84688</v>
      </c>
      <c r="H28" s="6" t="n">
        <v>64688</v>
      </c>
    </row>
    <row r="29">
      <c r="A29" s="6" t="inlineStr">
        <is>
          <t>Share premium account</t>
        </is>
      </c>
      <c r="B29" s="6" t="n">
        <v>118236</v>
      </c>
      <c r="C29" s="6" t="n">
        <v>91418</v>
      </c>
      <c r="D29" s="6" t="n">
        <v>2851</v>
      </c>
      <c r="E29" s="6" t="n">
        <v>2851</v>
      </c>
      <c r="F29" s="6" t="n">
        <v>2851</v>
      </c>
      <c r="G29" s="6" t="n">
        <v>2851</v>
      </c>
      <c r="H29" s="6" t="n">
        <v>2851</v>
      </c>
    </row>
    <row r="30">
      <c r="A30" s="6" t="inlineStr">
        <is>
          <t>Capital redemption reserve / Capital contribution</t>
        </is>
      </c>
      <c r="B30" s="6" t="n">
        <v>6247</v>
      </c>
      <c r="C30" s="6" t="n">
        <v>6247</v>
      </c>
      <c r="D30" s="6" t="n">
        <v>6247</v>
      </c>
      <c r="E30" s="6" t="n">
        <v>6247</v>
      </c>
      <c r="F30" s="6" t="n"/>
      <c r="G30" s="6" t="n"/>
      <c r="H30" s="6" t="n"/>
    </row>
    <row r="31">
      <c r="A31" s="6" t="inlineStr">
        <is>
          <t>Other reserves</t>
        </is>
      </c>
      <c r="B31" s="6" t="n">
        <v>877</v>
      </c>
      <c r="C31" s="6" t="n">
        <v>692</v>
      </c>
      <c r="D31" s="6" t="n">
        <v>232</v>
      </c>
      <c r="E31" s="6" t="n">
        <v>203</v>
      </c>
      <c r="F31" s="6" t="n">
        <v>114</v>
      </c>
      <c r="G31" s="6" t="n"/>
      <c r="H31" s="6" t="n"/>
    </row>
    <row r="32">
      <c r="A32" s="6" t="inlineStr">
        <is>
          <t>Retained losses</t>
        </is>
      </c>
      <c r="B32" s="6" t="n">
        <v>-183900</v>
      </c>
      <c r="C32" s="6" t="n">
        <v>-179775</v>
      </c>
      <c r="D32" s="6" t="n">
        <v>-170914</v>
      </c>
      <c r="E32" s="6" t="n">
        <v>-112766</v>
      </c>
      <c r="F32" s="6" t="n">
        <v>-65823</v>
      </c>
      <c r="G32" s="6" t="n">
        <v>-36357</v>
      </c>
      <c r="H32" s="6" t="n">
        <v>-18055</v>
      </c>
    </row>
    <row r="33">
      <c r="A33" s="6" t="inlineStr">
        <is>
          <t>Merger reserve</t>
        </is>
      </c>
      <c r="B33" s="6" t="n">
        <v>770</v>
      </c>
      <c r="C33" s="6" t="n">
        <v>770</v>
      </c>
      <c r="D33" s="6" t="n">
        <v>770</v>
      </c>
      <c r="E33" s="6" t="n">
        <v>770</v>
      </c>
      <c r="F33" s="6" t="n"/>
      <c r="G33" s="6" t="n"/>
      <c r="H33" s="6" t="n"/>
    </row>
    <row r="34">
      <c r="A34" s="5" t="inlineStr">
        <is>
          <t>Total equity</t>
        </is>
      </c>
      <c r="B34" s="5" t="n">
        <v>196143</v>
      </c>
      <c r="C34" s="5" t="n">
        <v>173082</v>
      </c>
      <c r="D34" s="5" t="n">
        <v>92483</v>
      </c>
      <c r="E34" s="5" t="n">
        <v>65993</v>
      </c>
      <c r="F34" s="5" t="n">
        <v>50830</v>
      </c>
      <c r="G34" s="5" t="n">
        <v>51182</v>
      </c>
      <c r="H34" s="5" t="n">
        <v>49484</v>
      </c>
    </row>
    <row r="35">
      <c r="A35" s="5" t="inlineStr">
        <is>
          <t>Total liabilities and equity</t>
        </is>
      </c>
      <c r="B35" s="5" t="n">
        <v>4532547</v>
      </c>
      <c r="C35" s="5" t="n">
        <v>3077904</v>
      </c>
      <c r="D35" s="5" t="n">
        <v>1494541</v>
      </c>
      <c r="E35" s="5" t="n">
        <v>400038</v>
      </c>
      <c r="F35" s="5" t="n">
        <v>216524</v>
      </c>
      <c r="G35" s="5" t="n">
        <v>266053</v>
      </c>
      <c r="H35" s="5" t="n">
        <v>77767</v>
      </c>
    </row>
    <row r="37" ht="220" customHeight="1">
      <c r="A37" s="8" t="inlineStr">
        <is>
          <t>Sources - Chetwood Financial Limited's own Consolidated Statement of Financial Position / Statement of Total Comprehensive Income / Statement of Changes in Equity, transcribed from each year's own Annual Report (not a later year's comparative column, except where noted). See entity note below re: FY2021 (standalone) and the FY2024 P&amp;L OCR-corruption note.
FY2025/FY2024: Chetwood Financial Limited Annual Report and Financial Statements, year ended 31 March 2025, p.44-47 (Consolidated Statement of Financial Position / Statement of Total Comprehensive Income / Statement of Changes in Equity) - https://chetwoodbank.co.uk/documents/chetwood-bank-annual-report.pdf
FY2023: Chetwood Financial Limited Annual Report and Financial Statements, year ended 31 March 2024, p.24-27 (prior-year comparative column) - http://web.archive.org/web/20240920030034/https://chetwood.co/static/97d26e488d5277699e5b9a9983db4d5b/AnnualReport.pdf. (As with the Cash Flow Statement, the FY2023 Annual Report's own PDF has a text-encoding fault; the FY2024 report's clean comparative column was used instead - both present the same audited FY2023 statutory figures.)
FY2022/FY2021: Chetwood Financial Limited Annual Report and Financial Statements, year ended 31 March 2022, p.22-25 (Consolidated Statement of Financial Position / Statement of Total Comprehensive Income / Statement of Changes in Equity, Group and Company for FY2021) - http://web.archive.org/web/20230131231341/https://chetwood.co/static/7fbc3d1ed9c0913dca3435f640a5a570/AnnualReport.pdf
FY2020: Chetwood Financial Limited Annual Report and Financial Statements, year ended 31 March 2020, p.19-21 (Statement of Total Comprehensive Income / Statement of Financial Position / Statement of Changes in Equity, standalone entity, FRS 102 basis) - https://find-and-update.company-information.service.gov.uk/company/09964966/filing-history/MzI3NDIxOTQ2OWFkaXF6a2N4/document?format=pdf&amp;download=0 (Companies House filing history, company no. 09964966)
FY2019: Chetwood Financial Limited Annual Report and Financial Statements, year ended 31 March 2019, p.14-16 (Statement of Total Comprehensive Income / Statement of Financial Position / Statement of Changes in Equity, standalone entity, FRS 102 basis) - https://find-and-update.company-information.service.gov.uk/company/09964966/filing-history/MzI0MTExMzg0OGFkaXF6a2N4/document?format=pdf&amp;download=0 (Companies House filing history, company no. 09964966)
ENTITY NOTE: Chetwood Financial Limited (trading as Chetwood Bank) is the entity on the PRA register - no holding-company substitution was needed here (unlike Monzo). All years are Chetwood Financial Limited, consolidated/Group basis, EXCEPT FY2021-FY2019 (marked †), which are Chetwood's own standalone entity accounts - the Group didn't exist yet (Chetwood acquired Yobota Limited on 1 March 2022, and CHL Mortgages for Intermediaries Limited later still), so there is no consolidated cash flow statement before FY2022. Companies House confirms FY2019-FY2021 accounts were filed as 'Full accounts' (solo), while FY2022-FY2025 were filed as 'Group of companies' accounts' (consolidated). Per user direction, FY2019-FY2021 are included on a standalone basis and clearly flagged, rather than omitted.
FY2024 (marked *) is consolidated, but no Pillar 3 disclosure for 'as at 31 March 2024' was ever published or archived - see the note on each Pillar 3 sheet.
HISTORICAL-DEPTH FLOOR NOTE (added 2026-09-06, HD-023): the workbook's true floor is FY2019, not FY2016 as originally listed on that ticket, and not FY2021 as a since-corrected version of the same ticket guessed. Verified against Chetwood's own Companies House filing history (company no. 09964966, incorporated 22 Jan 2016) and its own statutory accounts, not a domain/snapshot scan:
- Period to 31 Dec 2016: dormant shell only ('Total exemption full accounts', total assets £954k, no lending or deposits) - pre-banking, excluded.
- FY2018 (15-month period, 1 Jan 2017 - 31 Mar 2018): the Company was granted a banking licence WITH RESTRICTIONS only on 22 Dec 2017; consumer lending commenced Feb 2018 (2 months of the 15-month period); there were zero customer deposits all period (total assets £7.1m, no deposit-taking yet) - this is a pre-launch/development-stage period, not a genuine operating bank year, so excluded as a self-skipped year despite audited accounts existing for it.
- FY2019 (year ended 31 Mar 2019): the PRA's restrictions on the banking licence were lifted 13 Dec 2018; this is the first year with real customer deposits (£26.1m) and a meaningful loan book (£46.3m) - i.e. the first genuine full year of Chetwood operating as an unrestricted retail bank. Treated as the floor.
- FY2019 and FY2020 statutory accounts (like FY2018's) were prepared under UK GAAP FRS 102, NOT IFRS - Chetwood only adopted IFRS (and IFRS 9 stage-based credit-quality disclosure, and Pillar 3 reporting) from FY2021 onward, per its own accounting-policy notes ('in compliance with...FRS 102') each year 2018-2020. This is analogous to the ticket's flagged Basel II/CET1 terminology shift, but for the whole accounting framework: FY2019-FY2020 (marked ‡) have no IFRS 9 loan-stage table and no Pillar 3 disclosure at all (the FY2018/FY2019 strategic reports say a Pillar 3 document 'will be published...in due course' - it wasn't yet). All 11 Pillar 3 metric sheets and the RWA Breakdown sheet are genuinely 'Not publicly disclosed' for FY2019 and FY2020 - a real self-skip, not a gap in transcription.
- A further consequence of the FRS 102-to-IFRS transition: the FY2021 Annual Report's own FY2020 comparative equity balance (used as the prior-year opening figure in that report) does not exactly match FY2020's own originally-filed Statement of Changes in Equity (originally-filed closing Profit and Loss account -£36,357k, Total Equity £51,182k, vs the FY2021 AR's stated FY2020-closing comparative of -£44,513k / £43,067k, a ~£8.1m gap most likely reflecting transition adjustments on first-time IFRS application). The Statement of Changes in Equity sheet below uses Chetwood's own FY2019/FY2020 AS-FILED figures for the FY2019-FY2020 rows (matching those years' own Balance Sheet), and switches to the FY2021 AR's own stated FY2020-comparative opening balance only at the point the FY2021 movements begin - the ~£8.1m gap is disclosed here rather than silently bridged.
DATA QUALITY NOTE: the FY2024 Annual Report's own P&amp;L page (used for FY2023's comparative column) has the same text-encoding fault as its Cash Flow Statement page, corrupting individual digits in places (e.g. that page's own FY2024 'Impairment of loans and advances to customers' prints as -855, matching the clean FY2025 report's comparative figure exactly). The equity statement page in the same FY2024 report similarly corrupts one FY2024 'Total comprehensive income' cell (prints -8,605 instead of -8,685) - the FY2025 report's own FY2023-25 equity table and the P&amp;L's own OCI total agree exactly on -8,685, so -8,685 is used here.
PRESENTATION NOTE: 'Cash and cash equivalents' (FY2023-25) and 'Loans and advances to banks' (FY2021-22) are the same balance-sheet line under two labels - shown on one row. 'Capital redemption reserve' (FY2023-25) and 'Capital contribution' (FY2022, first appearing that year as a debt waiver from the ultimate controlling party) are the same £6,247k reserve under two labels - shown on one row. P&amp;L structure changed across the five years as the business grew: FY2025 nets fee income/expense into a single 'Net fee and commission (expense)/income' line with no separate 'Other income' row; FY2022-23 include a 'Net gain arising from derecognition of financial assets at amortised cost' line with no FY2024-25 equivalent; only FY2024-25 disclose 'Deferred tax liabilities' or a 'Goodwill' balance sheet line, both absent 2021-23; only FY2025 discloses 'Debt securities in issue' as a live balance (£89k), though the line existed as a zero balance from FY2024. Blank cells indicate that year's report did not disclose that specific line.</t>
        </is>
      </c>
    </row>
  </sheetData>
  <mergeCells count="1">
    <mergeCell ref="A37:H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Chetwood Financial Limited — Consolidated Statement of Total Comprehensive Income</t>
        </is>
      </c>
    </row>
    <row r="2">
      <c r="A2" s="2" t="inlineStr">
        <is>
          <t>£'000. Consolidated (Group) basis except FY2019-FY2021 († standalone entity - Group and Company are identical those years; FY2019-FY2020 also FRS 102 basis, marked ‡).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FY2024*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FY2021† (£'000)</t>
        </is>
      </c>
      <c r="G3" s="4" t="inlineStr">
        <is>
          <t>FY2020†‡ (£'000)</t>
        </is>
      </c>
      <c r="H3" s="4" t="inlineStr">
        <is>
          <t>FY2019†‡ (£'000)</t>
        </is>
      </c>
    </row>
    <row r="4">
      <c r="A4" s="5" t="inlineStr">
        <is>
          <t>Income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6" t="inlineStr">
        <is>
          <t>Interest income calculated using the effective interest rate method</t>
        </is>
      </c>
      <c r="B5" s="6" t="n">
        <v>216716</v>
      </c>
      <c r="C5" s="6" t="n">
        <v>149127</v>
      </c>
      <c r="D5" s="6" t="n">
        <v>35406</v>
      </c>
      <c r="E5" s="6" t="n">
        <v>29755</v>
      </c>
      <c r="F5" s="6" t="n">
        <v>17567</v>
      </c>
      <c r="G5" s="6" t="n">
        <v>9687</v>
      </c>
      <c r="H5" s="6" t="n">
        <v>2666</v>
      </c>
    </row>
    <row r="6">
      <c r="A6" s="6" t="inlineStr">
        <is>
          <t>Interest payable and similar charges</t>
        </is>
      </c>
      <c r="B6" s="6" t="n">
        <v>-174940</v>
      </c>
      <c r="C6" s="6" t="n">
        <v>-104811</v>
      </c>
      <c r="D6" s="6" t="n">
        <v>-14914</v>
      </c>
      <c r="E6" s="6" t="n">
        <v>-2542</v>
      </c>
      <c r="F6" s="6" t="n">
        <v>-3135</v>
      </c>
      <c r="G6" s="6" t="n">
        <v>-2014</v>
      </c>
      <c r="H6" s="6" t="n">
        <v>-967</v>
      </c>
    </row>
    <row r="7">
      <c r="A7" s="5" t="inlineStr">
        <is>
          <t>Net interest income</t>
        </is>
      </c>
      <c r="B7" s="5" t="n">
        <v>41776</v>
      </c>
      <c r="C7" s="5" t="n">
        <v>44316</v>
      </c>
      <c r="D7" s="5" t="n">
        <v>20492</v>
      </c>
      <c r="E7" s="5" t="n">
        <v>27213</v>
      </c>
      <c r="F7" s="5" t="n">
        <v>14432</v>
      </c>
      <c r="G7" s="5" t="n">
        <v>7673</v>
      </c>
      <c r="H7" s="5" t="n">
        <v>1699</v>
      </c>
    </row>
    <row r="8">
      <c r="A8" s="6" t="inlineStr">
        <is>
          <t>Fee and commission income</t>
        </is>
      </c>
      <c r="B8" s="6" t="n">
        <v>851</v>
      </c>
      <c r="C8" s="6" t="n">
        <v>1794</v>
      </c>
      <c r="D8" s="6" t="n">
        <v>2731</v>
      </c>
      <c r="E8" s="6" t="n">
        <v>244</v>
      </c>
      <c r="F8" s="6" t="n"/>
      <c r="G8" s="6" t="n"/>
      <c r="H8" s="6" t="n"/>
    </row>
    <row r="9">
      <c r="A9" s="6" t="inlineStr">
        <is>
          <t>Fee and commission expense</t>
        </is>
      </c>
      <c r="B9" s="6" t="n">
        <v>-4758</v>
      </c>
      <c r="C9" s="6" t="n">
        <v>-3162</v>
      </c>
      <c r="D9" s="6" t="n">
        <v>-718</v>
      </c>
      <c r="E9" s="6" t="n">
        <v>-152</v>
      </c>
      <c r="F9" s="6" t="n"/>
      <c r="G9" s="6" t="n"/>
      <c r="H9" s="6" t="n"/>
    </row>
    <row r="10">
      <c r="A10" s="5" t="inlineStr">
        <is>
          <t>Net fee and commission income/(expense)</t>
        </is>
      </c>
      <c r="B10" s="5" t="n">
        <v>-3907</v>
      </c>
      <c r="C10" s="5" t="n">
        <v>-1368</v>
      </c>
      <c r="D10" s="5" t="n">
        <v>2013</v>
      </c>
      <c r="E10" s="5" t="n">
        <v>92</v>
      </c>
      <c r="F10" s="5" t="n"/>
      <c r="G10" s="5" t="n"/>
      <c r="H10" s="5" t="n"/>
    </row>
    <row r="11">
      <c r="A11" s="6" t="inlineStr">
        <is>
          <t>Net income/(expense) from financial instruments held at fair value through profit and loss</t>
        </is>
      </c>
      <c r="B11" s="6" t="n">
        <v>16369</v>
      </c>
      <c r="C11" s="6" t="n">
        <v>3041</v>
      </c>
      <c r="D11" s="6" t="n">
        <v>-1160</v>
      </c>
      <c r="E11" s="6" t="n">
        <v>108</v>
      </c>
      <c r="F11" s="6" t="n">
        <v>15</v>
      </c>
      <c r="G11" s="6" t="n"/>
      <c r="H11" s="6" t="n"/>
    </row>
    <row r="12">
      <c r="A12" s="6" t="inlineStr">
        <is>
          <t>Other income</t>
        </is>
      </c>
      <c r="B12" s="6" t="n"/>
      <c r="C12" s="6" t="n"/>
      <c r="D12" s="6" t="n">
        <v>126</v>
      </c>
      <c r="E12" s="6" t="n">
        <v>15</v>
      </c>
      <c r="F12" s="6" t="n"/>
      <c r="G12" s="6" t="n"/>
      <c r="H12" s="6" t="n"/>
    </row>
    <row r="13">
      <c r="A13" s="5" t="inlineStr">
        <is>
          <t>Total income</t>
        </is>
      </c>
      <c r="B13" s="5" t="n">
        <v>54238</v>
      </c>
      <c r="C13" s="5" t="n">
        <v>45989</v>
      </c>
      <c r="D13" s="5" t="n">
        <v>21471</v>
      </c>
      <c r="E13" s="5" t="n">
        <v>27428</v>
      </c>
      <c r="F13" s="5" t="n">
        <v>14447</v>
      </c>
      <c r="G13" s="5" t="n">
        <v>7673</v>
      </c>
      <c r="H13" s="5" t="n">
        <v>1699</v>
      </c>
    </row>
    <row r="14">
      <c r="A14" s="6" t="inlineStr">
        <is>
          <t>Administrative expenses</t>
        </is>
      </c>
      <c r="B14" s="6" t="n">
        <v>-57209</v>
      </c>
      <c r="C14" s="6" t="n">
        <v>-53995</v>
      </c>
      <c r="D14" s="6" t="n">
        <v>-56119</v>
      </c>
      <c r="E14" s="6" t="n">
        <v>-30809</v>
      </c>
      <c r="F14" s="6" t="n">
        <v>-22372</v>
      </c>
      <c r="G14" s="6" t="n">
        <v>-14413</v>
      </c>
      <c r="H14" s="6" t="n">
        <v>-11240</v>
      </c>
    </row>
    <row r="15">
      <c r="A15" s="6" t="inlineStr">
        <is>
          <t>Impairment of loans and advances to customers</t>
        </is>
      </c>
      <c r="B15" s="6" t="n">
        <v>-1731</v>
      </c>
      <c r="C15" s="6" t="n">
        <v>-855</v>
      </c>
      <c r="D15" s="6" t="n">
        <v>-25126</v>
      </c>
      <c r="E15" s="6" t="n">
        <v>-30737</v>
      </c>
      <c r="F15" s="6" t="n">
        <v>-13375</v>
      </c>
      <c r="G15" s="6" t="n">
        <v>-11574</v>
      </c>
      <c r="H15" s="6" t="n">
        <v>-1995</v>
      </c>
    </row>
    <row r="16">
      <c r="A16" s="6" t="inlineStr">
        <is>
          <t>Net gain arising from derecognition of financial assets measured at amortised cost</t>
        </is>
      </c>
      <c r="B16" s="6" t="n"/>
      <c r="C16" s="6" t="n"/>
      <c r="D16" s="6" t="n">
        <v>1727</v>
      </c>
      <c r="E16" s="6" t="n">
        <v>4369</v>
      </c>
      <c r="F16" s="6" t="n"/>
      <c r="G16" s="6" t="n"/>
      <c r="H16" s="6" t="n"/>
    </row>
    <row r="17">
      <c r="A17" s="5" t="inlineStr">
        <is>
          <t>Loss before taxation</t>
        </is>
      </c>
      <c r="B17" s="5" t="n">
        <v>-4702</v>
      </c>
      <c r="C17" s="5" t="n">
        <v>-8861</v>
      </c>
      <c r="D17" s="5" t="n">
        <v>-58047</v>
      </c>
      <c r="E17" s="5" t="n">
        <v>-29749</v>
      </c>
      <c r="F17" s="5" t="n">
        <v>-21300</v>
      </c>
      <c r="G17" s="5" t="n">
        <v>-18314</v>
      </c>
      <c r="H17" s="5" t="n">
        <v>-11536</v>
      </c>
    </row>
    <row r="18">
      <c r="A18" s="6" t="inlineStr">
        <is>
          <t>Taxation</t>
        </is>
      </c>
      <c r="B18" s="6" t="n"/>
      <c r="C18" s="6" t="n"/>
      <c r="D18" s="6" t="n">
        <v>-101</v>
      </c>
      <c r="E18" s="6" t="n">
        <v>-4</v>
      </c>
      <c r="F18" s="6" t="n">
        <v>-10</v>
      </c>
      <c r="G18" s="6" t="n"/>
      <c r="H18" s="6" t="n"/>
    </row>
    <row r="19">
      <c r="A19" s="5" t="inlineStr">
        <is>
          <t>Loss after tax and loss for the year</t>
        </is>
      </c>
      <c r="B19" s="5" t="n">
        <v>-4702</v>
      </c>
      <c r="C19" s="5" t="n">
        <v>-8861</v>
      </c>
      <c r="D19" s="5" t="n">
        <v>-58148</v>
      </c>
      <c r="E19" s="5" t="n">
        <v>-29753</v>
      </c>
      <c r="F19" s="5" t="n">
        <v>-21310</v>
      </c>
      <c r="G19" s="5" t="n">
        <v>-18314</v>
      </c>
      <c r="H19" s="5" t="n">
        <v>-11536</v>
      </c>
    </row>
    <row r="20">
      <c r="A20" s="5" t="inlineStr">
        <is>
          <t>Other comprehensive income/(expense)</t>
        </is>
      </c>
      <c r="B20" s="6" t="n"/>
      <c r="C20" s="6" t="n"/>
      <c r="D20" s="6" t="n"/>
      <c r="E20" s="6" t="n"/>
      <c r="F20" s="6" t="n"/>
      <c r="G20" s="6" t="n"/>
      <c r="H20" s="6" t="n"/>
    </row>
    <row r="21">
      <c r="A21" s="6" t="inlineStr">
        <is>
          <t>Fair value gains/(losses) on debt instruments during the year</t>
        </is>
      </c>
      <c r="B21" s="6" t="n">
        <v>824</v>
      </c>
      <c r="C21" s="6" t="n">
        <v>145</v>
      </c>
      <c r="D21" s="6" t="n">
        <v>-178</v>
      </c>
      <c r="E21" s="6" t="n">
        <v>-120</v>
      </c>
      <c r="F21" s="6" t="n">
        <v>5</v>
      </c>
      <c r="G21" s="6" t="n"/>
      <c r="H21" s="6" t="n"/>
    </row>
    <row r="22">
      <c r="A22" s="6" t="inlineStr">
        <is>
          <t>Debt instruments at FVOCI - reclassified to profit or loss</t>
        </is>
      </c>
      <c r="B22" s="6" t="n">
        <v>0</v>
      </c>
      <c r="C22" s="6" t="n">
        <v>31</v>
      </c>
      <c r="D22" s="6" t="n">
        <v>2</v>
      </c>
      <c r="E22" s="6" t="n"/>
      <c r="F22" s="6" t="n">
        <v>-34</v>
      </c>
      <c r="G22" s="6" t="n"/>
      <c r="H22" s="6" t="n"/>
    </row>
    <row r="23">
      <c r="A23" s="6" t="inlineStr">
        <is>
          <t>Deferred tax on fair value gains on debt instruments</t>
        </is>
      </c>
      <c r="B23" s="6" t="n">
        <v>-206</v>
      </c>
      <c r="C23" s="6" t="n"/>
      <c r="D23" s="6" t="n"/>
      <c r="E23" s="6" t="n"/>
      <c r="F23" s="6" t="n"/>
      <c r="G23" s="6" t="n"/>
      <c r="H23" s="6" t="n"/>
    </row>
    <row r="24">
      <c r="A24" s="5" t="inlineStr">
        <is>
          <t>Total other comprehensive income/(expense) for the year</t>
        </is>
      </c>
      <c r="B24" s="5" t="n">
        <v>618</v>
      </c>
      <c r="C24" s="5" t="n">
        <v>176</v>
      </c>
      <c r="D24" s="5" t="n">
        <v>-176</v>
      </c>
      <c r="E24" s="5" t="n">
        <v>-120</v>
      </c>
      <c r="F24" s="5" t="n">
        <v>-29</v>
      </c>
      <c r="G24" s="5" t="n"/>
      <c r="H24" s="5" t="n"/>
    </row>
    <row r="25">
      <c r="A25" s="5" t="inlineStr">
        <is>
          <t>Total comprehensive loss for the year</t>
        </is>
      </c>
      <c r="B25" s="5" t="n">
        <v>-4084</v>
      </c>
      <c r="C25" s="5" t="n">
        <v>-8685</v>
      </c>
      <c r="D25" s="5" t="n">
        <v>-58324</v>
      </c>
      <c r="E25" s="5" t="n">
        <v>-29873</v>
      </c>
      <c r="F25" s="5" t="n">
        <v>-21339</v>
      </c>
      <c r="G25" s="5" t="n">
        <v>-18314</v>
      </c>
      <c r="H25" s="5" t="n">
        <v>-11536</v>
      </c>
    </row>
    <row r="27" ht="220" customHeight="1">
      <c r="A27" s="8" t="inlineStr">
        <is>
          <t>Sources - Chetwood Financial Limited's own Consolidated Statement of Financial Position / Statement of Total Comprehensive Income / Statement of Changes in Equity, transcribed from each year's own Annual Report (not a later year's comparative column, except where noted). See entity note below re: FY2021 (standalone) and the FY2024 P&amp;L OCR-corruption note.
FY2025/FY2024: Chetwood Financial Limited Annual Report and Financial Statements, year ended 31 March 2025, p.44-47 (Consolidated Statement of Financial Position / Statement of Total Comprehensive Income / Statement of Changes in Equity) - https://chetwoodbank.co.uk/documents/chetwood-bank-annual-report.pdf
FY2023: Chetwood Financial Limited Annual Report and Financial Statements, year ended 31 March 2024, p.24-27 (prior-year comparative column) - http://web.archive.org/web/20240920030034/https://chetwood.co/static/97d26e488d5277699e5b9a9983db4d5b/AnnualReport.pdf. (As with the Cash Flow Statement, the FY2023 Annual Report's own PDF has a text-encoding fault; the FY2024 report's clean comparative column was used instead - both present the same audited FY2023 statutory figures.)
FY2022/FY2021: Chetwood Financial Limited Annual Report and Financial Statements, year ended 31 March 2022, p.22-25 (Consolidated Statement of Financial Position / Statement of Total Comprehensive Income / Statement of Changes in Equity, Group and Company for FY2021) - http://web.archive.org/web/20230131231341/https://chetwood.co/static/7fbc3d1ed9c0913dca3435f640a5a570/AnnualReport.pdf
FY2020: Chetwood Financial Limited Annual Report and Financial Statements, year ended 31 March 2020, p.19-21 (Statement of Total Comprehensive Income / Statement of Financial Position / Statement of Changes in Equity, standalone entity, FRS 102 basis) - https://find-and-update.company-information.service.gov.uk/company/09964966/filing-history/MzI3NDIxOTQ2OWFkaXF6a2N4/document?format=pdf&amp;download=0 (Companies House filing history, company no. 09964966)
FY2019: Chetwood Financial Limited Annual Report and Financial Statements, year ended 31 March 2019, p.14-16 (Statement of Total Comprehensive Income / Statement of Financial Position / Statement of Changes in Equity, standalone entity, FRS 102 basis) - https://find-and-update.company-information.service.gov.uk/company/09964966/filing-history/MzI0MTExMzg0OGFkaXF6a2N4/document?format=pdf&amp;download=0 (Companies House filing history, company no. 09964966)
ENTITY NOTE: Chetwood Financial Limited (trading as Chetwood Bank) is the entity on the PRA register - no holding-company substitution was needed here (unlike Monzo). All years are Chetwood Financial Limited, consolidated/Group basis, EXCEPT FY2021-FY2019 (marked †), which are Chetwood's own standalone entity accounts - the Group didn't exist yet (Chetwood acquired Yobota Limited on 1 March 2022, and CHL Mortgages for Intermediaries Limited later still), so there is no consolidated cash flow statement before FY2022. Companies House confirms FY2019-FY2021 accounts were filed as 'Full accounts' (solo), while FY2022-FY2025 were filed as 'Group of companies' accounts' (consolidated). Per user direction, FY2019-FY2021 are included on a standalone basis and clearly flagged, rather than omitted.
FY2024 (marked *) is consolidated, but no Pillar 3 disclosure for 'as at 31 March 2024' was ever published or archived - see the note on each Pillar 3 sheet.
HISTORICAL-DEPTH FLOOR NOTE (added 2026-09-06, HD-023): the workbook's true floor is FY2019, not FY2016 as originally listed on that ticket, and not FY2021 as a since-corrected version of the same ticket guessed. Verified against Chetwood's own Companies House filing history (company no. 09964966, incorporated 22 Jan 2016) and its own statutory accounts, not a domain/snapshot scan:
- Period to 31 Dec 2016: dormant shell only ('Total exemption full accounts', total assets £954k, no lending or deposits) - pre-banking, excluded.
- FY2018 (15-month period, 1 Jan 2017 - 31 Mar 2018): the Company was granted a banking licence WITH RESTRICTIONS only on 22 Dec 2017; consumer lending commenced Feb 2018 (2 months of the 15-month period); there were zero customer deposits all period (total assets £7.1m, no deposit-taking yet) - this is a pre-launch/development-stage period, not a genuine operating bank year, so excluded as a self-skipped year despite audited accounts existing for it.
- FY2019 (year ended 31 Mar 2019): the PRA's restrictions on the banking licence were lifted 13 Dec 2018; this is the first year with real customer deposits (£26.1m) and a meaningful loan book (£46.3m) - i.e. the first genuine full year of Chetwood operating as an unrestricted retail bank. Treated as the floor.
- FY2019 and FY2020 statutory accounts (like FY2018's) were prepared under UK GAAP FRS 102, NOT IFRS - Chetwood only adopted IFRS (and IFRS 9 stage-based credit-quality disclosure, and Pillar 3 reporting) from FY2021 onward, per its own accounting-policy notes ('in compliance with...FRS 102') each year 2018-2020. This is analogous to the ticket's flagged Basel II/CET1 terminology shift, but for the whole accounting framework: FY2019-FY2020 (marked ‡) have no IFRS 9 loan-stage table and no Pillar 3 disclosure at all (the FY2018/FY2019 strategic reports say a Pillar 3 document 'will be published...in due course' - it wasn't yet). All 11 Pillar 3 metric sheets and the RWA Breakdown sheet are genuinely 'Not publicly disclosed' for FY2019 and FY2020 - a real self-skip, not a gap in transcription.
- A further consequence of the FRS 102-to-IFRS transition: the FY2021 Annual Report's own FY2020 comparative equity balance (used as the prior-year opening figure in that report) does not exactly match FY2020's own originally-filed Statement of Changes in Equity (originally-filed closing Profit and Loss account -£36,357k, Total Equity £51,182k, vs the FY2021 AR's stated FY2020-closing comparative of -£44,513k / £43,067k, a ~£8.1m gap most likely reflecting transition adjustments on first-time IFRS application). The Statement of Changes in Equity sheet below uses Chetwood's own FY2019/FY2020 AS-FILED figures for the FY2019-FY2020 rows (matching those years' own Balance Sheet), and switches to the FY2021 AR's own stated FY2020-comparative opening balance only at the point the FY2021 movements begin - the ~£8.1m gap is disclosed here rather than silently bridged.
DATA QUALITY NOTE: the FY2024 Annual Report's own P&amp;L page (used for FY2023's comparative column) has the same text-encoding fault as its Cash Flow Statement page, corrupting individual digits in places (e.g. that page's own FY2024 'Impairment of loans and advances to customers' prints as -855, matching the clean FY2025 report's comparative figure exactly). The equity statement page in the same FY2024 report similarly corrupts one FY2024 'Total comprehensive income' cell (prints -8,605 instead of -8,685) - the FY2025 report's own FY2023-25 equity table and the P&amp;L's own OCI total agree exactly on -8,685, so -8,685 is used here.
PRESENTATION NOTE: 'Cash and cash equivalents' (FY2023-25) and 'Loans and advances to banks' (FY2021-22) are the same balance-sheet line under two labels - shown on one row. 'Capital redemption reserve' (FY2023-25) and 'Capital contribution' (FY2022, first appearing that year as a debt waiver from the ultimate controlling party) are the same £6,247k reserve under two labels - shown on one row. P&amp;L structure changed across the five years as the business grew: FY2025 nets fee income/expense into a single 'Net fee and commission (expense)/income' line with no separate 'Other income' row; FY2022-23 include a 'Net gain arising from derecognition of financial assets at amortised cost' line with no FY2024-25 equivalent; only FY2024-25 disclose 'Deferred tax liabilities' or a 'Goodwill' balance sheet line, both absent 2021-23; only FY2025 discloses 'Debt securities in issue' as a live balance (£89k), though the line existed as a zero balance from FY2024. Blank cells indicate that year's report did not disclose that specific line.</t>
        </is>
      </c>
    </row>
  </sheetData>
  <mergeCells count="1">
    <mergeCell ref="A27:H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Chetwood Financial Limited — Statement of Changes in Equity</t>
        </is>
      </c>
    </row>
    <row r="2">
      <c r="A2" s="2" t="inlineStr">
        <is>
          <t>Consolidated basis (FY2019-FY2021 standalone entity), £'000, chronological (oldest to newest). FY2019-FY2020 as filed under FRS 102; a ~£8.1m gap vs the FY2021 AR's own FY2020-comparative opening balance is shown and explained, not bridged - see source note at bottom.</t>
        </is>
      </c>
    </row>
    <row r="3">
      <c r="A3" s="4" t="inlineStr">
        <is>
          <t>Movement</t>
        </is>
      </c>
      <c r="B3" s="4" t="inlineStr">
        <is>
          <t>Called-up Share Capital</t>
        </is>
      </c>
      <c r="C3" s="4" t="inlineStr">
        <is>
          <t>Share Premium</t>
        </is>
      </c>
      <c r="D3" s="4" t="inlineStr">
        <is>
          <t>Retained losses</t>
        </is>
      </c>
      <c r="E3" s="4" t="inlineStr">
        <is>
          <t>Share-based payment reserve</t>
        </is>
      </c>
      <c r="F3" s="4" t="inlineStr">
        <is>
          <t>Debt securities revaluation reserve</t>
        </is>
      </c>
      <c r="G3" s="4" t="inlineStr">
        <is>
          <t>Capital redemption/contribution reserve</t>
        </is>
      </c>
      <c r="H3" s="4" t="inlineStr">
        <is>
          <t>Merger reserve</t>
        </is>
      </c>
      <c r="I3" s="4" t="inlineStr">
        <is>
          <t>Total equity</t>
        </is>
      </c>
    </row>
    <row r="4">
      <c r="A4" s="5" t="inlineStr">
        <is>
          <t>At 1 April 2018</t>
        </is>
      </c>
      <c r="B4" s="5" t="n">
        <v>9451</v>
      </c>
      <c r="C4" s="5" t="n">
        <v>2851</v>
      </c>
      <c r="D4" s="5" t="n">
        <v>-6519</v>
      </c>
      <c r="E4" s="5" t="n"/>
      <c r="F4" s="5" t="n"/>
      <c r="G4" s="5" t="n"/>
      <c r="H4" s="5" t="n"/>
      <c r="I4" s="5" t="n">
        <v>5783</v>
      </c>
    </row>
    <row r="5">
      <c r="A5" s="6" t="inlineStr">
        <is>
          <t>Issue of shares</t>
        </is>
      </c>
      <c r="B5" s="6" t="n">
        <v>55237</v>
      </c>
      <c r="C5" s="6" t="n"/>
      <c r="D5" s="6" t="n"/>
      <c r="E5" s="6" t="n"/>
      <c r="F5" s="6" t="n"/>
      <c r="G5" s="6" t="n"/>
      <c r="H5" s="6" t="n"/>
      <c r="I5" s="6" t="n">
        <v>55237</v>
      </c>
    </row>
    <row r="6">
      <c r="A6" s="6" t="inlineStr">
        <is>
          <t>Loss for the period (FY2019)</t>
        </is>
      </c>
      <c r="B6" s="6" t="n"/>
      <c r="C6" s="6" t="n"/>
      <c r="D6" s="6" t="n">
        <v>-11536</v>
      </c>
      <c r="E6" s="6" t="n"/>
      <c r="F6" s="6" t="n"/>
      <c r="G6" s="6" t="n"/>
      <c r="H6" s="6" t="n"/>
      <c r="I6" s="6" t="n">
        <v>-11536</v>
      </c>
    </row>
    <row r="7">
      <c r="A7" s="5" t="inlineStr">
        <is>
          <t>At 31 March 2019</t>
        </is>
      </c>
      <c r="B7" s="5" t="n">
        <v>64688</v>
      </c>
      <c r="C7" s="5" t="n">
        <v>2851</v>
      </c>
      <c r="D7" s="5" t="n">
        <v>-18055</v>
      </c>
      <c r="E7" s="5" t="n"/>
      <c r="F7" s="5" t="n"/>
      <c r="G7" s="5" t="n"/>
      <c r="H7" s="5" t="n"/>
      <c r="I7" s="5" t="n">
        <v>49484</v>
      </c>
    </row>
    <row r="8">
      <c r="A8" s="6" t="inlineStr">
        <is>
          <t>Issue of shares</t>
        </is>
      </c>
      <c r="B8" s="6" t="n">
        <v>20000</v>
      </c>
      <c r="C8" s="6" t="n"/>
      <c r="D8" s="6" t="n"/>
      <c r="E8" s="6" t="n"/>
      <c r="F8" s="6" t="n"/>
      <c r="G8" s="6" t="n"/>
      <c r="H8" s="6" t="n"/>
      <c r="I8" s="6" t="n">
        <v>20000</v>
      </c>
    </row>
    <row r="9">
      <c r="A9" s="6" t="inlineStr">
        <is>
          <t>Equity-settled share-based payment transactions</t>
        </is>
      </c>
      <c r="B9" s="6" t="n"/>
      <c r="C9" s="6" t="n"/>
      <c r="D9" s="6" t="n">
        <v>12</v>
      </c>
      <c r="E9" s="6" t="n"/>
      <c r="F9" s="6" t="n"/>
      <c r="G9" s="6" t="n"/>
      <c r="H9" s="6" t="n"/>
      <c r="I9" s="6" t="n">
        <v>12</v>
      </c>
    </row>
    <row r="10">
      <c r="A10" s="6" t="inlineStr">
        <is>
          <t>Loss for the period (FY2020)</t>
        </is>
      </c>
      <c r="B10" s="6" t="n"/>
      <c r="C10" s="6" t="n"/>
      <c r="D10" s="6" t="n">
        <v>-18314</v>
      </c>
      <c r="E10" s="6" t="n"/>
      <c r="F10" s="6" t="n"/>
      <c r="G10" s="6" t="n"/>
      <c r="H10" s="6" t="n"/>
      <c r="I10" s="6" t="n">
        <v>-18314</v>
      </c>
    </row>
    <row r="11">
      <c r="A11" s="5" t="inlineStr">
        <is>
          <t>At 31 March 2020 (as filed in the FY2020 accounts)</t>
        </is>
      </c>
      <c r="B11" s="5" t="n">
        <v>84688</v>
      </c>
      <c r="C11" s="5" t="n">
        <v>2851</v>
      </c>
      <c r="D11" s="5" t="n">
        <v>-36357</v>
      </c>
      <c r="E11" s="5" t="n"/>
      <c r="F11" s="5" t="n"/>
      <c r="G11" s="5" t="n"/>
      <c r="H11" s="5" t="n"/>
      <c r="I11" s="5" t="n">
        <v>51182</v>
      </c>
    </row>
    <row r="12">
      <c r="A12" s="5" t="inlineStr">
        <is>
          <t>At 1 April 2020 (per FY2021 AR's own comparative - see gap note)</t>
        </is>
      </c>
      <c r="B12" s="5" t="n">
        <v>84688</v>
      </c>
      <c r="C12" s="5" t="n">
        <v>2851</v>
      </c>
      <c r="D12" s="5" t="n">
        <v>-44513</v>
      </c>
      <c r="E12" s="5" t="n">
        <v>12</v>
      </c>
      <c r="F12" s="5" t="n">
        <v>29</v>
      </c>
      <c r="G12" s="5" t="n"/>
      <c r="H12" s="5" t="n"/>
      <c r="I12" s="5" t="n">
        <v>43067</v>
      </c>
    </row>
    <row r="13">
      <c r="A13" s="6" t="inlineStr">
        <is>
          <t>Loss for the period (FY2021)</t>
        </is>
      </c>
      <c r="B13" s="6" t="n"/>
      <c r="C13" s="6" t="n"/>
      <c r="D13" s="6" t="n">
        <v>-21310</v>
      </c>
      <c r="E13" s="6" t="n"/>
      <c r="F13" s="6" t="n"/>
      <c r="G13" s="6" t="n"/>
      <c r="H13" s="6" t="n"/>
      <c r="I13" s="6" t="n">
        <v>-21310</v>
      </c>
    </row>
    <row r="14">
      <c r="A14" s="6" t="inlineStr">
        <is>
          <t>Net changes in fair value</t>
        </is>
      </c>
      <c r="B14" s="6" t="n"/>
      <c r="C14" s="6" t="n"/>
      <c r="D14" s="6" t="n"/>
      <c r="E14" s="6" t="n"/>
      <c r="F14" s="6" t="n">
        <v>5</v>
      </c>
      <c r="G14" s="6" t="n"/>
      <c r="H14" s="6" t="n"/>
      <c r="I14" s="6" t="n">
        <v>5</v>
      </c>
    </row>
    <row r="15">
      <c r="A15" s="6" t="inlineStr">
        <is>
          <t>Reclassified to income statement</t>
        </is>
      </c>
      <c r="B15" s="6" t="n"/>
      <c r="C15" s="6" t="n"/>
      <c r="D15" s="6" t="n"/>
      <c r="E15" s="6" t="n"/>
      <c r="F15" s="6" t="n">
        <v>-34</v>
      </c>
      <c r="G15" s="6" t="n"/>
      <c r="H15" s="6" t="n"/>
      <c r="I15" s="6" t="n">
        <v>-34</v>
      </c>
    </row>
    <row r="16">
      <c r="A16" s="6" t="inlineStr">
        <is>
          <t>Equity-settled share-based payment transactions</t>
        </is>
      </c>
      <c r="B16" s="6" t="n"/>
      <c r="C16" s="6" t="n"/>
      <c r="D16" s="6" t="n"/>
      <c r="E16" s="6" t="n">
        <v>102</v>
      </c>
      <c r="F16" s="6" t="n"/>
      <c r="G16" s="6" t="n"/>
      <c r="H16" s="6" t="n"/>
      <c r="I16" s="6" t="n">
        <v>102</v>
      </c>
    </row>
    <row r="17">
      <c r="A17" s="6" t="inlineStr">
        <is>
          <t>Issue of shares</t>
        </is>
      </c>
      <c r="B17" s="6" t="n">
        <v>29000</v>
      </c>
      <c r="C17" s="6" t="n"/>
      <c r="D17" s="6" t="n"/>
      <c r="E17" s="6" t="n"/>
      <c r="F17" s="6" t="n"/>
      <c r="G17" s="6" t="n"/>
      <c r="H17" s="6" t="n"/>
      <c r="I17" s="6" t="n">
        <v>29000</v>
      </c>
    </row>
    <row r="18">
      <c r="A18" s="5" t="inlineStr">
        <is>
          <t>At 31 March 2021</t>
        </is>
      </c>
      <c r="B18" s="5" t="n">
        <v>113688</v>
      </c>
      <c r="C18" s="5" t="n">
        <v>2851</v>
      </c>
      <c r="D18" s="5" t="n">
        <v>-65823</v>
      </c>
      <c r="E18" s="5" t="n">
        <v>114</v>
      </c>
      <c r="F18" s="5" t="n">
        <v>0</v>
      </c>
      <c r="G18" s="5" t="n"/>
      <c r="H18" s="5" t="n"/>
      <c r="I18" s="5" t="n">
        <v>50830</v>
      </c>
    </row>
    <row r="19">
      <c r="A19" s="6" t="inlineStr">
        <is>
          <t>Loss for the period (FY2022)</t>
        </is>
      </c>
      <c r="B19" s="6" t="n"/>
      <c r="C19" s="6" t="n"/>
      <c r="D19" s="6" t="n">
        <v>-29753</v>
      </c>
      <c r="E19" s="6" t="n"/>
      <c r="F19" s="6" t="n"/>
      <c r="G19" s="6" t="n"/>
      <c r="H19" s="6" t="n"/>
      <c r="I19" s="6" t="n">
        <v>-29753</v>
      </c>
    </row>
    <row r="20">
      <c r="A20" s="6" t="inlineStr">
        <is>
          <t>Retained losses acquired on purchase of subsidiary</t>
        </is>
      </c>
      <c r="B20" s="6" t="n"/>
      <c r="C20" s="6" t="n"/>
      <c r="D20" s="6" t="n">
        <v>-17190</v>
      </c>
      <c r="E20" s="6" t="n"/>
      <c r="F20" s="6" t="n"/>
      <c r="G20" s="6" t="n"/>
      <c r="H20" s="6" t="n"/>
      <c r="I20" s="6" t="n">
        <v>-17190</v>
      </c>
    </row>
    <row r="21">
      <c r="A21" s="6" t="inlineStr">
        <is>
          <t>Net changes in fair value</t>
        </is>
      </c>
      <c r="B21" s="6" t="n"/>
      <c r="C21" s="6" t="n"/>
      <c r="D21" s="6" t="n"/>
      <c r="E21" s="6" t="n"/>
      <c r="F21" s="6" t="n">
        <v>-120</v>
      </c>
      <c r="G21" s="6" t="n"/>
      <c r="H21" s="6" t="n"/>
      <c r="I21" s="6" t="n">
        <v>-120</v>
      </c>
    </row>
    <row r="22">
      <c r="A22" s="6" t="inlineStr">
        <is>
          <t>Equity-settled share-based payment transactions</t>
        </is>
      </c>
      <c r="B22" s="6" t="n"/>
      <c r="C22" s="6" t="n"/>
      <c r="D22" s="6" t="n"/>
      <c r="E22" s="6" t="n">
        <v>209</v>
      </c>
      <c r="F22" s="6" t="n"/>
      <c r="G22" s="6" t="n"/>
      <c r="H22" s="6" t="n"/>
      <c r="I22" s="6" t="n">
        <v>209</v>
      </c>
    </row>
    <row r="23">
      <c r="A23" s="6" t="inlineStr">
        <is>
          <t>Debt waiver by ultimate controlling party</t>
        </is>
      </c>
      <c r="B23" s="6" t="n"/>
      <c r="C23" s="6" t="n"/>
      <c r="D23" s="6" t="n"/>
      <c r="E23" s="6" t="n"/>
      <c r="F23" s="6" t="n"/>
      <c r="G23" s="6" t="n">
        <v>6247</v>
      </c>
      <c r="H23" s="6" t="n"/>
      <c r="I23" s="6" t="n">
        <v>6247</v>
      </c>
    </row>
    <row r="24">
      <c r="A24" s="6" t="inlineStr">
        <is>
          <t>Merger reserve arising on consolidation</t>
        </is>
      </c>
      <c r="B24" s="6" t="n"/>
      <c r="C24" s="6" t="n"/>
      <c r="D24" s="6" t="n"/>
      <c r="E24" s="6" t="n"/>
      <c r="F24" s="6" t="n"/>
      <c r="G24" s="6" t="n"/>
      <c r="H24" s="6" t="n">
        <v>770</v>
      </c>
      <c r="I24" s="6" t="n">
        <v>770</v>
      </c>
    </row>
    <row r="25">
      <c r="A25" s="6" t="inlineStr">
        <is>
          <t>Issue of shares</t>
        </is>
      </c>
      <c r="B25" s="6" t="n">
        <v>55000</v>
      </c>
      <c r="C25" s="6" t="n"/>
      <c r="D25" s="6" t="n"/>
      <c r="E25" s="6" t="n"/>
      <c r="F25" s="6" t="n"/>
      <c r="G25" s="6" t="n"/>
      <c r="H25" s="6" t="n"/>
      <c r="I25" s="6" t="n">
        <v>55000</v>
      </c>
    </row>
    <row r="26">
      <c r="A26" s="5" t="inlineStr">
        <is>
          <t>At 31 March 2022</t>
        </is>
      </c>
      <c r="B26" s="5" t="n">
        <v>168688</v>
      </c>
      <c r="C26" s="5" t="n">
        <v>2851</v>
      </c>
      <c r="D26" s="5" t="n">
        <v>-112766</v>
      </c>
      <c r="E26" s="5" t="n">
        <v>323</v>
      </c>
      <c r="F26" s="5" t="n">
        <v>-120</v>
      </c>
      <c r="G26" s="5" t="n">
        <v>6247</v>
      </c>
      <c r="H26" s="5" t="n">
        <v>770</v>
      </c>
      <c r="I26" s="5" t="n">
        <v>65993</v>
      </c>
    </row>
    <row r="27">
      <c r="A27" s="6" t="inlineStr">
        <is>
          <t>Loss for the period (FY2023)</t>
        </is>
      </c>
      <c r="B27" s="6" t="n"/>
      <c r="C27" s="6" t="n"/>
      <c r="D27" s="6" t="n">
        <v>-58148</v>
      </c>
      <c r="E27" s="6" t="n"/>
      <c r="F27" s="6" t="n"/>
      <c r="G27" s="6" t="n"/>
      <c r="H27" s="6" t="n"/>
      <c r="I27" s="6" t="n">
        <v>-58148</v>
      </c>
    </row>
    <row r="28">
      <c r="A28" s="6" t="inlineStr">
        <is>
          <t>Net changes in fair value</t>
        </is>
      </c>
      <c r="B28" s="6" t="n"/>
      <c r="C28" s="6" t="n"/>
      <c r="D28" s="6" t="n"/>
      <c r="E28" s="6" t="n"/>
      <c r="F28" s="6" t="n">
        <v>-58</v>
      </c>
      <c r="G28" s="6" t="n"/>
      <c r="H28" s="6" t="n"/>
      <c r="I28" s="6" t="n">
        <v>-58</v>
      </c>
    </row>
    <row r="29">
      <c r="A29" s="6" t="inlineStr">
        <is>
          <t>Reclassified to income statement</t>
        </is>
      </c>
      <c r="B29" s="6" t="n"/>
      <c r="C29" s="6" t="n"/>
      <c r="D29" s="6" t="n"/>
      <c r="E29" s="6" t="n"/>
      <c r="F29" s="6" t="n">
        <v>2</v>
      </c>
      <c r="G29" s="6" t="n"/>
      <c r="H29" s="6" t="n"/>
      <c r="I29" s="6" t="n">
        <v>2</v>
      </c>
    </row>
    <row r="30">
      <c r="A30" s="6" t="inlineStr">
        <is>
          <t>Equity-settled share-based payment transactions</t>
        </is>
      </c>
      <c r="B30" s="6" t="n"/>
      <c r="C30" s="6" t="n"/>
      <c r="D30" s="6" t="n"/>
      <c r="E30" s="6" t="n">
        <v>85</v>
      </c>
      <c r="F30" s="6" t="n"/>
      <c r="G30" s="6" t="n"/>
      <c r="H30" s="6" t="n"/>
      <c r="I30" s="6" t="n">
        <v>85</v>
      </c>
    </row>
    <row r="31">
      <c r="A31" s="6" t="inlineStr">
        <is>
          <t>Issue of shares</t>
        </is>
      </c>
      <c r="B31" s="6" t="n">
        <v>84609</v>
      </c>
      <c r="C31" s="6" t="n"/>
      <c r="D31" s="6" t="n"/>
      <c r="E31" s="6" t="n"/>
      <c r="F31" s="6" t="n"/>
      <c r="G31" s="6" t="n"/>
      <c r="H31" s="6" t="n"/>
      <c r="I31" s="6" t="n">
        <v>84609</v>
      </c>
    </row>
    <row r="32">
      <c r="A32" s="5" t="inlineStr">
        <is>
          <t>At 31 March 2023</t>
        </is>
      </c>
      <c r="B32" s="5" t="n">
        <v>253297</v>
      </c>
      <c r="C32" s="5" t="n">
        <v>2851</v>
      </c>
      <c r="D32" s="5" t="n">
        <v>-170914</v>
      </c>
      <c r="E32" s="5" t="n">
        <v>408</v>
      </c>
      <c r="F32" s="5" t="n">
        <v>-176</v>
      </c>
      <c r="G32" s="5" t="n">
        <v>6247</v>
      </c>
      <c r="H32" s="5" t="n">
        <v>770</v>
      </c>
      <c r="I32" s="5" t="n">
        <v>92483</v>
      </c>
    </row>
    <row r="33">
      <c r="A33" s="6" t="inlineStr">
        <is>
          <t>Loss for the period (FY2024)</t>
        </is>
      </c>
      <c r="B33" s="6" t="n"/>
      <c r="C33" s="6" t="n"/>
      <c r="D33" s="6" t="n">
        <v>-8861</v>
      </c>
      <c r="E33" s="6" t="n"/>
      <c r="F33" s="6" t="n"/>
      <c r="G33" s="6" t="n"/>
      <c r="H33" s="6" t="n"/>
      <c r="I33" s="6" t="n">
        <v>-8861</v>
      </c>
    </row>
    <row r="34">
      <c r="A34" s="6" t="inlineStr">
        <is>
          <t>Net changes in fair value</t>
        </is>
      </c>
      <c r="B34" s="6" t="n"/>
      <c r="C34" s="6" t="n"/>
      <c r="D34" s="6" t="n"/>
      <c r="E34" s="6" t="n"/>
      <c r="F34" s="6" t="n">
        <v>145</v>
      </c>
      <c r="G34" s="6" t="n"/>
      <c r="H34" s="6" t="n"/>
      <c r="I34" s="6" t="n">
        <v>145</v>
      </c>
    </row>
    <row r="35">
      <c r="A35" s="6" t="inlineStr">
        <is>
          <t>Reclassified to income statement</t>
        </is>
      </c>
      <c r="B35" s="6" t="n"/>
      <c r="C35" s="6" t="n"/>
      <c r="D35" s="6" t="n"/>
      <c r="E35" s="6" t="n"/>
      <c r="F35" s="6" t="n">
        <v>31</v>
      </c>
      <c r="G35" s="6" t="n"/>
      <c r="H35" s="6" t="n"/>
      <c r="I35" s="6" t="n">
        <v>31</v>
      </c>
    </row>
    <row r="36">
      <c r="A36" s="6" t="inlineStr">
        <is>
          <t>Equity-settled share-based payment transactions</t>
        </is>
      </c>
      <c r="B36" s="6" t="n"/>
      <c r="C36" s="6" t="n"/>
      <c r="D36" s="6" t="n"/>
      <c r="E36" s="6" t="n">
        <v>284</v>
      </c>
      <c r="F36" s="6" t="n"/>
      <c r="G36" s="6" t="n"/>
      <c r="H36" s="6" t="n"/>
      <c r="I36" s="6" t="n">
        <v>284</v>
      </c>
    </row>
    <row r="37">
      <c r="A37" s="6" t="inlineStr">
        <is>
          <t>Issue of shares</t>
        </is>
      </c>
      <c r="B37" s="6" t="n">
        <v>433</v>
      </c>
      <c r="C37" s="6" t="n">
        <v>88561</v>
      </c>
      <c r="D37" s="6" t="n"/>
      <c r="E37" s="6" t="n"/>
      <c r="F37" s="6" t="n"/>
      <c r="G37" s="6" t="n"/>
      <c r="H37" s="6" t="n"/>
      <c r="I37" s="6" t="n">
        <v>89000</v>
      </c>
    </row>
    <row r="38">
      <c r="A38" s="5" t="inlineStr">
        <is>
          <t>At 31 March 2024</t>
        </is>
      </c>
      <c r="B38" s="5" t="n">
        <v>253730</v>
      </c>
      <c r="C38" s="5" t="n">
        <v>91418</v>
      </c>
      <c r="D38" s="5" t="n">
        <v>-179775</v>
      </c>
      <c r="E38" s="5" t="n">
        <v>692</v>
      </c>
      <c r="F38" s="5" t="n">
        <v>0</v>
      </c>
      <c r="G38" s="5" t="n">
        <v>6247</v>
      </c>
      <c r="H38" s="5" t="n">
        <v>770</v>
      </c>
      <c r="I38" s="5" t="n">
        <v>173082</v>
      </c>
    </row>
    <row r="39">
      <c r="A39" s="6" t="inlineStr">
        <is>
          <t>Loss for the period (FY2025)</t>
        </is>
      </c>
      <c r="B39" s="6" t="n"/>
      <c r="C39" s="6" t="n"/>
      <c r="D39" s="6" t="n">
        <v>-4702</v>
      </c>
      <c r="E39" s="6" t="n"/>
      <c r="F39" s="6" t="n"/>
      <c r="G39" s="6" t="n"/>
      <c r="H39" s="6" t="n"/>
      <c r="I39" s="6" t="n">
        <v>-4702</v>
      </c>
    </row>
    <row r="40">
      <c r="A40" s="6" t="inlineStr">
        <is>
          <t>Net changes in fair value</t>
        </is>
      </c>
      <c r="B40" s="6" t="n"/>
      <c r="C40" s="6" t="n"/>
      <c r="D40" s="6" t="n"/>
      <c r="E40" s="6" t="n"/>
      <c r="F40" s="6" t="n">
        <v>824</v>
      </c>
      <c r="G40" s="6" t="n"/>
      <c r="H40" s="6" t="n"/>
      <c r="I40" s="6" t="n">
        <v>824</v>
      </c>
    </row>
    <row r="41">
      <c r="A41" s="6" t="inlineStr">
        <is>
          <t>Tax on other comprehensive income</t>
        </is>
      </c>
      <c r="B41" s="6" t="n"/>
      <c r="C41" s="6" t="n"/>
      <c r="D41" s="6" t="n"/>
      <c r="E41" s="6" t="n"/>
      <c r="F41" s="6" t="n">
        <v>-206</v>
      </c>
      <c r="G41" s="6" t="n"/>
      <c r="H41" s="6" t="n"/>
      <c r="I41" s="6" t="n">
        <v>-206</v>
      </c>
    </row>
    <row r="42">
      <c r="A42" s="6" t="inlineStr">
        <is>
          <t>Equity-settled share-based payment transactions</t>
        </is>
      </c>
      <c r="B42" s="6" t="n"/>
      <c r="C42" s="6" t="n"/>
      <c r="D42" s="6" t="n"/>
      <c r="E42" s="6" t="n">
        <v>144</v>
      </c>
      <c r="F42" s="6" t="n"/>
      <c r="G42" s="6" t="n"/>
      <c r="H42" s="6" t="n"/>
      <c r="I42" s="6" t="n">
        <v>144</v>
      </c>
    </row>
    <row r="43">
      <c r="A43" s="6" t="inlineStr">
        <is>
          <t>Reclassified to retained losses</t>
        </is>
      </c>
      <c r="B43" s="6" t="n"/>
      <c r="C43" s="6" t="n"/>
      <c r="D43" s="6" t="n">
        <v>577</v>
      </c>
      <c r="E43" s="6" t="n">
        <v>-577</v>
      </c>
      <c r="F43" s="6" t="n"/>
      <c r="G43" s="6" t="n"/>
      <c r="H43" s="6" t="n"/>
      <c r="I43" s="6" t="n">
        <v>0</v>
      </c>
    </row>
    <row r="44">
      <c r="A44" s="6" t="inlineStr">
        <is>
          <t>Issue of shares</t>
        </is>
      </c>
      <c r="B44" s="6" t="n">
        <v>183</v>
      </c>
      <c r="C44" s="6" t="n">
        <v>26818</v>
      </c>
      <c r="D44" s="6" t="n"/>
      <c r="E44" s="6" t="n"/>
      <c r="F44" s="6" t="n"/>
      <c r="G44" s="6" t="n"/>
      <c r="H44" s="6" t="n"/>
      <c r="I44" s="6" t="n">
        <v>27001</v>
      </c>
    </row>
    <row r="45">
      <c r="A45" s="5" t="inlineStr">
        <is>
          <t>At 31 March 2025</t>
        </is>
      </c>
      <c r="B45" s="5" t="n">
        <v>253913</v>
      </c>
      <c r="C45" s="5" t="n">
        <v>118236</v>
      </c>
      <c r="D45" s="5" t="n">
        <v>-183900</v>
      </c>
      <c r="E45" s="5" t="n">
        <v>259</v>
      </c>
      <c r="F45" s="5" t="n">
        <v>618</v>
      </c>
      <c r="G45" s="5" t="n">
        <v>6247</v>
      </c>
      <c r="H45" s="5" t="n">
        <v>770</v>
      </c>
      <c r="I45" s="5" t="n">
        <v>196143</v>
      </c>
    </row>
    <row r="47" ht="220" customHeight="1">
      <c r="A47" s="8" t="inlineStr">
        <is>
          <t>Sources - Chetwood Financial Limited's own Consolidated Statement of Financial Position / Statement of Total Comprehensive Income / Statement of Changes in Equity, transcribed from each year's own Annual Report (not a later year's comparative column, except where noted). See entity note below re: FY2021 (standalone) and the FY2024 P&amp;L OCR-corruption note.
FY2025/FY2024: Chetwood Financial Limited Annual Report and Financial Statements, year ended 31 March 2025, p.44-47 (Consolidated Statement of Financial Position / Statement of Total Comprehensive Income / Statement of Changes in Equity) - https://chetwoodbank.co.uk/documents/chetwood-bank-annual-report.pdf
FY2023: Chetwood Financial Limited Annual Report and Financial Statements, year ended 31 March 2024, p.24-27 (prior-year comparative column) - http://web.archive.org/web/20240920030034/https://chetwood.co/static/97d26e488d5277699e5b9a9983db4d5b/AnnualReport.pdf. (As with the Cash Flow Statement, the FY2023 Annual Report's own PDF has a text-encoding fault; the FY2024 report's clean comparative column was used instead - both present the same audited FY2023 statutory figures.)
FY2022/FY2021: Chetwood Financial Limited Annual Report and Financial Statements, year ended 31 March 2022, p.22-25 (Consolidated Statement of Financial Position / Statement of Total Comprehensive Income / Statement of Changes in Equity, Group and Company for FY2021) - http://web.archive.org/web/20230131231341/https://chetwood.co/static/7fbc3d1ed9c0913dca3435f640a5a570/AnnualReport.pdf
FY2020: Chetwood Financial Limited Annual Report and Financial Statements, year ended 31 March 2020, p.19-21 (Statement of Total Comprehensive Income / Statement of Financial Position / Statement of Changes in Equity, standalone entity, FRS 102 basis) - https://find-and-update.company-information.service.gov.uk/company/09964966/filing-history/MzI3NDIxOTQ2OWFkaXF6a2N4/document?format=pdf&amp;download=0 (Companies House filing history, company no. 09964966)
FY2019: Chetwood Financial Limited Annual Report and Financial Statements, year ended 31 March 2019, p.14-16 (Statement of Total Comprehensive Income / Statement of Financial Position / Statement of Changes in Equity, standalone entity, FRS 102 basis) - https://find-and-update.company-information.service.gov.uk/company/09964966/filing-history/MzI0MTExMzg0OGFkaXF6a2N4/document?format=pdf&amp;download=0 (Companies House filing history, company no. 09964966)
ENTITY NOTE: Chetwood Financial Limited (trading as Chetwood Bank) is the entity on the PRA register - no holding-company substitution was needed here (unlike Monzo). All years are Chetwood Financial Limited, consolidated/Group basis, EXCEPT FY2021-FY2019 (marked †), which are Chetwood's own standalone entity accounts - the Group didn't exist yet (Chetwood acquired Yobota Limited on 1 March 2022, and CHL Mortgages for Intermediaries Limited later still), so there is no consolidated cash flow statement before FY2022. Companies House confirms FY2019-FY2021 accounts were filed as 'Full accounts' (solo), while FY2022-FY2025 were filed as 'Group of companies' accounts' (consolidated). Per user direction, FY2019-FY2021 are included on a standalone basis and clearly flagged, rather than omitted.
FY2024 (marked *) is consolidated, but no Pillar 3 disclosure for 'as at 31 March 2024' was ever published or archived - see the note on each Pillar 3 sheet.
HISTORICAL-DEPTH FLOOR NOTE (added 2026-09-06, HD-023): the workbook's true floor is FY2019, not FY2016 as originally listed on that ticket, and not FY2021 as a since-corrected version of the same ticket guessed. Verified against Chetwood's own Companies House filing history (company no. 09964966, incorporated 22 Jan 2016) and its own statutory accounts, not a domain/snapshot scan:
- Period to 31 Dec 2016: dormant shell only ('Total exemption full accounts', total assets £954k, no lending or deposits) - pre-banking, excluded.
- FY2018 (15-month period, 1 Jan 2017 - 31 Mar 2018): the Company was granted a banking licence WITH RESTRICTIONS only on 22 Dec 2017; consumer lending commenced Feb 2018 (2 months of the 15-month period); there were zero customer deposits all period (total assets £7.1m, no deposit-taking yet) - this is a pre-launch/development-stage period, not a genuine operating bank year, so excluded as a self-skipped year despite audited accounts existing for it.
- FY2019 (year ended 31 Mar 2019): the PRA's restrictions on the banking licence were lifted 13 Dec 2018; this is the first year with real customer deposits (£26.1m) and a meaningful loan book (£46.3m) - i.e. the first genuine full year of Chetwood operating as an unrestricted retail bank. Treated as the floor.
- FY2019 and FY2020 statutory accounts (like FY2018's) were prepared under UK GAAP FRS 102, NOT IFRS - Chetwood only adopted IFRS (and IFRS 9 stage-based credit-quality disclosure, and Pillar 3 reporting) from FY2021 onward, per its own accounting-policy notes ('in compliance with...FRS 102') each year 2018-2020. This is analogous to the ticket's flagged Basel II/CET1 terminology shift, but for the whole accounting framework: FY2019-FY2020 (marked ‡) have no IFRS 9 loan-stage table and no Pillar 3 disclosure at all (the FY2018/FY2019 strategic reports say a Pillar 3 document 'will be published...in due course' - it wasn't yet). All 11 Pillar 3 metric sheets and the RWA Breakdown sheet are genuinely 'Not publicly disclosed' for FY2019 and FY2020 - a real self-skip, not a gap in transcription.
- A further consequence of the FRS 102-to-IFRS transition: the FY2021 Annual Report's own FY2020 comparative equity balance (used as the prior-year opening figure in that report) does not exactly match FY2020's own originally-filed Statement of Changes in Equity (originally-filed closing Profit and Loss account -£36,357k, Total Equity £51,182k, vs the FY2021 AR's stated FY2020-closing comparative of -£44,513k / £43,067k, a ~£8.1m gap most likely reflecting transition adjustments on first-time IFRS application). The Statement of Changes in Equity sheet below uses Chetwood's own FY2019/FY2020 AS-FILED figures for the FY2019-FY2020 rows (matching those years' own Balance Sheet), and switches to the FY2021 AR's own stated FY2020-comparative opening balance only at the point the FY2021 movements begin - the ~£8.1m gap is disclosed here rather than silently bridged.
DATA QUALITY NOTE: the FY2024 Annual Report's own P&amp;L page (used for FY2023's comparative column) has the same text-encoding fault as its Cash Flow Statement page, corrupting individual digits in places (e.g. that page's own FY2024 'Impairment of loans and advances to customers' prints as -855, matching the clean FY2025 report's comparative figure exactly). The equity statement page in the same FY2024 report similarly corrupts one FY2024 'Total comprehensive income' cell (prints -8,605 instead of -8,685) - the FY2025 report's own FY2023-25 equity table and the P&amp;L's own OCI total agree exactly on -8,685, so -8,685 is used here.
PRESENTATION NOTE: 'Cash and cash equivalents' (FY2023-25) and 'Loans and advances to banks' (FY2021-22) are the same balance-sheet line under two labels - shown on one row. 'Capital redemption reserve' (FY2023-25) and 'Capital contribution' (FY2022, first appearing that year as a debt waiver from the ultimate controlling party) are the same £6,247k reserve under two labels - shown on one row. P&amp;L structure changed across the five years as the business grew: FY2025 nets fee income/expense into a single 'Net fee and commission (expense)/income' line with no separate 'Other income' row; FY2022-23 include a 'Net gain arising from derecognition of financial assets at amortised cost' line with no FY2024-25 equivalent; only FY2024-25 disclose 'Deferred tax liabilities' or a 'Goodwill' balance sheet line, both absent 2021-23; only FY2025 discloses 'Debt securities in issue' as a live balance (£89k), though the line existed as a zero balance from FY2024. Blank cells indicate that year's report did not disclose that specific line.</t>
        </is>
      </c>
    </row>
  </sheetData>
  <mergeCells count="1">
    <mergeCell ref="A47:I4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Chetwood Financial Limited — Cash Flow Statement</t>
        </is>
      </c>
    </row>
    <row r="2">
      <c r="A2" s="2" t="inlineStr">
        <is>
          <t>£'000 unless stated. Consolidated (Group) basis except FY2019-FY2021 († standalone entity).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FY2024*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FY2021† (£'000)</t>
        </is>
      </c>
      <c r="G3" s="4" t="inlineStr">
        <is>
          <t>FY2020†‡ (£'000)</t>
        </is>
      </c>
      <c r="H3" s="4" t="inlineStr">
        <is>
          <t>FY2019†‡ (£'000)</t>
        </is>
      </c>
    </row>
    <row r="4">
      <c r="A4" s="5" t="inlineStr">
        <is>
          <t>Cash flows from operating activities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6" t="inlineStr">
        <is>
          <t>Loss after tax</t>
        </is>
      </c>
      <c r="B5" s="6" t="n"/>
      <c r="C5" s="6" t="n">
        <v>-8861</v>
      </c>
      <c r="D5" s="6" t="n">
        <v>-58148</v>
      </c>
      <c r="E5" s="6" t="n">
        <v>-29753</v>
      </c>
      <c r="F5" s="6" t="n">
        <v>-21310</v>
      </c>
      <c r="G5" s="6" t="n"/>
      <c r="H5" s="6" t="n"/>
    </row>
    <row r="6">
      <c r="A6" s="6" t="inlineStr">
        <is>
          <t>Loss for the period (FY2019-FY2020, FRS 102 basis)</t>
        </is>
      </c>
      <c r="B6" s="6" t="n"/>
      <c r="C6" s="6" t="n"/>
      <c r="D6" s="6" t="n"/>
      <c r="E6" s="6" t="n"/>
      <c r="F6" s="6" t="n"/>
      <c r="G6" s="6" t="n">
        <v>-18314</v>
      </c>
      <c r="H6" s="6" t="n">
        <v>-11536</v>
      </c>
    </row>
    <row r="7">
      <c r="A7" s="6" t="inlineStr">
        <is>
          <t>(Loss)/profit before tax</t>
        </is>
      </c>
      <c r="B7" s="6" t="n">
        <v>-4702</v>
      </c>
      <c r="C7" s="6" t="n"/>
      <c r="D7" s="6" t="n"/>
      <c r="E7" s="6" t="n"/>
      <c r="F7" s="6" t="n"/>
      <c r="G7" s="6" t="n"/>
      <c r="H7" s="6" t="n"/>
    </row>
    <row r="8">
      <c r="A8" s="6" t="inlineStr">
        <is>
          <t>Depreciation of property, plant and equipment</t>
        </is>
      </c>
      <c r="B8" s="6" t="n">
        <v>615</v>
      </c>
      <c r="C8" s="6" t="n">
        <v>560</v>
      </c>
      <c r="D8" s="6" t="n">
        <v>496</v>
      </c>
      <c r="E8" s="6" t="n">
        <v>322</v>
      </c>
      <c r="F8" s="6" t="n">
        <v>347</v>
      </c>
      <c r="G8" s="6" t="n"/>
      <c r="H8" s="6" t="n"/>
    </row>
    <row r="9">
      <c r="A9" s="6" t="inlineStr">
        <is>
          <t>Depreciation and amortisation (combined line, FY2019-FY2020 only)</t>
        </is>
      </c>
      <c r="B9" s="6" t="n"/>
      <c r="C9" s="6" t="n"/>
      <c r="D9" s="6" t="n"/>
      <c r="E9" s="6" t="n"/>
      <c r="F9" s="6" t="n"/>
      <c r="G9" s="6" t="n">
        <v>230</v>
      </c>
      <c r="H9" s="6" t="n">
        <v>151</v>
      </c>
    </row>
    <row r="10">
      <c r="A10" s="6" t="inlineStr">
        <is>
          <t>Remeasurement of right-of-use asset</t>
        </is>
      </c>
      <c r="B10" s="6" t="n"/>
      <c r="C10" s="6" t="n"/>
      <c r="D10" s="6" t="n">
        <v>-217</v>
      </c>
      <c r="E10" s="6" t="n">
        <v>304</v>
      </c>
      <c r="F10" s="6" t="n"/>
      <c r="G10" s="6" t="n"/>
      <c r="H10" s="6" t="n"/>
    </row>
    <row r="11">
      <c r="A11" s="6" t="inlineStr">
        <is>
          <t>Amortisation of intangibles</t>
        </is>
      </c>
      <c r="B11" s="6" t="n">
        <v>536</v>
      </c>
      <c r="C11" s="6" t="n">
        <v>1261</v>
      </c>
      <c r="D11" s="6" t="n">
        <v>2235</v>
      </c>
      <c r="E11" s="6" t="n">
        <v>694</v>
      </c>
      <c r="F11" s="6" t="n">
        <v>106</v>
      </c>
      <c r="G11" s="6" t="n"/>
      <c r="H11" s="6" t="n"/>
    </row>
    <row r="12">
      <c r="A12" s="6" t="inlineStr">
        <is>
          <t>Impairment of intangibles</t>
        </is>
      </c>
      <c r="B12" s="6" t="n"/>
      <c r="C12" s="6" t="n">
        <v>985</v>
      </c>
      <c r="D12" s="6" t="n">
        <v>3069</v>
      </c>
      <c r="E12" s="6" t="n"/>
      <c r="F12" s="6" t="n"/>
      <c r="G12" s="6" t="n"/>
      <c r="H12" s="6" t="n"/>
    </row>
    <row r="13">
      <c r="A13" s="6" t="inlineStr">
        <is>
          <t>Interest income on debt securities</t>
        </is>
      </c>
      <c r="B13" s="6" t="n">
        <v>-50560</v>
      </c>
      <c r="C13" s="6" t="n">
        <v>-18163</v>
      </c>
      <c r="D13" s="6" t="n">
        <v>-1885</v>
      </c>
      <c r="E13" s="6" t="n"/>
      <c r="F13" s="6" t="n"/>
      <c r="G13" s="6" t="n"/>
      <c r="H13" s="6" t="n"/>
    </row>
    <row r="14">
      <c r="A14" s="6" t="inlineStr">
        <is>
          <t>Interest expense/(income) on financing activities</t>
        </is>
      </c>
      <c r="B14" s="6" t="n">
        <v>6800</v>
      </c>
      <c r="C14" s="6" t="n">
        <v>180</v>
      </c>
      <c r="D14" s="6" t="n">
        <v>36</v>
      </c>
      <c r="E14" s="6" t="n">
        <v>35</v>
      </c>
      <c r="F14" s="6" t="n">
        <v>40</v>
      </c>
      <c r="G14" s="6" t="n"/>
      <c r="H14" s="6" t="n"/>
    </row>
    <row r="15">
      <c r="A15" s="6" t="inlineStr">
        <is>
          <t>Equity-settled share-based payment transactions</t>
        </is>
      </c>
      <c r="B15" s="6" t="n">
        <v>144</v>
      </c>
      <c r="C15" s="6" t="n">
        <v>284</v>
      </c>
      <c r="D15" s="6" t="n">
        <v>85</v>
      </c>
      <c r="E15" s="6" t="n">
        <v>209</v>
      </c>
      <c r="F15" s="6" t="n">
        <v>102</v>
      </c>
      <c r="G15" s="6" t="n">
        <v>12</v>
      </c>
      <c r="H15" s="6" t="n"/>
    </row>
    <row r="16">
      <c r="A16" s="6" t="inlineStr">
        <is>
          <t>Movement in fair value of financial instruments at FVTPL</t>
        </is>
      </c>
      <c r="B16" s="6" t="n">
        <v>-22983</v>
      </c>
      <c r="C16" s="6" t="n">
        <v>9208</v>
      </c>
      <c r="D16" s="6" t="n">
        <v>1399</v>
      </c>
      <c r="E16" s="6" t="n"/>
      <c r="F16" s="6" t="n"/>
      <c r="G16" s="6" t="n"/>
      <c r="H16" s="6" t="n"/>
    </row>
    <row r="17">
      <c r="A17" s="6" t="inlineStr">
        <is>
          <t>Movement in fair value of derivative financial assets</t>
        </is>
      </c>
      <c r="B17" s="6" t="n"/>
      <c r="C17" s="6" t="n"/>
      <c r="D17" s="6" t="n"/>
      <c r="E17" s="6" t="n">
        <v>-119</v>
      </c>
      <c r="F17" s="6" t="n">
        <v>-15</v>
      </c>
      <c r="G17" s="6" t="n">
        <v>5</v>
      </c>
      <c r="H17" s="6" t="n"/>
    </row>
    <row r="18">
      <c r="A18" s="6" t="inlineStr">
        <is>
          <t>Movement in fair value of derivative financial liabilities</t>
        </is>
      </c>
      <c r="B18" s="6" t="n"/>
      <c r="C18" s="6" t="n"/>
      <c r="D18" s="6" t="n"/>
      <c r="E18" s="6" t="n">
        <v>452</v>
      </c>
      <c r="F18" s="6" t="n">
        <v>-4</v>
      </c>
      <c r="G18" s="6" t="n"/>
      <c r="H18" s="6" t="n"/>
    </row>
    <row r="19">
      <c r="A19" s="6" t="inlineStr">
        <is>
          <t>Fair value adjustment on hedged items</t>
        </is>
      </c>
      <c r="B19" s="6" t="n">
        <v>9005</v>
      </c>
      <c r="C19" s="6" t="n">
        <v>-11782</v>
      </c>
      <c r="D19" s="6" t="n">
        <v>-2217</v>
      </c>
      <c r="E19" s="6" t="n"/>
      <c r="F19" s="6" t="n"/>
      <c r="G19" s="6" t="n"/>
      <c r="H19" s="6" t="n"/>
    </row>
    <row r="20">
      <c r="A20" s="6" t="inlineStr">
        <is>
          <t>Loss on disposal of property, plant and equipment</t>
        </is>
      </c>
      <c r="B20" s="6" t="n">
        <v>1</v>
      </c>
      <c r="C20" s="6" t="n"/>
      <c r="D20" s="6" t="n">
        <v>8</v>
      </c>
      <c r="E20" s="6" t="n">
        <v>1</v>
      </c>
      <c r="F20" s="6" t="n">
        <v>12</v>
      </c>
      <c r="G20" s="6" t="n"/>
      <c r="H20" s="6" t="n"/>
    </row>
    <row r="21">
      <c r="A21" s="6" t="inlineStr">
        <is>
          <t>Profit on sale of investments in debt securities</t>
        </is>
      </c>
      <c r="B21" s="6" t="n">
        <v>-1</v>
      </c>
      <c r="C21" s="6" t="n">
        <v>-42</v>
      </c>
      <c r="D21" s="6" t="n"/>
      <c r="E21" s="6" t="n"/>
      <c r="F21" s="6" t="n"/>
      <c r="G21" s="6" t="n"/>
      <c r="H21" s="6" t="n"/>
    </row>
    <row r="22">
      <c r="A22" s="6" t="inlineStr">
        <is>
          <t>Discount unwind on debt securities</t>
        </is>
      </c>
      <c r="B22" s="6" t="n">
        <v>536</v>
      </c>
      <c r="C22" s="6" t="n"/>
      <c r="D22" s="6" t="n"/>
      <c r="E22" s="6" t="n"/>
      <c r="F22" s="6" t="n"/>
      <c r="G22" s="6" t="n"/>
      <c r="H22" s="6" t="n"/>
    </row>
    <row r="23">
      <c r="A23" s="6" t="inlineStr">
        <is>
          <t>Loss on disposal of intangible assets</t>
        </is>
      </c>
      <c r="B23" s="6" t="n"/>
      <c r="C23" s="6" t="n"/>
      <c r="D23" s="6" t="n"/>
      <c r="E23" s="6" t="n">
        <v>18</v>
      </c>
      <c r="F23" s="6" t="n">
        <v>402</v>
      </c>
      <c r="G23" s="6" t="n"/>
      <c r="H23" s="6" t="n"/>
    </row>
    <row r="24">
      <c r="A24" s="6" t="inlineStr">
        <is>
          <t>Movement in provision</t>
        </is>
      </c>
      <c r="B24" s="6" t="n">
        <v>-657</v>
      </c>
      <c r="C24" s="6" t="n">
        <v>894</v>
      </c>
      <c r="D24" s="6" t="n">
        <v>1424</v>
      </c>
      <c r="E24" s="6" t="n">
        <v>591</v>
      </c>
      <c r="F24" s="6" t="n"/>
      <c r="G24" s="6" t="n">
        <v>11316</v>
      </c>
      <c r="H24" s="6" t="n">
        <v>1920</v>
      </c>
    </row>
    <row r="25">
      <c r="A25" s="6" t="inlineStr">
        <is>
          <t>Impairment of investment in subsidiary / impairment of Yobota</t>
        </is>
      </c>
      <c r="B25" s="6" t="n"/>
      <c r="C25" s="6" t="n">
        <v>0</v>
      </c>
      <c r="D25" s="6" t="n">
        <v>0</v>
      </c>
      <c r="E25" s="6" t="n"/>
      <c r="F25" s="6" t="n"/>
      <c r="G25" s="6" t="n"/>
      <c r="H25" s="6" t="n"/>
    </row>
    <row r="26">
      <c r="A26" s="6" t="inlineStr">
        <is>
          <t>Net gain arising from derecognition of financial assets measured at amortised cost</t>
        </is>
      </c>
      <c r="B26" s="6" t="n"/>
      <c r="C26" s="6" t="n"/>
      <c r="D26" s="6" t="n"/>
      <c r="E26" s="6" t="n">
        <v>-4369</v>
      </c>
      <c r="F26" s="6" t="n"/>
      <c r="G26" s="6" t="n"/>
      <c r="H26" s="6" t="n"/>
    </row>
    <row r="27">
      <c r="A27" s="6" t="inlineStr">
        <is>
          <t>Net increase in loans and advances to customers</t>
        </is>
      </c>
      <c r="B27" s="6" t="n">
        <v>-857836</v>
      </c>
      <c r="C27" s="6" t="n">
        <v>-1184232</v>
      </c>
      <c r="D27" s="6" t="n">
        <v>-346633</v>
      </c>
      <c r="E27" s="6" t="n">
        <v>-146297</v>
      </c>
      <c r="F27" s="6" t="n">
        <v>-19344</v>
      </c>
      <c r="G27" s="6" t="n">
        <v>-110070</v>
      </c>
      <c r="H27" s="6" t="n">
        <v>-44506</v>
      </c>
    </row>
    <row r="28">
      <c r="A28" s="6" t="inlineStr">
        <is>
          <t>Net interest paid on derivative financial assets</t>
        </is>
      </c>
      <c r="B28" s="6" t="n">
        <v>25551</v>
      </c>
      <c r="C28" s="6" t="n">
        <v>1448</v>
      </c>
      <c r="D28" s="6" t="n">
        <v>37</v>
      </c>
      <c r="E28" s="6" t="n"/>
      <c r="F28" s="6" t="n"/>
      <c r="G28" s="6" t="n"/>
      <c r="H28" s="6" t="n"/>
    </row>
    <row r="29">
      <c r="A29" s="6" t="inlineStr">
        <is>
          <t>Net cash flow on derivative financial instruments</t>
        </is>
      </c>
      <c r="B29" s="6" t="n"/>
      <c r="C29" s="6" t="n">
        <v>-52498</v>
      </c>
      <c r="D29" s="6" t="n">
        <v>325</v>
      </c>
      <c r="E29" s="6" t="n"/>
      <c r="F29" s="6" t="n"/>
      <c r="G29" s="6" t="n"/>
      <c r="H29" s="6" t="n"/>
    </row>
    <row r="30">
      <c r="A30" s="6" t="inlineStr">
        <is>
          <t>Increase/(decrease) in prepayments and accrued income</t>
        </is>
      </c>
      <c r="B30" s="6" t="n">
        <v>324</v>
      </c>
      <c r="C30" s="6" t="n">
        <v>-3353</v>
      </c>
      <c r="D30" s="6" t="n">
        <v>-69</v>
      </c>
      <c r="E30" s="6" t="n">
        <v>-175</v>
      </c>
      <c r="F30" s="6" t="n">
        <v>223</v>
      </c>
      <c r="G30" s="6" t="n">
        <v>-404</v>
      </c>
      <c r="H30" s="6" t="n">
        <v>-159</v>
      </c>
    </row>
    <row r="31">
      <c r="A31" s="6" t="inlineStr">
        <is>
          <t>Increase in other assets</t>
        </is>
      </c>
      <c r="B31" s="6" t="n">
        <v>-20076</v>
      </c>
      <c r="C31" s="6" t="n">
        <v>-25013</v>
      </c>
      <c r="D31" s="6" t="n">
        <v>-10277</v>
      </c>
      <c r="E31" s="6" t="n">
        <v>-4696</v>
      </c>
      <c r="F31" s="6" t="n">
        <v>-2881</v>
      </c>
      <c r="G31" s="6" t="n">
        <v>-157</v>
      </c>
      <c r="H31" s="6" t="n">
        <v>-421</v>
      </c>
    </row>
    <row r="32">
      <c r="A32" s="6" t="inlineStr">
        <is>
          <t>(Increase)/decrease in tax asset</t>
        </is>
      </c>
      <c r="B32" s="6" t="n"/>
      <c r="C32" s="6" t="n"/>
      <c r="D32" s="6" t="n">
        <v>64</v>
      </c>
      <c r="E32" s="6" t="n">
        <v>-19</v>
      </c>
      <c r="F32" s="6" t="n">
        <v>-45</v>
      </c>
      <c r="G32" s="6" t="n"/>
      <c r="H32" s="6" t="n"/>
    </row>
    <row r="33">
      <c r="A33" s="6" t="inlineStr">
        <is>
          <t>Increase/(decrease) in customer deposits</t>
        </is>
      </c>
      <c r="B33" s="6" t="n">
        <v>955692</v>
      </c>
      <c r="C33" s="6" t="n">
        <v>1473432</v>
      </c>
      <c r="D33" s="6" t="n">
        <v>1060680</v>
      </c>
      <c r="E33" s="6" t="n">
        <v>162610</v>
      </c>
      <c r="F33" s="6" t="n">
        <v>-52195</v>
      </c>
      <c r="G33" s="6" t="n">
        <v>184676</v>
      </c>
      <c r="H33" s="6" t="n">
        <v>26107</v>
      </c>
    </row>
    <row r="34">
      <c r="A34" s="6" t="inlineStr">
        <is>
          <t>Increase/(decrease) in accruals and deferred income</t>
        </is>
      </c>
      <c r="B34" s="6" t="n">
        <v>507</v>
      </c>
      <c r="C34" s="6" t="n">
        <v>2487</v>
      </c>
      <c r="D34" s="6" t="n">
        <v>489</v>
      </c>
      <c r="E34" s="6" t="n">
        <v>1612</v>
      </c>
      <c r="F34" s="6" t="n">
        <v>2838</v>
      </c>
      <c r="G34" s="6" t="n">
        <v>1119</v>
      </c>
      <c r="H34" s="6" t="n">
        <v>829</v>
      </c>
    </row>
    <row r="35">
      <c r="A35" s="6" t="inlineStr">
        <is>
          <t>Increase/(decrease) in other liabilities</t>
        </is>
      </c>
      <c r="B35" s="6" t="n">
        <v>142</v>
      </c>
      <c r="C35" s="6" t="n">
        <v>2725</v>
      </c>
      <c r="D35" s="6" t="n">
        <v>2518</v>
      </c>
      <c r="E35" s="6" t="n">
        <v>1447</v>
      </c>
      <c r="F35" s="6" t="n">
        <v>-396</v>
      </c>
      <c r="G35" s="6" t="n">
        <v>784</v>
      </c>
      <c r="H35" s="6" t="n">
        <v>-6</v>
      </c>
    </row>
    <row r="36">
      <c r="A36" s="6" t="inlineStr">
        <is>
          <t>Purchase of mortgage portfolio</t>
        </is>
      </c>
      <c r="B36" s="6" t="n"/>
      <c r="C36" s="6" t="n"/>
      <c r="D36" s="6" t="n"/>
      <c r="E36" s="6" t="n">
        <v>157842</v>
      </c>
      <c r="F36" s="6" t="n"/>
      <c r="G36" s="6" t="n"/>
      <c r="H36" s="6" t="n"/>
    </row>
    <row r="37">
      <c r="A37" s="6" t="inlineStr">
        <is>
          <t>Derecognition of assets at amortised cost on sale</t>
        </is>
      </c>
      <c r="B37" s="6" t="n"/>
      <c r="C37" s="6" t="n"/>
      <c r="D37" s="6" t="n"/>
      <c r="E37" s="6" t="n">
        <v>-123733</v>
      </c>
      <c r="F37" s="6" t="n"/>
      <c r="G37" s="6" t="n"/>
      <c r="H37" s="6" t="n"/>
    </row>
    <row r="38">
      <c r="A38" s="5" t="inlineStr">
        <is>
          <t>Net cash from operating activities</t>
        </is>
      </c>
      <c r="B38" s="5" t="n">
        <v>43038</v>
      </c>
      <c r="C38" s="5" t="n">
        <v>189520</v>
      </c>
      <c r="D38" s="5" t="n">
        <v>653419</v>
      </c>
      <c r="E38" s="5" t="n">
        <v>16976</v>
      </c>
      <c r="F38" s="5" t="n">
        <v>-92120</v>
      </c>
      <c r="G38" s="5" t="n">
        <v>69197</v>
      </c>
      <c r="H38" s="5" t="n">
        <v>-27621</v>
      </c>
    </row>
    <row r="39">
      <c r="A39" s="5" t="inlineStr">
        <is>
          <t>Cash flows from investing activities</t>
        </is>
      </c>
      <c r="B39" s="6" t="n"/>
      <c r="C39" s="6" t="n"/>
      <c r="D39" s="6" t="n"/>
      <c r="E39" s="6" t="n"/>
      <c r="F39" s="6" t="n"/>
      <c r="G39" s="6" t="n"/>
      <c r="H39" s="6" t="n"/>
    </row>
    <row r="40">
      <c r="A40" s="6" t="inlineStr">
        <is>
          <t>Proceeds from sale and maturity of debt securities</t>
        </is>
      </c>
      <c r="B40" s="6" t="n">
        <v>1401</v>
      </c>
      <c r="C40" s="6" t="n">
        <v>36835</v>
      </c>
      <c r="D40" s="6" t="n">
        <v>11031</v>
      </c>
      <c r="E40" s="6" t="n"/>
      <c r="F40" s="6" t="n"/>
      <c r="G40" s="6" t="n"/>
      <c r="H40" s="6" t="n"/>
    </row>
    <row r="41">
      <c r="A41" s="6" t="inlineStr">
        <is>
          <t>Acquisition of debt securities</t>
        </is>
      </c>
      <c r="B41" s="6" t="n">
        <v>-910238</v>
      </c>
      <c r="C41" s="6" t="n">
        <v>-505077</v>
      </c>
      <c r="D41" s="6" t="n">
        <v>-135674</v>
      </c>
      <c r="E41" s="6" t="n">
        <v>-5003</v>
      </c>
      <c r="F41" s="6" t="n"/>
      <c r="G41" s="6" t="n"/>
      <c r="H41" s="6" t="n"/>
    </row>
    <row r="42">
      <c r="A42" s="6" t="inlineStr">
        <is>
          <t>Principal repayments on investments in debt securities</t>
        </is>
      </c>
      <c r="B42" s="6" t="n">
        <v>134509</v>
      </c>
      <c r="C42" s="6" t="n">
        <v>61327</v>
      </c>
      <c r="D42" s="6" t="n"/>
      <c r="E42" s="6" t="n"/>
      <c r="F42" s="6" t="n"/>
      <c r="G42" s="6" t="n"/>
      <c r="H42" s="6" t="n"/>
    </row>
    <row r="43">
      <c r="A43" s="6" t="inlineStr">
        <is>
          <t>Interest received from investing activities</t>
        </is>
      </c>
      <c r="B43" s="6" t="n">
        <v>40802</v>
      </c>
      <c r="C43" s="6" t="n">
        <v>17601</v>
      </c>
      <c r="D43" s="6" t="n">
        <v>1760</v>
      </c>
      <c r="E43" s="6" t="n"/>
      <c r="F43" s="6" t="n"/>
      <c r="G43" s="6" t="n"/>
      <c r="H43" s="6" t="n"/>
    </row>
    <row r="44">
      <c r="A44" s="6" t="inlineStr">
        <is>
          <t>Net maturity/(purchase) of debt securities</t>
        </is>
      </c>
      <c r="B44" s="6" t="n"/>
      <c r="C44" s="6" t="n"/>
      <c r="D44" s="6" t="n"/>
      <c r="E44" s="6" t="n"/>
      <c r="F44" s="6" t="n">
        <v>30170</v>
      </c>
      <c r="G44" s="6" t="n"/>
      <c r="H44" s="6" t="n"/>
    </row>
    <row r="45">
      <c r="A45" s="6" t="inlineStr">
        <is>
          <t>Purchase of loans and advances to customers</t>
        </is>
      </c>
      <c r="B45" s="6" t="n"/>
      <c r="C45" s="6" t="n"/>
      <c r="D45" s="6" t="n"/>
      <c r="E45" s="6" t="n">
        <v>-157842</v>
      </c>
      <c r="F45" s="6" t="n"/>
      <c r="G45" s="6" t="n"/>
      <c r="H45" s="6" t="n"/>
    </row>
    <row r="46">
      <c r="A46" s="6" t="inlineStr">
        <is>
          <t>Purchases of property, plant and equipment</t>
        </is>
      </c>
      <c r="B46" s="6" t="n">
        <v>-617</v>
      </c>
      <c r="C46" s="6" t="n">
        <v>-461</v>
      </c>
      <c r="D46" s="6" t="n">
        <v>-843</v>
      </c>
      <c r="E46" s="6" t="n">
        <v>-119</v>
      </c>
      <c r="F46" s="6" t="n">
        <v>-116</v>
      </c>
      <c r="G46" s="6" t="n">
        <v>-85</v>
      </c>
      <c r="H46" s="6" t="n">
        <v>-462</v>
      </c>
    </row>
    <row r="47">
      <c r="A47" s="6" t="inlineStr">
        <is>
          <t>Proceeds from sale of property, plant and equipment</t>
        </is>
      </c>
      <c r="B47" s="6" t="n">
        <v>11</v>
      </c>
      <c r="C47" s="6" t="n"/>
      <c r="D47" s="6" t="n"/>
      <c r="E47" s="6" t="n"/>
      <c r="F47" s="6" t="n"/>
      <c r="G47" s="6" t="n"/>
      <c r="H47" s="6" t="n"/>
    </row>
    <row r="48">
      <c r="A48" s="6" t="inlineStr">
        <is>
          <t>Investment in Intangible assets</t>
        </is>
      </c>
      <c r="B48" s="6" t="n">
        <v>-9</v>
      </c>
      <c r="C48" s="6" t="n"/>
      <c r="D48" s="6" t="n">
        <v>-402</v>
      </c>
      <c r="E48" s="6" t="n">
        <v>-1852</v>
      </c>
      <c r="F48" s="6" t="n">
        <v>-3201</v>
      </c>
      <c r="G48" s="6" t="n">
        <v>-64</v>
      </c>
      <c r="H48" s="6" t="n">
        <v>-52</v>
      </c>
    </row>
    <row r="49">
      <c r="A49" s="6" t="inlineStr">
        <is>
          <t>Acquisition of subsidiary net of cash acquired</t>
        </is>
      </c>
      <c r="B49" s="6" t="n">
        <v>-7497</v>
      </c>
      <c r="C49" s="6" t="n"/>
      <c r="D49" s="6" t="n"/>
      <c r="E49" s="6" t="n">
        <v>-12903</v>
      </c>
      <c r="F49" s="6" t="n"/>
      <c r="G49" s="6" t="n"/>
      <c r="H49" s="6" t="n"/>
    </row>
    <row r="50">
      <c r="A50" s="5" t="inlineStr">
        <is>
          <t>Net cash from/(used in) investing activities</t>
        </is>
      </c>
      <c r="B50" s="5" t="n">
        <v>-741638</v>
      </c>
      <c r="C50" s="5" t="n">
        <v>-389775</v>
      </c>
      <c r="D50" s="5" t="n">
        <v>-124128</v>
      </c>
      <c r="E50" s="5" t="n">
        <v>-177719</v>
      </c>
      <c r="F50" s="5" t="n">
        <v>26853</v>
      </c>
      <c r="G50" s="5" t="n">
        <v>-149</v>
      </c>
      <c r="H50" s="5" t="n">
        <v>-514</v>
      </c>
    </row>
    <row r="51">
      <c r="A51" s="5" t="inlineStr">
        <is>
          <t>Cash flows from financing activities</t>
        </is>
      </c>
      <c r="B51" s="6" t="n"/>
      <c r="C51" s="6" t="n"/>
      <c r="D51" s="6" t="n"/>
      <c r="E51" s="6" t="n"/>
      <c r="F51" s="6" t="n"/>
      <c r="G51" s="6" t="n"/>
      <c r="H51" s="6" t="n"/>
    </row>
    <row r="52">
      <c r="A52" s="6" t="inlineStr">
        <is>
          <t>Principal drawdowns on amounts owed to credit institutions</t>
        </is>
      </c>
      <c r="B52" s="6" t="n">
        <v>476000</v>
      </c>
      <c r="C52" s="6" t="n">
        <v>9000</v>
      </c>
      <c r="D52" s="6" t="n"/>
      <c r="E52" s="6" t="n"/>
      <c r="F52" s="6" t="n"/>
      <c r="G52" s="6" t="n"/>
      <c r="H52" s="6" t="n"/>
    </row>
    <row r="53">
      <c r="A53" s="6" t="inlineStr">
        <is>
          <t>Interest paid on amounts owed to credit institutions</t>
        </is>
      </c>
      <c r="B53" s="6" t="n">
        <v>-2930</v>
      </c>
      <c r="C53" s="6" t="n"/>
      <c r="D53" s="6" t="n"/>
      <c r="E53" s="6" t="n"/>
      <c r="F53" s="6" t="n"/>
      <c r="G53" s="6" t="n"/>
      <c r="H53" s="6" t="n"/>
    </row>
    <row r="54">
      <c r="A54" s="6" t="inlineStr">
        <is>
          <t>Purchase of financial investments (FY2019-FY2020 only - classified under financing that year, see presentation note)</t>
        </is>
      </c>
      <c r="B54" s="6" t="n"/>
      <c r="C54" s="6" t="n"/>
      <c r="D54" s="6" t="n"/>
      <c r="E54" s="6" t="n"/>
      <c r="F54" s="6" t="n"/>
      <c r="G54" s="6" t="n">
        <v>-28176</v>
      </c>
      <c r="H54" s="6" t="n">
        <v>-1994</v>
      </c>
    </row>
    <row r="55">
      <c r="A55" s="6" t="inlineStr">
        <is>
          <t>Issuance of ordinary shares</t>
        </is>
      </c>
      <c r="B55" s="6" t="n">
        <v>27001</v>
      </c>
      <c r="C55" s="6" t="n">
        <v>89000</v>
      </c>
      <c r="D55" s="6" t="n">
        <v>84609</v>
      </c>
      <c r="E55" s="6" t="n">
        <v>55000</v>
      </c>
      <c r="F55" s="6" t="n">
        <v>29000</v>
      </c>
      <c r="G55" s="6" t="n">
        <v>20000</v>
      </c>
      <c r="H55" s="6" t="n">
        <v>55237</v>
      </c>
    </row>
    <row r="56">
      <c r="A56" s="6" t="inlineStr">
        <is>
          <t>Issuance of debt securities</t>
        </is>
      </c>
      <c r="B56" s="6" t="n"/>
      <c r="C56" s="6" t="n">
        <v>100</v>
      </c>
      <c r="D56" s="6" t="n"/>
      <c r="E56" s="6" t="n"/>
      <c r="F56" s="6" t="n"/>
      <c r="G56" s="6" t="n"/>
      <c r="H56" s="6" t="n"/>
    </row>
    <row r="57">
      <c r="A57" s="6" t="inlineStr">
        <is>
          <t>Repayment of debt securities</t>
        </is>
      </c>
      <c r="B57" s="6" t="n">
        <v>-10</v>
      </c>
      <c r="C57" s="6" t="n"/>
      <c r="D57" s="6" t="n"/>
      <c r="E57" s="6" t="n"/>
      <c r="F57" s="6" t="n"/>
      <c r="G57" s="6" t="n"/>
      <c r="H57" s="6" t="n"/>
    </row>
    <row r="58">
      <c r="A58" s="6" t="inlineStr">
        <is>
          <t>Interest (paid)/received on debt securities</t>
        </is>
      </c>
      <c r="B58" s="6" t="n">
        <v>-6</v>
      </c>
      <c r="C58" s="6" t="n"/>
      <c r="D58" s="6" t="n"/>
      <c r="E58" s="6" t="n"/>
      <c r="F58" s="6" t="n"/>
      <c r="G58" s="6" t="n"/>
      <c r="H58" s="6" t="n"/>
    </row>
    <row r="59">
      <c r="A59" s="6" t="inlineStr">
        <is>
          <t>Interest expense on debt securities</t>
        </is>
      </c>
      <c r="B59" s="6" t="n"/>
      <c r="C59" s="6" t="n">
        <v>0</v>
      </c>
      <c r="D59" s="6" t="n"/>
      <c r="E59" s="6" t="n"/>
      <c r="F59" s="6" t="n"/>
      <c r="G59" s="6" t="n"/>
      <c r="H59" s="6" t="n"/>
    </row>
    <row r="60">
      <c r="A60" s="6" t="inlineStr">
        <is>
          <t>Proceeds from the sale of loans and advances at amortised cost</t>
        </is>
      </c>
      <c r="B60" s="6" t="n"/>
      <c r="C60" s="6" t="n"/>
      <c r="D60" s="6" t="n"/>
      <c r="E60" s="6" t="n">
        <v>128103</v>
      </c>
      <c r="F60" s="6" t="n"/>
      <c r="G60" s="6" t="n"/>
      <c r="H60" s="6" t="n"/>
    </row>
    <row r="61">
      <c r="A61" s="6" t="inlineStr">
        <is>
          <t>Interest paid on lease liabilities</t>
        </is>
      </c>
      <c r="B61" s="6" t="n">
        <v>-39</v>
      </c>
      <c r="C61" s="6" t="n">
        <v>-73</v>
      </c>
      <c r="D61" s="6" t="n">
        <v>-36</v>
      </c>
      <c r="E61" s="6" t="n">
        <v>-35</v>
      </c>
      <c r="F61" s="6" t="n">
        <v>-40</v>
      </c>
      <c r="G61" s="6" t="n"/>
      <c r="H61" s="6" t="n"/>
    </row>
    <row r="62">
      <c r="A62" s="5" t="inlineStr">
        <is>
          <t>Net cash from/(used in) financing activities</t>
        </is>
      </c>
      <c r="B62" s="5" t="n">
        <v>500016</v>
      </c>
      <c r="C62" s="5" t="n">
        <v>98027</v>
      </c>
      <c r="D62" s="5" t="n">
        <v>84573</v>
      </c>
      <c r="E62" s="5" t="n">
        <v>183068</v>
      </c>
      <c r="F62" s="5" t="n">
        <v>28960</v>
      </c>
      <c r="G62" s="5" t="n">
        <v>-8176</v>
      </c>
      <c r="H62" s="5" t="n">
        <v>53243</v>
      </c>
    </row>
    <row r="63">
      <c r="A63" s="5" t="inlineStr">
        <is>
          <t>Net cash flows for the period</t>
        </is>
      </c>
      <c r="B63" s="5" t="n">
        <v>-198584</v>
      </c>
      <c r="C63" s="5" t="n">
        <v>-102228</v>
      </c>
      <c r="D63" s="5" t="n">
        <v>613864</v>
      </c>
      <c r="E63" s="5" t="n">
        <v>22325</v>
      </c>
      <c r="F63" s="5" t="n">
        <v>-36307</v>
      </c>
      <c r="G63" s="5" t="n">
        <v>60872</v>
      </c>
      <c r="H63" s="5" t="n">
        <v>25108</v>
      </c>
    </row>
    <row r="64">
      <c r="A64" s="6" t="inlineStr">
        <is>
          <t>Opening cash and cash equivalents</t>
        </is>
      </c>
      <c r="B64" s="6" t="n">
        <v>586134</v>
      </c>
      <c r="C64" s="6" t="n">
        <v>688362</v>
      </c>
      <c r="D64" s="6" t="n">
        <v>74498</v>
      </c>
      <c r="E64" s="6" t="n">
        <v>52173</v>
      </c>
      <c r="F64" s="6" t="n">
        <v>88480</v>
      </c>
      <c r="G64" s="6" t="n">
        <v>27608</v>
      </c>
      <c r="H64" s="6" t="n">
        <v>2499</v>
      </c>
    </row>
    <row r="65">
      <c r="A65" s="5" t="inlineStr">
        <is>
          <t>Closing cash and cash equivalents</t>
        </is>
      </c>
      <c r="B65" s="5" t="n">
        <v>387550</v>
      </c>
      <c r="C65" s="5" t="n">
        <v>586134</v>
      </c>
      <c r="D65" s="5" t="n">
        <v>688362</v>
      </c>
      <c r="E65" s="5" t="n">
        <v>74498</v>
      </c>
      <c r="F65" s="5" t="n">
        <v>52173</v>
      </c>
      <c r="G65" s="5" t="n">
        <v>88480</v>
      </c>
      <c r="H65" s="5" t="n">
        <v>27607</v>
      </c>
    </row>
    <row r="67" ht="150" customHeight="1">
      <c r="A67" s="8" t="inlineStr">
        <is>
          <t>Sources - all figures are Chetwood Financial Limited Group (consolidated) cash flow statement, £'000, unless noted. See entity note above re: FY2021 (standalone) and FY2024 (Pillar 3 gap).
FY2025: Chetwood Financial Limited Annual Report and Financial Statements, year ended 31 March 2025, p.48-49 (Consolidated and company statement of cashflows) - https://chetwoodbank.co.uk/documents/chetwood-bank-annual-report.pdf
FY2024: Chetwood Financial Limited Annual Report and Financial Statements, year ended 31 March 2024, p.29 (Consolidated and Company Statement of Cashflows) - http://web.archive.org/web/20240920030034/https://chetwood.co/static/97d26e488d5277699e5b9a9983db4d5b/AnnualReport.pdf
FY2023: Chetwood Financial Limited Annual Report and Financial Statements, year ended 31 March 2024, p.29 (prior-year comparative column) - http://web.archive.org/web/20240920030034/https://chetwood.co/static/97d26e488d5277699e5b9a9983db4d5b/AnnualReport.pdf. (The FY2023 Annual Report's own PDF has a text-encoding fault that corrupts extracted figures; the FY2024 report's clean comparative column was used instead - both present the same audited FY2023 statutory figures.)
FY2022: Chetwood Financial Limited Annual Report and Financial Statements, year ended 31 March 2022, p.26 (Consolidated and Company Statement of Cashflows) - http://web.archive.org/web/20230131231341/https://chetwood.co/static/7fbc3d1ed9c0913dca3435f640a5a570/AnnualReport.pdf
FY2021: Chetwood Financial Limited Annual Report and Financial Statements, year ended 31 March 2021, p.28 (Statement of Cashflows, standalone entity) - http://web.archive.org/web/20210830132929/https://chetwood.co/static/3d0ade6e892213e246ca03dc1d84b417/AnnualReport.pdf
FY2020: Chetwood Financial Limited Annual Report and Financial Statements, year ended 31 March 2020, p.22 (Statement of Cashflows, standalone entity, FRS 102 basis) - https://find-and-update.company-information.service.gov.uk/company/09964966/filing-history/MzI3NDIxOTQ2OWFkaXF6a2N4/document?format=pdf&amp;download=0 (Companies House filing history, company no. 09964966)
FY2019: Chetwood Financial Limited Annual Report and Financial Statements, year ended 31 March 2019, p.17 (Statement of Cashflows, standalone entity, FRS 102 basis) - https://find-and-update.company-information.service.gov.uk/company/09964966/filing-history/MzI0MTExMzg0OGFkaXF6a2N4/document?format=pdf&amp;download=0 (Companies House filing history, company no. 09964966)
ENTITY NOTE: Chetwood Financial Limited (trading as Chetwood Bank) is the entity on the PRA register - no holding-company substitution was needed here (unlike Monzo). All years are Chetwood Financial Limited, consolidated/Group basis, EXCEPT FY2021-FY2019 (marked †), which are Chetwood's own standalone entity accounts - the Group didn't exist yet (Chetwood acquired Yobota Limited on 1 March 2022, and CHL Mortgages for Intermediaries Limited later still), so there is no consolidated cash flow statement before FY2022. Companies House confirms FY2019-FY2021 accounts were filed as 'Full accounts' (solo), while FY2022-FY2025 were filed as 'Group of companies' accounts' (consolidated). Per user direction, FY2019-FY2021 are included on a standalone basis and clearly flagged, rather than omitted.
FY2024 (marked *) is consolidated, but no Pillar 3 disclosure for 'as at 31 March 2024' was ever published or archived - see the note on each Pillar 3 sheet.
HISTORICAL-DEPTH FLOOR NOTE (added 2026-09-06, HD-023): the workbook's true floor is FY2019, not FY2016 as originally listed on that ticket, and not FY2021 as a since-corrected version of the same ticket guessed. Verified against Chetwood's own Companies House filing history (company no. 09964966, incorporated 22 Jan 2016) and its own statutory accounts, not a domain/snapshot scan:
- Period to 31 Dec 2016: dormant shell only ('Total exemption full accounts', total assets £954k, no lending or deposits) - pre-banking, excluded.
- FY2018 (15-month period, 1 Jan 2017 - 31 Mar 2018): the Company was granted a banking licence WITH RESTRICTIONS only on 22 Dec 2017; consumer lending commenced Feb 2018 (2 months of the 15-month period); there were zero customer deposits all period (total assets £7.1m, no deposit-taking yet) - this is a pre-launch/development-stage period, not a genuine operating bank year, so excluded as a self-skipped year despite audited accounts existing for it.
- FY2019 (year ended 31 Mar 2019): the PRA's restrictions on the banking licence were lifted 13 Dec 2018; this is the first year with real customer deposits (£26.1m) and a meaningful loan book (£46.3m) - i.e. the first genuine full year of Chetwood operating as an unrestricted retail bank. Treated as the floor.
- FY2019 and FY2020 statutory accounts (like FY2018's) were prepared under UK GAAP FRS 102, NOT IFRS - Chetwood only adopted IFRS (and IFRS 9 stage-based credit-quality disclosure, and Pillar 3 reporting) from FY2021 onward, per its own accounting-policy notes ('in compliance with...FRS 102') each year 2018-2020. This is analogous to the ticket's flagged Basel II/CET1 terminology shift, but for the whole accounting framework: FY2019-FY2020 (marked ‡) have no IFRS 9 loan-stage table and no Pillar 3 disclosure at all (the FY2018/FY2019 strategic reports say a Pillar 3 document 'will be published...in due course' - it wasn't yet). All 11 Pillar 3 metric sheets and the RWA Breakdown sheet are genuinely 'Not publicly disclosed' for FY2019 and FY2020 - a real self-skip, not a gap in transcription.
- A further consequence of the FRS 102-to-IFRS transition: the FY2021 Annual Report's own FY2020 comparative equity balance (used as the prior-year opening figure in that report) does not exactly match FY2020's own originally-filed Statement of Changes in Equity (originally-filed closing Profit and Loss account -£36,357k, Total Equity £51,182k, vs the FY2021 AR's stated FY2020-closing comparative of -£44,513k / £43,067k, a ~£8.1m gap most likely reflecting transition adjustments on first-time IFRS application). The Statement of Changes in Equity sheet below uses Chetwood's own FY2019/FY2020 AS-FILED figures for the FY2019-FY2020 rows (matching those years' own Balance Sheet), and switches to the FY2021 AR's own stated FY2020-comparative opening balance only at the point the FY2021 movements begin - the ~£8.1m gap is disclosed here rather than silently bridged.
PRESENTATION NOTE: Line items changed across the five years as the business grew (e.g. debt securities and derivative-related lines were introduced/split differently year to year, and FY2025 switched the starting line from 'Loss after tax' to '(Loss)/profit before tax'). Blank cells indicate that year's report did not disclose that specific split. Section totals (net cash from operating/investing/financing, cash and cash equivalents) are consistent and reconcile exactly across all 5 years.
DATA QUALITY NOTE (added 2026-08-27, found during a project-wide sanity check): the AR24/AR25 source statements print BOTH a Group and a Company column side by side for each year; three line items were originally transcribed from the wrong column or with a digit error, causing FY2023/FY2024's operating and investing TOTALs to not reconcile to their own line items. Corrected against both AR24 (own-year figures) and AR25's FY2024 comparative column (cross-checked, both agree): 'Fair value adjustment on hedged items' FY2024 corrected from -11,182 to the Group figure -11,782 (a transcription slip); 'Interest received from investing activities' FY2024 corrected from 11,601 to the Group figure 17,601 (transcription slip); 'Loss on disposal of property, plant and equipment' FY2023 corrected from 4 to the Group figure 8 (was the Company figure); 'Impairment of investment in subsidiary/Yobota' FY2023 corrected from 6,753 to 0/nil (the Group figure is nil - 6,753 was the Company-only figure); 'Subscription of shares in subsidiary undertaking' FY2023 (-1,500) removed entirely - it is a Company-only line with no Group-basis equivalent, so it never belonged in this Group-basis statement. All four sections now reconcile exactly to the penny against the primary source.
FY2019/FY2020 PRESENTATION NOTE: these two years' statements (FRS 102 basis) do not split depreciation from amortisation, so a single combined line is shown for those years only rather than force-splitting it across the FY2021+ 'Depreciation of property, plant and equipment' / 'Amortisation of intangibles' rows. 'Purchase of financial investments' (debt securities) is classified by Chetwood's own FY2019/FY2020 statements under Financing activities, not Investing activities as in every later year - kept in its own as-disclosed section rather than moved. FY2020's own statement shows FY2019 comparative figures (£27,620k operating cashflow, £25,109k net cashflow for the period, £27,608k closing cash) that differ by £1k from FY2019's own filed figures (£27,621k / £25,108k / £27,607k) used here - an immaterial rounding difference between the two filings, not corrected.</t>
        </is>
      </c>
    </row>
  </sheetData>
  <mergeCells count="1">
    <mergeCell ref="A67:H6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Chetwood Financial Limited — Asset Quality / Credit Risk Disclosures</t>
        </is>
      </c>
    </row>
    <row r="2">
      <c r="A2" s="2" t="inlineStr">
        <is>
          <t>£'000. Consolidated (Group) basis except FY2019-FY2021 († standalone entity). No IFRS 9 stage table for FY2019-FY2020 (FRS 102 basis - see source note).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FY2024*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FY2021† (£'000)</t>
        </is>
      </c>
      <c r="G3" s="4" t="inlineStr">
        <is>
          <t>FY2020†‡ (£'000)</t>
        </is>
      </c>
      <c r="H3" s="4" t="inlineStr">
        <is>
          <t>FY2019†‡ (£'000)</t>
        </is>
      </c>
    </row>
    <row r="4">
      <c r="A4" s="5" t="inlineStr">
        <is>
          <t>Loan book by IFRS 9 stage (secured + unsecured combined)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6" t="inlineStr">
        <is>
          <t>Stage 1 - gross carrying amount</t>
        </is>
      </c>
      <c r="B5" s="6" t="n">
        <v>2129852</v>
      </c>
      <c r="C5" s="6" t="n">
        <v>1632661</v>
      </c>
      <c r="D5" s="6" t="n">
        <v>594912</v>
      </c>
      <c r="E5" s="6" t="n">
        <v>273792</v>
      </c>
      <c r="F5" s="6" t="n">
        <v>145496</v>
      </c>
      <c r="G5" s="6" t="n"/>
      <c r="H5" s="6" t="n"/>
    </row>
    <row r="6">
      <c r="A6" s="6" t="inlineStr">
        <is>
          <t>Stage 2 - gross carrying amount</t>
        </is>
      </c>
      <c r="B6" s="6" t="n">
        <v>520622</v>
      </c>
      <c r="C6" s="6" t="n">
        <v>186714</v>
      </c>
      <c r="D6" s="6" t="n">
        <v>47246</v>
      </c>
      <c r="E6" s="6" t="n">
        <v>24685</v>
      </c>
      <c r="F6" s="6" t="n">
        <v>22064</v>
      </c>
      <c r="G6" s="6" t="n"/>
      <c r="H6" s="6" t="n"/>
    </row>
    <row r="7">
      <c r="A7" s="6" t="inlineStr">
        <is>
          <t>Stage 3 - gross carrying amount</t>
        </is>
      </c>
      <c r="B7" s="6" t="n">
        <v>15152</v>
      </c>
      <c r="C7" s="6" t="n">
        <v>30817</v>
      </c>
      <c r="D7" s="6" t="n">
        <v>26237</v>
      </c>
      <c r="E7" s="6" t="n">
        <v>21297</v>
      </c>
      <c r="F7" s="6" t="n">
        <v>14585</v>
      </c>
      <c r="G7" s="6" t="n"/>
      <c r="H7" s="6" t="n"/>
    </row>
    <row r="8">
      <c r="A8" s="6" t="inlineStr">
        <is>
          <t>Purchased or originated credit-impaired (POCI) - gross carrying amount</t>
        </is>
      </c>
      <c r="B8" s="6" t="n">
        <v>0</v>
      </c>
      <c r="C8" s="6" t="n">
        <v>0</v>
      </c>
      <c r="D8" s="6" t="n">
        <v>284</v>
      </c>
      <c r="E8" s="6" t="n">
        <v>550</v>
      </c>
      <c r="F8" s="6" t="n"/>
      <c r="G8" s="6" t="n"/>
      <c r="H8" s="6" t="n"/>
    </row>
    <row r="9">
      <c r="A9" s="5" t="inlineStr">
        <is>
          <t>Total gross loans and advances to customers (amortised cost)</t>
        </is>
      </c>
      <c r="B9" s="5" t="n">
        <v>2665626</v>
      </c>
      <c r="C9" s="5" t="n">
        <v>1850192</v>
      </c>
      <c r="D9" s="5" t="n">
        <v>668679</v>
      </c>
      <c r="E9" s="5" t="n">
        <v>320324</v>
      </c>
      <c r="F9" s="5" t="n">
        <v>182145</v>
      </c>
      <c r="G9" s="5" t="n"/>
      <c r="H9" s="5" t="n"/>
    </row>
    <row r="10">
      <c r="A10" s="6" t="inlineStr">
        <is>
          <t>Stage 1 - ECL allowance</t>
        </is>
      </c>
      <c r="B10" s="6" t="n">
        <v>-1356</v>
      </c>
      <c r="C10" s="6" t="n">
        <v>-1887</v>
      </c>
      <c r="D10" s="6" t="n">
        <v>-5118</v>
      </c>
      <c r="E10" s="6" t="n">
        <v>-7791</v>
      </c>
      <c r="F10" s="6" t="n">
        <v>-6292</v>
      </c>
      <c r="G10" s="6" t="n"/>
      <c r="H10" s="6" t="n"/>
    </row>
    <row r="11">
      <c r="A11" s="6" t="inlineStr">
        <is>
          <t>Stage 2 - ECL allowance</t>
        </is>
      </c>
      <c r="B11" s="6" t="n">
        <v>-2912</v>
      </c>
      <c r="C11" s="6" t="n">
        <v>-4073</v>
      </c>
      <c r="D11" s="6" t="n">
        <v>-8469</v>
      </c>
      <c r="E11" s="6" t="n">
        <v>-8517</v>
      </c>
      <c r="F11" s="6" t="n">
        <v>-7149</v>
      </c>
      <c r="G11" s="6" t="n"/>
      <c r="H11" s="6" t="n"/>
    </row>
    <row r="12">
      <c r="A12" s="6" t="inlineStr">
        <is>
          <t>Stage 3 - ECL allowance</t>
        </is>
      </c>
      <c r="B12" s="6" t="n">
        <v>-5974</v>
      </c>
      <c r="C12" s="6" t="n">
        <v>-24527</v>
      </c>
      <c r="D12" s="6" t="n">
        <v>-23300</v>
      </c>
      <c r="E12" s="6" t="n">
        <v>-18255</v>
      </c>
      <c r="F12" s="6" t="n">
        <v>-12455</v>
      </c>
      <c r="G12" s="6" t="n"/>
      <c r="H12" s="6" t="n"/>
    </row>
    <row r="13">
      <c r="A13" s="6" t="inlineStr">
        <is>
          <t>POCI - ECL allowance</t>
        </is>
      </c>
      <c r="B13" s="6" t="n">
        <v>0</v>
      </c>
      <c r="C13" s="6" t="n">
        <v>0</v>
      </c>
      <c r="D13" s="6" t="n">
        <v>-17</v>
      </c>
      <c r="E13" s="6" t="n">
        <v>-13</v>
      </c>
      <c r="F13" s="6" t="n"/>
      <c r="G13" s="6" t="n"/>
      <c r="H13" s="6" t="n"/>
    </row>
    <row r="14">
      <c r="A14" s="5" t="inlineStr">
        <is>
          <t>Total ECL allowance</t>
        </is>
      </c>
      <c r="B14" s="5" t="n">
        <v>-10242</v>
      </c>
      <c r="C14" s="5" t="n">
        <v>-30487</v>
      </c>
      <c r="D14" s="5" t="n">
        <v>-36904</v>
      </c>
      <c r="E14" s="5" t="n">
        <v>-34576</v>
      </c>
      <c r="F14" s="5" t="n">
        <v>-25896</v>
      </c>
      <c r="G14" s="5" t="n"/>
      <c r="H14" s="5" t="n"/>
    </row>
    <row r="15">
      <c r="A15" s="5" t="inlineStr">
        <is>
          <t>Net loans and advances to customers (amortised cost)</t>
        </is>
      </c>
      <c r="B15" s="5" t="n">
        <v>2655384</v>
      </c>
      <c r="C15" s="5" t="n">
        <v>1819705</v>
      </c>
      <c r="D15" s="5" t="n">
        <v>631775</v>
      </c>
      <c r="E15" s="5" t="n">
        <v>285748</v>
      </c>
      <c r="F15" s="5" t="n">
        <v>156249</v>
      </c>
      <c r="G15" s="5" t="n">
        <v>145022</v>
      </c>
      <c r="H15" s="5" t="n">
        <v>46269</v>
      </c>
    </row>
    <row r="16">
      <c r="A16" s="5" t="inlineStr">
        <is>
          <t>Derived ratios</t>
        </is>
      </c>
      <c r="B16" s="6" t="n"/>
      <c r="C16" s="6" t="n"/>
      <c r="D16" s="6" t="n"/>
      <c r="E16" s="6" t="n"/>
      <c r="F16" s="6" t="n"/>
      <c r="G16" s="6" t="n"/>
      <c r="H16" s="6" t="n"/>
    </row>
    <row r="17">
      <c r="A17" s="6" t="inlineStr">
        <is>
          <t>Stage 3 / NPL ratio (Stage 3 gross / total gross)</t>
        </is>
      </c>
      <c r="B17" s="6" t="inlineStr">
        <is>
          <t>0.57%</t>
        </is>
      </c>
      <c r="C17" s="6" t="inlineStr">
        <is>
          <t>1.67%</t>
        </is>
      </c>
      <c r="D17" s="6" t="inlineStr">
        <is>
          <t>3.92%</t>
        </is>
      </c>
      <c r="E17" s="6" t="inlineStr">
        <is>
          <t>6.65%</t>
        </is>
      </c>
      <c r="F17" s="6" t="inlineStr">
        <is>
          <t>8.01%</t>
        </is>
      </c>
      <c r="G17" s="6" t="n"/>
      <c r="H17" s="6" t="n"/>
    </row>
    <row r="18">
      <c r="A18" s="6" t="inlineStr">
        <is>
          <t>ECL coverage ratio (total allowance / total gross)</t>
        </is>
      </c>
      <c r="B18" s="6" t="inlineStr">
        <is>
          <t>0.38%</t>
        </is>
      </c>
      <c r="C18" s="6" t="inlineStr">
        <is>
          <t>1.65%</t>
        </is>
      </c>
      <c r="D18" s="6" t="inlineStr">
        <is>
          <t>5.52%</t>
        </is>
      </c>
      <c r="E18" s="6" t="inlineStr">
        <is>
          <t>10.79%</t>
        </is>
      </c>
      <c r="F18" s="6" t="inlineStr">
        <is>
          <t>14.22%</t>
        </is>
      </c>
      <c r="G18" s="6" t="n"/>
      <c r="H18" s="6" t="n"/>
    </row>
    <row r="19">
      <c r="A19" s="6" t="inlineStr">
        <is>
          <t>Stage 3 coverage ratio (Stage 3 allowance / Stage 3 gross)</t>
        </is>
      </c>
      <c r="B19" s="6" t="inlineStr">
        <is>
          <t>39.43%</t>
        </is>
      </c>
      <c r="C19" s="6" t="inlineStr">
        <is>
          <t>79.59%</t>
        </is>
      </c>
      <c r="D19" s="6" t="inlineStr">
        <is>
          <t>88.81%</t>
        </is>
      </c>
      <c r="E19" s="6" t="inlineStr">
        <is>
          <t>85.71%</t>
        </is>
      </c>
      <c r="F19" s="6" t="inlineStr">
        <is>
          <t>85.40%</t>
        </is>
      </c>
      <c r="G19" s="6" t="n"/>
      <c r="H19" s="6" t="n"/>
    </row>
    <row r="21" ht="220" customHeight="1">
      <c r="A21" s="8" t="inlineStr">
        <is>
          <t>Sources - Chetwood Financial Limited's own Credit Risk / Note 36 (37 in earlier years) disclosures, combining the separately-disclosed 'unsecured lending at amortised cost' and 'secured lending' IFRS 9 stage tables (secured mortgage lending only exists from FY2022, when CHL Mortgages for Intermediaries Limited was acquired - FY2021 is unsecured lending only, and ties exactly to that year's Balance Sheet loan figure).
FY2025/FY2024: Annual Report 2025, p.96-100 (Note 36.2/36.3 Credit quality) - https://chetwoodbank.co.uk/documents/chetwood-bank-annual-report.pdf
FY2023: Annual Report 2024, p.51-52 (Note 37, FY2023 comparative tables) - http://web.archive.org/web/20240920030034/https://chetwood.co/static/97d26e488d5277699e5b9a9983db4d5b/AnnualReport.pdf
FY2022/FY2021: Annual Report 2022, p.49-52 (Note 31.2 Credit quality) - http://web.archive.org/web/20230131231341/https://chetwood.co/static/7fbc3d1ed9c0913dca3435f640a5a570/AnnualReport.pdf
FY2020: Annual Report and Financial Statements, year ended 31 March 2020, p.20/28 (Statement of Financial Position net loan balance; no IFRS 9 stage table - see FRS 102 note below) - https://find-and-update.company-information.service.gov.uk/company/09964966/filing-history/MzI3NDIxOTQ2OWFkaXF6a2N4/document?format=pdf&amp;download=0
FY2019: Annual Report and Financial Statements, year ended 31 March 2019, p.15 (Statement of Financial Position net loan balance; no IFRS 9 stage table - see FRS 102 note below) - https://find-and-update.company-information.service.gov.uk/company/09964966/filing-history/MzI0MTExMzg0OGFkaXF6a2N4/document?format=pdf&amp;download=0
ENTITY NOTE: Chetwood Financial Limited (trading as Chetwood Bank) is the entity on the PRA register - no holding-company substitution was needed here (unlike Monzo). All years are Chetwood Financial Limited, consolidated/Group basis, EXCEPT FY2021-FY2019 (marked †), which are Chetwood's own standalone entity accounts - the Group didn't exist yet (Chetwood acquired Yobota Limited on 1 March 2022, and CHL Mortgages for Intermediaries Limited later still), so there is no consolidated cash flow statement before FY2022. Companies House confirms FY2019-FY2021 accounts were filed as 'Full accounts' (solo), while FY2022-FY2025 were filed as 'Group of companies' accounts' (consolidated). Per user direction, FY2019-FY2021 are included on a standalone basis and clearly flagged, rather than omitted.
FY2024 (marked *) is consolidated, but no Pillar 3 disclosure for 'as at 31 March 2024' was ever published or archived - see the note on each Pillar 3 sheet.
HISTORICAL-DEPTH FLOOR NOTE (added 2026-09-06, HD-023): the workbook's true floor is FY2019, not FY2016 as originally listed on that ticket, and not FY2021 as a since-corrected version of the same ticket guessed. Verified against Chetwood's own Companies House filing history (company no. 09964966, incorporated 22 Jan 2016) and its own statutory accounts, not a domain/snapshot scan:
- Period to 31 Dec 2016: dormant shell only ('Total exemption full accounts', total assets £954k, no lending or deposits) - pre-banking, excluded.
- FY2018 (15-month period, 1 Jan 2017 - 31 Mar 2018): the Company was granted a banking licence WITH RESTRICTIONS only on 22 Dec 2017; consumer lending commenced Feb 2018 (2 months of the 15-month period); there were zero customer deposits all period (total assets £7.1m, no deposit-taking yet) - this is a pre-launch/development-stage period, not a genuine operating bank year, so excluded as a self-skipped year despite audited accounts existing for it.
- FY2019 (year ended 31 Mar 2019): the PRA's restrictions on the banking licence were lifted 13 Dec 2018; this is the first year with real customer deposits (£26.1m) and a meaningful loan book (£46.3m) - i.e. the first genuine full year of Chetwood operating as an unrestricted retail bank. Treated as the floor.
- FY2019 and FY2020 statutory accounts (like FY2018's) were prepared under UK GAAP FRS 102, NOT IFRS - Chetwood only adopted IFRS (and IFRS 9 stage-based credit-quality disclosure, and Pillar 3 reporting) from FY2021 onward, per its own accounting-policy notes ('in compliance with...FRS 102') each year 2018-2020. This is analogous to the ticket's flagged Basel II/CET1 terminology shift, but for the whole accounting framework: FY2019-FY2020 (marked ‡) have no IFRS 9 loan-stage table and no Pillar 3 disclosure at all (the FY2018/FY2019 strategic reports say a Pillar 3 document 'will be published...in due course' - it wasn't yet). All 11 Pillar 3 metric sheets and the RWA Breakdown sheet are genuinely 'Not publicly disclosed' for FY2019 and FY2020 - a real self-skip, not a gap in transcription.
- A further consequence of the FRS 102-to-IFRS transition: the FY2021 Annual Report's own FY2020 comparative equity balance (used as the prior-year opening figure in that report) does not exactly match FY2020's own originally-filed Statement of Changes in Equity (originally-filed closing Profit and Loss account -£36,357k, Total Equity £51,182k, vs the FY2021 AR's stated FY2020-closing comparative of -£44,513k / £43,067k, a ~£8.1m gap most likely reflecting transition adjustments on first-time IFRS application). The Statement of Changes in Equity sheet below uses Chetwood's own FY2019/FY2020 AS-FILED figures for the FY2019-FY2020 rows (matching those years' own Balance Sheet), and switches to the FY2021 AR's own stated FY2020-comparative opening balance only at the point the FY2021 movements begin - the ~£8.1m gap is disclosed here rather than silently bridged.
PRESENTATION NOTE: these Note 36/37 tables report gross/net loans and advances measured at amortised cost only. The Balance Sheet's own 'Loans and advances to customers' line is larger in every year from FY2022 onward (e.g. FY2025: £2,691,247k on the Balance Sheet vs £2,665,626k gross / £2,655,384k net summed here) because some loans are measured at fair value through profit or loss and fall outside this amortised-cost IFRS 9 note - this gap is a genuine measurement-basis difference disclosed by the Bank, not a transcription error, and is not force-reconciled here. FY2021 is the exception: with no secured book yet and no FVTPL loans, the combined stage total ties to the Balance Sheet exactly (£156,249k both ways).
FY2019/FY2020 NOTE: these two years' statutory accounts were prepared under UK GAAP FRS 102 (not IFRS), before Chetwood adopted IFRS 9 - there is no loan-staging (Stage 1/2/3) table in either year's accounts, only a single aggregate net loan balance and a simple impairment-allowance movement in the notes. The Stage/ECL breakdown rows above are genuinely 'Not publicly disclosed' for FY2019 and FY2020; only the single 'Net loans and advances to customers' total row is populated for those two years, tying exactly to the Balance Sheet.</t>
        </is>
      </c>
    </row>
  </sheetData>
  <mergeCells count="1">
    <mergeCell ref="A21:H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Chetwood Financial Limited — CET1 Capital</t>
        </is>
      </c>
    </row>
    <row r="2">
      <c r="A2" s="2" t="inlineStr">
        <is>
          <t>£'000, Group/consolidated basis (FY2021: standalone entity)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FY2024*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FY2021†</t>
        </is>
      </c>
      <c r="G3" s="4" t="inlineStr">
        <is>
          <t>FY2020†‡</t>
        </is>
      </c>
      <c r="H3" s="4" t="inlineStr">
        <is>
          <t>FY2019†‡</t>
        </is>
      </c>
    </row>
    <row r="4">
      <c r="A4" s="6" t="inlineStr">
        <is>
          <t>Common Equity Tier 1 (CET1) capital</t>
        </is>
      </c>
      <c r="B4" s="6" t="n">
        <v>187605</v>
      </c>
      <c r="C4" s="6" t="n"/>
      <c r="D4" s="6" t="n">
        <v>91268</v>
      </c>
      <c r="E4" s="6" t="n">
        <v>57554</v>
      </c>
      <c r="F4" s="6" t="n">
        <v>50637</v>
      </c>
      <c r="G4" s="6" t="n"/>
      <c r="H4" s="6" t="n"/>
    </row>
    <row r="5" ht="60" customHeight="1">
      <c r="A5" s="7" t="inlineStr">
        <is>
          <t>Note: FY2024 is blank - no Pillar 3 disclosure 'as at 31 March 2024' was published/archived. FY2019 and FY2020 are also blank on every Pillar 3 sheet - Chetwood published no Pillar 3 disclosure at all for those two years (its FY2018/FY2019 statutory accounts say a Pillar 3 document 'will be published...in due course', but the earliest one actually published/archived is 'as at 31 March 2021'). See source note.</t>
        </is>
      </c>
    </row>
    <row r="7" ht="150" customHeight="1">
      <c r="A7" s="8" t="inlineStr">
        <is>
          <t>Sources (see entity note on Cash Flow Statement sheet):
FY2025: Chetwood Bank Pillar 3 Disclosures, September 2025 (as at 31 March 2025), Section 5 (Key Metrics - KM1) - https://chetwoodbank.co.uk/documents/chetwood-bank-pillar-three-disclosures.pdf
FY2024: No Pillar 3 disclosure 'as at 31 March 2024' was found - not published on Chetwood's live site (which hosts only the current edition at a non-dated URL) and no snapshot was captured by the Internet Archive Wayback Machine between the FY2023 edition (published Jan 2024) and the FY2025 edition (published Sept 2025). Left blank.
FY2023: Chetwood Financial Ltd Pillar 3 Disclosure, as at 31 March 2023, Section 6 (Key Metrics - KM1) and Section 7.1 (Capital Resources) - http://web.archive.org/web/20240315022245/https://chetwood.co/static/330c40d433df90b83d3b3e5c673e21cc/Pillar3Disclosures.pdf
FY2022: Chetwood Financial Ltd Pillar 3 Disclosure, as at 31 March 2022, Annex B (Key Metrics - KM1) - http://web.archive.org/web/20230131235943/https://chetwood.co/static/815e2dd174c4655ddf55a93ca1029ce3/Pillar3Disclosures.pdf
FY2021: Chetwood Financial Ltd Pillar 3 Disclosure, as at 31 March 2021, Section 1.2 (Summary Analysis) and Section 4 (Capital Resources) - http://web.archive.org/web/20211128171331/https://chetwood.co/static/221a3946677e4d8c49c5525d22f9b534/Pillar3Disclosures.pdf (pre-dates the formal KM1 template; Chetwood adopted the CRR KM1 annex from the FY2022 report onward)
FY2019/FY2020: No Pillar 3 disclosure was ever published for these years - as at 31 March 2021 is Chetwood's earliest published/archived Pillar 3 document. Left blank.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Chetwood Financial Limited — CET1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FY2024*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FY2021†</t>
        </is>
      </c>
      <c r="G3" s="4" t="inlineStr">
        <is>
          <t>FY2020†‡</t>
        </is>
      </c>
      <c r="H3" s="4" t="inlineStr">
        <is>
          <t>FY2019†‡</t>
        </is>
      </c>
    </row>
    <row r="4">
      <c r="A4" s="6" t="inlineStr">
        <is>
          <t>Common Equity Tier 1 (CET1) ratio</t>
        </is>
      </c>
      <c r="B4" s="6" t="inlineStr">
        <is>
          <t>15.2%</t>
        </is>
      </c>
      <c r="C4" s="6" t="n"/>
      <c r="D4" s="6" t="inlineStr">
        <is>
          <t>26.6%</t>
        </is>
      </c>
      <c r="E4" s="6" t="inlineStr">
        <is>
          <t>29.3%</t>
        </is>
      </c>
      <c r="F4" s="6" t="inlineStr">
        <is>
          <t>28%</t>
        </is>
      </c>
      <c r="G4" s="6" t="n"/>
      <c r="H4" s="6" t="n"/>
    </row>
    <row r="5" ht="60" customHeight="1">
      <c r="A5" s="7" t="inlineStr">
        <is>
          <t>Note: FY2024 is blank - no Pillar 3 disclosure 'as at 31 March 2024' was published/archived. FY2019 and FY2020 are also blank on every Pillar 3 sheet - Chetwood published no Pillar 3 disclosure at all for those two years (its FY2018/FY2019 statutory accounts say a Pillar 3 document 'will be published...in due course', but the earliest one actually published/archived is 'as at 31 March 2021'). See source note. FY2021 is as stated in the source (rounded to the nearest whole percent; no decimal figure was disclosed that year).</t>
        </is>
      </c>
    </row>
    <row r="7" ht="150" customHeight="1">
      <c r="A7" s="8" t="inlineStr">
        <is>
          <t>Sources (see entity note on Cash Flow Statement sheet):
FY2025: Chetwood Bank Pillar 3 Disclosures, September 2025 (as at 31 March 2025), Section 5 (Key Metrics - KM1) - https://chetwoodbank.co.uk/documents/chetwood-bank-pillar-three-disclosures.pdf
FY2024: No Pillar 3 disclosure 'as at 31 March 2024' was found - not published on Chetwood's live site (which hosts only the current edition at a non-dated URL) and no snapshot was captured by the Internet Archive Wayback Machine between the FY2023 edition (published Jan 2024) and the FY2025 edition (published Sept 2025). Left blank.
FY2023: Chetwood Financial Ltd Pillar 3 Disclosure, as at 31 March 2023, Section 6 (Key Metrics - KM1) and Section 7.1 (Capital Resources) - http://web.archive.org/web/20240315022245/https://chetwood.co/static/330c40d433df90b83d3b3e5c673e21cc/Pillar3Disclosures.pdf
FY2022: Chetwood Financial Ltd Pillar 3 Disclosure, as at 31 March 2022, Annex B (Key Metrics - KM1) - http://web.archive.org/web/20230131235943/https://chetwood.co/static/815e2dd174c4655ddf55a93ca1029ce3/Pillar3Disclosures.pdf
FY2021: Chetwood Financial Ltd Pillar 3 Disclosure, as at 31 March 2021, Section 1.2 (Summary Analysis) and Section 4 (Capital Resources) - http://web.archive.org/web/20211128171331/https://chetwood.co/static/221a3946677e4d8c49c5525d22f9b534/Pillar3Disclosures.pdf (pre-dates the formal KM1 template; Chetwood adopted the CRR KM1 annex from the FY2022 report onward)
FY2019/FY2020: No Pillar 3 disclosure was ever published for these years - as at 31 March 2021 is Chetwood's earliest published/archived Pillar 3 document. Left blank.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Chetwood Financial Limited — Tier 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FY2024*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FY2021†</t>
        </is>
      </c>
      <c r="G3" s="4" t="inlineStr">
        <is>
          <t>FY2020†‡</t>
        </is>
      </c>
      <c r="H3" s="4" t="inlineStr">
        <is>
          <t>FY2019†‡</t>
        </is>
      </c>
    </row>
    <row r="4">
      <c r="A4" s="6" t="inlineStr">
        <is>
          <t>Tier 1 capital</t>
        </is>
      </c>
      <c r="B4" s="6" t="n">
        <v>187605</v>
      </c>
      <c r="C4" s="6" t="n"/>
      <c r="D4" s="6" t="n">
        <v>91268</v>
      </c>
      <c r="E4" s="6" t="n">
        <v>57554</v>
      </c>
      <c r="F4" s="6" t="n">
        <v>50637</v>
      </c>
      <c r="G4" s="6" t="n"/>
      <c r="H4" s="6" t="n"/>
    </row>
    <row r="5" ht="60" customHeight="1">
      <c r="A5" s="7" t="inlineStr">
        <is>
          <t>Note: FY2024 is blank - no Pillar 3 disclosure 'as at 31 March 2024' was published/archived. FY2019 and FY2020 are also blank on every Pillar 3 sheet - Chetwood published no Pillar 3 disclosure at all for those two years (its FY2018/FY2019 statutory accounts say a Pillar 3 document 'will be published...in due course', but the earliest one actually published/archived is 'as at 31 March 2021'). See source note. Equal to CET1 capital in every year shown - Chetwood has no Additional Tier 1 (AT1) instruments.</t>
        </is>
      </c>
    </row>
    <row r="7" ht="150" customHeight="1">
      <c r="A7" s="8" t="inlineStr">
        <is>
          <t>Sources (see entity note on Cash Flow Statement sheet):
FY2025: Chetwood Bank Pillar 3 Disclosures, September 2025 (as at 31 March 2025), Section 5 (Key Metrics - KM1) - https://chetwoodbank.co.uk/documents/chetwood-bank-pillar-three-disclosures.pdf
FY2024: No Pillar 3 disclosure 'as at 31 March 2024' was found - not published on Chetwood's live site (which hosts only the current edition at a non-dated URL) and no snapshot was captured by the Internet Archive Wayback Machine between the FY2023 edition (published Jan 2024) and the FY2025 edition (published Sept 2025). Left blank.
FY2023: Chetwood Financial Ltd Pillar 3 Disclosure, as at 31 March 2023, Section 6 (Key Metrics - KM1) and Section 7.1 (Capital Resources) - http://web.archive.org/web/20240315022245/https://chetwood.co/static/330c40d433df90b83d3b3e5c673e21cc/Pillar3Disclosures.pdf
FY2022: Chetwood Financial Ltd Pillar 3 Disclosure, as at 31 March 2022, Annex B (Key Metrics - KM1) - http://web.archive.org/web/20230131235943/https://chetwood.co/static/815e2dd174c4655ddf55a93ca1029ce3/Pillar3Disclosures.pdf
FY2021: Chetwood Financial Ltd Pillar 3 Disclosure, as at 31 March 2021, Section 1.2 (Summary Analysis) and Section 4 (Capital Resources) - http://web.archive.org/web/20211128171331/https://chetwood.co/static/221a3946677e4d8c49c5525d22f9b534/Pillar3Disclosures.pdf (pre-dates the formal KM1 template; Chetwood adopted the CRR KM1 annex from the FY2022 report onward)
FY2019/FY2020: No Pillar 3 disclosure was ever published for these years - as at 31 March 2021 is Chetwood's earliest published/archived Pillar 3 document. Left blank.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Chetwood Financial Limited — Tier 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FY2024*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FY2021†</t>
        </is>
      </c>
      <c r="G3" s="4" t="inlineStr">
        <is>
          <t>FY2020†‡</t>
        </is>
      </c>
      <c r="H3" s="4" t="inlineStr">
        <is>
          <t>FY2019†‡</t>
        </is>
      </c>
    </row>
    <row r="4">
      <c r="A4" s="6" t="inlineStr">
        <is>
          <t>Tier 1 ratio</t>
        </is>
      </c>
      <c r="B4" s="6" t="inlineStr">
        <is>
          <t>15.2%</t>
        </is>
      </c>
      <c r="C4" s="6" t="n"/>
      <c r="D4" s="6" t="inlineStr">
        <is>
          <t>26.6%</t>
        </is>
      </c>
      <c r="E4" s="6" t="inlineStr">
        <is>
          <t>29.3%</t>
        </is>
      </c>
      <c r="F4" s="6" t="inlineStr">
        <is>
          <t>28%</t>
        </is>
      </c>
      <c r="G4" s="6" t="n"/>
      <c r="H4" s="6" t="n"/>
    </row>
    <row r="5" ht="60" customHeight="1">
      <c r="A5" s="7" t="inlineStr">
        <is>
          <t>Note: FY2024 is blank - no Pillar 3 disclosure 'as at 31 March 2024' was published/archived. FY2019 and FY2020 are also blank on every Pillar 3 sheet - Chetwood published no Pillar 3 disclosure at all for those two years (its FY2018/FY2019 statutory accounts say a Pillar 3 document 'will be published...in due course', but the earliest one actually published/archived is 'as at 31 March 2021'). See source note.</t>
        </is>
      </c>
    </row>
    <row r="7" ht="150" customHeight="1">
      <c r="A7" s="8" t="inlineStr">
        <is>
          <t>Sources (see entity note on Cash Flow Statement sheet):
FY2025: Chetwood Bank Pillar 3 Disclosures, September 2025 (as at 31 March 2025), Section 5 (Key Metrics - KM1) - https://chetwoodbank.co.uk/documents/chetwood-bank-pillar-three-disclosures.pdf
FY2024: No Pillar 3 disclosure 'as at 31 March 2024' was found - not published on Chetwood's live site (which hosts only the current edition at a non-dated URL) and no snapshot was captured by the Internet Archive Wayback Machine between the FY2023 edition (published Jan 2024) and the FY2025 edition (published Sept 2025). Left blank.
FY2023: Chetwood Financial Ltd Pillar 3 Disclosure, as at 31 March 2023, Section 6 (Key Metrics - KM1) and Section 7.1 (Capital Resources) - http://web.archive.org/web/20240315022245/https://chetwood.co/static/330c40d433df90b83d3b3e5c673e21cc/Pillar3Disclosures.pdf
FY2022: Chetwood Financial Ltd Pillar 3 Disclosure, as at 31 March 2022, Annex B (Key Metrics - KM1) - http://web.archive.org/web/20230131235943/https://chetwood.co/static/815e2dd174c4655ddf55a93ca1029ce3/Pillar3Disclosures.pdf
FY2021: Chetwood Financial Ltd Pillar 3 Disclosure, as at 31 March 2021, Section 1.2 (Summary Analysis) and Section 4 (Capital Resources) - http://web.archive.org/web/20211128171331/https://chetwood.co/static/221a3946677e4d8c49c5525d22f9b534/Pillar3Disclosures.pdf (pre-dates the formal KM1 template; Chetwood adopted the CRR KM1 annex from the FY2022 report onward)
FY2019/FY2020: No Pillar 3 disclosure was ever published for these years - as at 31 March 2021 is Chetwood's earliest published/archived Pillar 3 document. Left blank.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Chetwood Financial Limited — Total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FY2024*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FY2021†</t>
        </is>
      </c>
      <c r="G3" s="4" t="inlineStr">
        <is>
          <t>FY2020†‡</t>
        </is>
      </c>
      <c r="H3" s="4" t="inlineStr">
        <is>
          <t>FY2019†‡</t>
        </is>
      </c>
    </row>
    <row r="4">
      <c r="A4" s="6" t="inlineStr">
        <is>
          <t>Total capital</t>
        </is>
      </c>
      <c r="B4" s="6" t="n">
        <v>187605</v>
      </c>
      <c r="C4" s="6" t="n"/>
      <c r="D4" s="6" t="n">
        <v>91268</v>
      </c>
      <c r="E4" s="6" t="n">
        <v>57554</v>
      </c>
      <c r="F4" s="6" t="n">
        <v>50637</v>
      </c>
      <c r="G4" s="6" t="n"/>
      <c r="H4" s="6" t="n"/>
    </row>
    <row r="5" ht="60" customHeight="1">
      <c r="A5" s="7" t="inlineStr">
        <is>
          <t>Note: FY2024 is blank - no Pillar 3 disclosure 'as at 31 March 2024' was published/archived. FY2019 and FY2020 are also blank on every Pillar 3 sheet - Chetwood published no Pillar 3 disclosure at all for those two years (its FY2018/FY2019 statutory accounts say a Pillar 3 document 'will be published...in due course', but the earliest one actually published/archived is 'as at 31 March 2021'). See source note. Equal to CET1/Tier 1 capital in every year shown - Chetwood has no Tier 2 capital either.</t>
        </is>
      </c>
    </row>
    <row r="7" ht="150" customHeight="1">
      <c r="A7" s="8" t="inlineStr">
        <is>
          <t>Sources (see entity note on Cash Flow Statement sheet):
FY2025: Chetwood Bank Pillar 3 Disclosures, September 2025 (as at 31 March 2025), Section 5 (Key Metrics - KM1) - https://chetwoodbank.co.uk/documents/chetwood-bank-pillar-three-disclosures.pdf
FY2024: No Pillar 3 disclosure 'as at 31 March 2024' was found - not published on Chetwood's live site (which hosts only the current edition at a non-dated URL) and no snapshot was captured by the Internet Archive Wayback Machine between the FY2023 edition (published Jan 2024) and the FY2025 edition (published Sept 2025). Left blank.
FY2023: Chetwood Financial Ltd Pillar 3 Disclosure, as at 31 March 2023, Section 6 (Key Metrics - KM1) and Section 7.1 (Capital Resources) - http://web.archive.org/web/20240315022245/https://chetwood.co/static/330c40d433df90b83d3b3e5c673e21cc/Pillar3Disclosures.pdf
FY2022: Chetwood Financial Ltd Pillar 3 Disclosure, as at 31 March 2022, Annex B (Key Metrics - KM1) - http://web.archive.org/web/20230131235943/https://chetwood.co/static/815e2dd174c4655ddf55a93ca1029ce3/Pillar3Disclosures.pdf
FY2021: Chetwood Financial Ltd Pillar 3 Disclosure, as at 31 March 2021, Section 1.2 (Summary Analysis) and Section 4 (Capital Resources) - http://web.archive.org/web/20211128171331/https://chetwood.co/static/221a3946677e4d8c49c5525d22f9b534/Pillar3Disclosures.pdf (pre-dates the formal KM1 template; Chetwood adopted the CRR KM1 annex from the FY2022 report onward)
FY2019/FY2020: No Pillar 3 disclosure was ever published for these years - as at 31 March 2021 is Chetwood's earliest published/archived Pillar 3 document. Left blank.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Chetwood Financial Limited — Total Capital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FY2024*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FY2021†</t>
        </is>
      </c>
      <c r="G3" s="4" t="inlineStr">
        <is>
          <t>FY2020†‡</t>
        </is>
      </c>
      <c r="H3" s="4" t="inlineStr">
        <is>
          <t>FY2019†‡</t>
        </is>
      </c>
    </row>
    <row r="4">
      <c r="A4" s="6" t="inlineStr">
        <is>
          <t>Total capital ratio</t>
        </is>
      </c>
      <c r="B4" s="6" t="inlineStr">
        <is>
          <t>15.2%</t>
        </is>
      </c>
      <c r="C4" s="6" t="n"/>
      <c r="D4" s="6" t="inlineStr">
        <is>
          <t>26.6%</t>
        </is>
      </c>
      <c r="E4" s="6" t="inlineStr">
        <is>
          <t>29.3%</t>
        </is>
      </c>
      <c r="F4" s="6" t="inlineStr">
        <is>
          <t>28%</t>
        </is>
      </c>
      <c r="G4" s="6" t="n"/>
      <c r="H4" s="6" t="n"/>
    </row>
    <row r="5" ht="60" customHeight="1">
      <c r="A5" s="7" t="inlineStr">
        <is>
          <t>Note: FY2024 is blank - no Pillar 3 disclosure 'as at 31 March 2024' was published/archived. FY2019 and FY2020 are also blank on every Pillar 3 sheet - Chetwood published no Pillar 3 disclosure at all for those two years (its FY2018/FY2019 statutory accounts say a Pillar 3 document 'will be published...in due course', but the earliest one actually published/archived is 'as at 31 March 2021'). See source note.</t>
        </is>
      </c>
    </row>
    <row r="7" ht="150" customHeight="1">
      <c r="A7" s="8" t="inlineStr">
        <is>
          <t>Sources (see entity note on Cash Flow Statement sheet):
FY2025: Chetwood Bank Pillar 3 Disclosures, September 2025 (as at 31 March 2025), Section 5 (Key Metrics - KM1) - https://chetwoodbank.co.uk/documents/chetwood-bank-pillar-three-disclosures.pdf
FY2024: No Pillar 3 disclosure 'as at 31 March 2024' was found - not published on Chetwood's live site (which hosts only the current edition at a non-dated URL) and no snapshot was captured by the Internet Archive Wayback Machine between the FY2023 edition (published Jan 2024) and the FY2025 edition (published Sept 2025). Left blank.
FY2023: Chetwood Financial Ltd Pillar 3 Disclosure, as at 31 March 2023, Section 6 (Key Metrics - KM1) and Section 7.1 (Capital Resources) - http://web.archive.org/web/20240315022245/https://chetwood.co/static/330c40d433df90b83d3b3e5c673e21cc/Pillar3Disclosures.pdf
FY2022: Chetwood Financial Ltd Pillar 3 Disclosure, as at 31 March 2022, Annex B (Key Metrics - KM1) - http://web.archive.org/web/20230131235943/https://chetwood.co/static/815e2dd174c4655ddf55a93ca1029ce3/Pillar3Disclosures.pdf
FY2021: Chetwood Financial Ltd Pillar 3 Disclosure, as at 31 March 2021, Section 1.2 (Summary Analysis) and Section 4 (Capital Resources) - http://web.archive.org/web/20211128171331/https://chetwood.co/static/221a3946677e4d8c49c5525d22f9b534/Pillar3Disclosures.pdf (pre-dates the formal KM1 template; Chetwood adopted the CRR KM1 annex from the FY2022 report onward)
FY2019/FY2020: No Pillar 3 disclosure was ever published for these years - as at 31 March 2021 is Chetwood's earliest published/archived Pillar 3 document. Left blank.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Chetwood Financial Limited — Total RWAs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FY2024*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FY2021†</t>
        </is>
      </c>
      <c r="G3" s="4" t="inlineStr">
        <is>
          <t>FY2020†‡</t>
        </is>
      </c>
      <c r="H3" s="4" t="inlineStr">
        <is>
          <t>FY2019†‡</t>
        </is>
      </c>
    </row>
    <row r="4">
      <c r="A4" s="6" t="inlineStr">
        <is>
          <t>Total risk-weighted exposure amount</t>
        </is>
      </c>
      <c r="B4" s="6" t="n">
        <v>1233321</v>
      </c>
      <c r="C4" s="6" t="n">
        <v>824623</v>
      </c>
      <c r="D4" s="6" t="n">
        <v>343668</v>
      </c>
      <c r="E4" s="6" t="n">
        <v>196750</v>
      </c>
      <c r="F4" s="6" t="n">
        <v>178987</v>
      </c>
      <c r="G4" s="6" t="n"/>
      <c r="H4" s="6" t="n"/>
    </row>
    <row r="5" ht="60" customHeight="1">
      <c r="A5" s="7" t="inlineStr">
        <is>
          <t>Note: FY2024 is populated (unlike the other Pillar 3 sheets) because the FY2025 Pillar 3 document's own OV1 table (Section 6.3) discloses a full FY2024 comparative Total row (824,623) - the same figure the RWA Breakdown sheet's FY2024 column sums to. The KM1 template (Section 5) and LCR/NSFR/Overall Capital Requirement tables (Sections 5-6.6) that supply every other Pillar 3 metric on this workbook are all single-column ('as at 31 March 2025' only, no FY2024 comparative) - confirmed by reading the full FY2025 Pillar 3 document page by page, so CET1/Tier 1/Total Capital/all ratios/Leverage/LCR/NSFR/MREL genuinely remain blank for FY2024.</t>
        </is>
      </c>
    </row>
    <row r="7" ht="150" customHeight="1">
      <c r="A7" s="8" t="inlineStr">
        <is>
          <t>Sources (see entity note on Cash Flow Statement sheet):
FY2025: Chetwood Bank Pillar 3 Disclosures, September 2025 (as at 31 March 2025), Section 5 (Key Metrics - KM1) - https://chetwoodbank.co.uk/documents/chetwood-bank-pillar-three-disclosures.pdf
FY2024: No Pillar 3 disclosure 'as at 31 March 2024' was found - not published on Chetwood's live site (which hosts only the current edition at a non-dated URL) and no snapshot was captured by the Internet Archive Wayback Machine between the FY2023 edition (published Jan 2024) and the FY2025 edition (published Sept 2025). Left blank.
FY2023: Chetwood Financial Ltd Pillar 3 Disclosure, as at 31 March 2023, Section 6 (Key Metrics - KM1) and Section 7.1 (Capital Resources) - http://web.archive.org/web/20240315022245/https://chetwood.co/static/330c40d433df90b83d3b3e5c673e21cc/Pillar3Disclosures.pdf
FY2022: Chetwood Financial Ltd Pillar 3 Disclosure, as at 31 March 2022, Annex B (Key Metrics - KM1) - http://web.archive.org/web/20230131235943/https://chetwood.co/static/815e2dd174c4655ddf55a93ca1029ce3/Pillar3Disclosures.pdf
FY2021: Chetwood Financial Ltd Pillar 3 Disclosure, as at 31 March 2021, Section 1.2 (Summary Analysis) and Section 4 (Capital Resources) - http://web.archive.org/web/20211128171331/https://chetwood.co/static/221a3946677e4d8c49c5525d22f9b534/Pillar3Disclosures.pdf (pre-dates the formal KM1 template; Chetwood adopted the CRR KM1 annex from the FY2022 report onward)
FY2019/FY2020: No Pillar 3 disclosure was ever published for these years - as at 31 March 2021 is Chetwood's earliest published/archived Pillar 3 document. Left blank.</t>
        </is>
      </c>
    </row>
  </sheetData>
  <mergeCells count="2">
    <mergeCell ref="A7:H7"/>
    <mergeCell ref="A5:H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Chetwood Financial Limited — RWA Breakdown</t>
        </is>
      </c>
    </row>
    <row r="2">
      <c r="A2" s="2" t="inlineStr">
        <is>
          <t>£'000, Group/consolidated basis (FY2021: standalone entity). FY2019-FY2020 blank - no Pillar 3 disclosure was ever published for those years.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FY2024*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FY2021† (£'000)</t>
        </is>
      </c>
      <c r="G3" s="4" t="inlineStr">
        <is>
          <t>FY2020†‡ (£'000)</t>
        </is>
      </c>
      <c r="H3" s="4" t="inlineStr">
        <is>
          <t>FY2019†‡ (£'000)</t>
        </is>
      </c>
    </row>
    <row r="4">
      <c r="A4" s="5" t="inlineStr">
        <is>
          <t>RWA by risk category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6" t="inlineStr">
        <is>
          <t>Credit risk (excluding CCR)</t>
        </is>
      </c>
      <c r="B5" s="6" t="n">
        <v>1017779</v>
      </c>
      <c r="C5" s="6" t="n">
        <v>703828</v>
      </c>
      <c r="D5" s="6" t="n">
        <v>290536</v>
      </c>
      <c r="E5" s="6" t="n">
        <v>179962</v>
      </c>
      <c r="F5" s="6" t="n">
        <v>126942</v>
      </c>
      <c r="G5" s="6" t="n"/>
      <c r="H5" s="6" t="n"/>
    </row>
    <row r="6">
      <c r="A6" s="6" t="inlineStr">
        <is>
          <t>Counterparty credit risk (CCR)</t>
        </is>
      </c>
      <c r="B6" s="6" t="n">
        <v>23777</v>
      </c>
      <c r="C6" s="6" t="n">
        <v>13638</v>
      </c>
      <c r="D6" s="6" t="n">
        <v>4143</v>
      </c>
      <c r="E6" s="6" t="n">
        <v>1937</v>
      </c>
      <c r="F6" s="6" t="n">
        <v>450</v>
      </c>
      <c r="G6" s="6" t="n"/>
      <c r="H6" s="6" t="n"/>
    </row>
    <row r="7">
      <c r="A7" s="6" t="inlineStr">
        <is>
          <t>Securitisation exposures in the non-trading book</t>
        </is>
      </c>
      <c r="B7" s="6" t="n">
        <v>102610</v>
      </c>
      <c r="C7" s="6" t="n">
        <v>62980</v>
      </c>
      <c r="D7" s="6" t="n">
        <v>18124</v>
      </c>
      <c r="E7" s="6" t="n"/>
      <c r="F7" s="6" t="n"/>
      <c r="G7" s="6" t="n"/>
      <c r="H7" s="6" t="n"/>
    </row>
    <row r="8">
      <c r="A8" s="6" t="inlineStr">
        <is>
          <t>Operational risk</t>
        </is>
      </c>
      <c r="B8" s="6" t="n">
        <v>89154</v>
      </c>
      <c r="C8" s="6" t="n">
        <v>44177</v>
      </c>
      <c r="D8" s="6" t="n">
        <v>30865</v>
      </c>
      <c r="E8" s="6" t="n">
        <v>14852</v>
      </c>
      <c r="F8" s="6" t="n">
        <v>51595</v>
      </c>
      <c r="G8" s="6" t="n"/>
      <c r="H8" s="6" t="n"/>
    </row>
    <row r="9">
      <c r="A9" s="5" t="inlineStr">
        <is>
          <t>Total</t>
        </is>
      </c>
      <c r="B9" s="5" t="n">
        <v>1233321</v>
      </c>
      <c r="C9" s="5" t="n">
        <v>824623</v>
      </c>
      <c r="D9" s="5" t="n">
        <v>343668</v>
      </c>
      <c r="E9" s="5" t="n">
        <v>196750</v>
      </c>
      <c r="F9" s="5" t="n">
        <v>178987</v>
      </c>
      <c r="G9" s="5" t="n"/>
      <c r="H9" s="5" t="n"/>
    </row>
    <row r="11" ht="220" customHeight="1">
      <c r="A11" s="8" t="inlineStr">
        <is>
          <t>Sources - Chetwood's own Pillar 3 Disclosures, Section 6 'Overview of RWAs' (OV1 template from FY2022 onward; FY2021 uses an equivalent pre-KM1 category table).
FY2025/FY2024: Chetwood Bank Pillar 3 Disclosures, September 2025 (as at 31 March 2025), Section 6.3, which unlike the standalone FY2024 KM1 gap noted on the other Pillar 3 sheets, discloses its OV1 table's FY2024 comparative RWEA column in full - https://chetwoodbank.co.uk/documents/chetwood-bank-pillar-three-disclosures.pdf
FY2023/FY2022: Chetwood Financial Ltd Pillar 3 Disclosure, as at 31 March 2023, Section 8.3 (OV1 table with FY2022 comparative) - http://web.archive.org/web/20240315022245/https://chetwood.co/static/330c40d433df90b83d3b3e5c673e21cc/Pillar3Disclosures.pdf
FY2021: Chetwood Financial Ltd Pillar 3 Disclosure, as at 31 March 2021, Section 5.4 (pre-KM1 category table) - http://web.archive.org/web/20211128171331/https://chetwood.co/static/221a3946677e4d8c49c5525d22f9b534/Pillar3Disclosures.pdf
ENTITY NOTE: Chetwood Financial Limited (trading as Chetwood Bank) is the entity on the PRA register - no holding-company substitution was needed here (unlike Monzo). All years are Chetwood Financial Limited, consolidated/Group basis, EXCEPT FY2021-FY2019 (marked †), which are Chetwood's own standalone entity accounts - the Group didn't exist yet (Chetwood acquired Yobota Limited on 1 March 2022, and CHL Mortgages for Intermediaries Limited later still), so there is no consolidated cash flow statement before FY2022. Companies House confirms FY2019-FY2021 accounts were filed as 'Full accounts' (solo), while FY2022-FY2025 were filed as 'Group of companies' accounts' (consolidated). Per user direction, FY2019-FY2021 are included on a standalone basis and clearly flagged, rather than omitted.
FY2024 (marked *) is consolidated, but no Pillar 3 disclosure for 'as at 31 March 2024' was ever published or archived - see the note on each Pillar 3 sheet.
HISTORICAL-DEPTH FLOOR NOTE (added 2026-09-06, HD-023): the workbook's true floor is FY2019, not FY2016 as originally listed on that ticket, and not FY2021 as a since-corrected version of the same ticket guessed. Verified against Chetwood's own Companies House filing history (company no. 09964966, incorporated 22 Jan 2016) and its own statutory accounts, not a domain/snapshot scan:
- Period to 31 Dec 2016: dormant shell only ('Total exemption full accounts', total assets £954k, no lending or deposits) - pre-banking, excluded.
- FY2018 (15-month period, 1 Jan 2017 - 31 Mar 2018): the Company was granted a banking licence WITH RESTRICTIONS only on 22 Dec 2017; consumer lending commenced Feb 2018 (2 months of the 15-month period); there were zero customer deposits all period (total assets £7.1m, no deposit-taking yet) - this is a pre-launch/development-stage period, not a genuine operating bank year, so excluded as a self-skipped year despite audited accounts existing for it.
- FY2019 (year ended 31 Mar 2019): the PRA's restrictions on the banking licence were lifted 13 Dec 2018; this is the first year with real customer deposits (£26.1m) and a meaningful loan book (£46.3m) - i.e. the first genuine full year of Chetwood operating as an unrestricted retail bank. Treated as the floor.
- FY2019 and FY2020 statutory accounts (like FY2018's) were prepared under UK GAAP FRS 102, NOT IFRS - Chetwood only adopted IFRS (and IFRS 9 stage-based credit-quality disclosure, and Pillar 3 reporting) from FY2021 onward, per its own accounting-policy notes ('in compliance with...FRS 102') each year 2018-2020. This is analogous to the ticket's flagged Basel II/CET1 terminology shift, but for the whole accounting framework: FY2019-FY2020 (marked ‡) have no IFRS 9 loan-stage table and no Pillar 3 disclosure at all (the FY2018/FY2019 strategic reports say a Pillar 3 document 'will be published...in due course' - it wasn't yet). All 11 Pillar 3 metric sheets and the RWA Breakdown sheet are genuinely 'Not publicly disclosed' for FY2019 and FY2020 - a real self-skip, not a gap in transcription.
- A further consequence of the FRS 102-to-IFRS transition: the FY2021 Annual Report's own FY2020 comparative equity balance (used as the prior-year opening figure in that report) does not exactly match FY2020's own originally-filed Statement of Changes in Equity (originally-filed closing Profit and Loss account -£36,357k, Total Equity £51,182k, vs the FY2021 AR's stated FY2020-closing comparative of -£44,513k / £43,067k, a ~£8.1m gap most likely reflecting transition adjustments on first-time IFRS application). The Statement of Changes in Equity sheet below uses Chetwood's own FY2019/FY2020 AS-FILED figures for the FY2019-FY2020 rows (matching those years' own Balance Sheet), and switches to the FY2021 AR's own stated FY2020-comparative opening balance only at the point the FY2021 movements begin - the ~£8.1m gap is disclosed here rather than silently bridged.
FINDING: the other Pillar 3 sheets in this workbook leave FY2024 blank because no dedicated 'as at 31 March 2024' Pillar 3 document was ever published - true for the CET1/Tier 1/Total Capital/ratio figures. However the FY2025 Pillar 3 document's own OV1 table (used here) discloses a full FY2024 comparative RWEA-by-category column, so RWA Breakdown alone can be populated for FY2024 even though the other Pillar 3 sheets cannot.
PRESENTATION NOTE: FY2021's pre-KM1 category table has no separate 'Securitisation' line (Chetwood had no securitised exposures that early) and combines credit valuation adjustment into Counterparty credit risk rather than breaking it out - both blank rather than assumed zero-and-separate.</t>
        </is>
      </c>
    </row>
  </sheetData>
  <mergeCells count="1">
    <mergeCell ref="A11:H1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Chetwood Financial Limited — Leverage Ratio</t>
        </is>
      </c>
    </row>
    <row r="2">
      <c r="A2" s="2" t="inlineStr">
        <is>
          <t>£'000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FY2024*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FY2021†</t>
        </is>
      </c>
      <c r="G3" s="4" t="inlineStr">
        <is>
          <t>FY2020†‡</t>
        </is>
      </c>
      <c r="H3" s="4" t="inlineStr">
        <is>
          <t>FY2019†‡</t>
        </is>
      </c>
    </row>
    <row r="4">
      <c r="A4" s="6" t="inlineStr">
        <is>
          <t>Leverage ratio total exposure measure</t>
        </is>
      </c>
      <c r="B4" s="6" t="n">
        <v>3615720</v>
      </c>
      <c r="C4" s="6" t="n"/>
      <c r="D4" s="6" t="n">
        <v>1519817</v>
      </c>
      <c r="E4" s="6" t="n">
        <v>394658</v>
      </c>
      <c r="F4" s="6" t="n">
        <v>216375</v>
      </c>
      <c r="G4" s="6" t="n"/>
      <c r="H4" s="6" t="n"/>
    </row>
    <row r="5">
      <c r="A5" s="6" t="inlineStr">
        <is>
          <t>Leverage ratio (%)</t>
        </is>
      </c>
      <c r="B5" s="6" t="inlineStr">
        <is>
          <t>5.19%</t>
        </is>
      </c>
      <c r="C5" s="6" t="n"/>
      <c r="D5" s="6" t="inlineStr">
        <is>
          <t>6.01%</t>
        </is>
      </c>
      <c r="E5" s="6" t="inlineStr">
        <is>
          <t>14.58%</t>
        </is>
      </c>
      <c r="F5" s="6" t="inlineStr">
        <is>
          <t>23.4%</t>
        </is>
      </c>
      <c r="G5" s="6" t="n"/>
      <c r="H5" s="6" t="n"/>
    </row>
    <row r="6" ht="60" customHeight="1">
      <c r="A6" s="7" t="inlineStr">
        <is>
          <t>Note: FY2024 is blank - no Pillar 3 disclosure 'as at 31 March 2024' was published/archived. FY2019 and FY2020 are also blank on every Pillar 3 sheet - Chetwood published no Pillar 3 disclosure at all for those two years (its FY2018/FY2019 statutory accounts say a Pillar 3 document 'will be published...in due course', but the earliest one actually published/archived is 'as at 31 March 2021'). See source note. Unlike Barclays/Monzo, Chetwood's disclosures do not distinguish an 'excluding/including claims on central banks' basis in any year - a single leverage ratio definition is used throughout (Tier 1 capital / total exposure measure). FY2021 used a pre-KM1 narrative table; FY2022 onward uses the formal KM1 rows 13-14.</t>
        </is>
      </c>
    </row>
    <row r="8" ht="150" customHeight="1">
      <c r="A8" s="8" t="inlineStr">
        <is>
          <t>Sources (see entity note on Cash Flow Statement sheet):
FY2025: Chetwood Bank Pillar 3 Disclosures, September 2025 (as at 31 March 2025), Section 5 (Key Metrics - KM1) - https://chetwoodbank.co.uk/documents/chetwood-bank-pillar-three-disclosures.pdf
FY2024: No Pillar 3 disclosure 'as at 31 March 2024' was found - not published on Chetwood's live site (which hosts only the current edition at a non-dated URL) and no snapshot was captured by the Internet Archive Wayback Machine between the FY2023 edition (published Jan 2024) and the FY2025 edition (published Sept 2025). Left blank.
FY2023: Chetwood Financial Ltd Pillar 3 Disclosure, as at 31 March 2023, Section 6 (Key Metrics - KM1) and Section 7.1 (Capital Resources) - http://web.archive.org/web/20240315022245/https://chetwood.co/static/330c40d433df90b83d3b3e5c673e21cc/Pillar3Disclosures.pdf
FY2022: Chetwood Financial Ltd Pillar 3 Disclosure, as at 31 March 2022, Annex B (Key Metrics - KM1) - http://web.archive.org/web/20230131235943/https://chetwood.co/static/815e2dd174c4655ddf55a93ca1029ce3/Pillar3Disclosures.pdf
FY2021: Chetwood Financial Ltd Pillar 3 Disclosure, as at 31 March 2021, Section 1.2 (Summary Analysis) and Section 4 (Capital Resources) - http://web.archive.org/web/20211128171331/https://chetwood.co/static/221a3946677e4d8c49c5525d22f9b534/Pillar3Disclosures.pdf (pre-dates the formal KM1 template; Chetwood adopted the CRR KM1 annex from the FY2022 report onward)
FY2019/FY2020: No Pillar 3 disclosure was ever published for these years - as at 31 March 2021 is Chetwood's earliest published/archived Pillar 3 document. Left blank.</t>
        </is>
      </c>
    </row>
  </sheetData>
  <mergeCells count="2">
    <mergeCell ref="A8:H8"/>
    <mergeCell ref="A6:H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Chetwood Financial Limited — LCR</t>
        </is>
      </c>
    </row>
    <row r="2">
      <c r="A2" s="2" t="inlineStr">
        <is>
          <t>£'000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FY2024*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FY2021†</t>
        </is>
      </c>
      <c r="G3" s="4" t="inlineStr">
        <is>
          <t>FY2020†‡</t>
        </is>
      </c>
      <c r="H3" s="4" t="inlineStr">
        <is>
          <t>FY2019†‡</t>
        </is>
      </c>
    </row>
    <row r="4">
      <c r="A4" s="6" t="inlineStr">
        <is>
          <t>Total high-quality liquid assets (HQLA) (weighted value - average)</t>
        </is>
      </c>
      <c r="B4" s="6" t="n">
        <v>897493</v>
      </c>
      <c r="C4" s="6" t="n"/>
      <c r="D4" s="6" t="n">
        <v>302266</v>
      </c>
      <c r="E4" s="6" t="n">
        <v>67841</v>
      </c>
      <c r="F4" s="6" t="n"/>
      <c r="G4" s="6" t="n"/>
      <c r="H4" s="6" t="n"/>
    </row>
    <row r="5">
      <c r="A5" s="6" t="inlineStr">
        <is>
          <t>Cash outflows - total weighted value</t>
        </is>
      </c>
      <c r="B5" s="6" t="n">
        <v>489794</v>
      </c>
      <c r="C5" s="6" t="n"/>
      <c r="D5" s="6" t="n">
        <v>52035</v>
      </c>
      <c r="E5" s="6" t="n">
        <v>5627</v>
      </c>
      <c r="F5" s="6" t="n"/>
      <c r="G5" s="6" t="n"/>
      <c r="H5" s="6" t="n"/>
    </row>
    <row r="6">
      <c r="A6" s="6" t="inlineStr">
        <is>
          <t>Cash inflows - total weighted value</t>
        </is>
      </c>
      <c r="B6" s="6" t="n">
        <v>28009</v>
      </c>
      <c r="C6" s="6" t="n"/>
      <c r="D6" s="6" t="n">
        <v>15169</v>
      </c>
      <c r="E6" s="6" t="n">
        <v>13656</v>
      </c>
      <c r="F6" s="6" t="n"/>
      <c r="G6" s="6" t="n"/>
      <c r="H6" s="6" t="n"/>
    </row>
    <row r="7">
      <c r="A7" s="6" t="inlineStr">
        <is>
          <t>Total net cash outflows (adjusted value)</t>
        </is>
      </c>
      <c r="B7" s="6" t="n">
        <v>461785</v>
      </c>
      <c r="C7" s="6" t="n"/>
      <c r="D7" s="6" t="n">
        <v>36865</v>
      </c>
      <c r="E7" s="6" t="n">
        <v>1407</v>
      </c>
      <c r="F7" s="6" t="n"/>
      <c r="G7" s="6" t="n"/>
      <c r="H7" s="6" t="n"/>
    </row>
    <row r="8">
      <c r="A8" s="6" t="inlineStr">
        <is>
          <t>Liquidity Coverage Ratio (%)</t>
        </is>
      </c>
      <c r="B8" s="6" t="inlineStr">
        <is>
          <t>194%</t>
        </is>
      </c>
      <c r="C8" s="6" t="n"/>
      <c r="D8" s="6" t="inlineStr">
        <is>
          <t>1,015%</t>
        </is>
      </c>
      <c r="E8" s="6" t="inlineStr">
        <is>
          <t>4,823%</t>
        </is>
      </c>
      <c r="F8" s="6" t="inlineStr">
        <is>
          <t>51,086%</t>
        </is>
      </c>
      <c r="G8" s="6" t="n"/>
      <c r="H8" s="6" t="n"/>
    </row>
    <row r="9" ht="60" customHeight="1">
      <c r="A9" s="7" t="inlineStr">
        <is>
          <t>Note: FY2024 is blank - no Pillar 3 disclosure 'as at 31 March 2024' was published/archived. FY2019 and FY2020 are also blank on every Pillar 3 sheet - Chetwood published no Pillar 3 disclosure at all for those two years (its FY2018/FY2019 statutory accounts say a Pillar 3 document 'will be published...in due course', but the earliest one actually published/archived is 'as at 31 March 2021'). See source note. FY2021 disclosed only the headline ratio in narrative form (no HQLA/outflow £ breakdown was published that year - the formal KM1 liquidity rows were introduced from FY2022). Chetwood's LCR ratios are extremely high because, as a young/small deposit-taker at the time, its regulatory outflow assumptions were small relative to its liquid asset holdings - this is as disclosed by Chetwood, not a transcription error.</t>
        </is>
      </c>
    </row>
    <row r="11" ht="150" customHeight="1">
      <c r="A11" s="8" t="inlineStr">
        <is>
          <t>Sources (see entity note on Cash Flow Statement sheet):
FY2025: Chetwood Bank Pillar 3 Disclosures, September 2025 (as at 31 March 2025), Section 5 (Key Metrics - KM1) - https://chetwoodbank.co.uk/documents/chetwood-bank-pillar-three-disclosures.pdf
FY2024: No Pillar 3 disclosure 'as at 31 March 2024' was found - not published on Chetwood's live site (which hosts only the current edition at a non-dated URL) and no snapshot was captured by the Internet Archive Wayback Machine between the FY2023 edition (published Jan 2024) and the FY2025 edition (published Sept 2025). Left blank.
FY2023: Chetwood Financial Ltd Pillar 3 Disclosure, as at 31 March 2023, Section 6 (Key Metrics - KM1) and Section 7.1 (Capital Resources) - http://web.archive.org/web/20240315022245/https://chetwood.co/static/330c40d433df90b83d3b3e5c673e21cc/Pillar3Disclosures.pdf
FY2022: Chetwood Financial Ltd Pillar 3 Disclosure, as at 31 March 2022, Annex B (Key Metrics - KM1) - http://web.archive.org/web/20230131235943/https://chetwood.co/static/815e2dd174c4655ddf55a93ca1029ce3/Pillar3Disclosures.pdf
FY2021: Chetwood Financial Ltd Pillar 3 Disclosure, as at 31 March 2021, Section 1.2 (Summary Analysis) and Section 4 (Capital Resources) - http://web.archive.org/web/20211128171331/https://chetwood.co/static/221a3946677e4d8c49c5525d22f9b534/Pillar3Disclosures.pdf (pre-dates the formal KM1 template; Chetwood adopted the CRR KM1 annex from the FY2022 report onward)
FY2019/FY2020: No Pillar 3 disclosure was ever published for these years - as at 31 March 2021 is Chetwood's earliest published/archived Pillar 3 document. Left blank.</t>
        </is>
      </c>
    </row>
  </sheetData>
  <mergeCells count="2">
    <mergeCell ref="A9:H9"/>
    <mergeCell ref="A11:H1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Chetwood Financial Limited — NSFR</t>
        </is>
      </c>
    </row>
    <row r="2">
      <c r="A2" s="2" t="inlineStr">
        <is>
          <t>£'000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FY2024*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FY2021†</t>
        </is>
      </c>
      <c r="G3" s="4" t="inlineStr">
        <is>
          <t>FY2020†‡</t>
        </is>
      </c>
      <c r="H3" s="4" t="inlineStr">
        <is>
          <t>FY2019†‡</t>
        </is>
      </c>
    </row>
    <row r="4">
      <c r="A4" s="6" t="inlineStr">
        <is>
          <t>Total available stable funding</t>
        </is>
      </c>
      <c r="B4" s="6" t="n">
        <v>3677559</v>
      </c>
      <c r="C4" s="6" t="n"/>
      <c r="D4" s="6" t="n">
        <v>1387511</v>
      </c>
      <c r="E4" s="6" t="n">
        <v>380549</v>
      </c>
      <c r="F4" s="6" t="n"/>
      <c r="G4" s="6" t="n"/>
      <c r="H4" s="6" t="n"/>
    </row>
    <row r="5">
      <c r="A5" s="6" t="inlineStr">
        <is>
          <t>Total required stable funding</t>
        </is>
      </c>
      <c r="B5" s="6" t="n">
        <v>2536343</v>
      </c>
      <c r="C5" s="6" t="n"/>
      <c r="D5" s="6" t="n">
        <v>572002</v>
      </c>
      <c r="E5" s="6" t="n">
        <v>233566</v>
      </c>
      <c r="F5" s="6" t="n"/>
      <c r="G5" s="6" t="n"/>
      <c r="H5" s="6" t="n"/>
    </row>
    <row r="6">
      <c r="A6" s="6" t="inlineStr">
        <is>
          <t>Net Stable Funding Ratio (%)</t>
        </is>
      </c>
      <c r="B6" s="6" t="inlineStr">
        <is>
          <t>145%</t>
        </is>
      </c>
      <c r="C6" s="6" t="n"/>
      <c r="D6" s="6" t="inlineStr">
        <is>
          <t>243%</t>
        </is>
      </c>
      <c r="E6" s="6" t="inlineStr">
        <is>
          <t>162.9%</t>
        </is>
      </c>
      <c r="F6" s="6" t="inlineStr">
        <is>
          <t>146.5%</t>
        </is>
      </c>
      <c r="G6" s="6" t="n"/>
      <c r="H6" s="6" t="n"/>
    </row>
    <row r="7" ht="60" customHeight="1">
      <c r="A7" s="7" t="inlineStr">
        <is>
          <t>Note: FY2024 is blank - no Pillar 3 disclosure 'as at 31 March 2024' was published/archived. FY2019 and FY2020 are also blank on every Pillar 3 sheet - Chetwood published no Pillar 3 disclosure at all for those two years (its FY2018/FY2019 statutory accounts say a Pillar 3 document 'will be published...in due course', but the earliest one actually published/archived is 'as at 31 March 2021'). See source note. FY2021's NSFR figure (146.5%) is quoted exactly as printed in the FY2021 Pillar 3 report, which oddly labels it 'as at the 31 March 2020' in a document otherwise dated 'as at 31 March 2021' - this looks like a typo in Chetwood's own document, but it is reproduced verbatim rather than silently corrected; no £ breakdown was published for FY2021 (the formal KM1 NSFR rows were introduced from FY2022).</t>
        </is>
      </c>
    </row>
    <row r="9" ht="150" customHeight="1">
      <c r="A9" s="8" t="inlineStr">
        <is>
          <t>Sources (see entity note on Cash Flow Statement sheet):
FY2025: Chetwood Bank Pillar 3 Disclosures, September 2025 (as at 31 March 2025), Section 5 (Key Metrics - KM1) - https://chetwoodbank.co.uk/documents/chetwood-bank-pillar-three-disclosures.pdf
FY2024: No Pillar 3 disclosure 'as at 31 March 2024' was found - not published on Chetwood's live site (which hosts only the current edition at a non-dated URL) and no snapshot was captured by the Internet Archive Wayback Machine between the FY2023 edition (published Jan 2024) and the FY2025 edition (published Sept 2025). Left blank.
FY2023: Chetwood Financial Ltd Pillar 3 Disclosure, as at 31 March 2023, Section 6 (Key Metrics - KM1) and Section 7.1 (Capital Resources) - http://web.archive.org/web/20240315022245/https://chetwood.co/static/330c40d433df90b83d3b3e5c673e21cc/Pillar3Disclosures.pdf
FY2022: Chetwood Financial Ltd Pillar 3 Disclosure, as at 31 March 2022, Annex B (Key Metrics - KM1) - http://web.archive.org/web/20230131235943/https://chetwood.co/static/815e2dd174c4655ddf55a93ca1029ce3/Pillar3Disclosures.pdf
FY2021: Chetwood Financial Ltd Pillar 3 Disclosure, as at 31 March 2021, Section 1.2 (Summary Analysis) and Section 4 (Capital Resources) - http://web.archive.org/web/20211128171331/https://chetwood.co/static/221a3946677e4d8c49c5525d22f9b534/Pillar3Disclosures.pdf (pre-dates the formal KM1 template; Chetwood adopted the CRR KM1 annex from the FY2022 report onward)
FY2019/FY2020: No Pillar 3 disclosure was ever published for these years - as at 31 March 2021 is Chetwood's earliest published/archived Pillar 3 document. Left blank.</t>
        </is>
      </c>
    </row>
  </sheetData>
  <mergeCells count="2">
    <mergeCell ref="A7:H7"/>
    <mergeCell ref="A9:H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Chetwood Financial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FY2024*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FY2021†</t>
        </is>
      </c>
      <c r="G3" s="4" t="inlineStr">
        <is>
          <t>FY2020†‡</t>
        </is>
      </c>
      <c r="H3" s="4" t="inlineStr">
        <is>
          <t>FY2019†‡</t>
        </is>
      </c>
    </row>
    <row r="4">
      <c r="A4" s="6" t="inlineStr">
        <is>
          <t>MREL ratio</t>
        </is>
      </c>
      <c r="B4" s="6" t="inlineStr">
        <is>
          <t>Not applicable</t>
        </is>
      </c>
      <c r="C4" s="6" t="inlineStr">
        <is>
          <t>Not applicable</t>
        </is>
      </c>
      <c r="D4" s="6" t="inlineStr">
        <is>
          <t>Not applicable</t>
        </is>
      </c>
      <c r="E4" s="6" t="inlineStr">
        <is>
          <t>Not applicable</t>
        </is>
      </c>
      <c r="F4" s="6" t="inlineStr">
        <is>
          <t>Not applicable</t>
        </is>
      </c>
      <c r="G4" s="6" t="n"/>
      <c r="H4" s="6" t="n"/>
    </row>
    <row r="5" ht="60" customHeight="1">
      <c r="A5" s="7" t="inlineStr">
        <is>
          <t>Note: Chetwood is classified as a 'small and non-complex institution' (SNCI) and is not subject to any MREL requirement above its minimum capital requirement - stated explicitly in the FY2021, FY2022 and FY2023 Pillar 3 reports ('...has no minimum requirements for Own funds and Eligible Liabilities (MREL) above its [minimum capital requirement]'). The FY2025 report uses a shorter reduced-disclosure format that omits this narrative section, but there is no indication Chetwood's MREL/SNCI status has changed. FY2019/FY2020 are left blank rather than 'Not applicable' - no Pillar 3 disclosure was published for those years, so Chetwood's SNCI/MREL status at that time was never publicly stated.</t>
        </is>
      </c>
    </row>
    <row r="7" ht="150" customHeight="1">
      <c r="A7" s="8" t="inlineStr">
        <is>
          <t>Sources (see entity note on Cash Flow Statement sheet):
FY2025: Chetwood Bank Pillar 3 Disclosures, September 2025 (as at 31 March 2025), Section 5 (Key Metrics - KM1) - https://chetwoodbank.co.uk/documents/chetwood-bank-pillar-three-disclosures.pdf
FY2024: No Pillar 3 disclosure 'as at 31 March 2024' was found - not published on Chetwood's live site (which hosts only the current edition at a non-dated URL) and no snapshot was captured by the Internet Archive Wayback Machine between the FY2023 edition (published Jan 2024) and the FY2025 edition (published Sept 2025). Left blank.
FY2023: Chetwood Financial Ltd Pillar 3 Disclosure, as at 31 March 2023, Section 6 (Key Metrics - KM1) and Section 7.1 (Capital Resources) - http://web.archive.org/web/20240315022245/https://chetwood.co/static/330c40d433df90b83d3b3e5c673e21cc/Pillar3Disclosures.pdf
FY2022: Chetwood Financial Ltd Pillar 3 Disclosure, as at 31 March 2022, Annex B (Key Metrics - KM1) - http://web.archive.org/web/20230131235943/https://chetwood.co/static/815e2dd174c4655ddf55a93ca1029ce3/Pillar3Disclosures.pdf
FY2021: Chetwood Financial Ltd Pillar 3 Disclosure, as at 31 March 2021, Section 1.2 (Summary Analysis) and Section 4 (Capital Resources) - http://web.archive.org/web/20211128171331/https://chetwood.co/static/221a3946677e4d8c49c5525d22f9b534/Pillar3Disclosures.pdf (pre-dates the formal KM1 template; Chetwood adopted the CRR KM1 annex from the FY2022 report onward)
FY2019/FY2020: No Pillar 3 disclosure was ever published for these years - as at 31 March 2021 is Chetwood's earliest published/archived Pillar 3 document. Left blank.</t>
        </is>
      </c>
    </row>
  </sheetData>
  <mergeCells count="2">
    <mergeCell ref="A7:H7"/>
    <mergeCell ref="A5:H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2026-09-06T16:32:55Z</dcterms:created>
  <dcterms:modified xmlns:dcterms="http://purl.org/dc/terms/" xmlns:xsi="http://www.w3.org/2001/XMLSchema-instance" xsi:type="dcterms:W3CDTF">2026-09-06T16:32:55Z</dcterms:modified>
</cp:coreProperties>
</file>