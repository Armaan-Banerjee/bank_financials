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BA6" t="n">
        <v>30</v>
      </c>
      <c r="BB6" t="n">
        <v>28</v>
      </c>
      <c r="BC6" t="n">
        <v>29.3</v>
      </c>
      <c r="BD6" t="n">
        <v>26.6</v>
      </c>
      <c r="BF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BA7" t="n">
        <v>30</v>
      </c>
      <c r="BB7" t="n">
        <v>28</v>
      </c>
      <c r="BC7" t="n">
        <v>29.3</v>
      </c>
      <c r="BD7" t="n">
        <v>26.6</v>
      </c>
      <c r="BF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BA8" t="n">
        <v>31</v>
      </c>
      <c r="BB8" t="n">
        <v>28</v>
      </c>
      <c r="BC8" t="n">
        <v>29.3</v>
      </c>
      <c r="BD8" t="n">
        <v>26.6</v>
      </c>
      <c r="BF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BA9" t="n">
        <v>19</v>
      </c>
      <c r="BB9" t="n">
        <v>23.4</v>
      </c>
      <c r="BC9" t="n">
        <v>14.58</v>
      </c>
      <c r="BD9" t="n">
        <v>6.01</v>
      </c>
      <c r="BF9" t="n">
        <v>5.19</v>
      </c>
    </row>
    <row r="10">
      <c r="AY10" t="inlineStr">
        <is>
          <t>LCR</t>
        </is>
      </c>
      <c r="BA10" t="n">
        <v>68110</v>
      </c>
      <c r="BB10" t="n">
        <v>51086</v>
      </c>
      <c r="BC10" t="n">
        <v>4823</v>
      </c>
      <c r="BD10" t="n">
        <v>1015</v>
      </c>
      <c r="BF10" t="n">
        <v>194</v>
      </c>
    </row>
    <row r="11">
      <c r="A11" s="3" t="inlineStr">
        <is>
          <t>Profit &amp; Loss Summary (£'000)</t>
        </is>
      </c>
      <c r="AY11" t="inlineStr">
        <is>
          <t>NSFR</t>
        </is>
      </c>
      <c r="BA11" t="n">
        <v>193</v>
      </c>
      <c r="BB11" t="n">
        <v>146.5</v>
      </c>
      <c r="BC11" t="n">
        <v>162.9</v>
      </c>
      <c r="BD11" t="n">
        <v>243</v>
      </c>
      <c r="BF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15.2%</t>
        </is>
      </c>
      <c r="C33" s="6" t="n"/>
      <c r="D33" s="6" t="inlineStr">
        <is>
          <t>26.6%</t>
        </is>
      </c>
      <c r="E33" s="6" t="inlineStr">
        <is>
          <t>29.3%</t>
        </is>
      </c>
      <c r="F33" s="6" t="inlineStr">
        <is>
          <t>28%</t>
        </is>
      </c>
      <c r="G33" s="6" t="inlineStr">
        <is>
          <t>30%</t>
        </is>
      </c>
      <c r="H33" s="6" t="n"/>
    </row>
    <row r="34">
      <c r="A34" s="6" t="inlineStr">
        <is>
          <t>Tier 1 Ratio</t>
        </is>
      </c>
      <c r="B34" s="6" t="inlineStr">
        <is>
          <t>15.2%</t>
        </is>
      </c>
      <c r="C34" s="6" t="n"/>
      <c r="D34" s="6" t="inlineStr">
        <is>
          <t>26.6%</t>
        </is>
      </c>
      <c r="E34" s="6" t="inlineStr">
        <is>
          <t>29.3%</t>
        </is>
      </c>
      <c r="F34" s="6" t="inlineStr">
        <is>
          <t>28%</t>
        </is>
      </c>
      <c r="G34" s="6" t="inlineStr">
        <is>
          <t>30%</t>
        </is>
      </c>
      <c r="H34" s="6" t="n"/>
    </row>
    <row r="35">
      <c r="A35" s="6" t="inlineStr">
        <is>
          <t>Total Capital Ratio</t>
        </is>
      </c>
      <c r="B35" s="6" t="inlineStr">
        <is>
          <t>15.2%</t>
        </is>
      </c>
      <c r="C35" s="6" t="n"/>
      <c r="D35" s="6" t="inlineStr">
        <is>
          <t>26.6%</t>
        </is>
      </c>
      <c r="E35" s="6" t="inlineStr">
        <is>
          <t>29.3%</t>
        </is>
      </c>
      <c r="F35" s="6" t="inlineStr">
        <is>
          <t>28%</t>
        </is>
      </c>
      <c r="G35" s="6" t="inlineStr">
        <is>
          <t>31%</t>
        </is>
      </c>
      <c r="H35" s="6" t="n"/>
    </row>
    <row r="36">
      <c r="A36" s="6" t="inlineStr">
        <is>
          <t>Leverage Ratio</t>
        </is>
      </c>
      <c r="B36" s="6" t="inlineStr">
        <is>
          <t>5.19%</t>
        </is>
      </c>
      <c r="C36" s="6" t="n"/>
      <c r="D36" s="6" t="inlineStr">
        <is>
          <t>6.01%</t>
        </is>
      </c>
      <c r="E36" s="6" t="inlineStr">
        <is>
          <t>14.58%</t>
        </is>
      </c>
      <c r="F36" s="6" t="inlineStr">
        <is>
          <t>23.4%</t>
        </is>
      </c>
      <c r="G36" s="6" t="inlineStr">
        <is>
          <t>19%</t>
        </is>
      </c>
      <c r="H36" s="6" t="n"/>
    </row>
    <row r="37">
      <c r="A37" s="6" t="inlineStr">
        <is>
          <t>LCR</t>
        </is>
      </c>
      <c r="B37" s="6" t="inlineStr">
        <is>
          <t>194%</t>
        </is>
      </c>
      <c r="C37" s="6" t="n"/>
      <c r="D37" s="6" t="inlineStr">
        <is>
          <t>1,015%</t>
        </is>
      </c>
      <c r="E37" s="6" t="inlineStr">
        <is>
          <t>4,823%</t>
        </is>
      </c>
      <c r="F37" s="6" t="inlineStr">
        <is>
          <t>51,086%</t>
        </is>
      </c>
      <c r="G37" s="6" t="inlineStr">
        <is>
          <t>68,110%</t>
        </is>
      </c>
      <c r="H37" s="6" t="n"/>
    </row>
    <row r="38">
      <c r="A38" s="6" t="inlineStr">
        <is>
          <t>NSFR</t>
        </is>
      </c>
      <c r="B38" s="6" t="inlineStr">
        <is>
          <t>145%</t>
        </is>
      </c>
      <c r="C38" s="6" t="n"/>
      <c r="D38" s="6" t="inlineStr">
        <is>
          <t>243%</t>
        </is>
      </c>
      <c r="E38" s="6" t="inlineStr">
        <is>
          <t>162.9%</t>
        </is>
      </c>
      <c r="F38" s="6" t="inlineStr">
        <is>
          <t>146.5%</t>
        </is>
      </c>
      <c r="G38" s="6" t="inlineStr">
        <is>
          <t>193%</t>
        </is>
      </c>
      <c r="H38" s="6" t="n"/>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15.2%</t>
        </is>
      </c>
      <c r="C4" s="6" t="n"/>
      <c r="D4" s="6" t="inlineStr">
        <is>
          <t>26.6%</t>
        </is>
      </c>
      <c r="E4" s="6" t="inlineStr">
        <is>
          <t>29.3%</t>
        </is>
      </c>
      <c r="F4" s="6" t="inlineStr">
        <is>
          <t>28%</t>
        </is>
      </c>
      <c r="G4" s="6" t="inlineStr">
        <is>
          <t>30%</t>
        </is>
      </c>
      <c r="H4" s="6" t="n"/>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are the only source that states any FY2024 capital ratio, so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15.2%</t>
        </is>
      </c>
      <c r="C4" s="6" t="n"/>
      <c r="D4" s="6" t="inlineStr">
        <is>
          <t>26.6%</t>
        </is>
      </c>
      <c r="E4" s="6" t="inlineStr">
        <is>
          <t>29.3%</t>
        </is>
      </c>
      <c r="F4" s="6" t="inlineStr">
        <is>
          <t>28%</t>
        </is>
      </c>
      <c r="G4" s="6" t="inlineStr">
        <is>
          <t>30%</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187605</v>
      </c>
      <c r="C4" s="6" t="n"/>
      <c r="D4" s="6" t="n">
        <v>91268</v>
      </c>
      <c r="E4" s="6" t="n">
        <v>57554</v>
      </c>
      <c r="F4" s="6" t="n">
        <v>50637</v>
      </c>
      <c r="G4" s="6" t="n">
        <v>52835</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15.2%</t>
        </is>
      </c>
      <c r="C4" s="6" t="n"/>
      <c r="D4" s="6" t="inlineStr">
        <is>
          <t>26.6%</t>
        </is>
      </c>
      <c r="E4" s="6" t="inlineStr">
        <is>
          <t>29.3%</t>
        </is>
      </c>
      <c r="F4" s="6" t="inlineStr">
        <is>
          <t>28%</t>
        </is>
      </c>
      <c r="G4" s="6" t="inlineStr">
        <is>
          <t>31%</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1233321</v>
      </c>
      <c r="C4" s="6" t="n">
        <v>824623</v>
      </c>
      <c r="D4" s="6" t="n">
        <v>343668</v>
      </c>
      <c r="E4" s="6" t="n">
        <v>196750</v>
      </c>
      <c r="F4" s="6" t="n">
        <v>178987</v>
      </c>
      <c r="G4" s="6" t="n">
        <v>171000</v>
      </c>
      <c r="H4" s="6" t="n"/>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 is populated (unlike the other Pillar 3 sheets) because the FY2025 Pillar 3 document's own OV1 table (Section 6.3) discloses a full FY2024 comparative Total row (824,623) - the same figure the RWA Breakdown sheet's FY2024 column sums to. The KM1 template (Section 5) and LCR/NSFR/Overall Capital Requirement tables (Sections 5-6.6) that supply every other Pillar 3 metric on this workbook are all single-column ('as at 31 March 2025' only, no FY2024 comparative) - confirmed by reading the full FY2025 Pillar 3 document page by page, so CET1/Tier 1/Total Capital/all ratios/Leverage/LCR/NSFR/MREL genuinely remain blank for FY2024.</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RWA by risk category</t>
        </is>
      </c>
      <c r="B4" s="6" t="n"/>
      <c r="C4" s="6" t="n"/>
      <c r="D4" s="6" t="n"/>
      <c r="E4" s="6" t="n"/>
      <c r="F4" s="6" t="n"/>
      <c r="G4" s="6" t="n"/>
      <c r="H4" s="6" t="n"/>
    </row>
    <row r="5">
      <c r="A5" s="6" t="inlineStr">
        <is>
          <t>Credit risk (excluding CCR)</t>
        </is>
      </c>
      <c r="B5" s="6" t="n">
        <v>1017779</v>
      </c>
      <c r="C5" s="6" t="n">
        <v>703828</v>
      </c>
      <c r="D5" s="6" t="n">
        <v>290536</v>
      </c>
      <c r="E5" s="6" t="n">
        <v>179962</v>
      </c>
      <c r="F5" s="6" t="n">
        <v>126942</v>
      </c>
      <c r="G5" s="6" t="n">
        <v>119400</v>
      </c>
      <c r="H5" s="6" t="n"/>
    </row>
    <row r="6">
      <c r="A6" s="6" t="inlineStr">
        <is>
          <t>Counterparty credit risk (CCR)</t>
        </is>
      </c>
      <c r="B6" s="6" t="n">
        <v>23777</v>
      </c>
      <c r="C6" s="6" t="n">
        <v>13638</v>
      </c>
      <c r="D6" s="6" t="n">
        <v>4143</v>
      </c>
      <c r="E6" s="6" t="n">
        <v>1937</v>
      </c>
      <c r="F6" s="6" t="n">
        <v>450</v>
      </c>
      <c r="G6" s="6" t="n"/>
      <c r="H6" s="6" t="n"/>
    </row>
    <row r="7">
      <c r="A7" s="6" t="inlineStr">
        <is>
          <t>Securitisation exposures in the non-trading book</t>
        </is>
      </c>
      <c r="B7" s="6" t="n">
        <v>102610</v>
      </c>
      <c r="C7" s="6" t="n">
        <v>62980</v>
      </c>
      <c r="D7" s="6" t="n">
        <v>18124</v>
      </c>
      <c r="E7" s="6" t="n"/>
      <c r="F7" s="6" t="n"/>
      <c r="G7" s="6" t="n"/>
      <c r="H7" s="6" t="n"/>
    </row>
    <row r="8">
      <c r="A8" s="6" t="inlineStr">
        <is>
          <t>Operational risk</t>
        </is>
      </c>
      <c r="B8" s="6" t="n">
        <v>89154</v>
      </c>
      <c r="C8" s="6" t="n">
        <v>44177</v>
      </c>
      <c r="D8" s="6" t="n">
        <v>30865</v>
      </c>
      <c r="E8" s="6" t="n">
        <v>14852</v>
      </c>
      <c r="F8" s="6" t="n">
        <v>51595</v>
      </c>
      <c r="G8" s="6" t="n">
        <v>51600</v>
      </c>
      <c r="H8" s="6" t="n"/>
    </row>
    <row r="9">
      <c r="A9" s="5" t="inlineStr">
        <is>
          <t>Total</t>
        </is>
      </c>
      <c r="B9" s="5" t="n">
        <v>1233321</v>
      </c>
      <c r="C9" s="5" t="n">
        <v>824623</v>
      </c>
      <c r="D9" s="5" t="n">
        <v>343668</v>
      </c>
      <c r="E9" s="5" t="n">
        <v>196750</v>
      </c>
      <c r="F9" s="5" t="n">
        <v>178987</v>
      </c>
      <c r="G9" s="5" t="n">
        <v>171000</v>
      </c>
      <c r="H9" s="5" t="n"/>
    </row>
    <row r="11" ht="220" customHeight="1">
      <c r="A11" s="8" t="inlineStr">
        <is>
          <t>Sources - Chetwood's own Pillar 3 Disclosures, Section 6 'Overview of RWAs' (OV1 template from FY2022 onward; FY2021 uses an equivalent pre-KM1 category table).
FY2025/FY2024: Chetwood Bank Pillar 3 Disclosures, September 2025 (as at 31 March 2025), Section 6.3, which unlike the standalone FY2024 KM1 gap noted on the other Pillar 3 sheets, discloses its OV1 table's FY2024 comparative RWEA column in full - https://chetwoodbank.co.uk/documents/chetwood-bank-pillar-three-disclosures.pdf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FINDING: the other Pillar 3 sheets in this workbook leave FY2024 blank because no dedicated 'as at 31 March 2024' Pillar 3 document was ever published - true for the CET1/Tier 1/Total Capital/ratio figures. However the FY2025 Pillar 3 document's own OV1 table (used here) discloses a full FY2024 comparative RWEA-by-category column, so RWA Breakdown alone can be populated for FY2024 even though the other Pillar 3 sheets cannot.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11:H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total exposure measure</t>
        </is>
      </c>
      <c r="B4" s="6" t="n">
        <v>3615720</v>
      </c>
      <c r="C4" s="6" t="n"/>
      <c r="D4" s="6" t="n">
        <v>1519817</v>
      </c>
      <c r="E4" s="6" t="n">
        <v>394658</v>
      </c>
      <c r="F4" s="6" t="n">
        <v>216375</v>
      </c>
      <c r="G4" s="6" t="n"/>
      <c r="H4" s="6" t="n"/>
    </row>
    <row r="5">
      <c r="A5" s="6" t="inlineStr">
        <is>
          <t>Leverage ratio (%)</t>
        </is>
      </c>
      <c r="B5" s="6" t="inlineStr">
        <is>
          <t>5.19%</t>
        </is>
      </c>
      <c r="C5" s="6" t="n"/>
      <c r="D5" s="6" t="inlineStr">
        <is>
          <t>6.01%</t>
        </is>
      </c>
      <c r="E5" s="6" t="inlineStr">
        <is>
          <t>14.58%</t>
        </is>
      </c>
      <c r="F5" s="6" t="inlineStr">
        <is>
          <t>23.4%</t>
        </is>
      </c>
      <c r="G5" s="6" t="inlineStr">
        <is>
          <t>19%</t>
        </is>
      </c>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v>897493</v>
      </c>
      <c r="C4" s="6" t="n"/>
      <c r="D4" s="6" t="n">
        <v>302266</v>
      </c>
      <c r="E4" s="6" t="n">
        <v>67841</v>
      </c>
      <c r="F4" s="6" t="n"/>
      <c r="G4" s="6" t="n"/>
      <c r="H4" s="6" t="n"/>
    </row>
    <row r="5">
      <c r="A5" s="6" t="inlineStr">
        <is>
          <t>Cash outflows - total weighted value</t>
        </is>
      </c>
      <c r="B5" s="6" t="n">
        <v>489794</v>
      </c>
      <c r="C5" s="6" t="n"/>
      <c r="D5" s="6" t="n">
        <v>52035</v>
      </c>
      <c r="E5" s="6" t="n">
        <v>5627</v>
      </c>
      <c r="F5" s="6" t="n"/>
      <c r="G5" s="6" t="n"/>
      <c r="H5" s="6" t="n"/>
    </row>
    <row r="6">
      <c r="A6" s="6" t="inlineStr">
        <is>
          <t>Cash inflows - total weighted value</t>
        </is>
      </c>
      <c r="B6" s="6" t="n">
        <v>28009</v>
      </c>
      <c r="C6" s="6" t="n"/>
      <c r="D6" s="6" t="n">
        <v>15169</v>
      </c>
      <c r="E6" s="6" t="n">
        <v>13656</v>
      </c>
      <c r="F6" s="6" t="n"/>
      <c r="G6" s="6" t="n"/>
      <c r="H6" s="6" t="n"/>
    </row>
    <row r="7">
      <c r="A7" s="6" t="inlineStr">
        <is>
          <t>Total net cash outflows (adjusted value)</t>
        </is>
      </c>
      <c r="B7" s="6" t="n">
        <v>461785</v>
      </c>
      <c r="C7" s="6" t="n"/>
      <c r="D7" s="6" t="n">
        <v>36865</v>
      </c>
      <c r="E7" s="6" t="n">
        <v>1407</v>
      </c>
      <c r="F7" s="6" t="n"/>
      <c r="G7" s="6" t="n"/>
      <c r="H7" s="6" t="n"/>
    </row>
    <row r="8">
      <c r="A8" s="6" t="inlineStr">
        <is>
          <t>Liquidity Coverage Ratio (%)</t>
        </is>
      </c>
      <c r="B8" s="6" t="inlineStr">
        <is>
          <t>194%</t>
        </is>
      </c>
      <c r="C8" s="6" t="n"/>
      <c r="D8" s="6" t="inlineStr">
        <is>
          <t>1,015%</t>
        </is>
      </c>
      <c r="E8" s="6" t="inlineStr">
        <is>
          <t>4,823%</t>
        </is>
      </c>
      <c r="F8" s="6" t="inlineStr">
        <is>
          <t>51,086%</t>
        </is>
      </c>
      <c r="G8" s="6" t="inlineStr">
        <is>
          <t>68,110%</t>
        </is>
      </c>
      <c r="H8" s="6" t="n"/>
    </row>
    <row r="9" ht="60" customHeight="1">
      <c r="A9"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9:H9"/>
    <mergeCell ref="A11:H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3677559</v>
      </c>
      <c r="C4" s="6" t="n"/>
      <c r="D4" s="6" t="n">
        <v>1387511</v>
      </c>
      <c r="E4" s="6" t="n">
        <v>380549</v>
      </c>
      <c r="F4" s="6" t="n"/>
      <c r="G4" s="6" t="n"/>
      <c r="H4" s="6" t="n"/>
    </row>
    <row r="5">
      <c r="A5" s="6" t="inlineStr">
        <is>
          <t>Total required stable funding</t>
        </is>
      </c>
      <c r="B5" s="6" t="n">
        <v>2536343</v>
      </c>
      <c r="C5" s="6" t="n"/>
      <c r="D5" s="6" t="n">
        <v>572002</v>
      </c>
      <c r="E5" s="6" t="n">
        <v>233566</v>
      </c>
      <c r="F5" s="6" t="n"/>
      <c r="G5" s="6" t="n"/>
      <c r="H5" s="6" t="n"/>
    </row>
    <row r="6">
      <c r="A6" s="6" t="inlineStr">
        <is>
          <t>Net Stable Funding Ratio (%)</t>
        </is>
      </c>
      <c r="B6" s="6" t="inlineStr">
        <is>
          <t>145%</t>
        </is>
      </c>
      <c r="C6" s="6" t="n"/>
      <c r="D6" s="6" t="inlineStr">
        <is>
          <t>243%</t>
        </is>
      </c>
      <c r="E6" s="6" t="inlineStr">
        <is>
          <t>162.9%</t>
        </is>
      </c>
      <c r="F6" s="6" t="inlineStr">
        <is>
          <t>146.5%</t>
        </is>
      </c>
      <c r="G6" s="6" t="inlineStr">
        <is>
          <t>193%</t>
        </is>
      </c>
      <c r="H6" s="6" t="n"/>
    </row>
    <row r="7" ht="60" customHeight="1">
      <c r="A7"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n"/>
      <c r="H4" s="6" t="n"/>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2026-09-16T00:14:05Z</dcterms:created>
  <dcterms:modified xmlns:dcterms="http://purl.org/dc/terms/" xmlns:xsi="http://www.w3.org/2001/XMLSchema-instance" xsi:type="dcterms:W3CDTF">2026-09-16T00:14:05Z</dcterms:modified>
</cp:coreProperties>
</file>