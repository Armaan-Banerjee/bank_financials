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232"/>
        <bgColor rgb="000032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Chetwood Financial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Chetwood Financial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Chetwood Financial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 operating activities</t>
        </is>
      </c>
      <c r="B6" s="5" t="n">
        <v>43038</v>
      </c>
      <c r="C6" s="5" t="n">
        <v>189520</v>
      </c>
      <c r="D6" s="5" t="n">
        <v>653419</v>
      </c>
      <c r="E6" s="5" t="n">
        <v>16976</v>
      </c>
      <c r="F6" s="5" t="n">
        <v>-92120</v>
      </c>
      <c r="I6" t="inlineStr">
        <is>
          <t>Net cash from operating activities</t>
        </is>
      </c>
      <c r="J6" t="n">
        <v>-92120</v>
      </c>
      <c r="K6" t="n">
        <v>16976</v>
      </c>
      <c r="L6" t="n">
        <v>653419</v>
      </c>
      <c r="M6" t="n">
        <v>189520</v>
      </c>
      <c r="N6" t="n">
        <v>43038</v>
      </c>
      <c r="Q6" t="inlineStr">
        <is>
          <t>CET1 Ratio</t>
        </is>
      </c>
      <c r="R6" t="n">
        <v>28</v>
      </c>
      <c r="S6" t="n">
        <v>29.3</v>
      </c>
      <c r="T6" t="n">
        <v>26.6</v>
      </c>
      <c r="V6" t="n">
        <v>15.2</v>
      </c>
    </row>
    <row r="7">
      <c r="A7" s="5" t="inlineStr">
        <is>
          <t>Net cash from/(used in) investing activities</t>
        </is>
      </c>
      <c r="B7" s="5" t="n">
        <v>-741638</v>
      </c>
      <c r="C7" s="5" t="n">
        <v>-389775</v>
      </c>
      <c r="D7" s="5" t="n">
        <v>-124128</v>
      </c>
      <c r="E7" s="5" t="n">
        <v>-177719</v>
      </c>
      <c r="F7" s="5" t="n">
        <v>26853</v>
      </c>
      <c r="I7" t="inlineStr">
        <is>
          <t>Net cash from/(used in) investing activities</t>
        </is>
      </c>
      <c r="J7" t="n">
        <v>26853</v>
      </c>
      <c r="K7" t="n">
        <v>-177719</v>
      </c>
      <c r="L7" t="n">
        <v>-124128</v>
      </c>
      <c r="M7" t="n">
        <v>-389775</v>
      </c>
      <c r="N7" t="n">
        <v>-741638</v>
      </c>
      <c r="Q7" t="inlineStr">
        <is>
          <t>Tier 1 Ratio</t>
        </is>
      </c>
      <c r="R7" t="n">
        <v>28</v>
      </c>
      <c r="S7" t="n">
        <v>29.3</v>
      </c>
      <c r="T7" t="n">
        <v>26.6</v>
      </c>
      <c r="V7" t="n">
        <v>15.2</v>
      </c>
    </row>
    <row r="8">
      <c r="A8" s="5" t="inlineStr">
        <is>
          <t>Net cash from/(used in) financing activities</t>
        </is>
      </c>
      <c r="B8" s="5" t="n">
        <v>500016</v>
      </c>
      <c r="C8" s="5" t="n">
        <v>98027</v>
      </c>
      <c r="D8" s="5" t="n">
        <v>84573</v>
      </c>
      <c r="E8" s="5" t="n">
        <v>183068</v>
      </c>
      <c r="F8" s="5" t="n">
        <v>28960</v>
      </c>
      <c r="I8" t="inlineStr">
        <is>
          <t>Net cash from/(used in) financing activities</t>
        </is>
      </c>
      <c r="J8" t="n">
        <v>28960</v>
      </c>
      <c r="K8" t="n">
        <v>183068</v>
      </c>
      <c r="L8" t="n">
        <v>84573</v>
      </c>
      <c r="M8" t="n">
        <v>98027</v>
      </c>
      <c r="N8" t="n">
        <v>500016</v>
      </c>
      <c r="Q8" t="inlineStr">
        <is>
          <t>Total Capital Ratio</t>
        </is>
      </c>
      <c r="R8" t="n">
        <v>28</v>
      </c>
      <c r="S8" t="n">
        <v>29.3</v>
      </c>
      <c r="T8" t="n">
        <v>26.6</v>
      </c>
      <c r="V8" t="n">
        <v>15.2</v>
      </c>
    </row>
    <row r="9">
      <c r="A9" s="5" t="inlineStr">
        <is>
          <t>Closing cash and cash equivalents</t>
        </is>
      </c>
      <c r="B9" s="5" t="n">
        <v>387550</v>
      </c>
      <c r="C9" s="5" t="n">
        <v>586134</v>
      </c>
      <c r="D9" s="5" t="n">
        <v>688362</v>
      </c>
      <c r="E9" s="5" t="n">
        <v>74498</v>
      </c>
      <c r="F9" s="5" t="n">
        <v>52173</v>
      </c>
      <c r="I9" t="inlineStr">
        <is>
          <t>Closing cash and cash equivalents</t>
        </is>
      </c>
      <c r="J9" t="n">
        <v>52173</v>
      </c>
      <c r="K9" t="n">
        <v>74498</v>
      </c>
      <c r="L9" t="n">
        <v>688362</v>
      </c>
      <c r="M9" t="n">
        <v>586134</v>
      </c>
      <c r="N9" t="n">
        <v>387550</v>
      </c>
      <c r="Q9" t="inlineStr">
        <is>
          <t>Leverage Ratio</t>
        </is>
      </c>
      <c r="R9" t="n">
        <v>23.4</v>
      </c>
      <c r="S9" t="n">
        <v>14.58</v>
      </c>
      <c r="T9" t="n">
        <v>6.01</v>
      </c>
      <c r="V9" t="n">
        <v>5.19</v>
      </c>
    </row>
    <row r="10">
      <c r="Q10" t="inlineStr">
        <is>
          <t>LCR</t>
        </is>
      </c>
      <c r="R10" t="n">
        <v>51086</v>
      </c>
      <c r="S10" t="n">
        <v>4823</v>
      </c>
      <c r="T10" t="n">
        <v>1015</v>
      </c>
      <c r="V10" t="n">
        <v>194</v>
      </c>
    </row>
    <row r="11">
      <c r="A11" s="3" t="inlineStr">
        <is>
          <t>Pillar 3 Key Metrics</t>
        </is>
      </c>
      <c r="Q11" t="inlineStr">
        <is>
          <t>NSFR</t>
        </is>
      </c>
      <c r="R11" t="n">
        <v>146.5</v>
      </c>
      <c r="S11" t="n">
        <v>162.9</v>
      </c>
      <c r="T11" t="n">
        <v>243</v>
      </c>
      <c r="V11" t="n">
        <v>145</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15.2%</t>
        </is>
      </c>
      <c r="C13" s="6" t="n"/>
      <c r="D13" s="6" t="inlineStr">
        <is>
          <t>26.6%</t>
        </is>
      </c>
      <c r="E13" s="6" t="inlineStr">
        <is>
          <t>29.3%</t>
        </is>
      </c>
      <c r="F13" s="6" t="inlineStr">
        <is>
          <t>28%</t>
        </is>
      </c>
    </row>
    <row r="14">
      <c r="A14" s="6" t="inlineStr">
        <is>
          <t>Tier 1 Ratio</t>
        </is>
      </c>
      <c r="B14" s="6" t="inlineStr">
        <is>
          <t>15.2%</t>
        </is>
      </c>
      <c r="C14" s="6" t="n"/>
      <c r="D14" s="6" t="inlineStr">
        <is>
          <t>26.6%</t>
        </is>
      </c>
      <c r="E14" s="6" t="inlineStr">
        <is>
          <t>29.3%</t>
        </is>
      </c>
      <c r="F14" s="6" t="inlineStr">
        <is>
          <t>28%</t>
        </is>
      </c>
    </row>
    <row r="15">
      <c r="A15" s="6" t="inlineStr">
        <is>
          <t>Total Capital Ratio</t>
        </is>
      </c>
      <c r="B15" s="6" t="inlineStr">
        <is>
          <t>15.2%</t>
        </is>
      </c>
      <c r="C15" s="6" t="n"/>
      <c r="D15" s="6" t="inlineStr">
        <is>
          <t>26.6%</t>
        </is>
      </c>
      <c r="E15" s="6" t="inlineStr">
        <is>
          <t>29.3%</t>
        </is>
      </c>
      <c r="F15" s="6" t="inlineStr">
        <is>
          <t>28%</t>
        </is>
      </c>
    </row>
    <row r="16">
      <c r="A16" s="6" t="inlineStr">
        <is>
          <t>Leverage Ratio</t>
        </is>
      </c>
      <c r="B16" s="6" t="inlineStr">
        <is>
          <t>5.19%</t>
        </is>
      </c>
      <c r="C16" s="6" t="n"/>
      <c r="D16" s="6" t="inlineStr">
        <is>
          <t>6.01%</t>
        </is>
      </c>
      <c r="E16" s="6" t="inlineStr">
        <is>
          <t>14.58%</t>
        </is>
      </c>
      <c r="F16" s="6" t="inlineStr">
        <is>
          <t>23.4%</t>
        </is>
      </c>
    </row>
    <row r="17">
      <c r="A17" s="6" t="inlineStr">
        <is>
          <t>LCR</t>
        </is>
      </c>
      <c r="B17" s="6" t="inlineStr">
        <is>
          <t>194%</t>
        </is>
      </c>
      <c r="C17" s="6" t="n"/>
      <c r="D17" s="6" t="inlineStr">
        <is>
          <t>1,015%</t>
        </is>
      </c>
      <c r="E17" s="6" t="inlineStr">
        <is>
          <t>4,823%</t>
        </is>
      </c>
      <c r="F17" s="6" t="inlineStr">
        <is>
          <t>51,086%</t>
        </is>
      </c>
    </row>
    <row r="18">
      <c r="A18" s="6" t="inlineStr">
        <is>
          <t>NSFR</t>
        </is>
      </c>
      <c r="B18" s="6" t="inlineStr">
        <is>
          <t>145%</t>
        </is>
      </c>
      <c r="C18" s="6" t="n"/>
      <c r="D18" s="6" t="inlineStr">
        <is>
          <t>243%</t>
        </is>
      </c>
      <c r="E18" s="6" t="inlineStr">
        <is>
          <t>162.9%</t>
        </is>
      </c>
      <c r="F18" s="6" t="inlineStr">
        <is>
          <t>146.5%</t>
        </is>
      </c>
    </row>
    <row r="20" ht="45" customHeight="1">
      <c r="A20" s="7" t="inlineStr">
        <is>
          <t>Note: Figures are duplicated from the detail sheets for at-a-glance trend viewing; see each sheet's own source citation for the underlying document/page. FY2024 is blank - no Pillar 3 disclosure 'as at 31 March 2024' was published/archived. See source note.</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6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Chetwood Financial Limited — Cash Flow Statement</t>
        </is>
      </c>
    </row>
    <row r="2">
      <c r="A2" s="2" t="inlineStr">
        <is>
          <t>£'000 unless stated. Consolidated (Group) basis except FY2021 († standalone entity).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Loss after tax</t>
        </is>
      </c>
      <c r="B5" s="6" t="n"/>
      <c r="C5" s="6" t="n">
        <v>-8861</v>
      </c>
      <c r="D5" s="6" t="n">
        <v>-58148</v>
      </c>
      <c r="E5" s="6" t="n">
        <v>-29753</v>
      </c>
      <c r="F5" s="6" t="n">
        <v>-21310</v>
      </c>
    </row>
    <row r="6">
      <c r="A6" s="6" t="inlineStr">
        <is>
          <t>(Loss)/profit before tax</t>
        </is>
      </c>
      <c r="B6" s="6" t="n">
        <v>-4702</v>
      </c>
      <c r="C6" s="6" t="n"/>
      <c r="D6" s="6" t="n"/>
      <c r="E6" s="6" t="n"/>
      <c r="F6" s="6" t="n"/>
    </row>
    <row r="7">
      <c r="A7" s="6" t="inlineStr">
        <is>
          <t>Depreciation of property, plant and equipment</t>
        </is>
      </c>
      <c r="B7" s="6" t="n">
        <v>615</v>
      </c>
      <c r="C7" s="6" t="n">
        <v>560</v>
      </c>
      <c r="D7" s="6" t="n">
        <v>496</v>
      </c>
      <c r="E7" s="6" t="n">
        <v>322</v>
      </c>
      <c r="F7" s="6" t="n">
        <v>347</v>
      </c>
    </row>
    <row r="8">
      <c r="A8" s="6" t="inlineStr">
        <is>
          <t>Remeasurement of right-of-use asset</t>
        </is>
      </c>
      <c r="B8" s="6" t="n"/>
      <c r="C8" s="6" t="n"/>
      <c r="D8" s="6" t="n">
        <v>-217</v>
      </c>
      <c r="E8" s="6" t="n">
        <v>304</v>
      </c>
      <c r="F8" s="6" t="n"/>
    </row>
    <row r="9">
      <c r="A9" s="6" t="inlineStr">
        <is>
          <t>Amortisation of intangibles</t>
        </is>
      </c>
      <c r="B9" s="6" t="n">
        <v>536</v>
      </c>
      <c r="C9" s="6" t="n">
        <v>1261</v>
      </c>
      <c r="D9" s="6" t="n">
        <v>2235</v>
      </c>
      <c r="E9" s="6" t="n">
        <v>694</v>
      </c>
      <c r="F9" s="6" t="n">
        <v>106</v>
      </c>
    </row>
    <row r="10">
      <c r="A10" s="6" t="inlineStr">
        <is>
          <t>Impairment of intangibles</t>
        </is>
      </c>
      <c r="B10" s="6" t="n"/>
      <c r="C10" s="6" t="n">
        <v>985</v>
      </c>
      <c r="D10" s="6" t="n">
        <v>3069</v>
      </c>
      <c r="E10" s="6" t="n"/>
      <c r="F10" s="6" t="n"/>
    </row>
    <row r="11">
      <c r="A11" s="6" t="inlineStr">
        <is>
          <t>Interest income on debt securities</t>
        </is>
      </c>
      <c r="B11" s="6" t="n">
        <v>-50560</v>
      </c>
      <c r="C11" s="6" t="n">
        <v>-18163</v>
      </c>
      <c r="D11" s="6" t="n">
        <v>-1885</v>
      </c>
      <c r="E11" s="6" t="n"/>
      <c r="F11" s="6" t="n"/>
    </row>
    <row r="12">
      <c r="A12" s="6" t="inlineStr">
        <is>
          <t>Interest expense/(income) on financing activities</t>
        </is>
      </c>
      <c r="B12" s="6" t="n">
        <v>6800</v>
      </c>
      <c r="C12" s="6" t="n">
        <v>180</v>
      </c>
      <c r="D12" s="6" t="n">
        <v>36</v>
      </c>
      <c r="E12" s="6" t="n">
        <v>35</v>
      </c>
      <c r="F12" s="6" t="n">
        <v>40</v>
      </c>
    </row>
    <row r="13">
      <c r="A13" s="6" t="inlineStr">
        <is>
          <t>Equity-settled share-based payment transactions</t>
        </is>
      </c>
      <c r="B13" s="6" t="n">
        <v>144</v>
      </c>
      <c r="C13" s="6" t="n">
        <v>284</v>
      </c>
      <c r="D13" s="6" t="n">
        <v>85</v>
      </c>
      <c r="E13" s="6" t="n">
        <v>209</v>
      </c>
      <c r="F13" s="6" t="n">
        <v>102</v>
      </c>
    </row>
    <row r="14">
      <c r="A14" s="6" t="inlineStr">
        <is>
          <t>Movement in fair value of financial instruments at FVTPL</t>
        </is>
      </c>
      <c r="B14" s="6" t="n">
        <v>-22983</v>
      </c>
      <c r="C14" s="6" t="n">
        <v>9208</v>
      </c>
      <c r="D14" s="6" t="n">
        <v>1399</v>
      </c>
      <c r="E14" s="6" t="n"/>
      <c r="F14" s="6" t="n"/>
    </row>
    <row r="15">
      <c r="A15" s="6" t="inlineStr">
        <is>
          <t>Movement in fair value of derivative financial assets</t>
        </is>
      </c>
      <c r="B15" s="6" t="n"/>
      <c r="C15" s="6" t="n"/>
      <c r="D15" s="6" t="n"/>
      <c r="E15" s="6" t="n">
        <v>-119</v>
      </c>
      <c r="F15" s="6" t="n">
        <v>-15</v>
      </c>
    </row>
    <row r="16">
      <c r="A16" s="6" t="inlineStr">
        <is>
          <t>Movement in fair value of derivative financial liabilities</t>
        </is>
      </c>
      <c r="B16" s="6" t="n"/>
      <c r="C16" s="6" t="n"/>
      <c r="D16" s="6" t="n"/>
      <c r="E16" s="6" t="n">
        <v>452</v>
      </c>
      <c r="F16" s="6" t="n">
        <v>-4</v>
      </c>
    </row>
    <row r="17">
      <c r="A17" s="6" t="inlineStr">
        <is>
          <t>Fair value adjustment on hedged items</t>
        </is>
      </c>
      <c r="B17" s="6" t="n">
        <v>9005</v>
      </c>
      <c r="C17" s="6" t="n">
        <v>-11782</v>
      </c>
      <c r="D17" s="6" t="n">
        <v>-2217</v>
      </c>
      <c r="E17" s="6" t="n"/>
      <c r="F17" s="6" t="n"/>
    </row>
    <row r="18">
      <c r="A18" s="6" t="inlineStr">
        <is>
          <t>Loss on disposal of property, plant and equipment</t>
        </is>
      </c>
      <c r="B18" s="6" t="n">
        <v>1</v>
      </c>
      <c r="C18" s="6" t="n"/>
      <c r="D18" s="6" t="n">
        <v>8</v>
      </c>
      <c r="E18" s="6" t="n">
        <v>1</v>
      </c>
      <c r="F18" s="6" t="n">
        <v>12</v>
      </c>
    </row>
    <row r="19">
      <c r="A19" s="6" t="inlineStr">
        <is>
          <t>Profit on sale of investments in debt securities</t>
        </is>
      </c>
      <c r="B19" s="6" t="n">
        <v>-1</v>
      </c>
      <c r="C19" s="6" t="n">
        <v>-42</v>
      </c>
      <c r="D19" s="6" t="n"/>
      <c r="E19" s="6" t="n"/>
      <c r="F19" s="6" t="n"/>
    </row>
    <row r="20">
      <c r="A20" s="6" t="inlineStr">
        <is>
          <t>Discount unwind on debt securities</t>
        </is>
      </c>
      <c r="B20" s="6" t="n">
        <v>536</v>
      </c>
      <c r="C20" s="6" t="n"/>
      <c r="D20" s="6" t="n"/>
      <c r="E20" s="6" t="n"/>
      <c r="F20" s="6" t="n"/>
    </row>
    <row r="21">
      <c r="A21" s="6" t="inlineStr">
        <is>
          <t>Loss on disposal of intangible assets</t>
        </is>
      </c>
      <c r="B21" s="6" t="n"/>
      <c r="C21" s="6" t="n"/>
      <c r="D21" s="6" t="n"/>
      <c r="E21" s="6" t="n">
        <v>18</v>
      </c>
      <c r="F21" s="6" t="n">
        <v>402</v>
      </c>
    </row>
    <row r="22">
      <c r="A22" s="6" t="inlineStr">
        <is>
          <t>Movement in provision</t>
        </is>
      </c>
      <c r="B22" s="6" t="n">
        <v>-657</v>
      </c>
      <c r="C22" s="6" t="n">
        <v>894</v>
      </c>
      <c r="D22" s="6" t="n">
        <v>1424</v>
      </c>
      <c r="E22" s="6" t="n">
        <v>591</v>
      </c>
      <c r="F22" s="6" t="n"/>
    </row>
    <row r="23">
      <c r="A23" s="6" t="inlineStr">
        <is>
          <t>Impairment of investment in subsidiary / impairment of Yobota</t>
        </is>
      </c>
      <c r="B23" s="6" t="n"/>
      <c r="C23" s="6" t="n">
        <v>0</v>
      </c>
      <c r="D23" s="6" t="n">
        <v>0</v>
      </c>
      <c r="E23" s="6" t="n"/>
      <c r="F23" s="6" t="n"/>
    </row>
    <row r="24">
      <c r="A24" s="6" t="inlineStr">
        <is>
          <t>Net gain arising from derecognition of financial assets measured at amortised cost</t>
        </is>
      </c>
      <c r="B24" s="6" t="n"/>
      <c r="C24" s="6" t="n"/>
      <c r="D24" s="6" t="n"/>
      <c r="E24" s="6" t="n">
        <v>-4369</v>
      </c>
      <c r="F24" s="6" t="n"/>
    </row>
    <row r="25">
      <c r="A25" s="6" t="inlineStr">
        <is>
          <t>Net increase in loans and advances to customers</t>
        </is>
      </c>
      <c r="B25" s="6" t="n">
        <v>-857836</v>
      </c>
      <c r="C25" s="6" t="n">
        <v>-1184232</v>
      </c>
      <c r="D25" s="6" t="n">
        <v>-346633</v>
      </c>
      <c r="E25" s="6" t="n">
        <v>-146297</v>
      </c>
      <c r="F25" s="6" t="n">
        <v>-19344</v>
      </c>
    </row>
    <row r="26">
      <c r="A26" s="6" t="inlineStr">
        <is>
          <t>Net interest paid on derivative financial assets</t>
        </is>
      </c>
      <c r="B26" s="6" t="n">
        <v>25551</v>
      </c>
      <c r="C26" s="6" t="n">
        <v>1448</v>
      </c>
      <c r="D26" s="6" t="n">
        <v>37</v>
      </c>
      <c r="E26" s="6" t="n"/>
      <c r="F26" s="6" t="n"/>
    </row>
    <row r="27">
      <c r="A27" s="6" t="inlineStr">
        <is>
          <t>Net cash flow on derivative financial instruments</t>
        </is>
      </c>
      <c r="B27" s="6" t="n"/>
      <c r="C27" s="6" t="n">
        <v>-52498</v>
      </c>
      <c r="D27" s="6" t="n">
        <v>325</v>
      </c>
      <c r="E27" s="6" t="n"/>
      <c r="F27" s="6" t="n"/>
    </row>
    <row r="28">
      <c r="A28" s="6" t="inlineStr">
        <is>
          <t>Increase/(decrease) in prepayments and accrued income</t>
        </is>
      </c>
      <c r="B28" s="6" t="n">
        <v>324</v>
      </c>
      <c r="C28" s="6" t="n">
        <v>-3353</v>
      </c>
      <c r="D28" s="6" t="n">
        <v>-69</v>
      </c>
      <c r="E28" s="6" t="n">
        <v>-175</v>
      </c>
      <c r="F28" s="6" t="n">
        <v>223</v>
      </c>
    </row>
    <row r="29">
      <c r="A29" s="6" t="inlineStr">
        <is>
          <t>Increase in other assets</t>
        </is>
      </c>
      <c r="B29" s="6" t="n">
        <v>-20076</v>
      </c>
      <c r="C29" s="6" t="n">
        <v>-25013</v>
      </c>
      <c r="D29" s="6" t="n">
        <v>-10277</v>
      </c>
      <c r="E29" s="6" t="n">
        <v>-4696</v>
      </c>
      <c r="F29" s="6" t="n">
        <v>-2881</v>
      </c>
    </row>
    <row r="30">
      <c r="A30" s="6" t="inlineStr">
        <is>
          <t>(Increase)/decrease in tax asset</t>
        </is>
      </c>
      <c r="B30" s="6" t="n"/>
      <c r="C30" s="6" t="n"/>
      <c r="D30" s="6" t="n">
        <v>64</v>
      </c>
      <c r="E30" s="6" t="n">
        <v>-19</v>
      </c>
      <c r="F30" s="6" t="n">
        <v>-45</v>
      </c>
    </row>
    <row r="31">
      <c r="A31" s="6" t="inlineStr">
        <is>
          <t>Increase/(decrease) in customer deposits</t>
        </is>
      </c>
      <c r="B31" s="6" t="n">
        <v>955692</v>
      </c>
      <c r="C31" s="6" t="n">
        <v>1473432</v>
      </c>
      <c r="D31" s="6" t="n">
        <v>1060680</v>
      </c>
      <c r="E31" s="6" t="n">
        <v>162610</v>
      </c>
      <c r="F31" s="6" t="n">
        <v>-52195</v>
      </c>
    </row>
    <row r="32">
      <c r="A32" s="6" t="inlineStr">
        <is>
          <t>Increase/(decrease) in accruals and deferred income</t>
        </is>
      </c>
      <c r="B32" s="6" t="n">
        <v>507</v>
      </c>
      <c r="C32" s="6" t="n">
        <v>2487</v>
      </c>
      <c r="D32" s="6" t="n">
        <v>489</v>
      </c>
      <c r="E32" s="6" t="n">
        <v>1612</v>
      </c>
      <c r="F32" s="6" t="n">
        <v>2838</v>
      </c>
    </row>
    <row r="33">
      <c r="A33" s="6" t="inlineStr">
        <is>
          <t>Increase/(decrease) in other liabilities</t>
        </is>
      </c>
      <c r="B33" s="6" t="n">
        <v>142</v>
      </c>
      <c r="C33" s="6" t="n">
        <v>2725</v>
      </c>
      <c r="D33" s="6" t="n">
        <v>2518</v>
      </c>
      <c r="E33" s="6" t="n">
        <v>1447</v>
      </c>
      <c r="F33" s="6" t="n">
        <v>-396</v>
      </c>
    </row>
    <row r="34">
      <c r="A34" s="6" t="inlineStr">
        <is>
          <t>Purchase of mortgage portfolio</t>
        </is>
      </c>
      <c r="B34" s="6" t="n"/>
      <c r="C34" s="6" t="n"/>
      <c r="D34" s="6" t="n"/>
      <c r="E34" s="6" t="n">
        <v>157842</v>
      </c>
      <c r="F34" s="6" t="n"/>
    </row>
    <row r="35">
      <c r="A35" s="6" t="inlineStr">
        <is>
          <t>Derecognition of assets at amortised cost on sale</t>
        </is>
      </c>
      <c r="B35" s="6" t="n"/>
      <c r="C35" s="6" t="n"/>
      <c r="D35" s="6" t="n"/>
      <c r="E35" s="6" t="n">
        <v>-123733</v>
      </c>
      <c r="F35" s="6" t="n"/>
    </row>
    <row r="36">
      <c r="A36" s="5" t="inlineStr">
        <is>
          <t>Net cash from operating activities</t>
        </is>
      </c>
      <c r="B36" s="5" t="n">
        <v>43038</v>
      </c>
      <c r="C36" s="5" t="n">
        <v>189520</v>
      </c>
      <c r="D36" s="5" t="n">
        <v>653419</v>
      </c>
      <c r="E36" s="5" t="n">
        <v>16976</v>
      </c>
      <c r="F36" s="5" t="n">
        <v>-92120</v>
      </c>
    </row>
    <row r="37">
      <c r="A37" s="5" t="inlineStr">
        <is>
          <t>Cash flows from investing activities</t>
        </is>
      </c>
      <c r="B37" s="6" t="n"/>
      <c r="C37" s="6" t="n"/>
      <c r="D37" s="6" t="n"/>
      <c r="E37" s="6" t="n"/>
      <c r="F37" s="6" t="n"/>
    </row>
    <row r="38">
      <c r="A38" s="6" t="inlineStr">
        <is>
          <t>Proceeds from sale and maturity of debt securities</t>
        </is>
      </c>
      <c r="B38" s="6" t="n">
        <v>1401</v>
      </c>
      <c r="C38" s="6" t="n">
        <v>36835</v>
      </c>
      <c r="D38" s="6" t="n">
        <v>11031</v>
      </c>
      <c r="E38" s="6" t="n"/>
      <c r="F38" s="6" t="n"/>
    </row>
    <row r="39">
      <c r="A39" s="6" t="inlineStr">
        <is>
          <t>Acquisition of debt securities</t>
        </is>
      </c>
      <c r="B39" s="6" t="n">
        <v>-910238</v>
      </c>
      <c r="C39" s="6" t="n">
        <v>-505077</v>
      </c>
      <c r="D39" s="6" t="n">
        <v>-135674</v>
      </c>
      <c r="E39" s="6" t="n">
        <v>-5003</v>
      </c>
      <c r="F39" s="6" t="n"/>
    </row>
    <row r="40">
      <c r="A40" s="6" t="inlineStr">
        <is>
          <t>Principal repayments on investments in debt securities</t>
        </is>
      </c>
      <c r="B40" s="6" t="n">
        <v>134509</v>
      </c>
      <c r="C40" s="6" t="n">
        <v>61327</v>
      </c>
      <c r="D40" s="6" t="n"/>
      <c r="E40" s="6" t="n"/>
      <c r="F40" s="6" t="n"/>
    </row>
    <row r="41">
      <c r="A41" s="6" t="inlineStr">
        <is>
          <t>Interest received from investing activities</t>
        </is>
      </c>
      <c r="B41" s="6" t="n">
        <v>40802</v>
      </c>
      <c r="C41" s="6" t="n">
        <v>17601</v>
      </c>
      <c r="D41" s="6" t="n">
        <v>1760</v>
      </c>
      <c r="E41" s="6" t="n"/>
      <c r="F41" s="6" t="n"/>
    </row>
    <row r="42">
      <c r="A42" s="6" t="inlineStr">
        <is>
          <t>Net maturity/(purchase) of debt securities</t>
        </is>
      </c>
      <c r="B42" s="6" t="n"/>
      <c r="C42" s="6" t="n"/>
      <c r="D42" s="6" t="n"/>
      <c r="E42" s="6" t="n"/>
      <c r="F42" s="6" t="n">
        <v>30170</v>
      </c>
    </row>
    <row r="43">
      <c r="A43" s="6" t="inlineStr">
        <is>
          <t>Purchase of loans and advances to customers</t>
        </is>
      </c>
      <c r="B43" s="6" t="n"/>
      <c r="C43" s="6" t="n"/>
      <c r="D43" s="6" t="n"/>
      <c r="E43" s="6" t="n">
        <v>-157842</v>
      </c>
      <c r="F43" s="6" t="n"/>
    </row>
    <row r="44">
      <c r="A44" s="6" t="inlineStr">
        <is>
          <t>Purchases of property, plant and equipment</t>
        </is>
      </c>
      <c r="B44" s="6" t="n">
        <v>-617</v>
      </c>
      <c r="C44" s="6" t="n">
        <v>-461</v>
      </c>
      <c r="D44" s="6" t="n">
        <v>-843</v>
      </c>
      <c r="E44" s="6" t="n">
        <v>-119</v>
      </c>
      <c r="F44" s="6" t="n">
        <v>-116</v>
      </c>
    </row>
    <row r="45">
      <c r="A45" s="6" t="inlineStr">
        <is>
          <t>Proceeds from sale of property, plant and equipment</t>
        </is>
      </c>
      <c r="B45" s="6" t="n">
        <v>11</v>
      </c>
      <c r="C45" s="6" t="n"/>
      <c r="D45" s="6" t="n"/>
      <c r="E45" s="6" t="n"/>
      <c r="F45" s="6" t="n"/>
    </row>
    <row r="46">
      <c r="A46" s="6" t="inlineStr">
        <is>
          <t>Investment in Intangible assets</t>
        </is>
      </c>
      <c r="B46" s="6" t="n">
        <v>-9</v>
      </c>
      <c r="C46" s="6" t="n"/>
      <c r="D46" s="6" t="n">
        <v>-402</v>
      </c>
      <c r="E46" s="6" t="n">
        <v>-1852</v>
      </c>
      <c r="F46" s="6" t="n">
        <v>-3201</v>
      </c>
    </row>
    <row r="47">
      <c r="A47" s="6" t="inlineStr">
        <is>
          <t>Acquisition of subsidiary net of cash acquired</t>
        </is>
      </c>
      <c r="B47" s="6" t="n">
        <v>-7497</v>
      </c>
      <c r="C47" s="6" t="n"/>
      <c r="D47" s="6" t="n"/>
      <c r="E47" s="6" t="n">
        <v>-12903</v>
      </c>
      <c r="F47" s="6" t="n"/>
    </row>
    <row r="48">
      <c r="A48" s="5" t="inlineStr">
        <is>
          <t>Net cash from/(used in) investing activities</t>
        </is>
      </c>
      <c r="B48" s="5" t="n">
        <v>-741638</v>
      </c>
      <c r="C48" s="5" t="n">
        <v>-389775</v>
      </c>
      <c r="D48" s="5" t="n">
        <v>-124128</v>
      </c>
      <c r="E48" s="5" t="n">
        <v>-177719</v>
      </c>
      <c r="F48" s="5" t="n">
        <v>26853</v>
      </c>
    </row>
    <row r="49">
      <c r="A49" s="5" t="inlineStr">
        <is>
          <t>Cash flows from financing activities</t>
        </is>
      </c>
      <c r="B49" s="6" t="n"/>
      <c r="C49" s="6" t="n"/>
      <c r="D49" s="6" t="n"/>
      <c r="E49" s="6" t="n"/>
      <c r="F49" s="6" t="n"/>
    </row>
    <row r="50">
      <c r="A50" s="6" t="inlineStr">
        <is>
          <t>Principal drawdowns on amounts owed to credit institutions</t>
        </is>
      </c>
      <c r="B50" s="6" t="n">
        <v>476000</v>
      </c>
      <c r="C50" s="6" t="n">
        <v>9000</v>
      </c>
      <c r="D50" s="6" t="n"/>
      <c r="E50" s="6" t="n"/>
      <c r="F50" s="6" t="n"/>
    </row>
    <row r="51">
      <c r="A51" s="6" t="inlineStr">
        <is>
          <t>Interest paid on amounts owed to credit institutions</t>
        </is>
      </c>
      <c r="B51" s="6" t="n">
        <v>-2930</v>
      </c>
      <c r="C51" s="6" t="n"/>
      <c r="D51" s="6" t="n"/>
      <c r="E51" s="6" t="n"/>
      <c r="F51" s="6" t="n"/>
    </row>
    <row r="52">
      <c r="A52" s="6" t="inlineStr">
        <is>
          <t>Issuance of ordinary shares</t>
        </is>
      </c>
      <c r="B52" s="6" t="n">
        <v>27001</v>
      </c>
      <c r="C52" s="6" t="n">
        <v>89000</v>
      </c>
      <c r="D52" s="6" t="n">
        <v>84609</v>
      </c>
      <c r="E52" s="6" t="n">
        <v>55000</v>
      </c>
      <c r="F52" s="6" t="n">
        <v>29000</v>
      </c>
    </row>
    <row r="53">
      <c r="A53" s="6" t="inlineStr">
        <is>
          <t>Issuance of debt securities</t>
        </is>
      </c>
      <c r="B53" s="6" t="n"/>
      <c r="C53" s="6" t="n">
        <v>100</v>
      </c>
      <c r="D53" s="6" t="n"/>
      <c r="E53" s="6" t="n"/>
      <c r="F53" s="6" t="n"/>
    </row>
    <row r="54">
      <c r="A54" s="6" t="inlineStr">
        <is>
          <t>Repayment of debt securities</t>
        </is>
      </c>
      <c r="B54" s="6" t="n">
        <v>-10</v>
      </c>
      <c r="C54" s="6" t="n"/>
      <c r="D54" s="6" t="n"/>
      <c r="E54" s="6" t="n"/>
      <c r="F54" s="6" t="n"/>
    </row>
    <row r="55">
      <c r="A55" s="6" t="inlineStr">
        <is>
          <t>Interest (paid)/received on debt securities</t>
        </is>
      </c>
      <c r="B55" s="6" t="n">
        <v>-6</v>
      </c>
      <c r="C55" s="6" t="n"/>
      <c r="D55" s="6" t="n"/>
      <c r="E55" s="6" t="n"/>
      <c r="F55" s="6" t="n"/>
    </row>
    <row r="56">
      <c r="A56" s="6" t="inlineStr">
        <is>
          <t>Interest expense on debt securities</t>
        </is>
      </c>
      <c r="B56" s="6" t="n"/>
      <c r="C56" s="6" t="n">
        <v>0</v>
      </c>
      <c r="D56" s="6" t="n"/>
      <c r="E56" s="6" t="n"/>
      <c r="F56" s="6" t="n"/>
    </row>
    <row r="57">
      <c r="A57" s="6" t="inlineStr">
        <is>
          <t>Proceeds from the sale of loans and advances at amortised cost</t>
        </is>
      </c>
      <c r="B57" s="6" t="n"/>
      <c r="C57" s="6" t="n"/>
      <c r="D57" s="6" t="n"/>
      <c r="E57" s="6" t="n">
        <v>128103</v>
      </c>
      <c r="F57" s="6" t="n"/>
    </row>
    <row r="58">
      <c r="A58" s="6" t="inlineStr">
        <is>
          <t>Interest paid on lease liabilities</t>
        </is>
      </c>
      <c r="B58" s="6" t="n">
        <v>-39</v>
      </c>
      <c r="C58" s="6" t="n">
        <v>-73</v>
      </c>
      <c r="D58" s="6" t="n">
        <v>-36</v>
      </c>
      <c r="E58" s="6" t="n">
        <v>-35</v>
      </c>
      <c r="F58" s="6" t="n">
        <v>-40</v>
      </c>
    </row>
    <row r="59">
      <c r="A59" s="5" t="inlineStr">
        <is>
          <t>Net cash from/(used in) financing activities</t>
        </is>
      </c>
      <c r="B59" s="5" t="n">
        <v>500016</v>
      </c>
      <c r="C59" s="5" t="n">
        <v>98027</v>
      </c>
      <c r="D59" s="5" t="n">
        <v>84573</v>
      </c>
      <c r="E59" s="5" t="n">
        <v>183068</v>
      </c>
      <c r="F59" s="5" t="n">
        <v>28960</v>
      </c>
    </row>
    <row r="60">
      <c r="A60" s="5" t="inlineStr">
        <is>
          <t>Net cash flows for the period</t>
        </is>
      </c>
      <c r="B60" s="5" t="n">
        <v>-198584</v>
      </c>
      <c r="C60" s="5" t="n">
        <v>-102228</v>
      </c>
      <c r="D60" s="5" t="n">
        <v>613864</v>
      </c>
      <c r="E60" s="5" t="n">
        <v>22325</v>
      </c>
      <c r="F60" s="5" t="n">
        <v>-36307</v>
      </c>
    </row>
    <row r="61">
      <c r="A61" s="6" t="inlineStr">
        <is>
          <t>Opening cash and cash equivalents</t>
        </is>
      </c>
      <c r="B61" s="6" t="n">
        <v>586134</v>
      </c>
      <c r="C61" s="6" t="n">
        <v>688362</v>
      </c>
      <c r="D61" s="6" t="n">
        <v>74498</v>
      </c>
      <c r="E61" s="6" t="n">
        <v>52173</v>
      </c>
      <c r="F61" s="6" t="n">
        <v>88480</v>
      </c>
    </row>
    <row r="62">
      <c r="A62" s="5" t="inlineStr">
        <is>
          <t>Closing cash and cash equivalents</t>
        </is>
      </c>
      <c r="B62" s="5" t="n">
        <v>387550</v>
      </c>
      <c r="C62" s="5" t="n">
        <v>586134</v>
      </c>
      <c r="D62" s="5" t="n">
        <v>688362</v>
      </c>
      <c r="E62" s="5" t="n">
        <v>74498</v>
      </c>
      <c r="F62" s="5" t="n">
        <v>52173</v>
      </c>
    </row>
    <row r="64" ht="150" customHeight="1">
      <c r="A64" s="8" t="inlineStr">
        <is>
          <t>Sources - all figures are Chetwood Financial Limited Group (consolidated) cash flow statement, £'000, unless noted. See entity note above re: FY2021 (standalone) and FY2024 (Pillar 3 gap).
FY2025: Chetwood Financial Limited Annual Report and Financial Statements, year ended 31 March 2025, p.48-49 (Consolidated and company statement of cashflows) - https://chetwoodbank.co.uk/documents/chetwood-bank-annual-report.pdf
FY2024: Chetwood Financial Limited Annual Report and Financial Statements, year ended 31 March 2024, p.29 (Consolidated and Company Statement of Cashflows) - http://web.archive.org/web/20240920030034/https://chetwood.co/static/97d26e488d5277699e5b9a9983db4d5b/AnnualReport.pdf
FY2023: Chetwood Financial Limited Annual Report and Financial Statements, year ended 31 March 2024, p.29 (prior-year comparative column) - http://web.archive.org/web/20240920030034/https://chetwood.co/static/97d26e488d5277699e5b9a9983db4d5b/AnnualReport.pdf. (The FY2023 Annual Report's own PDF has a text-encoding fault that corrupts extracted figures; the FY2024 report's clean comparative column was used instead - both present the same audited FY2023 statutory figures.)
FY2022: Chetwood Financial Limited Annual Report and Financial Statements, year ended 31 March 2022, p.26 (Consolidated and Company Statement of Cashflows) - http://web.archive.org/web/20230131231341/https://chetwood.co/static/7fbc3d1ed9c0913dca3435f640a5a570/AnnualReport.pdf
FY2021: Chetwood Financial Limited Annual Report and Financial Statements, year ended 31 March 2021, p.28 (Statement of Cashflows, standalone entity) - http://web.archive.org/web/20210830132929/https://chetwood.co/static/3d0ade6e892213e246ca03dc1d84b417/AnnualReport.pdf
ENTITY NOTE: Chetwood Financial Limited (trading as Chetwood Bank) is the entity on the PRA register - no holding-company substitution was needed here (unlike Monzo). All years are Chetwood Financial Limited, consolidated/Group basis, EXCEPT FY2021 (marked †), which is Chetwood's own standalone entity accounts - the Group didn't exist yet (Chetwood acquired Yobota Limited on 1 March 2022, and CHL Mortgages for Intermediaries Limited later still), so there is no consolidated cash flow statement for FY2021. Companies House confirms FY2021 accounts were filed as 'Full accounts' (solo), while FY2022-FY2025 were filed as 'Group of companies' accounts' (consolidated). Per user direction, FY2021 is included on a standalone basis and clearly flagged, rather than omitted.
FY2024 (marked *) is consolidated, but no Pillar 3 disclosure for 'as at 31 March 2024' was ever published or archived - see the note on each Pillar 3 sheet.
PRESENTATION NOTE: Line items changed across the five years as the business grew (e.g. debt securities and derivative-related lines were introduced/split differently year to year, and FY2025 switched the starting line from 'Loss after tax' to '(Loss)/profit before tax'). Blank cells indicate that year's report did not disclose that specific split. Section totals (net cash from operating/investing/financing, cash and cash equivalents) are consistent and reconcile exactly across all 5 years.
DATA QUALITY NOTE (added 2026-08-27, found during a project-wide sanity check): the AR24/AR25 source statements print BOTH a Group and a Company column side by side for each year; three line items were originally transcribed from the wrong column or with a digit error, causing FY2023/FY2024's operating and investing TOTALs to not reconcile to their own line items. Corrected against both AR24 (own-year figures) and AR25's FY2024 comparative column (cross-checked, both agree): 'Fair value adjustment on hedged items' FY2024 corrected from -11,182 to the Group figure -11,782 (a transcription slip); 'Interest received from investing activities' FY2024 corrected from 11,601 to the Group figure 17,601 (transcription slip); 'Loss on disposal of property, plant and equipment' FY2023 corrected from 4 to the Group figure 8 (was the Company figure); 'Impairment of investment in subsidiary/Yobota' FY2023 corrected from 6,753 to 0/nil (the Group figure is nil - 6,753 was the Company-only figure); 'Subscription of shares in subsidiary undertaking' FY2023 (-1,500) removed entirely - it is a Company-only line with no Group-basis equivalent, so it never belonged in this Group-basis statement. All four sections now reconcile exactly to the penny against the primary source.</t>
        </is>
      </c>
    </row>
  </sheetData>
  <mergeCells count="1">
    <mergeCell ref="A64:F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CET1 Capital</t>
        </is>
      </c>
    </row>
    <row r="2">
      <c r="A2" s="2" t="inlineStr">
        <is>
          <t>£'000, Group/consolidated basis (FY2021: standalone entity)</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187605</v>
      </c>
      <c r="C4" s="6" t="n"/>
      <c r="D4" s="6" t="n">
        <v>91268</v>
      </c>
      <c r="E4" s="6" t="n">
        <v>57554</v>
      </c>
      <c r="F4" s="6" t="n">
        <v>50637</v>
      </c>
    </row>
    <row r="5" ht="60" customHeight="1">
      <c r="A5" s="7" t="inlineStr">
        <is>
          <t>Note: FY2024 is blank - no Pillar 3 disclosure 'as at 31 March 2024' was published/archived. See source note.</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15.2%</t>
        </is>
      </c>
      <c r="C4" s="6" t="n"/>
      <c r="D4" s="6" t="inlineStr">
        <is>
          <t>26.6%</t>
        </is>
      </c>
      <c r="E4" s="6" t="inlineStr">
        <is>
          <t>29.3%</t>
        </is>
      </c>
      <c r="F4" s="6" t="inlineStr">
        <is>
          <t>28%</t>
        </is>
      </c>
    </row>
    <row r="5" ht="60" customHeight="1">
      <c r="A5" s="7" t="inlineStr">
        <is>
          <t>Note: FY2024 is blank - no Pillar 3 disclosure 'as at 31 March 2024' was published/archived. See source note. FY2021 is as stated in the source (rounded to the nearest whole percent; no decimal figure was disclosed that year).</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187605</v>
      </c>
      <c r="C4" s="6" t="n"/>
      <c r="D4" s="6" t="n">
        <v>91268</v>
      </c>
      <c r="E4" s="6" t="n">
        <v>57554</v>
      </c>
      <c r="F4" s="6" t="n">
        <v>50637</v>
      </c>
    </row>
    <row r="5" ht="60" customHeight="1">
      <c r="A5" s="7" t="inlineStr">
        <is>
          <t>Note: FY2024 is blank - no Pillar 3 disclosure 'as at 31 March 2024' was published/archived. See source note. Equal to CET1 capital in every year shown - Chetwood has no Additional Tier 1 (AT1) instruments.</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15.2%</t>
        </is>
      </c>
      <c r="C4" s="6" t="n"/>
      <c r="D4" s="6" t="inlineStr">
        <is>
          <t>26.6%</t>
        </is>
      </c>
      <c r="E4" s="6" t="inlineStr">
        <is>
          <t>29.3%</t>
        </is>
      </c>
      <c r="F4" s="6" t="inlineStr">
        <is>
          <t>28%</t>
        </is>
      </c>
    </row>
    <row r="5" ht="60" customHeight="1">
      <c r="A5" s="7" t="inlineStr">
        <is>
          <t>Note: FY2024 is blank - no Pillar 3 disclosure 'as at 31 March 2024' was published/archived. See source note.</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187605</v>
      </c>
      <c r="C4" s="6" t="n"/>
      <c r="D4" s="6" t="n">
        <v>91268</v>
      </c>
      <c r="E4" s="6" t="n">
        <v>57554</v>
      </c>
      <c r="F4" s="6" t="n">
        <v>50637</v>
      </c>
    </row>
    <row r="5" ht="60" customHeight="1">
      <c r="A5" s="7" t="inlineStr">
        <is>
          <t>Note: FY2024 is blank - no Pillar 3 disclosure 'as at 31 March 2024' was published/archived. See source note. Equal to CET1/Tier 1 capital in every year shown - Chetwood has no Tier 2 capital either.</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15.2%</t>
        </is>
      </c>
      <c r="C4" s="6" t="n"/>
      <c r="D4" s="6" t="inlineStr">
        <is>
          <t>26.6%</t>
        </is>
      </c>
      <c r="E4" s="6" t="inlineStr">
        <is>
          <t>29.3%</t>
        </is>
      </c>
      <c r="F4" s="6" t="inlineStr">
        <is>
          <t>28%</t>
        </is>
      </c>
    </row>
    <row r="5" ht="60" customHeight="1">
      <c r="A5" s="7" t="inlineStr">
        <is>
          <t>Note: FY2024 is blank - no Pillar 3 disclosure 'as at 31 March 2024' was published/archived. See source note.</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1233321</v>
      </c>
      <c r="C4" s="6" t="n"/>
      <c r="D4" s="6" t="n">
        <v>343668</v>
      </c>
      <c r="E4" s="6" t="n">
        <v>196750</v>
      </c>
      <c r="F4" s="6" t="n">
        <v>178987</v>
      </c>
    </row>
    <row r="5" ht="60" customHeight="1">
      <c r="A5" s="7" t="inlineStr">
        <is>
          <t>Note: FY2024 is blank - no Pillar 3 disclosure 'as at 31 March 2024' was published/archived. See source note.</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v>3615720</v>
      </c>
      <c r="C4" s="6" t="n"/>
      <c r="D4" s="6" t="n">
        <v>1519817</v>
      </c>
      <c r="E4" s="6" t="n">
        <v>394658</v>
      </c>
      <c r="F4" s="6" t="n">
        <v>216375</v>
      </c>
    </row>
    <row r="5">
      <c r="A5" s="6" t="inlineStr">
        <is>
          <t>Leverage ratio (%)</t>
        </is>
      </c>
      <c r="B5" s="6" t="inlineStr">
        <is>
          <t>5.19%</t>
        </is>
      </c>
      <c r="C5" s="6" t="n"/>
      <c r="D5" s="6" t="inlineStr">
        <is>
          <t>6.01%</t>
        </is>
      </c>
      <c r="E5" s="6" t="inlineStr">
        <is>
          <t>14.58%</t>
        </is>
      </c>
      <c r="F5" s="6" t="inlineStr">
        <is>
          <t>23.4%</t>
        </is>
      </c>
    </row>
    <row r="6" ht="60" customHeight="1">
      <c r="A6" s="7" t="inlineStr">
        <is>
          <t>Note: FY2024 is blank - no Pillar 3 disclosure 'as at 31 March 2024' was published/archived. See source note. Unlike Barclays/Monzo, Chetwood's disclosures do not distinguish an 'excluding/including claims on central banks' basis in any year - a single leverage ratio definition is used throughout (Tier 1 capital / total exposure measure). FY2021 used a pre-KM1 narrative table; FY2022 onward uses the formal KM1 rows 13-14.</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897493</v>
      </c>
      <c r="C4" s="6" t="n"/>
      <c r="D4" s="6" t="n">
        <v>302266</v>
      </c>
      <c r="E4" s="6" t="n">
        <v>67841</v>
      </c>
      <c r="F4" s="6" t="n"/>
    </row>
    <row r="5">
      <c r="A5" s="6" t="inlineStr">
        <is>
          <t>Cash outflows - total weighted value</t>
        </is>
      </c>
      <c r="B5" s="6" t="n">
        <v>489794</v>
      </c>
      <c r="C5" s="6" t="n"/>
      <c r="D5" s="6" t="n">
        <v>52035</v>
      </c>
      <c r="E5" s="6" t="n">
        <v>5627</v>
      </c>
      <c r="F5" s="6" t="n"/>
    </row>
    <row r="6">
      <c r="A6" s="6" t="inlineStr">
        <is>
          <t>Cash inflows - total weighted value</t>
        </is>
      </c>
      <c r="B6" s="6" t="n">
        <v>28009</v>
      </c>
      <c r="C6" s="6" t="n"/>
      <c r="D6" s="6" t="n">
        <v>15169</v>
      </c>
      <c r="E6" s="6" t="n">
        <v>13656</v>
      </c>
      <c r="F6" s="6" t="n"/>
    </row>
    <row r="7">
      <c r="A7" s="6" t="inlineStr">
        <is>
          <t>Total net cash outflows (adjusted value)</t>
        </is>
      </c>
      <c r="B7" s="6" t="n">
        <v>461785</v>
      </c>
      <c r="C7" s="6" t="n"/>
      <c r="D7" s="6" t="n">
        <v>36865</v>
      </c>
      <c r="E7" s="6" t="n">
        <v>1407</v>
      </c>
      <c r="F7" s="6" t="n"/>
    </row>
    <row r="8">
      <c r="A8" s="6" t="inlineStr">
        <is>
          <t>Liquidity Coverage Ratio (%)</t>
        </is>
      </c>
      <c r="B8" s="6" t="inlineStr">
        <is>
          <t>194%</t>
        </is>
      </c>
      <c r="C8" s="6" t="n"/>
      <c r="D8" s="6" t="inlineStr">
        <is>
          <t>1,015%</t>
        </is>
      </c>
      <c r="E8" s="6" t="inlineStr">
        <is>
          <t>4,823%</t>
        </is>
      </c>
      <c r="F8" s="6" t="inlineStr">
        <is>
          <t>51,086%</t>
        </is>
      </c>
    </row>
    <row r="9" ht="60" customHeight="1">
      <c r="A9" s="7" t="inlineStr">
        <is>
          <t>Note: FY2024 is blank - no Pillar 3 disclosure 'as at 31 March 2024' was published/archived. See source note. FY2021 disclosed only the headline ratio in narrative form (no HQLA/outflow £ breakdown was published that year - the formal KM1 liquidity rows were introduced from FY2022). Chetwood's LCR ratios are extremely high because, as a young/small deposit-taker at the time, its regulatory outflow assumptions were small relative to its liquid asset holdings - this is as disclosed by Chetwood, not a transcription error.</t>
        </is>
      </c>
    </row>
    <row r="11" ht="150" customHeight="1">
      <c r="A11"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11:F11"/>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3677559</v>
      </c>
      <c r="C4" s="6" t="n"/>
      <c r="D4" s="6" t="n">
        <v>1387511</v>
      </c>
      <c r="E4" s="6" t="n">
        <v>380549</v>
      </c>
      <c r="F4" s="6" t="n"/>
    </row>
    <row r="5">
      <c r="A5" s="6" t="inlineStr">
        <is>
          <t>Total required stable funding</t>
        </is>
      </c>
      <c r="B5" s="6" t="n">
        <v>2536343</v>
      </c>
      <c r="C5" s="6" t="n"/>
      <c r="D5" s="6" t="n">
        <v>572002</v>
      </c>
      <c r="E5" s="6" t="n">
        <v>233566</v>
      </c>
      <c r="F5" s="6" t="n"/>
    </row>
    <row r="6">
      <c r="A6" s="6" t="inlineStr">
        <is>
          <t>Net Stable Funding Ratio (%)</t>
        </is>
      </c>
      <c r="B6" s="6" t="inlineStr">
        <is>
          <t>145%</t>
        </is>
      </c>
      <c r="C6" s="6" t="n"/>
      <c r="D6" s="6" t="inlineStr">
        <is>
          <t>243%</t>
        </is>
      </c>
      <c r="E6" s="6" t="inlineStr">
        <is>
          <t>162.9%</t>
        </is>
      </c>
      <c r="F6" s="6" t="inlineStr">
        <is>
          <t>146.5%</t>
        </is>
      </c>
    </row>
    <row r="7" ht="60" customHeight="1">
      <c r="A7" s="7" t="inlineStr">
        <is>
          <t>Note: FY2024 is blank - no Pillar 3 disclosure 'as at 31 March 2024' was published/archived. See source note. FY2021's NSFR figure (146.5%) is quoted exactly as printed in the FY2021 Pillar 3 report, which oddly labels it 'as at the 31 March 2020' in a document otherwise dated 'as at 31 March 2021' - this looks like a typo in Chetwood's own document, but it is reproduced verbatim rather than silently corrected; no £ breakdown was published for FY2021 (the formal KM1 NSFR rows were introduced from FY2022).</t>
        </is>
      </c>
    </row>
    <row r="9" ht="150" customHeight="1">
      <c r="A9"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row>
    <row r="5" ht="60" customHeight="1">
      <c r="A5" s="7" t="inlineStr">
        <is>
          <t>Note: Chetwood is classified as a 'small and non-complex institution' (SNCI) and is not subject to any MREL requirement above its minimum capital requirement - stated explicitly in the FY2021, FY2022 and FY2023 Pillar 3 reports ('...has no minimum requirements for Own funds and Eligible Liabilities (MREL) above its [minimum capital requirement]'). The FY2025 report uses a shorter reduced-disclosure format that omits this narrative section, but there is no indication Chetwood's MREL/SNCI status has changed.</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2026-08-27T18:21:53Z</dcterms:created>
  <dcterms:modified xsi:type="dcterms:W3CDTF">2026-08-27T18:21:53Z</dcterms:modified>
</cp:coreProperties>
</file>