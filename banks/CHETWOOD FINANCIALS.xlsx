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003232"/>
        <bgColor rgb="00003232"/>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Chetwood Financial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Chetwood Financial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Chetwood Financial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Chetwood Financial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ser>
          <idx val="3"/>
          <order val="3"/>
          <tx>
            <strRef>
              <f>'Overview'!AG29</f>
            </strRef>
          </tx>
          <spPr>
            <a:ln xmlns:a="http://schemas.openxmlformats.org/drawingml/2006/main">
              <a:prstDash val="solid"/>
            </a:ln>
          </spPr>
          <cat>
            <numRef>
              <f>'Overview'!$AH$25:$AL$25</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Chetwood Financial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ser>
          <idx val="3"/>
          <order val="3"/>
          <tx>
            <strRef>
              <f>'Overview'!AO9</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'Overview'!$AP$9:$AT$9</f>
            </numRef>
          </val>
          <smooth val="0"/>
        </ser>
        <ser>
          <idx val="4"/>
          <order val="4"/>
          <tx>
            <strRef>
              <f>'Overview'!AO10</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'Overview'!$AP$10:$AT$10</f>
            </numRef>
          </val>
          <smooth val="0"/>
        </ser>
        <ser>
          <idx val="5"/>
          <order val="5"/>
          <tx>
            <strRef>
              <f>'Overview'!AO11</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'Overview'!$AP$11:$AT$11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Chetwood Financial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4532547</v>
      </c>
      <c r="C6" s="5" t="n">
        <v>3077904</v>
      </c>
      <c r="D6" s="5" t="n">
        <v>1494541</v>
      </c>
      <c r="E6" s="5" t="n">
        <v>400038</v>
      </c>
      <c r="F6" s="5" t="n">
        <v>216524</v>
      </c>
      <c r="I6" t="inlineStr">
        <is>
          <t>Total assets</t>
        </is>
      </c>
      <c r="J6" t="n">
        <v>216524</v>
      </c>
      <c r="K6" t="n">
        <v>400038</v>
      </c>
      <c r="L6" t="n">
        <v>1494541</v>
      </c>
      <c r="M6" t="n">
        <v>3077904</v>
      </c>
      <c r="N6" t="n">
        <v>4532547</v>
      </c>
      <c r="AO6" t="inlineStr">
        <is>
          <t>CET1 Ratio</t>
        </is>
      </c>
      <c r="AP6" t="n">
        <v>28</v>
      </c>
      <c r="AQ6" t="n">
        <v>29.3</v>
      </c>
      <c r="AR6" t="n">
        <v>26.6</v>
      </c>
      <c r="AT6" t="n">
        <v>15.2</v>
      </c>
    </row>
    <row r="7">
      <c r="A7" s="5" t="inlineStr">
        <is>
          <t>Loans and advances to customers</t>
        </is>
      </c>
      <c r="B7" s="5" t="n">
        <v>2691247</v>
      </c>
      <c r="C7" s="5" t="n">
        <v>1833411</v>
      </c>
      <c r="D7" s="5" t="n">
        <v>649179</v>
      </c>
      <c r="E7" s="5" t="n">
        <v>302546</v>
      </c>
      <c r="F7" s="5" t="n">
        <v>156249</v>
      </c>
      <c r="I7" t="inlineStr">
        <is>
          <t>Loans and advances to customers</t>
        </is>
      </c>
      <c r="J7" t="n">
        <v>156249</v>
      </c>
      <c r="K7" t="n">
        <v>302546</v>
      </c>
      <c r="L7" t="n">
        <v>649179</v>
      </c>
      <c r="M7" t="n">
        <v>1833411</v>
      </c>
      <c r="N7" t="n">
        <v>2691247</v>
      </c>
      <c r="AO7" t="inlineStr">
        <is>
          <t>Tier 1 Ratio</t>
        </is>
      </c>
      <c r="AP7" t="n">
        <v>28</v>
      </c>
      <c r="AQ7" t="n">
        <v>29.3</v>
      </c>
      <c r="AR7" t="n">
        <v>26.6</v>
      </c>
      <c r="AT7" t="n">
        <v>15.2</v>
      </c>
    </row>
    <row r="8">
      <c r="A8" s="5" t="inlineStr">
        <is>
          <t>Customer deposits</t>
        </is>
      </c>
      <c r="B8" s="5" t="n">
        <v>3812429</v>
      </c>
      <c r="C8" s="5" t="n">
        <v>2856737</v>
      </c>
      <c r="D8" s="5" t="n">
        <v>1383305</v>
      </c>
      <c r="E8" s="5" t="n">
        <v>322625</v>
      </c>
      <c r="F8" s="5" t="n">
        <v>160015</v>
      </c>
      <c r="I8" t="inlineStr">
        <is>
          <t>Customer deposits</t>
        </is>
      </c>
      <c r="J8" t="n">
        <v>160015</v>
      </c>
      <c r="K8" t="n">
        <v>322625</v>
      </c>
      <c r="L8" t="n">
        <v>1383305</v>
      </c>
      <c r="M8" t="n">
        <v>2856737</v>
      </c>
      <c r="N8" t="n">
        <v>3812429</v>
      </c>
      <c r="AO8" t="inlineStr">
        <is>
          <t>Total Capital Ratio</t>
        </is>
      </c>
      <c r="AP8" t="n">
        <v>28</v>
      </c>
      <c r="AQ8" t="n">
        <v>29.3</v>
      </c>
      <c r="AR8" t="n">
        <v>26.6</v>
      </c>
      <c r="AT8" t="n">
        <v>15.2</v>
      </c>
    </row>
    <row r="9">
      <c r="A9" s="5" t="inlineStr">
        <is>
          <t>Total equity</t>
        </is>
      </c>
      <c r="B9" s="5" t="n">
        <v>196143</v>
      </c>
      <c r="C9" s="5" t="n">
        <v>173082</v>
      </c>
      <c r="D9" s="5" t="n">
        <v>92483</v>
      </c>
      <c r="E9" s="5" t="n">
        <v>65993</v>
      </c>
      <c r="F9" s="5" t="n">
        <v>50830</v>
      </c>
      <c r="I9" t="inlineStr">
        <is>
          <t>Total equity</t>
        </is>
      </c>
      <c r="J9" t="n">
        <v>50830</v>
      </c>
      <c r="K9" t="n">
        <v>65993</v>
      </c>
      <c r="L9" t="n">
        <v>92483</v>
      </c>
      <c r="M9" t="n">
        <v>173082</v>
      </c>
      <c r="N9" t="n">
        <v>196143</v>
      </c>
      <c r="AO9" t="inlineStr">
        <is>
          <t>Leverage Ratio</t>
        </is>
      </c>
      <c r="AP9" t="n">
        <v>23.4</v>
      </c>
      <c r="AQ9" t="n">
        <v>14.58</v>
      </c>
      <c r="AR9" t="n">
        <v>6.01</v>
      </c>
      <c r="AT9" t="n">
        <v>5.19</v>
      </c>
    </row>
    <row r="10">
      <c r="AO10" t="inlineStr">
        <is>
          <t>LCR</t>
        </is>
      </c>
      <c r="AP10" t="n">
        <v>51086</v>
      </c>
      <c r="AQ10" t="n">
        <v>4823</v>
      </c>
      <c r="AR10" t="n">
        <v>1015</v>
      </c>
      <c r="AT10" t="n">
        <v>194</v>
      </c>
    </row>
    <row r="11">
      <c r="A11" s="3" t="inlineStr">
        <is>
          <t>Profit &amp; Loss Summary (£'000)</t>
        </is>
      </c>
      <c r="AO11" t="inlineStr">
        <is>
          <t>NSFR</t>
        </is>
      </c>
      <c r="AP11" t="n">
        <v>146.5</v>
      </c>
      <c r="AQ11" t="n">
        <v>162.9</v>
      </c>
      <c r="AR11" t="n">
        <v>243</v>
      </c>
      <c r="AT11" t="n">
        <v>145</v>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Total income</t>
        </is>
      </c>
      <c r="B13" s="5" t="n">
        <v>54238</v>
      </c>
      <c r="C13" s="5" t="n">
        <v>45989</v>
      </c>
      <c r="D13" s="5" t="n">
        <v>21471</v>
      </c>
      <c r="E13" s="5" t="n">
        <v>27428</v>
      </c>
      <c r="F13" s="5" t="n">
        <v>14447</v>
      </c>
      <c r="Q13" t="inlineStr">
        <is>
          <t>Total income</t>
        </is>
      </c>
      <c r="R13" t="n">
        <v>14447</v>
      </c>
      <c r="S13" t="n">
        <v>27428</v>
      </c>
      <c r="T13" t="n">
        <v>21471</v>
      </c>
      <c r="U13" t="n">
        <v>45989</v>
      </c>
      <c r="V13" t="n">
        <v>54238</v>
      </c>
    </row>
    <row r="14">
      <c r="A14" s="5" t="inlineStr">
        <is>
          <t>Administrative expenses</t>
        </is>
      </c>
      <c r="B14" s="5" t="n">
        <v>-57209</v>
      </c>
      <c r="C14" s="5" t="n">
        <v>-53995</v>
      </c>
      <c r="D14" s="5" t="n">
        <v>-56119</v>
      </c>
      <c r="E14" s="5" t="n">
        <v>-30809</v>
      </c>
      <c r="F14" s="5" t="n">
        <v>-22372</v>
      </c>
      <c r="Q14" t="inlineStr">
        <is>
          <t>Administrative expenses</t>
        </is>
      </c>
      <c r="R14" t="n">
        <v>-22372</v>
      </c>
      <c r="S14" t="n">
        <v>-30809</v>
      </c>
      <c r="T14" t="n">
        <v>-56119</v>
      </c>
      <c r="U14" t="n">
        <v>-53995</v>
      </c>
      <c r="V14" t="n">
        <v>-57209</v>
      </c>
    </row>
    <row r="15">
      <c r="A15" s="5" t="inlineStr">
        <is>
          <t>Loss after tax and loss for the year</t>
        </is>
      </c>
      <c r="B15" s="5" t="n">
        <v>-4702</v>
      </c>
      <c r="C15" s="5" t="n">
        <v>-8861</v>
      </c>
      <c r="D15" s="5" t="n">
        <v>-58148</v>
      </c>
      <c r="E15" s="5" t="n">
        <v>-29753</v>
      </c>
      <c r="F15" s="5" t="n">
        <v>-21310</v>
      </c>
      <c r="Q15" t="inlineStr">
        <is>
          <t>Loss after tax and loss for the year</t>
        </is>
      </c>
      <c r="R15" t="n">
        <v>-21310</v>
      </c>
      <c r="S15" t="n">
        <v>-29753</v>
      </c>
      <c r="T15" t="n">
        <v>-58148</v>
      </c>
      <c r="U15" t="n">
        <v>-8861</v>
      </c>
      <c r="V15" t="n">
        <v>-4702</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173082</v>
      </c>
      <c r="C19" s="5" t="n">
        <v>92483</v>
      </c>
      <c r="D19" s="5" t="n">
        <v>65993</v>
      </c>
      <c r="E19" s="5" t="n">
        <v>50830</v>
      </c>
      <c r="F19" s="5" t="n">
        <v>43067</v>
      </c>
      <c r="Y19" t="inlineStr">
        <is>
          <t>Opening equity</t>
        </is>
      </c>
      <c r="Z19" t="n">
        <v>43067</v>
      </c>
      <c r="AA19" t="n">
        <v>50830</v>
      </c>
      <c r="AB19" t="n">
        <v>65993</v>
      </c>
      <c r="AC19" t="n">
        <v>92483</v>
      </c>
      <c r="AD19" t="n">
        <v>173082</v>
      </c>
    </row>
    <row r="20">
      <c r="A20" s="5" t="inlineStr">
        <is>
          <t>Total comprehensive income/(loss)</t>
        </is>
      </c>
      <c r="B20" s="5" t="n">
        <v>-4084</v>
      </c>
      <c r="C20" s="5" t="n">
        <v>-8685</v>
      </c>
      <c r="D20" s="5" t="n">
        <v>-58324</v>
      </c>
      <c r="E20" s="5" t="n">
        <v>-29873</v>
      </c>
      <c r="F20" s="5" t="n">
        <v>-21339</v>
      </c>
      <c r="Y20" t="inlineStr">
        <is>
          <t>Total comprehensive income/(loss)</t>
        </is>
      </c>
      <c r="Z20" t="n">
        <v>-21339</v>
      </c>
      <c r="AA20" t="n">
        <v>-29873</v>
      </c>
      <c r="AB20" t="n">
        <v>-58324</v>
      </c>
      <c r="AC20" t="n">
        <v>-8685</v>
      </c>
      <c r="AD20" t="n">
        <v>-4084</v>
      </c>
    </row>
    <row r="21">
      <c r="A21" s="5" t="inlineStr">
        <is>
          <t>Other movements, net</t>
        </is>
      </c>
      <c r="B21" s="5" t="n">
        <v>27145</v>
      </c>
      <c r="C21" s="5" t="n">
        <v>89284</v>
      </c>
      <c r="D21" s="5" t="n">
        <v>84814</v>
      </c>
      <c r="E21" s="5" t="n">
        <v>45036</v>
      </c>
      <c r="F21" s="5" t="n">
        <v>29102</v>
      </c>
      <c r="Y21" t="inlineStr">
        <is>
          <t>Other movements, net</t>
        </is>
      </c>
      <c r="Z21" t="n">
        <v>29102</v>
      </c>
      <c r="AA21" t="n">
        <v>45036</v>
      </c>
      <c r="AB21" t="n">
        <v>84814</v>
      </c>
      <c r="AC21" t="n">
        <v>89284</v>
      </c>
      <c r="AD21" t="n">
        <v>27145</v>
      </c>
    </row>
    <row r="22">
      <c r="A22" s="5" t="inlineStr">
        <is>
          <t>Closing equity</t>
        </is>
      </c>
      <c r="B22" s="5" t="n">
        <v>196143</v>
      </c>
      <c r="C22" s="5" t="n">
        <v>173082</v>
      </c>
      <c r="D22" s="5" t="n">
        <v>92483</v>
      </c>
      <c r="E22" s="5" t="n">
        <v>65993</v>
      </c>
      <c r="F22" s="5" t="n">
        <v>50830</v>
      </c>
      <c r="Y22" t="inlineStr">
        <is>
          <t>Closing equity</t>
        </is>
      </c>
      <c r="Z22" t="n">
        <v>50830</v>
      </c>
      <c r="AA22" t="n">
        <v>65993</v>
      </c>
      <c r="AB22" t="n">
        <v>92483</v>
      </c>
      <c r="AC22" t="n">
        <v>173082</v>
      </c>
      <c r="AD22" t="n">
        <v>196143</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from operating activities</t>
        </is>
      </c>
      <c r="B26" s="5" t="n">
        <v>43038</v>
      </c>
      <c r="C26" s="5" t="n">
        <v>189520</v>
      </c>
      <c r="D26" s="5" t="n">
        <v>653419</v>
      </c>
      <c r="E26" s="5" t="n">
        <v>16976</v>
      </c>
      <c r="F26" s="5" t="n">
        <v>-92120</v>
      </c>
      <c r="AG26" t="inlineStr">
        <is>
          <t>Net cash from operating activities</t>
        </is>
      </c>
      <c r="AH26" t="n">
        <v>-92120</v>
      </c>
      <c r="AI26" t="n">
        <v>16976</v>
      </c>
      <c r="AJ26" t="n">
        <v>653419</v>
      </c>
      <c r="AK26" t="n">
        <v>189520</v>
      </c>
      <c r="AL26" t="n">
        <v>43038</v>
      </c>
    </row>
    <row r="27">
      <c r="A27" s="5" t="inlineStr">
        <is>
          <t>Net cash from/(used in) investing activities</t>
        </is>
      </c>
      <c r="B27" s="5" t="n">
        <v>-741638</v>
      </c>
      <c r="C27" s="5" t="n">
        <v>-389775</v>
      </c>
      <c r="D27" s="5" t="n">
        <v>-124128</v>
      </c>
      <c r="E27" s="5" t="n">
        <v>-177719</v>
      </c>
      <c r="F27" s="5" t="n">
        <v>26853</v>
      </c>
      <c r="AG27" t="inlineStr">
        <is>
          <t>Net cash from/(used in) investing activities</t>
        </is>
      </c>
      <c r="AH27" t="n">
        <v>26853</v>
      </c>
      <c r="AI27" t="n">
        <v>-177719</v>
      </c>
      <c r="AJ27" t="n">
        <v>-124128</v>
      </c>
      <c r="AK27" t="n">
        <v>-389775</v>
      </c>
      <c r="AL27" t="n">
        <v>-741638</v>
      </c>
    </row>
    <row r="28">
      <c r="A28" s="5" t="inlineStr">
        <is>
          <t>Net cash from/(used in) financing activities</t>
        </is>
      </c>
      <c r="B28" s="5" t="n">
        <v>500016</v>
      </c>
      <c r="C28" s="5" t="n">
        <v>98027</v>
      </c>
      <c r="D28" s="5" t="n">
        <v>84573</v>
      </c>
      <c r="E28" s="5" t="n">
        <v>183068</v>
      </c>
      <c r="F28" s="5" t="n">
        <v>28960</v>
      </c>
      <c r="AG28" t="inlineStr">
        <is>
          <t>Net cash from/(used in) financing activities</t>
        </is>
      </c>
      <c r="AH28" t="n">
        <v>28960</v>
      </c>
      <c r="AI28" t="n">
        <v>183068</v>
      </c>
      <c r="AJ28" t="n">
        <v>84573</v>
      </c>
      <c r="AK28" t="n">
        <v>98027</v>
      </c>
      <c r="AL28" t="n">
        <v>500016</v>
      </c>
    </row>
    <row r="29">
      <c r="A29" s="5" t="inlineStr">
        <is>
          <t>Closing cash and cash equivalents</t>
        </is>
      </c>
      <c r="B29" s="5" t="n">
        <v>387550</v>
      </c>
      <c r="C29" s="5" t="n">
        <v>586134</v>
      </c>
      <c r="D29" s="5" t="n">
        <v>688362</v>
      </c>
      <c r="E29" s="5" t="n">
        <v>74498</v>
      </c>
      <c r="F29" s="5" t="n">
        <v>52173</v>
      </c>
      <c r="AG29" t="inlineStr">
        <is>
          <t>Closing cash and cash equivalents</t>
        </is>
      </c>
      <c r="AH29" t="n">
        <v>52173</v>
      </c>
      <c r="AI29" t="n">
        <v>74498</v>
      </c>
      <c r="AJ29" t="n">
        <v>688362</v>
      </c>
      <c r="AK29" t="n">
        <v>586134</v>
      </c>
      <c r="AL29" t="n">
        <v>387550</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row>
    <row r="33">
      <c r="A33" s="6" t="inlineStr">
        <is>
          <t>CET1 Ratio</t>
        </is>
      </c>
      <c r="B33" s="6" t="inlineStr">
        <is>
          <t>15.2%</t>
        </is>
      </c>
      <c r="C33" s="6" t="n"/>
      <c r="D33" s="6" t="inlineStr">
        <is>
          <t>26.6%</t>
        </is>
      </c>
      <c r="E33" s="6" t="inlineStr">
        <is>
          <t>29.3%</t>
        </is>
      </c>
      <c r="F33" s="6" t="inlineStr">
        <is>
          <t>28%</t>
        </is>
      </c>
    </row>
    <row r="34">
      <c r="A34" s="6" t="inlineStr">
        <is>
          <t>Tier 1 Ratio</t>
        </is>
      </c>
      <c r="B34" s="6" t="inlineStr">
        <is>
          <t>15.2%</t>
        </is>
      </c>
      <c r="C34" s="6" t="n"/>
      <c r="D34" s="6" t="inlineStr">
        <is>
          <t>26.6%</t>
        </is>
      </c>
      <c r="E34" s="6" t="inlineStr">
        <is>
          <t>29.3%</t>
        </is>
      </c>
      <c r="F34" s="6" t="inlineStr">
        <is>
          <t>28%</t>
        </is>
      </c>
    </row>
    <row r="35">
      <c r="A35" s="6" t="inlineStr">
        <is>
          <t>Total Capital Ratio</t>
        </is>
      </c>
      <c r="B35" s="6" t="inlineStr">
        <is>
          <t>15.2%</t>
        </is>
      </c>
      <c r="C35" s="6" t="n"/>
      <c r="D35" s="6" t="inlineStr">
        <is>
          <t>26.6%</t>
        </is>
      </c>
      <c r="E35" s="6" t="inlineStr">
        <is>
          <t>29.3%</t>
        </is>
      </c>
      <c r="F35" s="6" t="inlineStr">
        <is>
          <t>28%</t>
        </is>
      </c>
    </row>
    <row r="36">
      <c r="A36" s="6" t="inlineStr">
        <is>
          <t>Leverage Ratio</t>
        </is>
      </c>
      <c r="B36" s="6" t="inlineStr">
        <is>
          <t>5.19%</t>
        </is>
      </c>
      <c r="C36" s="6" t="n"/>
      <c r="D36" s="6" t="inlineStr">
        <is>
          <t>6.01%</t>
        </is>
      </c>
      <c r="E36" s="6" t="inlineStr">
        <is>
          <t>14.58%</t>
        </is>
      </c>
      <c r="F36" s="6" t="inlineStr">
        <is>
          <t>23.4%</t>
        </is>
      </c>
    </row>
    <row r="37">
      <c r="A37" s="6" t="inlineStr">
        <is>
          <t>LCR</t>
        </is>
      </c>
      <c r="B37" s="6" t="inlineStr">
        <is>
          <t>194%</t>
        </is>
      </c>
      <c r="C37" s="6" t="n"/>
      <c r="D37" s="6" t="inlineStr">
        <is>
          <t>1,015%</t>
        </is>
      </c>
      <c r="E37" s="6" t="inlineStr">
        <is>
          <t>4,823%</t>
        </is>
      </c>
      <c r="F37" s="6" t="inlineStr">
        <is>
          <t>51,086%</t>
        </is>
      </c>
    </row>
    <row r="38">
      <c r="A38" s="6" t="inlineStr">
        <is>
          <t>NSFR</t>
        </is>
      </c>
      <c r="B38" s="6" t="inlineStr">
        <is>
          <t>145%</t>
        </is>
      </c>
      <c r="C38" s="6" t="n"/>
      <c r="D38" s="6" t="inlineStr">
        <is>
          <t>243%</t>
        </is>
      </c>
      <c r="E38" s="6" t="inlineStr">
        <is>
          <t>162.9%</t>
        </is>
      </c>
      <c r="F38" s="6" t="inlineStr">
        <is>
          <t>146.5%</t>
        </is>
      </c>
    </row>
    <row r="40" ht="45" customHeight="1">
      <c r="A40" s="7" t="inlineStr">
        <is>
          <t>Note: Figures are duplicated from the detail sheets for at-a-glance trend viewing; see each sheet's own source citation for the underlying document/page. FY2024 is blank - no Pillar 3 disclosure 'as at 31 March 2024' was published/archived. See source note.</t>
        </is>
      </c>
    </row>
  </sheetData>
  <mergeCells count="1">
    <mergeCell ref="A40:F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Chetwood Financial Limited — Consolidated Statement of Financial Position</t>
        </is>
      </c>
    </row>
    <row r="2">
      <c r="A2" s="2" t="inlineStr">
        <is>
          <t>£'000. Consolidated (Group) basis except FY2021 († standalone entity - Group and Company are identical that year).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Assets</t>
        </is>
      </c>
      <c r="B4" s="6" t="n"/>
      <c r="C4" s="6" t="n"/>
      <c r="D4" s="6" t="n"/>
      <c r="E4" s="6" t="n"/>
      <c r="F4" s="6" t="n"/>
    </row>
    <row r="5">
      <c r="A5" s="6" t="inlineStr">
        <is>
          <t>Cash and cash equivalents / Loans and advances to banks</t>
        </is>
      </c>
      <c r="B5" s="6" t="n">
        <v>387550</v>
      </c>
      <c r="C5" s="6" t="n">
        <v>586134</v>
      </c>
      <c r="D5" s="6" t="n">
        <v>688362</v>
      </c>
      <c r="E5" s="6" t="n">
        <v>74498</v>
      </c>
      <c r="F5" s="6" t="n">
        <v>52173</v>
      </c>
    </row>
    <row r="6">
      <c r="A6" s="6" t="inlineStr">
        <is>
          <t>Derivative financial assets</t>
        </is>
      </c>
      <c r="B6" s="6" t="n">
        <v>49410</v>
      </c>
      <c r="C6" s="6" t="n">
        <v>58475</v>
      </c>
      <c r="D6" s="6" t="n">
        <v>4565</v>
      </c>
      <c r="E6" s="6" t="n">
        <v>138</v>
      </c>
      <c r="F6" s="6" t="n">
        <v>19</v>
      </c>
    </row>
    <row r="7">
      <c r="A7" s="6" t="inlineStr">
        <is>
          <t>Investment in debt securities</t>
        </is>
      </c>
      <c r="B7" s="6" t="n">
        <v>1321666</v>
      </c>
      <c r="C7" s="6" t="n">
        <v>537291</v>
      </c>
      <c r="D7" s="6" t="n">
        <v>129595</v>
      </c>
      <c r="E7" s="6" t="n">
        <v>4883</v>
      </c>
      <c r="F7" s="6" t="n"/>
    </row>
    <row r="8">
      <c r="A8" s="6" t="inlineStr">
        <is>
          <t>Loans and advances to customers</t>
        </is>
      </c>
      <c r="B8" s="6" t="n">
        <v>2691247</v>
      </c>
      <c r="C8" s="6" t="n">
        <v>1833411</v>
      </c>
      <c r="D8" s="6" t="n">
        <v>649179</v>
      </c>
      <c r="E8" s="6" t="n">
        <v>302546</v>
      </c>
      <c r="F8" s="6" t="n">
        <v>156249</v>
      </c>
    </row>
    <row r="9">
      <c r="A9" s="6" t="inlineStr">
        <is>
          <t>Fair value adjustments on hedged assets</t>
        </is>
      </c>
      <c r="B9" s="6" t="n">
        <v>5615</v>
      </c>
      <c r="C9" s="6" t="n">
        <v>12926</v>
      </c>
      <c r="D9" s="6" t="n">
        <v>-1069</v>
      </c>
      <c r="E9" s="6" t="n"/>
      <c r="F9" s="6" t="n"/>
    </row>
    <row r="10">
      <c r="A10" s="6" t="inlineStr">
        <is>
          <t>Other assets</t>
        </is>
      </c>
      <c r="B10" s="6" t="n">
        <v>63998</v>
      </c>
      <c r="C10" s="6" t="n">
        <v>43910</v>
      </c>
      <c r="D10" s="6" t="n">
        <v>18897</v>
      </c>
      <c r="E10" s="6" t="n">
        <v>8620</v>
      </c>
      <c r="F10" s="6" t="n">
        <v>3486</v>
      </c>
    </row>
    <row r="11">
      <c r="A11" s="6" t="inlineStr">
        <is>
          <t>Prepayments and accrued income</t>
        </is>
      </c>
      <c r="B11" s="6" t="n">
        <v>4177</v>
      </c>
      <c r="C11" s="6" t="n">
        <v>4353</v>
      </c>
      <c r="D11" s="6" t="n">
        <v>999</v>
      </c>
      <c r="E11" s="6" t="n">
        <v>930</v>
      </c>
      <c r="F11" s="6" t="n">
        <v>555</v>
      </c>
    </row>
    <row r="12">
      <c r="A12" s="6" t="inlineStr">
        <is>
          <t>Property, plant and equipment</t>
        </is>
      </c>
      <c r="B12" s="6" t="n">
        <v>913</v>
      </c>
      <c r="C12" s="6" t="n">
        <v>883</v>
      </c>
      <c r="D12" s="6" t="n">
        <v>1246</v>
      </c>
      <c r="E12" s="6" t="n">
        <v>690</v>
      </c>
      <c r="F12" s="6" t="n">
        <v>819</v>
      </c>
    </row>
    <row r="13">
      <c r="A13" s="6" t="inlineStr">
        <is>
          <t>Intangible assets</t>
        </is>
      </c>
      <c r="B13" s="6" t="n">
        <v>2044</v>
      </c>
      <c r="C13" s="6" t="n">
        <v>521</v>
      </c>
      <c r="D13" s="6" t="n">
        <v>2767</v>
      </c>
      <c r="E13" s="6" t="n">
        <v>7669</v>
      </c>
      <c r="F13" s="6" t="n">
        <v>3178</v>
      </c>
    </row>
    <row r="14">
      <c r="A14" s="6" t="inlineStr">
        <is>
          <t>Goodwill</t>
        </is>
      </c>
      <c r="B14" s="6" t="n">
        <v>5927</v>
      </c>
      <c r="C14" s="6" t="n"/>
      <c r="D14" s="6" t="n"/>
      <c r="E14" s="6" t="n"/>
      <c r="F14" s="6" t="n"/>
    </row>
    <row r="15">
      <c r="A15" s="5" t="inlineStr">
        <is>
          <t>Total assets</t>
        </is>
      </c>
      <c r="B15" s="5" t="n">
        <v>4532547</v>
      </c>
      <c r="C15" s="5" t="n">
        <v>3077904</v>
      </c>
      <c r="D15" s="5" t="n">
        <v>1494541</v>
      </c>
      <c r="E15" s="5" t="n">
        <v>400038</v>
      </c>
      <c r="F15" s="5" t="n">
        <v>216524</v>
      </c>
    </row>
    <row r="16">
      <c r="A16" s="5" t="inlineStr">
        <is>
          <t>Liabilities</t>
        </is>
      </c>
      <c r="B16" s="6" t="n"/>
      <c r="C16" s="6" t="n"/>
      <c r="D16" s="6" t="n"/>
      <c r="E16" s="6" t="n"/>
      <c r="F16" s="6" t="n"/>
    </row>
    <row r="17">
      <c r="A17" s="6" t="inlineStr">
        <is>
          <t>Customer deposits</t>
        </is>
      </c>
      <c r="B17" s="6" t="n">
        <v>3812429</v>
      </c>
      <c r="C17" s="6" t="n">
        <v>2856737</v>
      </c>
      <c r="D17" s="6" t="n">
        <v>1383305</v>
      </c>
      <c r="E17" s="6" t="n">
        <v>322625</v>
      </c>
      <c r="F17" s="6" t="n">
        <v>160015</v>
      </c>
    </row>
    <row r="18">
      <c r="A18" s="6" t="inlineStr">
        <is>
          <t>Fair value adjustments on hedged liabilities</t>
        </is>
      </c>
      <c r="B18" s="6" t="n">
        <v>621</v>
      </c>
      <c r="C18" s="6" t="n">
        <v>-1073</v>
      </c>
      <c r="D18" s="6" t="n">
        <v>-3286</v>
      </c>
      <c r="E18" s="6" t="n"/>
      <c r="F18" s="6" t="n"/>
    </row>
    <row r="19">
      <c r="A19" s="6" t="inlineStr">
        <is>
          <t>Provisions</t>
        </is>
      </c>
      <c r="B19" s="6" t="n">
        <v>2252</v>
      </c>
      <c r="C19" s="6" t="n">
        <v>2909</v>
      </c>
      <c r="D19" s="6" t="n">
        <v>2015</v>
      </c>
      <c r="E19" s="6" t="n">
        <v>591</v>
      </c>
      <c r="F19" s="6" t="n"/>
    </row>
    <row r="20">
      <c r="A20" s="6" t="inlineStr">
        <is>
          <t>Amounts owed to credit institutions</t>
        </is>
      </c>
      <c r="B20" s="6" t="n">
        <v>488932</v>
      </c>
      <c r="C20" s="6" t="n">
        <v>9107</v>
      </c>
      <c r="D20" s="6" t="n"/>
      <c r="E20" s="6" t="n"/>
      <c r="F20" s="6" t="n"/>
    </row>
    <row r="21">
      <c r="A21" s="6" t="inlineStr">
        <is>
          <t>Debt securities in issue</t>
        </is>
      </c>
      <c r="B21" s="6" t="n">
        <v>89</v>
      </c>
      <c r="C21" s="6" t="n">
        <v>99</v>
      </c>
      <c r="D21" s="6" t="n"/>
      <c r="E21" s="6" t="n"/>
      <c r="F21" s="6" t="n"/>
    </row>
    <row r="22">
      <c r="A22" s="6" t="inlineStr">
        <is>
          <t>Accruals</t>
        </is>
      </c>
      <c r="B22" s="6" t="n">
        <v>10864</v>
      </c>
      <c r="C22" s="6" t="n">
        <v>9766</v>
      </c>
      <c r="D22" s="6" t="n">
        <v>7279</v>
      </c>
      <c r="E22" s="6" t="n">
        <v>6790</v>
      </c>
      <c r="F22" s="6" t="n">
        <v>4127</v>
      </c>
    </row>
    <row r="23">
      <c r="A23" s="6" t="inlineStr">
        <is>
          <t>Derivative financial liabilities</t>
        </is>
      </c>
      <c r="B23" s="6" t="n">
        <v>12216</v>
      </c>
      <c r="C23" s="6" t="n">
        <v>18713</v>
      </c>
      <c r="D23" s="6" t="n">
        <v>6645</v>
      </c>
      <c r="E23" s="6" t="n">
        <v>457</v>
      </c>
      <c r="F23" s="6" t="n">
        <v>5</v>
      </c>
    </row>
    <row r="24">
      <c r="A24" s="6" t="inlineStr">
        <is>
          <t>Other liabilities</t>
        </is>
      </c>
      <c r="B24" s="6" t="n">
        <v>8795</v>
      </c>
      <c r="C24" s="6" t="n">
        <v>8564</v>
      </c>
      <c r="D24" s="6" t="n">
        <v>6100</v>
      </c>
      <c r="E24" s="6" t="n">
        <v>3582</v>
      </c>
      <c r="F24" s="6" t="n">
        <v>1547</v>
      </c>
    </row>
    <row r="25">
      <c r="A25" s="6" t="inlineStr">
        <is>
          <t>Deferred tax liabilities</t>
        </is>
      </c>
      <c r="B25" s="6" t="n">
        <v>206</v>
      </c>
      <c r="C25" s="6" t="n"/>
      <c r="D25" s="6" t="n"/>
      <c r="E25" s="6" t="n"/>
      <c r="F25" s="6" t="n"/>
    </row>
    <row r="26">
      <c r="A26" s="5" t="inlineStr">
        <is>
          <t>Total liabilities</t>
        </is>
      </c>
      <c r="B26" s="5" t="n">
        <v>4336404</v>
      </c>
      <c r="C26" s="5" t="n">
        <v>2904822</v>
      </c>
      <c r="D26" s="5" t="n">
        <v>1402058</v>
      </c>
      <c r="E26" s="5" t="n">
        <v>334045</v>
      </c>
      <c r="F26" s="5" t="n">
        <v>165694</v>
      </c>
    </row>
    <row r="27">
      <c r="A27" s="5" t="inlineStr">
        <is>
          <t>Equity</t>
        </is>
      </c>
      <c r="B27" s="6" t="n"/>
      <c r="C27" s="6" t="n"/>
      <c r="D27" s="6" t="n"/>
      <c r="E27" s="6" t="n"/>
      <c r="F27" s="6" t="n"/>
    </row>
    <row r="28">
      <c r="A28" s="6" t="inlineStr">
        <is>
          <t>Called up share capital</t>
        </is>
      </c>
      <c r="B28" s="6" t="n">
        <v>253913</v>
      </c>
      <c r="C28" s="6" t="n">
        <v>253730</v>
      </c>
      <c r="D28" s="6" t="n">
        <v>253297</v>
      </c>
      <c r="E28" s="6" t="n">
        <v>168688</v>
      </c>
      <c r="F28" s="6" t="n">
        <v>113688</v>
      </c>
    </row>
    <row r="29">
      <c r="A29" s="6" t="inlineStr">
        <is>
          <t>Share premium account</t>
        </is>
      </c>
      <c r="B29" s="6" t="n">
        <v>118236</v>
      </c>
      <c r="C29" s="6" t="n">
        <v>91418</v>
      </c>
      <c r="D29" s="6" t="n">
        <v>2851</v>
      </c>
      <c r="E29" s="6" t="n">
        <v>2851</v>
      </c>
      <c r="F29" s="6" t="n">
        <v>2851</v>
      </c>
    </row>
    <row r="30">
      <c r="A30" s="6" t="inlineStr">
        <is>
          <t>Capital redemption reserve / Capital contribution</t>
        </is>
      </c>
      <c r="B30" s="6" t="n">
        <v>6247</v>
      </c>
      <c r="C30" s="6" t="n">
        <v>6247</v>
      </c>
      <c r="D30" s="6" t="n">
        <v>6247</v>
      </c>
      <c r="E30" s="6" t="n">
        <v>6247</v>
      </c>
      <c r="F30" s="6" t="n"/>
    </row>
    <row r="31">
      <c r="A31" s="6" t="inlineStr">
        <is>
          <t>Other reserves</t>
        </is>
      </c>
      <c r="B31" s="6" t="n">
        <v>877</v>
      </c>
      <c r="C31" s="6" t="n">
        <v>692</v>
      </c>
      <c r="D31" s="6" t="n">
        <v>232</v>
      </c>
      <c r="E31" s="6" t="n">
        <v>203</v>
      </c>
      <c r="F31" s="6" t="n">
        <v>114</v>
      </c>
    </row>
    <row r="32">
      <c r="A32" s="6" t="inlineStr">
        <is>
          <t>Retained losses</t>
        </is>
      </c>
      <c r="B32" s="6" t="n">
        <v>-183900</v>
      </c>
      <c r="C32" s="6" t="n">
        <v>-179775</v>
      </c>
      <c r="D32" s="6" t="n">
        <v>-170914</v>
      </c>
      <c r="E32" s="6" t="n">
        <v>-112766</v>
      </c>
      <c r="F32" s="6" t="n">
        <v>-65823</v>
      </c>
    </row>
    <row r="33">
      <c r="A33" s="6" t="inlineStr">
        <is>
          <t>Merger reserve</t>
        </is>
      </c>
      <c r="B33" s="6" t="n">
        <v>770</v>
      </c>
      <c r="C33" s="6" t="n">
        <v>770</v>
      </c>
      <c r="D33" s="6" t="n">
        <v>770</v>
      </c>
      <c r="E33" s="6" t="n">
        <v>770</v>
      </c>
      <c r="F33" s="6" t="n"/>
    </row>
    <row r="34">
      <c r="A34" s="5" t="inlineStr">
        <is>
          <t>Total equity</t>
        </is>
      </c>
      <c r="B34" s="5" t="n">
        <v>196143</v>
      </c>
      <c r="C34" s="5" t="n">
        <v>173082</v>
      </c>
      <c r="D34" s="5" t="n">
        <v>92483</v>
      </c>
      <c r="E34" s="5" t="n">
        <v>65993</v>
      </c>
      <c r="F34" s="5" t="n">
        <v>50830</v>
      </c>
    </row>
    <row r="35">
      <c r="A35" s="5" t="inlineStr">
        <is>
          <t>Total liabilities and equity</t>
        </is>
      </c>
      <c r="B35" s="5" t="n">
        <v>4532547</v>
      </c>
      <c r="C35" s="5" t="n">
        <v>3077904</v>
      </c>
      <c r="D35" s="5" t="n">
        <v>1494541</v>
      </c>
      <c r="E35" s="5" t="n">
        <v>400038</v>
      </c>
      <c r="F35" s="5" t="n">
        <v>216524</v>
      </c>
    </row>
    <row r="37" ht="220" customHeight="1">
      <c r="A37" s="8" t="inlineStr">
        <is>
          <t>Sources - Chetwood Financial Limited's own Consolidated Statement of Financial Position / Statement of Total Comprehensive Income / Statement of Changes in Equity, transcribed from each year's own Annual Report (not a later year's comparative column, except where noted). See entity note below re: FY2021 (standalone) and the FY2024 P&amp;L OCR-corruption note.
FY2025/FY2024: Chetwood Financial Limited Annual Report and Financial Statements, year ended 31 March 2025, p.44-47 (Consolidated Statement of Financial Position / Statement of Total Comprehensive Income / Statement of Changes in Equity) - https://chetwoodbank.co.uk/documents/chetwood-bank-annual-report.pdf
FY2023: Chetwood Financial Limited Annual Report and Financial Statements, year ended 31 March 2024, p.24-27 (prior-year comparative column) - http://web.archive.org/web/20240920030034/https://chetwood.co/static/97d26e488d5277699e5b9a9983db4d5b/AnnualReport.pdf. (As with the Cash Flow Statement, the FY2023 Annual Report's own PDF has a text-encoding fault; the FY2024 report's clean comparative column was used instead - both present the same audited FY2023 statutory figures.)
FY2022/FY2021: Chetwood Financial Limited Annual Report and Financial Statements, year ended 31 March 2022, p.22-25 (Consolidated Statement of Financial Position / Statement of Total Comprehensive Income / Statement of Changes in Equity, Group and Company for FY2021) - http://web.archive.org/web/20230131231341/https://chetwood.co/static/7fbc3d1ed9c0913dca3435f640a5a570/AnnualReport.pdf
ENTITY NOTE: Chetwood Financial Limited (trading as Chetwood Bank) is the entity on the PRA register - no holding-company substitution was needed here (unlike Monzo). All years are Chetwood Financial Limited, consolidated/Group basis, EXCEPT FY2021 (marked †), which is Chetwood's own standalone entity accounts - the Group didn't exist yet (Chetwood acquired Yobota Limited on 1 March 2022, and CHL Mortgages for Intermediaries Limited later still), so there is no consolidated cash flow statement for FY2021. Companies House confirms FY2021 accounts were filed as 'Full accounts' (solo), while FY2022-FY2025 were filed as 'Group of companies' accounts' (consolidated). Per user direction, FY2021 is included on a standalone basis and clearly flagged, rather than omitted.
FY2024 (marked *) is consolidated, but no Pillar 3 disclosure for 'as at 31 March 2024' was ever published or archived - see the note on each Pillar 3 sheet.
DATA QUALITY NOTE: the FY2024 Annual Report's own P&amp;L page (used for FY2023's comparative column) has the same text-encoding fault as its Cash Flow Statement page, corrupting individual digits in places (e.g. that page's own FY2024 'Impairment of loans and advances to customers' prints as -855, matching the clean FY2025 report's comparative figure exactly). The equity statement page in the same FY2024 report similarly corrupts one FY2024 'Total comprehensive income' cell (prints -8,605 instead of -8,685) - the FY2025 report's own FY2023-25 equity table and the P&amp;L's own OCI total agree exactly on -8,685, so -8,685 is used here.
PRESENTATION NOTE: 'Cash and cash equivalents' (FY2023-25) and 'Loans and advances to banks' (FY2021-22) are the same balance-sheet line under two labels - shown on one row. 'Capital redemption reserve' (FY2023-25) and 'Capital contribution' (FY2022, first appearing that year as a debt waiver from the ultimate controlling party) are the same £6,247k reserve under two labels - shown on one row. P&amp;L structure changed across the five years as the business grew: FY2025 nets fee income/expense into a single 'Net fee and commission (expense)/income' line with no separate 'Other income' row; FY2022-23 include a 'Net gain arising from derecognition of financial assets at amortised cost' line with no FY2024-25 equivalent; only FY2024-25 disclose 'Deferred tax liabilities' or a 'Goodwill' balance sheet line, both absent 2021-23; only FY2025 discloses 'Debt securities in issue' as a live balance (£89k), though the line existed as a zero balance from FY2024. Blank cells indicate that year's report did not disclose that specific line.</t>
        </is>
      </c>
    </row>
  </sheetData>
  <mergeCells count="1">
    <mergeCell ref="A37:F3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6" customWidth="1" min="1" max="1"/>
    <col width="15" customWidth="1" min="2" max="2"/>
    <col width="15" customWidth="1" min="3" max="3"/>
    <col width="15" customWidth="1" min="4" max="4"/>
    <col width="15" customWidth="1" min="5" max="5"/>
    <col width="15" customWidth="1" min="6" max="6"/>
  </cols>
  <sheetData>
    <row r="1">
      <c r="A1" s="1" t="inlineStr">
        <is>
          <t>Chetwood Financial Limited — Consolidated Statement of Total Comprehensive Income</t>
        </is>
      </c>
    </row>
    <row r="2">
      <c r="A2" s="2" t="inlineStr">
        <is>
          <t>£'000. Consolidated (Group) basis except FY2021 († standalone entity - Group and Company are identical that year).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Income</t>
        </is>
      </c>
      <c r="B4" s="6" t="n"/>
      <c r="C4" s="6" t="n"/>
      <c r="D4" s="6" t="n"/>
      <c r="E4" s="6" t="n"/>
      <c r="F4" s="6" t="n"/>
    </row>
    <row r="5">
      <c r="A5" s="6" t="inlineStr">
        <is>
          <t>Interest income calculated using the effective interest rate method</t>
        </is>
      </c>
      <c r="B5" s="6" t="n">
        <v>216716</v>
      </c>
      <c r="C5" s="6" t="n">
        <v>149127</v>
      </c>
      <c r="D5" s="6" t="n">
        <v>35406</v>
      </c>
      <c r="E5" s="6" t="n">
        <v>29755</v>
      </c>
      <c r="F5" s="6" t="n">
        <v>17567</v>
      </c>
    </row>
    <row r="6">
      <c r="A6" s="6" t="inlineStr">
        <is>
          <t>Interest payable and similar charges</t>
        </is>
      </c>
      <c r="B6" s="6" t="n">
        <v>-174940</v>
      </c>
      <c r="C6" s="6" t="n">
        <v>-104811</v>
      </c>
      <c r="D6" s="6" t="n">
        <v>-14914</v>
      </c>
      <c r="E6" s="6" t="n">
        <v>-2542</v>
      </c>
      <c r="F6" s="6" t="n">
        <v>-3135</v>
      </c>
    </row>
    <row r="7">
      <c r="A7" s="5" t="inlineStr">
        <is>
          <t>Net interest income</t>
        </is>
      </c>
      <c r="B7" s="5" t="n">
        <v>41776</v>
      </c>
      <c r="C7" s="5" t="n">
        <v>44316</v>
      </c>
      <c r="D7" s="5" t="n">
        <v>20492</v>
      </c>
      <c r="E7" s="5" t="n">
        <v>27213</v>
      </c>
      <c r="F7" s="5" t="n">
        <v>14432</v>
      </c>
    </row>
    <row r="8">
      <c r="A8" s="6" t="inlineStr">
        <is>
          <t>Fee and commission income</t>
        </is>
      </c>
      <c r="B8" s="6" t="n">
        <v>851</v>
      </c>
      <c r="C8" s="6" t="n">
        <v>1794</v>
      </c>
      <c r="D8" s="6" t="n">
        <v>2731</v>
      </c>
      <c r="E8" s="6" t="n">
        <v>244</v>
      </c>
      <c r="F8" s="6" t="n"/>
    </row>
    <row r="9">
      <c r="A9" s="6" t="inlineStr">
        <is>
          <t>Fee and commission expense</t>
        </is>
      </c>
      <c r="B9" s="6" t="n">
        <v>-4758</v>
      </c>
      <c r="C9" s="6" t="n">
        <v>-3162</v>
      </c>
      <c r="D9" s="6" t="n">
        <v>-718</v>
      </c>
      <c r="E9" s="6" t="n">
        <v>-152</v>
      </c>
      <c r="F9" s="6" t="n"/>
    </row>
    <row r="10">
      <c r="A10" s="5" t="inlineStr">
        <is>
          <t>Net fee and commission income/(expense)</t>
        </is>
      </c>
      <c r="B10" s="5" t="n">
        <v>-3907</v>
      </c>
      <c r="C10" s="5" t="n">
        <v>-1368</v>
      </c>
      <c r="D10" s="5" t="n">
        <v>2013</v>
      </c>
      <c r="E10" s="5" t="n">
        <v>92</v>
      </c>
      <c r="F10" s="5" t="n"/>
    </row>
    <row r="11">
      <c r="A11" s="6" t="inlineStr">
        <is>
          <t>Net income/(expense) from financial instruments held at fair value through profit and loss</t>
        </is>
      </c>
      <c r="B11" s="6" t="n">
        <v>16369</v>
      </c>
      <c r="C11" s="6" t="n">
        <v>3041</v>
      </c>
      <c r="D11" s="6" t="n">
        <v>-1160</v>
      </c>
      <c r="E11" s="6" t="n">
        <v>108</v>
      </c>
      <c r="F11" s="6" t="n">
        <v>15</v>
      </c>
    </row>
    <row r="12">
      <c r="A12" s="6" t="inlineStr">
        <is>
          <t>Other income</t>
        </is>
      </c>
      <c r="B12" s="6" t="n"/>
      <c r="C12" s="6" t="n"/>
      <c r="D12" s="6" t="n">
        <v>126</v>
      </c>
      <c r="E12" s="6" t="n">
        <v>15</v>
      </c>
      <c r="F12" s="6" t="n"/>
    </row>
    <row r="13">
      <c r="A13" s="5" t="inlineStr">
        <is>
          <t>Total income</t>
        </is>
      </c>
      <c r="B13" s="5" t="n">
        <v>54238</v>
      </c>
      <c r="C13" s="5" t="n">
        <v>45989</v>
      </c>
      <c r="D13" s="5" t="n">
        <v>21471</v>
      </c>
      <c r="E13" s="5" t="n">
        <v>27428</v>
      </c>
      <c r="F13" s="5" t="n">
        <v>14447</v>
      </c>
    </row>
    <row r="14">
      <c r="A14" s="6" t="inlineStr">
        <is>
          <t>Administrative expenses</t>
        </is>
      </c>
      <c r="B14" s="6" t="n">
        <v>-57209</v>
      </c>
      <c r="C14" s="6" t="n">
        <v>-53995</v>
      </c>
      <c r="D14" s="6" t="n">
        <v>-56119</v>
      </c>
      <c r="E14" s="6" t="n">
        <v>-30809</v>
      </c>
      <c r="F14" s="6" t="n">
        <v>-22372</v>
      </c>
    </row>
    <row r="15">
      <c r="A15" s="6" t="inlineStr">
        <is>
          <t>Impairment of loans and advances to customers</t>
        </is>
      </c>
      <c r="B15" s="6" t="n">
        <v>-1731</v>
      </c>
      <c r="C15" s="6" t="n">
        <v>-855</v>
      </c>
      <c r="D15" s="6" t="n">
        <v>-25126</v>
      </c>
      <c r="E15" s="6" t="n">
        <v>-30737</v>
      </c>
      <c r="F15" s="6" t="n">
        <v>-13375</v>
      </c>
    </row>
    <row r="16">
      <c r="A16" s="6" t="inlineStr">
        <is>
          <t>Net gain arising from derecognition of financial assets measured at amortised cost</t>
        </is>
      </c>
      <c r="B16" s="6" t="n"/>
      <c r="C16" s="6" t="n"/>
      <c r="D16" s="6" t="n">
        <v>1727</v>
      </c>
      <c r="E16" s="6" t="n">
        <v>4369</v>
      </c>
      <c r="F16" s="6" t="n"/>
    </row>
    <row r="17">
      <c r="A17" s="5" t="inlineStr">
        <is>
          <t>Loss before taxation</t>
        </is>
      </c>
      <c r="B17" s="5" t="n">
        <v>-4702</v>
      </c>
      <c r="C17" s="5" t="n">
        <v>-8861</v>
      </c>
      <c r="D17" s="5" t="n">
        <v>-58047</v>
      </c>
      <c r="E17" s="5" t="n">
        <v>-29749</v>
      </c>
      <c r="F17" s="5" t="n">
        <v>-21300</v>
      </c>
    </row>
    <row r="18">
      <c r="A18" s="6" t="inlineStr">
        <is>
          <t>Taxation</t>
        </is>
      </c>
      <c r="B18" s="6" t="n"/>
      <c r="C18" s="6" t="n"/>
      <c r="D18" s="6" t="n">
        <v>-101</v>
      </c>
      <c r="E18" s="6" t="n">
        <v>-4</v>
      </c>
      <c r="F18" s="6" t="n">
        <v>-10</v>
      </c>
    </row>
    <row r="19">
      <c r="A19" s="5" t="inlineStr">
        <is>
          <t>Loss after tax and loss for the year</t>
        </is>
      </c>
      <c r="B19" s="5" t="n">
        <v>-4702</v>
      </c>
      <c r="C19" s="5" t="n">
        <v>-8861</v>
      </c>
      <c r="D19" s="5" t="n">
        <v>-58148</v>
      </c>
      <c r="E19" s="5" t="n">
        <v>-29753</v>
      </c>
      <c r="F19" s="5" t="n">
        <v>-21310</v>
      </c>
    </row>
    <row r="20">
      <c r="A20" s="5" t="inlineStr">
        <is>
          <t>Other comprehensive income/(expense)</t>
        </is>
      </c>
      <c r="B20" s="6" t="n"/>
      <c r="C20" s="6" t="n"/>
      <c r="D20" s="6" t="n"/>
      <c r="E20" s="6" t="n"/>
      <c r="F20" s="6" t="n"/>
    </row>
    <row r="21">
      <c r="A21" s="6" t="inlineStr">
        <is>
          <t>Fair value gains/(losses) on debt instruments during the year</t>
        </is>
      </c>
      <c r="B21" s="6" t="n">
        <v>824</v>
      </c>
      <c r="C21" s="6" t="n">
        <v>145</v>
      </c>
      <c r="D21" s="6" t="n">
        <v>-178</v>
      </c>
      <c r="E21" s="6" t="n">
        <v>-120</v>
      </c>
      <c r="F21" s="6" t="n">
        <v>5</v>
      </c>
    </row>
    <row r="22">
      <c r="A22" s="6" t="inlineStr">
        <is>
          <t>Debt instruments at FVOCI - reclassified to profit or loss</t>
        </is>
      </c>
      <c r="B22" s="6" t="n">
        <v>0</v>
      </c>
      <c r="C22" s="6" t="n">
        <v>31</v>
      </c>
      <c r="D22" s="6" t="n">
        <v>2</v>
      </c>
      <c r="E22" s="6" t="n"/>
      <c r="F22" s="6" t="n">
        <v>-34</v>
      </c>
    </row>
    <row r="23">
      <c r="A23" s="6" t="inlineStr">
        <is>
          <t>Deferred tax on fair value gains on debt instruments</t>
        </is>
      </c>
      <c r="B23" s="6" t="n">
        <v>-206</v>
      </c>
      <c r="C23" s="6" t="n"/>
      <c r="D23" s="6" t="n"/>
      <c r="E23" s="6" t="n"/>
      <c r="F23" s="6" t="n"/>
    </row>
    <row r="24">
      <c r="A24" s="5" t="inlineStr">
        <is>
          <t>Total other comprehensive income/(expense) for the year</t>
        </is>
      </c>
      <c r="B24" s="5" t="n">
        <v>618</v>
      </c>
      <c r="C24" s="5" t="n">
        <v>176</v>
      </c>
      <c r="D24" s="5" t="n">
        <v>-176</v>
      </c>
      <c r="E24" s="5" t="n">
        <v>-120</v>
      </c>
      <c r="F24" s="5" t="n">
        <v>-29</v>
      </c>
    </row>
    <row r="25">
      <c r="A25" s="5" t="inlineStr">
        <is>
          <t>Total comprehensive loss for the year</t>
        </is>
      </c>
      <c r="B25" s="5" t="n">
        <v>-4084</v>
      </c>
      <c r="C25" s="5" t="n">
        <v>-8685</v>
      </c>
      <c r="D25" s="5" t="n">
        <v>-58324</v>
      </c>
      <c r="E25" s="5" t="n">
        <v>-29873</v>
      </c>
      <c r="F25" s="5" t="n">
        <v>-21339</v>
      </c>
    </row>
    <row r="27" ht="220" customHeight="1">
      <c r="A27" s="8" t="inlineStr">
        <is>
          <t>Sources - Chetwood Financial Limited's own Consolidated Statement of Financial Position / Statement of Total Comprehensive Income / Statement of Changes in Equity, transcribed from each year's own Annual Report (not a later year's comparative column, except where noted). See entity note below re: FY2021 (standalone) and the FY2024 P&amp;L OCR-corruption note.
FY2025/FY2024: Chetwood Financial Limited Annual Report and Financial Statements, year ended 31 March 2025, p.44-47 (Consolidated Statement of Financial Position / Statement of Total Comprehensive Income / Statement of Changes in Equity) - https://chetwoodbank.co.uk/documents/chetwood-bank-annual-report.pdf
FY2023: Chetwood Financial Limited Annual Report and Financial Statements, year ended 31 March 2024, p.24-27 (prior-year comparative column) - http://web.archive.org/web/20240920030034/https://chetwood.co/static/97d26e488d5277699e5b9a9983db4d5b/AnnualReport.pdf. (As with the Cash Flow Statement, the FY2023 Annual Report's own PDF has a text-encoding fault; the FY2024 report's clean comparative column was used instead - both present the same audited FY2023 statutory figures.)
FY2022/FY2021: Chetwood Financial Limited Annual Report and Financial Statements, year ended 31 March 2022, p.22-25 (Consolidated Statement of Financial Position / Statement of Total Comprehensive Income / Statement of Changes in Equity, Group and Company for FY2021) - http://web.archive.org/web/20230131231341/https://chetwood.co/static/7fbc3d1ed9c0913dca3435f640a5a570/AnnualReport.pdf
ENTITY NOTE: Chetwood Financial Limited (trading as Chetwood Bank) is the entity on the PRA register - no holding-company substitution was needed here (unlike Monzo). All years are Chetwood Financial Limited, consolidated/Group basis, EXCEPT FY2021 (marked †), which is Chetwood's own standalone entity accounts - the Group didn't exist yet (Chetwood acquired Yobota Limited on 1 March 2022, and CHL Mortgages for Intermediaries Limited later still), so there is no consolidated cash flow statement for FY2021. Companies House confirms FY2021 accounts were filed as 'Full accounts' (solo), while FY2022-FY2025 were filed as 'Group of companies' accounts' (consolidated). Per user direction, FY2021 is included on a standalone basis and clearly flagged, rather than omitted.
FY2024 (marked *) is consolidated, but no Pillar 3 disclosure for 'as at 31 March 2024' was ever published or archived - see the note on each Pillar 3 sheet.
DATA QUALITY NOTE: the FY2024 Annual Report's own P&amp;L page (used for FY2023's comparative column) has the same text-encoding fault as its Cash Flow Statement page, corrupting individual digits in places (e.g. that page's own FY2024 'Impairment of loans and advances to customers' prints as -855, matching the clean FY2025 report's comparative figure exactly). The equity statement page in the same FY2024 report similarly corrupts one FY2024 'Total comprehensive income' cell (prints -8,605 instead of -8,685) - the FY2025 report's own FY2023-25 equity table and the P&amp;L's own OCI total agree exactly on -8,685, so -8,685 is used here.
PRESENTATION NOTE: 'Cash and cash equivalents' (FY2023-25) and 'Loans and advances to banks' (FY2021-22) are the same balance-sheet line under two labels - shown on one row. 'Capital redemption reserve' (FY2023-25) and 'Capital contribution' (FY2022, first appearing that year as a debt waiver from the ultimate controlling party) are the same £6,247k reserve under two labels - shown on one row. P&amp;L structure changed across the five years as the business grew: FY2025 nets fee income/expense into a single 'Net fee and commission (expense)/income' line with no separate 'Other income' row; FY2022-23 include a 'Net gain arising from derecognition of financial assets at amortised cost' line with no FY2024-25 equivalent; only FY2024-25 disclose 'Deferred tax liabilities' or a 'Goodwill' balance sheet line, both absent 2021-23; only FY2025 discloses 'Debt securities in issue' as a live balance (£89k), though the line existed as a zero balance from FY2024. Blank cells indicate that year's report did not disclose that specific line.</t>
        </is>
      </c>
    </row>
  </sheetData>
  <mergeCells count="1">
    <mergeCell ref="A27:F2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39"/>
  <sheetViews>
    <sheetView workbookViewId="0">
      <pane ySplit="4" topLeftCell="A5" activePane="bottomLeft" state="frozen"/>
      <selection pane="bottomLef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Chetwood Financial Limited — Statement of Changes in Equity</t>
        </is>
      </c>
    </row>
    <row r="2">
      <c r="A2" s="2" t="inlineStr">
        <is>
          <t>Consolidated basis (FY2021 standalone entity), £'000, chronological (oldest to newest). See source note at bottom.</t>
        </is>
      </c>
    </row>
    <row r="3">
      <c r="A3" s="4" t="inlineStr">
        <is>
          <t>Movement</t>
        </is>
      </c>
      <c r="B3" s="4" t="inlineStr">
        <is>
          <t>Called-up Share Capital</t>
        </is>
      </c>
      <c r="C3" s="4" t="inlineStr">
        <is>
          <t>Share Premium</t>
        </is>
      </c>
      <c r="D3" s="4" t="inlineStr">
        <is>
          <t>Retained losses</t>
        </is>
      </c>
      <c r="E3" s="4" t="inlineStr">
        <is>
          <t>Share-based payment reserve</t>
        </is>
      </c>
      <c r="F3" s="4" t="inlineStr">
        <is>
          <t>Debt securities revaluation reserve</t>
        </is>
      </c>
      <c r="G3" s="4" t="inlineStr">
        <is>
          <t>Capital redemption/contribution reserve</t>
        </is>
      </c>
      <c r="H3" s="4" t="inlineStr">
        <is>
          <t>Merger reserve</t>
        </is>
      </c>
      <c r="I3" s="4" t="inlineStr">
        <is>
          <t>Total equity</t>
        </is>
      </c>
    </row>
    <row r="4">
      <c r="A4" s="5" t="inlineStr">
        <is>
          <t>At 1 April 2020</t>
        </is>
      </c>
      <c r="B4" s="5" t="n">
        <v>84688</v>
      </c>
      <c r="C4" s="5" t="n">
        <v>2851</v>
      </c>
      <c r="D4" s="5" t="n">
        <v>-44513</v>
      </c>
      <c r="E4" s="5" t="n">
        <v>12</v>
      </c>
      <c r="F4" s="5" t="n">
        <v>29</v>
      </c>
      <c r="G4" s="5" t="n"/>
      <c r="H4" s="5" t="n"/>
      <c r="I4" s="5" t="n">
        <v>43067</v>
      </c>
    </row>
    <row r="5">
      <c r="A5" s="6" t="inlineStr">
        <is>
          <t>Loss for the period (FY2021)</t>
        </is>
      </c>
      <c r="B5" s="6" t="n"/>
      <c r="C5" s="6" t="n"/>
      <c r="D5" s="6" t="n">
        <v>-21310</v>
      </c>
      <c r="E5" s="6" t="n"/>
      <c r="F5" s="6" t="n"/>
      <c r="G5" s="6" t="n"/>
      <c r="H5" s="6" t="n"/>
      <c r="I5" s="6" t="n">
        <v>-21310</v>
      </c>
    </row>
    <row r="6">
      <c r="A6" s="6" t="inlineStr">
        <is>
          <t>Net changes in fair value</t>
        </is>
      </c>
      <c r="B6" s="6" t="n"/>
      <c r="C6" s="6" t="n"/>
      <c r="D6" s="6" t="n"/>
      <c r="E6" s="6" t="n"/>
      <c r="F6" s="6" t="n">
        <v>5</v>
      </c>
      <c r="G6" s="6" t="n"/>
      <c r="H6" s="6" t="n"/>
      <c r="I6" s="6" t="n">
        <v>5</v>
      </c>
    </row>
    <row r="7">
      <c r="A7" s="6" t="inlineStr">
        <is>
          <t>Reclassified to income statement</t>
        </is>
      </c>
      <c r="B7" s="6" t="n"/>
      <c r="C7" s="6" t="n"/>
      <c r="D7" s="6" t="n"/>
      <c r="E7" s="6" t="n"/>
      <c r="F7" s="6" t="n">
        <v>-34</v>
      </c>
      <c r="G7" s="6" t="n"/>
      <c r="H7" s="6" t="n"/>
      <c r="I7" s="6" t="n">
        <v>-34</v>
      </c>
    </row>
    <row r="8">
      <c r="A8" s="6" t="inlineStr">
        <is>
          <t>Equity-settled share-based payment transactions</t>
        </is>
      </c>
      <c r="B8" s="6" t="n"/>
      <c r="C8" s="6" t="n"/>
      <c r="D8" s="6" t="n"/>
      <c r="E8" s="6" t="n">
        <v>102</v>
      </c>
      <c r="F8" s="6" t="n"/>
      <c r="G8" s="6" t="n"/>
      <c r="H8" s="6" t="n"/>
      <c r="I8" s="6" t="n">
        <v>102</v>
      </c>
    </row>
    <row r="9">
      <c r="A9" s="6" t="inlineStr">
        <is>
          <t>Issue of shares</t>
        </is>
      </c>
      <c r="B9" s="6" t="n">
        <v>29000</v>
      </c>
      <c r="C9" s="6" t="n"/>
      <c r="D9" s="6" t="n"/>
      <c r="E9" s="6" t="n"/>
      <c r="F9" s="6" t="n"/>
      <c r="G9" s="6" t="n"/>
      <c r="H9" s="6" t="n"/>
      <c r="I9" s="6" t="n">
        <v>29000</v>
      </c>
    </row>
    <row r="10">
      <c r="A10" s="5" t="inlineStr">
        <is>
          <t>At 31 March 2021</t>
        </is>
      </c>
      <c r="B10" s="5" t="n">
        <v>113688</v>
      </c>
      <c r="C10" s="5" t="n">
        <v>2851</v>
      </c>
      <c r="D10" s="5" t="n">
        <v>-65823</v>
      </c>
      <c r="E10" s="5" t="n">
        <v>114</v>
      </c>
      <c r="F10" s="5" t="n">
        <v>0</v>
      </c>
      <c r="G10" s="5" t="n"/>
      <c r="H10" s="5" t="n"/>
      <c r="I10" s="5" t="n">
        <v>50830</v>
      </c>
    </row>
    <row r="11">
      <c r="A11" s="6" t="inlineStr">
        <is>
          <t>Loss for the period (FY2022)</t>
        </is>
      </c>
      <c r="B11" s="6" t="n"/>
      <c r="C11" s="6" t="n"/>
      <c r="D11" s="6" t="n">
        <v>-29753</v>
      </c>
      <c r="E11" s="6" t="n"/>
      <c r="F11" s="6" t="n"/>
      <c r="G11" s="6" t="n"/>
      <c r="H11" s="6" t="n"/>
      <c r="I11" s="6" t="n">
        <v>-29753</v>
      </c>
    </row>
    <row r="12">
      <c r="A12" s="6" t="inlineStr">
        <is>
          <t>Retained losses acquired on purchase of subsidiary</t>
        </is>
      </c>
      <c r="B12" s="6" t="n"/>
      <c r="C12" s="6" t="n"/>
      <c r="D12" s="6" t="n">
        <v>-17190</v>
      </c>
      <c r="E12" s="6" t="n"/>
      <c r="F12" s="6" t="n"/>
      <c r="G12" s="6" t="n"/>
      <c r="H12" s="6" t="n"/>
      <c r="I12" s="6" t="n">
        <v>-17190</v>
      </c>
    </row>
    <row r="13">
      <c r="A13" s="6" t="inlineStr">
        <is>
          <t>Net changes in fair value</t>
        </is>
      </c>
      <c r="B13" s="6" t="n"/>
      <c r="C13" s="6" t="n"/>
      <c r="D13" s="6" t="n"/>
      <c r="E13" s="6" t="n"/>
      <c r="F13" s="6" t="n">
        <v>-120</v>
      </c>
      <c r="G13" s="6" t="n"/>
      <c r="H13" s="6" t="n"/>
      <c r="I13" s="6" t="n">
        <v>-120</v>
      </c>
    </row>
    <row r="14">
      <c r="A14" s="6" t="inlineStr">
        <is>
          <t>Equity-settled share-based payment transactions</t>
        </is>
      </c>
      <c r="B14" s="6" t="n"/>
      <c r="C14" s="6" t="n"/>
      <c r="D14" s="6" t="n"/>
      <c r="E14" s="6" t="n">
        <v>209</v>
      </c>
      <c r="F14" s="6" t="n"/>
      <c r="G14" s="6" t="n"/>
      <c r="H14" s="6" t="n"/>
      <c r="I14" s="6" t="n">
        <v>209</v>
      </c>
    </row>
    <row r="15">
      <c r="A15" s="6" t="inlineStr">
        <is>
          <t>Debt waiver by ultimate controlling party</t>
        </is>
      </c>
      <c r="B15" s="6" t="n"/>
      <c r="C15" s="6" t="n"/>
      <c r="D15" s="6" t="n"/>
      <c r="E15" s="6" t="n"/>
      <c r="F15" s="6" t="n"/>
      <c r="G15" s="6" t="n">
        <v>6247</v>
      </c>
      <c r="H15" s="6" t="n"/>
      <c r="I15" s="6" t="n">
        <v>6247</v>
      </c>
    </row>
    <row r="16">
      <c r="A16" s="6" t="inlineStr">
        <is>
          <t>Merger reserve arising on consolidation</t>
        </is>
      </c>
      <c r="B16" s="6" t="n"/>
      <c r="C16" s="6" t="n"/>
      <c r="D16" s="6" t="n"/>
      <c r="E16" s="6" t="n"/>
      <c r="F16" s="6" t="n"/>
      <c r="G16" s="6" t="n"/>
      <c r="H16" s="6" t="n">
        <v>770</v>
      </c>
      <c r="I16" s="6" t="n">
        <v>770</v>
      </c>
    </row>
    <row r="17">
      <c r="A17" s="6" t="inlineStr">
        <is>
          <t>Issue of shares</t>
        </is>
      </c>
      <c r="B17" s="6" t="n">
        <v>55000</v>
      </c>
      <c r="C17" s="6" t="n"/>
      <c r="D17" s="6" t="n"/>
      <c r="E17" s="6" t="n"/>
      <c r="F17" s="6" t="n"/>
      <c r="G17" s="6" t="n"/>
      <c r="H17" s="6" t="n"/>
      <c r="I17" s="6" t="n">
        <v>55000</v>
      </c>
    </row>
    <row r="18">
      <c r="A18" s="5" t="inlineStr">
        <is>
          <t>At 31 March 2022</t>
        </is>
      </c>
      <c r="B18" s="5" t="n">
        <v>168688</v>
      </c>
      <c r="C18" s="5" t="n">
        <v>2851</v>
      </c>
      <c r="D18" s="5" t="n">
        <v>-112766</v>
      </c>
      <c r="E18" s="5" t="n">
        <v>323</v>
      </c>
      <c r="F18" s="5" t="n">
        <v>-120</v>
      </c>
      <c r="G18" s="5" t="n">
        <v>6247</v>
      </c>
      <c r="H18" s="5" t="n">
        <v>770</v>
      </c>
      <c r="I18" s="5" t="n">
        <v>65993</v>
      </c>
    </row>
    <row r="19">
      <c r="A19" s="6" t="inlineStr">
        <is>
          <t>Loss for the period (FY2023)</t>
        </is>
      </c>
      <c r="B19" s="6" t="n"/>
      <c r="C19" s="6" t="n"/>
      <c r="D19" s="6" t="n">
        <v>-58148</v>
      </c>
      <c r="E19" s="6" t="n"/>
      <c r="F19" s="6" t="n"/>
      <c r="G19" s="6" t="n"/>
      <c r="H19" s="6" t="n"/>
      <c r="I19" s="6" t="n">
        <v>-58148</v>
      </c>
    </row>
    <row r="20">
      <c r="A20" s="6" t="inlineStr">
        <is>
          <t>Net changes in fair value</t>
        </is>
      </c>
      <c r="B20" s="6" t="n"/>
      <c r="C20" s="6" t="n"/>
      <c r="D20" s="6" t="n"/>
      <c r="E20" s="6" t="n"/>
      <c r="F20" s="6" t="n">
        <v>-58</v>
      </c>
      <c r="G20" s="6" t="n"/>
      <c r="H20" s="6" t="n"/>
      <c r="I20" s="6" t="n">
        <v>-58</v>
      </c>
    </row>
    <row r="21">
      <c r="A21" s="6" t="inlineStr">
        <is>
          <t>Reclassified to income statement</t>
        </is>
      </c>
      <c r="B21" s="6" t="n"/>
      <c r="C21" s="6" t="n"/>
      <c r="D21" s="6" t="n"/>
      <c r="E21" s="6" t="n"/>
      <c r="F21" s="6" t="n">
        <v>2</v>
      </c>
      <c r="G21" s="6" t="n"/>
      <c r="H21" s="6" t="n"/>
      <c r="I21" s="6" t="n">
        <v>2</v>
      </c>
    </row>
    <row r="22">
      <c r="A22" s="6" t="inlineStr">
        <is>
          <t>Equity-settled share-based payment transactions</t>
        </is>
      </c>
      <c r="B22" s="6" t="n"/>
      <c r="C22" s="6" t="n"/>
      <c r="D22" s="6" t="n"/>
      <c r="E22" s="6" t="n">
        <v>85</v>
      </c>
      <c r="F22" s="6" t="n"/>
      <c r="G22" s="6" t="n"/>
      <c r="H22" s="6" t="n"/>
      <c r="I22" s="6" t="n">
        <v>85</v>
      </c>
    </row>
    <row r="23">
      <c r="A23" s="6" t="inlineStr">
        <is>
          <t>Issue of shares</t>
        </is>
      </c>
      <c r="B23" s="6" t="n">
        <v>84609</v>
      </c>
      <c r="C23" s="6" t="n"/>
      <c r="D23" s="6" t="n"/>
      <c r="E23" s="6" t="n"/>
      <c r="F23" s="6" t="n"/>
      <c r="G23" s="6" t="n"/>
      <c r="H23" s="6" t="n"/>
      <c r="I23" s="6" t="n">
        <v>84609</v>
      </c>
    </row>
    <row r="24">
      <c r="A24" s="5" t="inlineStr">
        <is>
          <t>At 31 March 2023</t>
        </is>
      </c>
      <c r="B24" s="5" t="n">
        <v>253297</v>
      </c>
      <c r="C24" s="5" t="n">
        <v>2851</v>
      </c>
      <c r="D24" s="5" t="n">
        <v>-170914</v>
      </c>
      <c r="E24" s="5" t="n">
        <v>408</v>
      </c>
      <c r="F24" s="5" t="n">
        <v>-176</v>
      </c>
      <c r="G24" s="5" t="n">
        <v>6247</v>
      </c>
      <c r="H24" s="5" t="n">
        <v>770</v>
      </c>
      <c r="I24" s="5" t="n">
        <v>92483</v>
      </c>
    </row>
    <row r="25">
      <c r="A25" s="6" t="inlineStr">
        <is>
          <t>Loss for the period (FY2024)</t>
        </is>
      </c>
      <c r="B25" s="6" t="n"/>
      <c r="C25" s="6" t="n"/>
      <c r="D25" s="6" t="n">
        <v>-8861</v>
      </c>
      <c r="E25" s="6" t="n"/>
      <c r="F25" s="6" t="n"/>
      <c r="G25" s="6" t="n"/>
      <c r="H25" s="6" t="n"/>
      <c r="I25" s="6" t="n">
        <v>-8861</v>
      </c>
    </row>
    <row r="26">
      <c r="A26" s="6" t="inlineStr">
        <is>
          <t>Net changes in fair value</t>
        </is>
      </c>
      <c r="B26" s="6" t="n"/>
      <c r="C26" s="6" t="n"/>
      <c r="D26" s="6" t="n"/>
      <c r="E26" s="6" t="n"/>
      <c r="F26" s="6" t="n">
        <v>145</v>
      </c>
      <c r="G26" s="6" t="n"/>
      <c r="H26" s="6" t="n"/>
      <c r="I26" s="6" t="n">
        <v>145</v>
      </c>
    </row>
    <row r="27">
      <c r="A27" s="6" t="inlineStr">
        <is>
          <t>Reclassified to income statement</t>
        </is>
      </c>
      <c r="B27" s="6" t="n"/>
      <c r="C27" s="6" t="n"/>
      <c r="D27" s="6" t="n"/>
      <c r="E27" s="6" t="n"/>
      <c r="F27" s="6" t="n">
        <v>31</v>
      </c>
      <c r="G27" s="6" t="n"/>
      <c r="H27" s="6" t="n"/>
      <c r="I27" s="6" t="n">
        <v>31</v>
      </c>
    </row>
    <row r="28">
      <c r="A28" s="6" t="inlineStr">
        <is>
          <t>Equity-settled share-based payment transactions</t>
        </is>
      </c>
      <c r="B28" s="6" t="n"/>
      <c r="C28" s="6" t="n"/>
      <c r="D28" s="6" t="n"/>
      <c r="E28" s="6" t="n">
        <v>284</v>
      </c>
      <c r="F28" s="6" t="n"/>
      <c r="G28" s="6" t="n"/>
      <c r="H28" s="6" t="n"/>
      <c r="I28" s="6" t="n">
        <v>284</v>
      </c>
    </row>
    <row r="29">
      <c r="A29" s="6" t="inlineStr">
        <is>
          <t>Issue of shares</t>
        </is>
      </c>
      <c r="B29" s="6" t="n">
        <v>433</v>
      </c>
      <c r="C29" s="6" t="n">
        <v>88561</v>
      </c>
      <c r="D29" s="6" t="n"/>
      <c r="E29" s="6" t="n"/>
      <c r="F29" s="6" t="n"/>
      <c r="G29" s="6" t="n"/>
      <c r="H29" s="6" t="n"/>
      <c r="I29" s="6" t="n">
        <v>89000</v>
      </c>
    </row>
    <row r="30">
      <c r="A30" s="5" t="inlineStr">
        <is>
          <t>At 31 March 2024</t>
        </is>
      </c>
      <c r="B30" s="5" t="n">
        <v>253730</v>
      </c>
      <c r="C30" s="5" t="n">
        <v>91418</v>
      </c>
      <c r="D30" s="5" t="n">
        <v>-179775</v>
      </c>
      <c r="E30" s="5" t="n">
        <v>692</v>
      </c>
      <c r="F30" s="5" t="n">
        <v>0</v>
      </c>
      <c r="G30" s="5" t="n">
        <v>6247</v>
      </c>
      <c r="H30" s="5" t="n">
        <v>770</v>
      </c>
      <c r="I30" s="5" t="n">
        <v>173082</v>
      </c>
    </row>
    <row r="31">
      <c r="A31" s="6" t="inlineStr">
        <is>
          <t>Loss for the period (FY2025)</t>
        </is>
      </c>
      <c r="B31" s="6" t="n"/>
      <c r="C31" s="6" t="n"/>
      <c r="D31" s="6" t="n">
        <v>-4702</v>
      </c>
      <c r="E31" s="6" t="n"/>
      <c r="F31" s="6" t="n"/>
      <c r="G31" s="6" t="n"/>
      <c r="H31" s="6" t="n"/>
      <c r="I31" s="6" t="n">
        <v>-4702</v>
      </c>
    </row>
    <row r="32">
      <c r="A32" s="6" t="inlineStr">
        <is>
          <t>Net changes in fair value</t>
        </is>
      </c>
      <c r="B32" s="6" t="n"/>
      <c r="C32" s="6" t="n"/>
      <c r="D32" s="6" t="n"/>
      <c r="E32" s="6" t="n"/>
      <c r="F32" s="6" t="n">
        <v>824</v>
      </c>
      <c r="G32" s="6" t="n"/>
      <c r="H32" s="6" t="n"/>
      <c r="I32" s="6" t="n">
        <v>824</v>
      </c>
    </row>
    <row r="33">
      <c r="A33" s="6" t="inlineStr">
        <is>
          <t>Tax on other comprehensive income</t>
        </is>
      </c>
      <c r="B33" s="6" t="n"/>
      <c r="C33" s="6" t="n"/>
      <c r="D33" s="6" t="n"/>
      <c r="E33" s="6" t="n"/>
      <c r="F33" s="6" t="n">
        <v>-206</v>
      </c>
      <c r="G33" s="6" t="n"/>
      <c r="H33" s="6" t="n"/>
      <c r="I33" s="6" t="n">
        <v>-206</v>
      </c>
    </row>
    <row r="34">
      <c r="A34" s="6" t="inlineStr">
        <is>
          <t>Equity-settled share-based payment transactions</t>
        </is>
      </c>
      <c r="B34" s="6" t="n"/>
      <c r="C34" s="6" t="n"/>
      <c r="D34" s="6" t="n"/>
      <c r="E34" s="6" t="n">
        <v>144</v>
      </c>
      <c r="F34" s="6" t="n"/>
      <c r="G34" s="6" t="n"/>
      <c r="H34" s="6" t="n"/>
      <c r="I34" s="6" t="n">
        <v>144</v>
      </c>
    </row>
    <row r="35">
      <c r="A35" s="6" t="inlineStr">
        <is>
          <t>Reclassified to retained losses</t>
        </is>
      </c>
      <c r="B35" s="6" t="n"/>
      <c r="C35" s="6" t="n"/>
      <c r="D35" s="6" t="n">
        <v>577</v>
      </c>
      <c r="E35" s="6" t="n">
        <v>-577</v>
      </c>
      <c r="F35" s="6" t="n"/>
      <c r="G35" s="6" t="n"/>
      <c r="H35" s="6" t="n"/>
      <c r="I35" s="6" t="n">
        <v>0</v>
      </c>
    </row>
    <row r="36">
      <c r="A36" s="6" t="inlineStr">
        <is>
          <t>Issue of shares</t>
        </is>
      </c>
      <c r="B36" s="6" t="n">
        <v>183</v>
      </c>
      <c r="C36" s="6" t="n">
        <v>26818</v>
      </c>
      <c r="D36" s="6" t="n"/>
      <c r="E36" s="6" t="n"/>
      <c r="F36" s="6" t="n"/>
      <c r="G36" s="6" t="n"/>
      <c r="H36" s="6" t="n"/>
      <c r="I36" s="6" t="n">
        <v>27001</v>
      </c>
    </row>
    <row r="37">
      <c r="A37" s="5" t="inlineStr">
        <is>
          <t>At 31 March 2025</t>
        </is>
      </c>
      <c r="B37" s="5" t="n">
        <v>253913</v>
      </c>
      <c r="C37" s="5" t="n">
        <v>118236</v>
      </c>
      <c r="D37" s="5" t="n">
        <v>-183900</v>
      </c>
      <c r="E37" s="5" t="n">
        <v>259</v>
      </c>
      <c r="F37" s="5" t="n">
        <v>618</v>
      </c>
      <c r="G37" s="5" t="n">
        <v>6247</v>
      </c>
      <c r="H37" s="5" t="n">
        <v>770</v>
      </c>
      <c r="I37" s="5" t="n">
        <v>196143</v>
      </c>
    </row>
    <row r="39" ht="220" customHeight="1">
      <c r="A39" s="8" t="inlineStr">
        <is>
          <t>Sources - Chetwood Financial Limited's own Consolidated Statement of Financial Position / Statement of Total Comprehensive Income / Statement of Changes in Equity, transcribed from each year's own Annual Report (not a later year's comparative column, except where noted). See entity note below re: FY2021 (standalone) and the FY2024 P&amp;L OCR-corruption note.
FY2025/FY2024: Chetwood Financial Limited Annual Report and Financial Statements, year ended 31 March 2025, p.44-47 (Consolidated Statement of Financial Position / Statement of Total Comprehensive Income / Statement of Changes in Equity) - https://chetwoodbank.co.uk/documents/chetwood-bank-annual-report.pdf
FY2023: Chetwood Financial Limited Annual Report and Financial Statements, year ended 31 March 2024, p.24-27 (prior-year comparative column) - http://web.archive.org/web/20240920030034/https://chetwood.co/static/97d26e488d5277699e5b9a9983db4d5b/AnnualReport.pdf. (As with the Cash Flow Statement, the FY2023 Annual Report's own PDF has a text-encoding fault; the FY2024 report's clean comparative column was used instead - both present the same audited FY2023 statutory figures.)
FY2022/FY2021: Chetwood Financial Limited Annual Report and Financial Statements, year ended 31 March 2022, p.22-25 (Consolidated Statement of Financial Position / Statement of Total Comprehensive Income / Statement of Changes in Equity, Group and Company for FY2021) - http://web.archive.org/web/20230131231341/https://chetwood.co/static/7fbc3d1ed9c0913dca3435f640a5a570/AnnualReport.pdf
ENTITY NOTE: Chetwood Financial Limited (trading as Chetwood Bank) is the entity on the PRA register - no holding-company substitution was needed here (unlike Monzo). All years are Chetwood Financial Limited, consolidated/Group basis, EXCEPT FY2021 (marked †), which is Chetwood's own standalone entity accounts - the Group didn't exist yet (Chetwood acquired Yobota Limited on 1 March 2022, and CHL Mortgages for Intermediaries Limited later still), so there is no consolidated cash flow statement for FY2021. Companies House confirms FY2021 accounts were filed as 'Full accounts' (solo), while FY2022-FY2025 were filed as 'Group of companies' accounts' (consolidated). Per user direction, FY2021 is included on a standalone basis and clearly flagged, rather than omitted.
FY2024 (marked *) is consolidated, but no Pillar 3 disclosure for 'as at 31 March 2024' was ever published or archived - see the note on each Pillar 3 sheet.
DATA QUALITY NOTE: the FY2024 Annual Report's own P&amp;L page (used for FY2023's comparative column) has the same text-encoding fault as its Cash Flow Statement page, corrupting individual digits in places (e.g. that page's own FY2024 'Impairment of loans and advances to customers' prints as -855, matching the clean FY2025 report's comparative figure exactly). The equity statement page in the same FY2024 report similarly corrupts one FY2024 'Total comprehensive income' cell (prints -8,605 instead of -8,685) - the FY2025 report's own FY2023-25 equity table and the P&amp;L's own OCI total agree exactly on -8,685, so -8,685 is used here.
PRESENTATION NOTE: 'Cash and cash equivalents' (FY2023-25) and 'Loans and advances to banks' (FY2021-22) are the same balance-sheet line under two labels - shown on one row. 'Capital redemption reserve' (FY2023-25) and 'Capital contribution' (FY2022, first appearing that year as a debt waiver from the ultimate controlling party) are the same £6,247k reserve under two labels - shown on one row. P&amp;L structure changed across the five years as the business grew: FY2025 nets fee income/expense into a single 'Net fee and commission (expense)/income' line with no separate 'Other income' row; FY2022-23 include a 'Net gain arising from derecognition of financial assets at amortised cost' line with no FY2024-25 equivalent; only FY2024-25 disclose 'Deferred tax liabilities' or a 'Goodwill' balance sheet line, both absent 2021-23; only FY2025 discloses 'Debt securities in issue' as a live balance (£89k), though the line existed as a zero balance from FY2024. Blank cells indicate that year's report did not disclose that specific line.</t>
        </is>
      </c>
    </row>
  </sheetData>
  <mergeCells count="1">
    <mergeCell ref="A39:I39"/>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6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6" customWidth="1" min="1" max="1"/>
    <col width="15" customWidth="1" min="2" max="2"/>
    <col width="15" customWidth="1" min="3" max="3"/>
    <col width="15" customWidth="1" min="4" max="4"/>
    <col width="15" customWidth="1" min="5" max="5"/>
    <col width="15" customWidth="1" min="6" max="6"/>
  </cols>
  <sheetData>
    <row r="1">
      <c r="A1" s="1" t="inlineStr">
        <is>
          <t>Chetwood Financial Limited — Cash Flow Statement</t>
        </is>
      </c>
    </row>
    <row r="2">
      <c r="A2" s="2" t="inlineStr">
        <is>
          <t>£'000 unless stated. Consolidated (Group) basis except FY2021 († standalone entity).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Cash flows from operating activities</t>
        </is>
      </c>
      <c r="B4" s="6" t="n"/>
      <c r="C4" s="6" t="n"/>
      <c r="D4" s="6" t="n"/>
      <c r="E4" s="6" t="n"/>
      <c r="F4" s="6" t="n"/>
    </row>
    <row r="5">
      <c r="A5" s="6" t="inlineStr">
        <is>
          <t>Loss after tax</t>
        </is>
      </c>
      <c r="B5" s="6" t="n"/>
      <c r="C5" s="6" t="n">
        <v>-8861</v>
      </c>
      <c r="D5" s="6" t="n">
        <v>-58148</v>
      </c>
      <c r="E5" s="6" t="n">
        <v>-29753</v>
      </c>
      <c r="F5" s="6" t="n">
        <v>-21310</v>
      </c>
    </row>
    <row r="6">
      <c r="A6" s="6" t="inlineStr">
        <is>
          <t>(Loss)/profit before tax</t>
        </is>
      </c>
      <c r="B6" s="6" t="n">
        <v>-4702</v>
      </c>
      <c r="C6" s="6" t="n"/>
      <c r="D6" s="6" t="n"/>
      <c r="E6" s="6" t="n"/>
      <c r="F6" s="6" t="n"/>
    </row>
    <row r="7">
      <c r="A7" s="6" t="inlineStr">
        <is>
          <t>Depreciation of property, plant and equipment</t>
        </is>
      </c>
      <c r="B7" s="6" t="n">
        <v>615</v>
      </c>
      <c r="C7" s="6" t="n">
        <v>560</v>
      </c>
      <c r="D7" s="6" t="n">
        <v>496</v>
      </c>
      <c r="E7" s="6" t="n">
        <v>322</v>
      </c>
      <c r="F7" s="6" t="n">
        <v>347</v>
      </c>
    </row>
    <row r="8">
      <c r="A8" s="6" t="inlineStr">
        <is>
          <t>Remeasurement of right-of-use asset</t>
        </is>
      </c>
      <c r="B8" s="6" t="n"/>
      <c r="C8" s="6" t="n"/>
      <c r="D8" s="6" t="n">
        <v>-217</v>
      </c>
      <c r="E8" s="6" t="n">
        <v>304</v>
      </c>
      <c r="F8" s="6" t="n"/>
    </row>
    <row r="9">
      <c r="A9" s="6" t="inlineStr">
        <is>
          <t>Amortisation of intangibles</t>
        </is>
      </c>
      <c r="B9" s="6" t="n">
        <v>536</v>
      </c>
      <c r="C9" s="6" t="n">
        <v>1261</v>
      </c>
      <c r="D9" s="6" t="n">
        <v>2235</v>
      </c>
      <c r="E9" s="6" t="n">
        <v>694</v>
      </c>
      <c r="F9" s="6" t="n">
        <v>106</v>
      </c>
    </row>
    <row r="10">
      <c r="A10" s="6" t="inlineStr">
        <is>
          <t>Impairment of intangibles</t>
        </is>
      </c>
      <c r="B10" s="6" t="n"/>
      <c r="C10" s="6" t="n">
        <v>985</v>
      </c>
      <c r="D10" s="6" t="n">
        <v>3069</v>
      </c>
      <c r="E10" s="6" t="n"/>
      <c r="F10" s="6" t="n"/>
    </row>
    <row r="11">
      <c r="A11" s="6" t="inlineStr">
        <is>
          <t>Interest income on debt securities</t>
        </is>
      </c>
      <c r="B11" s="6" t="n">
        <v>-50560</v>
      </c>
      <c r="C11" s="6" t="n">
        <v>-18163</v>
      </c>
      <c r="D11" s="6" t="n">
        <v>-1885</v>
      </c>
      <c r="E11" s="6" t="n"/>
      <c r="F11" s="6" t="n"/>
    </row>
    <row r="12">
      <c r="A12" s="6" t="inlineStr">
        <is>
          <t>Interest expense/(income) on financing activities</t>
        </is>
      </c>
      <c r="B12" s="6" t="n">
        <v>6800</v>
      </c>
      <c r="C12" s="6" t="n">
        <v>180</v>
      </c>
      <c r="D12" s="6" t="n">
        <v>36</v>
      </c>
      <c r="E12" s="6" t="n">
        <v>35</v>
      </c>
      <c r="F12" s="6" t="n">
        <v>40</v>
      </c>
    </row>
    <row r="13">
      <c r="A13" s="6" t="inlineStr">
        <is>
          <t>Equity-settled share-based payment transactions</t>
        </is>
      </c>
      <c r="B13" s="6" t="n">
        <v>144</v>
      </c>
      <c r="C13" s="6" t="n">
        <v>284</v>
      </c>
      <c r="D13" s="6" t="n">
        <v>85</v>
      </c>
      <c r="E13" s="6" t="n">
        <v>209</v>
      </c>
      <c r="F13" s="6" t="n">
        <v>102</v>
      </c>
    </row>
    <row r="14">
      <c r="A14" s="6" t="inlineStr">
        <is>
          <t>Movement in fair value of financial instruments at FVTPL</t>
        </is>
      </c>
      <c r="B14" s="6" t="n">
        <v>-22983</v>
      </c>
      <c r="C14" s="6" t="n">
        <v>9208</v>
      </c>
      <c r="D14" s="6" t="n">
        <v>1399</v>
      </c>
      <c r="E14" s="6" t="n"/>
      <c r="F14" s="6" t="n"/>
    </row>
    <row r="15">
      <c r="A15" s="6" t="inlineStr">
        <is>
          <t>Movement in fair value of derivative financial assets</t>
        </is>
      </c>
      <c r="B15" s="6" t="n"/>
      <c r="C15" s="6" t="n"/>
      <c r="D15" s="6" t="n"/>
      <c r="E15" s="6" t="n">
        <v>-119</v>
      </c>
      <c r="F15" s="6" t="n">
        <v>-15</v>
      </c>
    </row>
    <row r="16">
      <c r="A16" s="6" t="inlineStr">
        <is>
          <t>Movement in fair value of derivative financial liabilities</t>
        </is>
      </c>
      <c r="B16" s="6" t="n"/>
      <c r="C16" s="6" t="n"/>
      <c r="D16" s="6" t="n"/>
      <c r="E16" s="6" t="n">
        <v>452</v>
      </c>
      <c r="F16" s="6" t="n">
        <v>-4</v>
      </c>
    </row>
    <row r="17">
      <c r="A17" s="6" t="inlineStr">
        <is>
          <t>Fair value adjustment on hedged items</t>
        </is>
      </c>
      <c r="B17" s="6" t="n">
        <v>9005</v>
      </c>
      <c r="C17" s="6" t="n">
        <v>-11782</v>
      </c>
      <c r="D17" s="6" t="n">
        <v>-2217</v>
      </c>
      <c r="E17" s="6" t="n"/>
      <c r="F17" s="6" t="n"/>
    </row>
    <row r="18">
      <c r="A18" s="6" t="inlineStr">
        <is>
          <t>Loss on disposal of property, plant and equipment</t>
        </is>
      </c>
      <c r="B18" s="6" t="n">
        <v>1</v>
      </c>
      <c r="C18" s="6" t="n"/>
      <c r="D18" s="6" t="n">
        <v>8</v>
      </c>
      <c r="E18" s="6" t="n">
        <v>1</v>
      </c>
      <c r="F18" s="6" t="n">
        <v>12</v>
      </c>
    </row>
    <row r="19">
      <c r="A19" s="6" t="inlineStr">
        <is>
          <t>Profit on sale of investments in debt securities</t>
        </is>
      </c>
      <c r="B19" s="6" t="n">
        <v>-1</v>
      </c>
      <c r="C19" s="6" t="n">
        <v>-42</v>
      </c>
      <c r="D19" s="6" t="n"/>
      <c r="E19" s="6" t="n"/>
      <c r="F19" s="6" t="n"/>
    </row>
    <row r="20">
      <c r="A20" s="6" t="inlineStr">
        <is>
          <t>Discount unwind on debt securities</t>
        </is>
      </c>
      <c r="B20" s="6" t="n">
        <v>536</v>
      </c>
      <c r="C20" s="6" t="n"/>
      <c r="D20" s="6" t="n"/>
      <c r="E20" s="6" t="n"/>
      <c r="F20" s="6" t="n"/>
    </row>
    <row r="21">
      <c r="A21" s="6" t="inlineStr">
        <is>
          <t>Loss on disposal of intangible assets</t>
        </is>
      </c>
      <c r="B21" s="6" t="n"/>
      <c r="C21" s="6" t="n"/>
      <c r="D21" s="6" t="n"/>
      <c r="E21" s="6" t="n">
        <v>18</v>
      </c>
      <c r="F21" s="6" t="n">
        <v>402</v>
      </c>
    </row>
    <row r="22">
      <c r="A22" s="6" t="inlineStr">
        <is>
          <t>Movement in provision</t>
        </is>
      </c>
      <c r="B22" s="6" t="n">
        <v>-657</v>
      </c>
      <c r="C22" s="6" t="n">
        <v>894</v>
      </c>
      <c r="D22" s="6" t="n">
        <v>1424</v>
      </c>
      <c r="E22" s="6" t="n">
        <v>591</v>
      </c>
      <c r="F22" s="6" t="n"/>
    </row>
    <row r="23">
      <c r="A23" s="6" t="inlineStr">
        <is>
          <t>Impairment of investment in subsidiary / impairment of Yobota</t>
        </is>
      </c>
      <c r="B23" s="6" t="n"/>
      <c r="C23" s="6" t="n">
        <v>0</v>
      </c>
      <c r="D23" s="6" t="n">
        <v>0</v>
      </c>
      <c r="E23" s="6" t="n"/>
      <c r="F23" s="6" t="n"/>
    </row>
    <row r="24">
      <c r="A24" s="6" t="inlineStr">
        <is>
          <t>Net gain arising from derecognition of financial assets measured at amortised cost</t>
        </is>
      </c>
      <c r="B24" s="6" t="n"/>
      <c r="C24" s="6" t="n"/>
      <c r="D24" s="6" t="n"/>
      <c r="E24" s="6" t="n">
        <v>-4369</v>
      </c>
      <c r="F24" s="6" t="n"/>
    </row>
    <row r="25">
      <c r="A25" s="6" t="inlineStr">
        <is>
          <t>Net increase in loans and advances to customers</t>
        </is>
      </c>
      <c r="B25" s="6" t="n">
        <v>-857836</v>
      </c>
      <c r="C25" s="6" t="n">
        <v>-1184232</v>
      </c>
      <c r="D25" s="6" t="n">
        <v>-346633</v>
      </c>
      <c r="E25" s="6" t="n">
        <v>-146297</v>
      </c>
      <c r="F25" s="6" t="n">
        <v>-19344</v>
      </c>
    </row>
    <row r="26">
      <c r="A26" s="6" t="inlineStr">
        <is>
          <t>Net interest paid on derivative financial assets</t>
        </is>
      </c>
      <c r="B26" s="6" t="n">
        <v>25551</v>
      </c>
      <c r="C26" s="6" t="n">
        <v>1448</v>
      </c>
      <c r="D26" s="6" t="n">
        <v>37</v>
      </c>
      <c r="E26" s="6" t="n"/>
      <c r="F26" s="6" t="n"/>
    </row>
    <row r="27">
      <c r="A27" s="6" t="inlineStr">
        <is>
          <t>Net cash flow on derivative financial instruments</t>
        </is>
      </c>
      <c r="B27" s="6" t="n"/>
      <c r="C27" s="6" t="n">
        <v>-52498</v>
      </c>
      <c r="D27" s="6" t="n">
        <v>325</v>
      </c>
      <c r="E27" s="6" t="n"/>
      <c r="F27" s="6" t="n"/>
    </row>
    <row r="28">
      <c r="A28" s="6" t="inlineStr">
        <is>
          <t>Increase/(decrease) in prepayments and accrued income</t>
        </is>
      </c>
      <c r="B28" s="6" t="n">
        <v>324</v>
      </c>
      <c r="C28" s="6" t="n">
        <v>-3353</v>
      </c>
      <c r="D28" s="6" t="n">
        <v>-69</v>
      </c>
      <c r="E28" s="6" t="n">
        <v>-175</v>
      </c>
      <c r="F28" s="6" t="n">
        <v>223</v>
      </c>
    </row>
    <row r="29">
      <c r="A29" s="6" t="inlineStr">
        <is>
          <t>Increase in other assets</t>
        </is>
      </c>
      <c r="B29" s="6" t="n">
        <v>-20076</v>
      </c>
      <c r="C29" s="6" t="n">
        <v>-25013</v>
      </c>
      <c r="D29" s="6" t="n">
        <v>-10277</v>
      </c>
      <c r="E29" s="6" t="n">
        <v>-4696</v>
      </c>
      <c r="F29" s="6" t="n">
        <v>-2881</v>
      </c>
    </row>
    <row r="30">
      <c r="A30" s="6" t="inlineStr">
        <is>
          <t>(Increase)/decrease in tax asset</t>
        </is>
      </c>
      <c r="B30" s="6" t="n"/>
      <c r="C30" s="6" t="n"/>
      <c r="D30" s="6" t="n">
        <v>64</v>
      </c>
      <c r="E30" s="6" t="n">
        <v>-19</v>
      </c>
      <c r="F30" s="6" t="n">
        <v>-45</v>
      </c>
    </row>
    <row r="31">
      <c r="A31" s="6" t="inlineStr">
        <is>
          <t>Increase/(decrease) in customer deposits</t>
        </is>
      </c>
      <c r="B31" s="6" t="n">
        <v>955692</v>
      </c>
      <c r="C31" s="6" t="n">
        <v>1473432</v>
      </c>
      <c r="D31" s="6" t="n">
        <v>1060680</v>
      </c>
      <c r="E31" s="6" t="n">
        <v>162610</v>
      </c>
      <c r="F31" s="6" t="n">
        <v>-52195</v>
      </c>
    </row>
    <row r="32">
      <c r="A32" s="6" t="inlineStr">
        <is>
          <t>Increase/(decrease) in accruals and deferred income</t>
        </is>
      </c>
      <c r="B32" s="6" t="n">
        <v>507</v>
      </c>
      <c r="C32" s="6" t="n">
        <v>2487</v>
      </c>
      <c r="D32" s="6" t="n">
        <v>489</v>
      </c>
      <c r="E32" s="6" t="n">
        <v>1612</v>
      </c>
      <c r="F32" s="6" t="n">
        <v>2838</v>
      </c>
    </row>
    <row r="33">
      <c r="A33" s="6" t="inlineStr">
        <is>
          <t>Increase/(decrease) in other liabilities</t>
        </is>
      </c>
      <c r="B33" s="6" t="n">
        <v>142</v>
      </c>
      <c r="C33" s="6" t="n">
        <v>2725</v>
      </c>
      <c r="D33" s="6" t="n">
        <v>2518</v>
      </c>
      <c r="E33" s="6" t="n">
        <v>1447</v>
      </c>
      <c r="F33" s="6" t="n">
        <v>-396</v>
      </c>
    </row>
    <row r="34">
      <c r="A34" s="6" t="inlineStr">
        <is>
          <t>Purchase of mortgage portfolio</t>
        </is>
      </c>
      <c r="B34" s="6" t="n"/>
      <c r="C34" s="6" t="n"/>
      <c r="D34" s="6" t="n"/>
      <c r="E34" s="6" t="n">
        <v>157842</v>
      </c>
      <c r="F34" s="6" t="n"/>
    </row>
    <row r="35">
      <c r="A35" s="6" t="inlineStr">
        <is>
          <t>Derecognition of assets at amortised cost on sale</t>
        </is>
      </c>
      <c r="B35" s="6" t="n"/>
      <c r="C35" s="6" t="n"/>
      <c r="D35" s="6" t="n"/>
      <c r="E35" s="6" t="n">
        <v>-123733</v>
      </c>
      <c r="F35" s="6" t="n"/>
    </row>
    <row r="36">
      <c r="A36" s="5" t="inlineStr">
        <is>
          <t>Net cash from operating activities</t>
        </is>
      </c>
      <c r="B36" s="5" t="n">
        <v>43038</v>
      </c>
      <c r="C36" s="5" t="n">
        <v>189520</v>
      </c>
      <c r="D36" s="5" t="n">
        <v>653419</v>
      </c>
      <c r="E36" s="5" t="n">
        <v>16976</v>
      </c>
      <c r="F36" s="5" t="n">
        <v>-92120</v>
      </c>
    </row>
    <row r="37">
      <c r="A37" s="5" t="inlineStr">
        <is>
          <t>Cash flows from investing activities</t>
        </is>
      </c>
      <c r="B37" s="6" t="n"/>
      <c r="C37" s="6" t="n"/>
      <c r="D37" s="6" t="n"/>
      <c r="E37" s="6" t="n"/>
      <c r="F37" s="6" t="n"/>
    </row>
    <row r="38">
      <c r="A38" s="6" t="inlineStr">
        <is>
          <t>Proceeds from sale and maturity of debt securities</t>
        </is>
      </c>
      <c r="B38" s="6" t="n">
        <v>1401</v>
      </c>
      <c r="C38" s="6" t="n">
        <v>36835</v>
      </c>
      <c r="D38" s="6" t="n">
        <v>11031</v>
      </c>
      <c r="E38" s="6" t="n"/>
      <c r="F38" s="6" t="n"/>
    </row>
    <row r="39">
      <c r="A39" s="6" t="inlineStr">
        <is>
          <t>Acquisition of debt securities</t>
        </is>
      </c>
      <c r="B39" s="6" t="n">
        <v>-910238</v>
      </c>
      <c r="C39" s="6" t="n">
        <v>-505077</v>
      </c>
      <c r="D39" s="6" t="n">
        <v>-135674</v>
      </c>
      <c r="E39" s="6" t="n">
        <v>-5003</v>
      </c>
      <c r="F39" s="6" t="n"/>
    </row>
    <row r="40">
      <c r="A40" s="6" t="inlineStr">
        <is>
          <t>Principal repayments on investments in debt securities</t>
        </is>
      </c>
      <c r="B40" s="6" t="n">
        <v>134509</v>
      </c>
      <c r="C40" s="6" t="n">
        <v>61327</v>
      </c>
      <c r="D40" s="6" t="n"/>
      <c r="E40" s="6" t="n"/>
      <c r="F40" s="6" t="n"/>
    </row>
    <row r="41">
      <c r="A41" s="6" t="inlineStr">
        <is>
          <t>Interest received from investing activities</t>
        </is>
      </c>
      <c r="B41" s="6" t="n">
        <v>40802</v>
      </c>
      <c r="C41" s="6" t="n">
        <v>17601</v>
      </c>
      <c r="D41" s="6" t="n">
        <v>1760</v>
      </c>
      <c r="E41" s="6" t="n"/>
      <c r="F41" s="6" t="n"/>
    </row>
    <row r="42">
      <c r="A42" s="6" t="inlineStr">
        <is>
          <t>Net maturity/(purchase) of debt securities</t>
        </is>
      </c>
      <c r="B42" s="6" t="n"/>
      <c r="C42" s="6" t="n"/>
      <c r="D42" s="6" t="n"/>
      <c r="E42" s="6" t="n"/>
      <c r="F42" s="6" t="n">
        <v>30170</v>
      </c>
    </row>
    <row r="43">
      <c r="A43" s="6" t="inlineStr">
        <is>
          <t>Purchase of loans and advances to customers</t>
        </is>
      </c>
      <c r="B43" s="6" t="n"/>
      <c r="C43" s="6" t="n"/>
      <c r="D43" s="6" t="n"/>
      <c r="E43" s="6" t="n">
        <v>-157842</v>
      </c>
      <c r="F43" s="6" t="n"/>
    </row>
    <row r="44">
      <c r="A44" s="6" t="inlineStr">
        <is>
          <t>Purchases of property, plant and equipment</t>
        </is>
      </c>
      <c r="B44" s="6" t="n">
        <v>-617</v>
      </c>
      <c r="C44" s="6" t="n">
        <v>-461</v>
      </c>
      <c r="D44" s="6" t="n">
        <v>-843</v>
      </c>
      <c r="E44" s="6" t="n">
        <v>-119</v>
      </c>
      <c r="F44" s="6" t="n">
        <v>-116</v>
      </c>
    </row>
    <row r="45">
      <c r="A45" s="6" t="inlineStr">
        <is>
          <t>Proceeds from sale of property, plant and equipment</t>
        </is>
      </c>
      <c r="B45" s="6" t="n">
        <v>11</v>
      </c>
      <c r="C45" s="6" t="n"/>
      <c r="D45" s="6" t="n"/>
      <c r="E45" s="6" t="n"/>
      <c r="F45" s="6" t="n"/>
    </row>
    <row r="46">
      <c r="A46" s="6" t="inlineStr">
        <is>
          <t>Investment in Intangible assets</t>
        </is>
      </c>
      <c r="B46" s="6" t="n">
        <v>-9</v>
      </c>
      <c r="C46" s="6" t="n"/>
      <c r="D46" s="6" t="n">
        <v>-402</v>
      </c>
      <c r="E46" s="6" t="n">
        <v>-1852</v>
      </c>
      <c r="F46" s="6" t="n">
        <v>-3201</v>
      </c>
    </row>
    <row r="47">
      <c r="A47" s="6" t="inlineStr">
        <is>
          <t>Acquisition of subsidiary net of cash acquired</t>
        </is>
      </c>
      <c r="B47" s="6" t="n">
        <v>-7497</v>
      </c>
      <c r="C47" s="6" t="n"/>
      <c r="D47" s="6" t="n"/>
      <c r="E47" s="6" t="n">
        <v>-12903</v>
      </c>
      <c r="F47" s="6" t="n"/>
    </row>
    <row r="48">
      <c r="A48" s="5" t="inlineStr">
        <is>
          <t>Net cash from/(used in) investing activities</t>
        </is>
      </c>
      <c r="B48" s="5" t="n">
        <v>-741638</v>
      </c>
      <c r="C48" s="5" t="n">
        <v>-389775</v>
      </c>
      <c r="D48" s="5" t="n">
        <v>-124128</v>
      </c>
      <c r="E48" s="5" t="n">
        <v>-177719</v>
      </c>
      <c r="F48" s="5" t="n">
        <v>26853</v>
      </c>
    </row>
    <row r="49">
      <c r="A49" s="5" t="inlineStr">
        <is>
          <t>Cash flows from financing activities</t>
        </is>
      </c>
      <c r="B49" s="6" t="n"/>
      <c r="C49" s="6" t="n"/>
      <c r="D49" s="6" t="n"/>
      <c r="E49" s="6" t="n"/>
      <c r="F49" s="6" t="n"/>
    </row>
    <row r="50">
      <c r="A50" s="6" t="inlineStr">
        <is>
          <t>Principal drawdowns on amounts owed to credit institutions</t>
        </is>
      </c>
      <c r="B50" s="6" t="n">
        <v>476000</v>
      </c>
      <c r="C50" s="6" t="n">
        <v>9000</v>
      </c>
      <c r="D50" s="6" t="n"/>
      <c r="E50" s="6" t="n"/>
      <c r="F50" s="6" t="n"/>
    </row>
    <row r="51">
      <c r="A51" s="6" t="inlineStr">
        <is>
          <t>Interest paid on amounts owed to credit institutions</t>
        </is>
      </c>
      <c r="B51" s="6" t="n">
        <v>-2930</v>
      </c>
      <c r="C51" s="6" t="n"/>
      <c r="D51" s="6" t="n"/>
      <c r="E51" s="6" t="n"/>
      <c r="F51" s="6" t="n"/>
    </row>
    <row r="52">
      <c r="A52" s="6" t="inlineStr">
        <is>
          <t>Issuance of ordinary shares</t>
        </is>
      </c>
      <c r="B52" s="6" t="n">
        <v>27001</v>
      </c>
      <c r="C52" s="6" t="n">
        <v>89000</v>
      </c>
      <c r="D52" s="6" t="n">
        <v>84609</v>
      </c>
      <c r="E52" s="6" t="n">
        <v>55000</v>
      </c>
      <c r="F52" s="6" t="n">
        <v>29000</v>
      </c>
    </row>
    <row r="53">
      <c r="A53" s="6" t="inlineStr">
        <is>
          <t>Issuance of debt securities</t>
        </is>
      </c>
      <c r="B53" s="6" t="n"/>
      <c r="C53" s="6" t="n">
        <v>100</v>
      </c>
      <c r="D53" s="6" t="n"/>
      <c r="E53" s="6" t="n"/>
      <c r="F53" s="6" t="n"/>
    </row>
    <row r="54">
      <c r="A54" s="6" t="inlineStr">
        <is>
          <t>Repayment of debt securities</t>
        </is>
      </c>
      <c r="B54" s="6" t="n">
        <v>-10</v>
      </c>
      <c r="C54" s="6" t="n"/>
      <c r="D54" s="6" t="n"/>
      <c r="E54" s="6" t="n"/>
      <c r="F54" s="6" t="n"/>
    </row>
    <row r="55">
      <c r="A55" s="6" t="inlineStr">
        <is>
          <t>Interest (paid)/received on debt securities</t>
        </is>
      </c>
      <c r="B55" s="6" t="n">
        <v>-6</v>
      </c>
      <c r="C55" s="6" t="n"/>
      <c r="D55" s="6" t="n"/>
      <c r="E55" s="6" t="n"/>
      <c r="F55" s="6" t="n"/>
    </row>
    <row r="56">
      <c r="A56" s="6" t="inlineStr">
        <is>
          <t>Interest expense on debt securities</t>
        </is>
      </c>
      <c r="B56" s="6" t="n"/>
      <c r="C56" s="6" t="n">
        <v>0</v>
      </c>
      <c r="D56" s="6" t="n"/>
      <c r="E56" s="6" t="n"/>
      <c r="F56" s="6" t="n"/>
    </row>
    <row r="57">
      <c r="A57" s="6" t="inlineStr">
        <is>
          <t>Proceeds from the sale of loans and advances at amortised cost</t>
        </is>
      </c>
      <c r="B57" s="6" t="n"/>
      <c r="C57" s="6" t="n"/>
      <c r="D57" s="6" t="n"/>
      <c r="E57" s="6" t="n">
        <v>128103</v>
      </c>
      <c r="F57" s="6" t="n"/>
    </row>
    <row r="58">
      <c r="A58" s="6" t="inlineStr">
        <is>
          <t>Interest paid on lease liabilities</t>
        </is>
      </c>
      <c r="B58" s="6" t="n">
        <v>-39</v>
      </c>
      <c r="C58" s="6" t="n">
        <v>-73</v>
      </c>
      <c r="D58" s="6" t="n">
        <v>-36</v>
      </c>
      <c r="E58" s="6" t="n">
        <v>-35</v>
      </c>
      <c r="F58" s="6" t="n">
        <v>-40</v>
      </c>
    </row>
    <row r="59">
      <c r="A59" s="5" t="inlineStr">
        <is>
          <t>Net cash from/(used in) financing activities</t>
        </is>
      </c>
      <c r="B59" s="5" t="n">
        <v>500016</v>
      </c>
      <c r="C59" s="5" t="n">
        <v>98027</v>
      </c>
      <c r="D59" s="5" t="n">
        <v>84573</v>
      </c>
      <c r="E59" s="5" t="n">
        <v>183068</v>
      </c>
      <c r="F59" s="5" t="n">
        <v>28960</v>
      </c>
    </row>
    <row r="60">
      <c r="A60" s="5" t="inlineStr">
        <is>
          <t>Net cash flows for the period</t>
        </is>
      </c>
      <c r="B60" s="5" t="n">
        <v>-198584</v>
      </c>
      <c r="C60" s="5" t="n">
        <v>-102228</v>
      </c>
      <c r="D60" s="5" t="n">
        <v>613864</v>
      </c>
      <c r="E60" s="5" t="n">
        <v>22325</v>
      </c>
      <c r="F60" s="5" t="n">
        <v>-36307</v>
      </c>
    </row>
    <row r="61">
      <c r="A61" s="6" t="inlineStr">
        <is>
          <t>Opening cash and cash equivalents</t>
        </is>
      </c>
      <c r="B61" s="6" t="n">
        <v>586134</v>
      </c>
      <c r="C61" s="6" t="n">
        <v>688362</v>
      </c>
      <c r="D61" s="6" t="n">
        <v>74498</v>
      </c>
      <c r="E61" s="6" t="n">
        <v>52173</v>
      </c>
      <c r="F61" s="6" t="n">
        <v>88480</v>
      </c>
    </row>
    <row r="62">
      <c r="A62" s="5" t="inlineStr">
        <is>
          <t>Closing cash and cash equivalents</t>
        </is>
      </c>
      <c r="B62" s="5" t="n">
        <v>387550</v>
      </c>
      <c r="C62" s="5" t="n">
        <v>586134</v>
      </c>
      <c r="D62" s="5" t="n">
        <v>688362</v>
      </c>
      <c r="E62" s="5" t="n">
        <v>74498</v>
      </c>
      <c r="F62" s="5" t="n">
        <v>52173</v>
      </c>
    </row>
    <row r="64" ht="150" customHeight="1">
      <c r="A64" s="8" t="inlineStr">
        <is>
          <t>Sources - all figures are Chetwood Financial Limited Group (consolidated) cash flow statement, £'000, unless noted. See entity note above re: FY2021 (standalone) and FY2024 (Pillar 3 gap).
FY2025: Chetwood Financial Limited Annual Report and Financial Statements, year ended 31 March 2025, p.48-49 (Consolidated and company statement of cashflows) - https://chetwoodbank.co.uk/documents/chetwood-bank-annual-report.pdf
FY2024: Chetwood Financial Limited Annual Report and Financial Statements, year ended 31 March 2024, p.29 (Consolidated and Company Statement of Cashflows) - http://web.archive.org/web/20240920030034/https://chetwood.co/static/97d26e488d5277699e5b9a9983db4d5b/AnnualReport.pdf
FY2023: Chetwood Financial Limited Annual Report and Financial Statements, year ended 31 March 2024, p.29 (prior-year comparative column) - http://web.archive.org/web/20240920030034/https://chetwood.co/static/97d26e488d5277699e5b9a9983db4d5b/AnnualReport.pdf. (The FY2023 Annual Report's own PDF has a text-encoding fault that corrupts extracted figures; the FY2024 report's clean comparative column was used instead - both present the same audited FY2023 statutory figures.)
FY2022: Chetwood Financial Limited Annual Report and Financial Statements, year ended 31 March 2022, p.26 (Consolidated and Company Statement of Cashflows) - http://web.archive.org/web/20230131231341/https://chetwood.co/static/7fbc3d1ed9c0913dca3435f640a5a570/AnnualReport.pdf
FY2021: Chetwood Financial Limited Annual Report and Financial Statements, year ended 31 March 2021, p.28 (Statement of Cashflows, standalone entity) - http://web.archive.org/web/20210830132929/https://chetwood.co/static/3d0ade6e892213e246ca03dc1d84b417/AnnualReport.pdf
ENTITY NOTE: Chetwood Financial Limited (trading as Chetwood Bank) is the entity on the PRA register - no holding-company substitution was needed here (unlike Monzo). All years are Chetwood Financial Limited, consolidated/Group basis, EXCEPT FY2021 (marked †), which is Chetwood's own standalone entity accounts - the Group didn't exist yet (Chetwood acquired Yobota Limited on 1 March 2022, and CHL Mortgages for Intermediaries Limited later still), so there is no consolidated cash flow statement for FY2021. Companies House confirms FY2021 accounts were filed as 'Full accounts' (solo), while FY2022-FY2025 were filed as 'Group of companies' accounts' (consolidated). Per user direction, FY2021 is included on a standalone basis and clearly flagged, rather than omitted.
FY2024 (marked *) is consolidated, but no Pillar 3 disclosure for 'as at 31 March 2024' was ever published or archived - see the note on each Pillar 3 sheet.
PRESENTATION NOTE: Line items changed across the five years as the business grew (e.g. debt securities and derivative-related lines were introduced/split differently year to year, and FY2025 switched the starting line from 'Loss after tax' to '(Loss)/profit before tax'). Blank cells indicate that year's report did not disclose that specific split. Section totals (net cash from operating/investing/financing, cash and cash equivalents) are consistent and reconcile exactly across all 5 years.
DATA QUALITY NOTE (added 2026-08-27, found during a project-wide sanity check): the AR24/AR25 source statements print BOTH a Group and a Company column side by side for each year; three line items were originally transcribed from the wrong column or with a digit error, causing FY2023/FY2024's operating and investing TOTALs to not reconcile to their own line items. Corrected against both AR24 (own-year figures) and AR25's FY2024 comparative column (cross-checked, both agree): 'Fair value adjustment on hedged items' FY2024 corrected from -11,182 to the Group figure -11,782 (a transcription slip); 'Interest received from investing activities' FY2024 corrected from 11,601 to the Group figure 17,601 (transcription slip); 'Loss on disposal of property, plant and equipment' FY2023 corrected from 4 to the Group figure 8 (was the Company figure); 'Impairment of investment in subsidiary/Yobota' FY2023 corrected from 6,753 to 0/nil (the Group figure is nil - 6,753 was the Company-only figure); 'Subscription of shares in subsidiary undertaking' FY2023 (-1,500) removed entirely - it is a Company-only line with no Group-basis equivalent, so it never belonged in this Group-basis statement. All four sections now reconcile exactly to the penny against the primary source.</t>
        </is>
      </c>
    </row>
  </sheetData>
  <mergeCells count="1">
    <mergeCell ref="A64:F64"/>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Chetwood Financial Limited — Asset Quality / Credit Risk Disclosures</t>
        </is>
      </c>
    </row>
    <row r="2">
      <c r="A2" s="2" t="inlineStr">
        <is>
          <t>£'000. Consolidated (Group) basis except FY2021 († standalone entity).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Loan book by IFRS 9 stage (secured + unsecured combined)</t>
        </is>
      </c>
      <c r="B4" s="6" t="n"/>
      <c r="C4" s="6" t="n"/>
      <c r="D4" s="6" t="n"/>
      <c r="E4" s="6" t="n"/>
      <c r="F4" s="6" t="n"/>
    </row>
    <row r="5">
      <c r="A5" s="6" t="inlineStr">
        <is>
          <t>Stage 1 - gross carrying amount</t>
        </is>
      </c>
      <c r="B5" s="6" t="n">
        <v>2129852</v>
      </c>
      <c r="C5" s="6" t="n">
        <v>1632661</v>
      </c>
      <c r="D5" s="6" t="n">
        <v>594912</v>
      </c>
      <c r="E5" s="6" t="n">
        <v>273792</v>
      </c>
      <c r="F5" s="6" t="n">
        <v>145496</v>
      </c>
    </row>
    <row r="6">
      <c r="A6" s="6" t="inlineStr">
        <is>
          <t>Stage 2 - gross carrying amount</t>
        </is>
      </c>
      <c r="B6" s="6" t="n">
        <v>520622</v>
      </c>
      <c r="C6" s="6" t="n">
        <v>186714</v>
      </c>
      <c r="D6" s="6" t="n">
        <v>47246</v>
      </c>
      <c r="E6" s="6" t="n">
        <v>24685</v>
      </c>
      <c r="F6" s="6" t="n">
        <v>22064</v>
      </c>
    </row>
    <row r="7">
      <c r="A7" s="6" t="inlineStr">
        <is>
          <t>Stage 3 - gross carrying amount</t>
        </is>
      </c>
      <c r="B7" s="6" t="n">
        <v>15152</v>
      </c>
      <c r="C7" s="6" t="n">
        <v>30817</v>
      </c>
      <c r="D7" s="6" t="n">
        <v>26237</v>
      </c>
      <c r="E7" s="6" t="n">
        <v>21297</v>
      </c>
      <c r="F7" s="6" t="n">
        <v>14585</v>
      </c>
    </row>
    <row r="8">
      <c r="A8" s="6" t="inlineStr">
        <is>
          <t>Purchased or originated credit-impaired (POCI) - gross carrying amount</t>
        </is>
      </c>
      <c r="B8" s="6" t="n">
        <v>0</v>
      </c>
      <c r="C8" s="6" t="n">
        <v>0</v>
      </c>
      <c r="D8" s="6" t="n">
        <v>284</v>
      </c>
      <c r="E8" s="6" t="n">
        <v>550</v>
      </c>
      <c r="F8" s="6" t="n"/>
    </row>
    <row r="9">
      <c r="A9" s="5" t="inlineStr">
        <is>
          <t>Total gross loans and advances to customers (amortised cost)</t>
        </is>
      </c>
      <c r="B9" s="5" t="n">
        <v>2665626</v>
      </c>
      <c r="C9" s="5" t="n">
        <v>1850192</v>
      </c>
      <c r="D9" s="5" t="n">
        <v>668679</v>
      </c>
      <c r="E9" s="5" t="n">
        <v>320324</v>
      </c>
      <c r="F9" s="5" t="n">
        <v>182145</v>
      </c>
    </row>
    <row r="10">
      <c r="A10" s="6" t="inlineStr">
        <is>
          <t>Stage 1 - ECL allowance</t>
        </is>
      </c>
      <c r="B10" s="6" t="n">
        <v>-1356</v>
      </c>
      <c r="C10" s="6" t="n">
        <v>-1887</v>
      </c>
      <c r="D10" s="6" t="n">
        <v>-5118</v>
      </c>
      <c r="E10" s="6" t="n">
        <v>-7791</v>
      </c>
      <c r="F10" s="6" t="n">
        <v>-6292</v>
      </c>
    </row>
    <row r="11">
      <c r="A11" s="6" t="inlineStr">
        <is>
          <t>Stage 2 - ECL allowance</t>
        </is>
      </c>
      <c r="B11" s="6" t="n">
        <v>-2912</v>
      </c>
      <c r="C11" s="6" t="n">
        <v>-4073</v>
      </c>
      <c r="D11" s="6" t="n">
        <v>-8469</v>
      </c>
      <c r="E11" s="6" t="n">
        <v>-8517</v>
      </c>
      <c r="F11" s="6" t="n">
        <v>-7149</v>
      </c>
    </row>
    <row r="12">
      <c r="A12" s="6" t="inlineStr">
        <is>
          <t>Stage 3 - ECL allowance</t>
        </is>
      </c>
      <c r="B12" s="6" t="n">
        <v>-5974</v>
      </c>
      <c r="C12" s="6" t="n">
        <v>-24527</v>
      </c>
      <c r="D12" s="6" t="n">
        <v>-23300</v>
      </c>
      <c r="E12" s="6" t="n">
        <v>-18255</v>
      </c>
      <c r="F12" s="6" t="n">
        <v>-12455</v>
      </c>
    </row>
    <row r="13">
      <c r="A13" s="6" t="inlineStr">
        <is>
          <t>POCI - ECL allowance</t>
        </is>
      </c>
      <c r="B13" s="6" t="n">
        <v>0</v>
      </c>
      <c r="C13" s="6" t="n">
        <v>0</v>
      </c>
      <c r="D13" s="6" t="n">
        <v>-17</v>
      </c>
      <c r="E13" s="6" t="n">
        <v>-13</v>
      </c>
      <c r="F13" s="6" t="n"/>
    </row>
    <row r="14">
      <c r="A14" s="5" t="inlineStr">
        <is>
          <t>Total ECL allowance</t>
        </is>
      </c>
      <c r="B14" s="5" t="n">
        <v>-10242</v>
      </c>
      <c r="C14" s="5" t="n">
        <v>-30487</v>
      </c>
      <c r="D14" s="5" t="n">
        <v>-36904</v>
      </c>
      <c r="E14" s="5" t="n">
        <v>-34576</v>
      </c>
      <c r="F14" s="5" t="n">
        <v>-25896</v>
      </c>
    </row>
    <row r="15">
      <c r="A15" s="5" t="inlineStr">
        <is>
          <t>Net loans and advances to customers (amortised cost)</t>
        </is>
      </c>
      <c r="B15" s="5" t="n">
        <v>2655384</v>
      </c>
      <c r="C15" s="5" t="n">
        <v>1819705</v>
      </c>
      <c r="D15" s="5" t="n">
        <v>631775</v>
      </c>
      <c r="E15" s="5" t="n">
        <v>285748</v>
      </c>
      <c r="F15" s="5" t="n">
        <v>156249</v>
      </c>
    </row>
    <row r="16">
      <c r="A16" s="5" t="inlineStr">
        <is>
          <t>Derived ratios</t>
        </is>
      </c>
      <c r="B16" s="6" t="n"/>
      <c r="C16" s="6" t="n"/>
      <c r="D16" s="6" t="n"/>
      <c r="E16" s="6" t="n"/>
      <c r="F16" s="6" t="n"/>
    </row>
    <row r="17">
      <c r="A17" s="6" t="inlineStr">
        <is>
          <t>Stage 3 / NPL ratio (Stage 3 gross / total gross)</t>
        </is>
      </c>
      <c r="B17" s="6" t="inlineStr">
        <is>
          <t>0.57%</t>
        </is>
      </c>
      <c r="C17" s="6" t="inlineStr">
        <is>
          <t>1.67%</t>
        </is>
      </c>
      <c r="D17" s="6" t="inlineStr">
        <is>
          <t>3.92%</t>
        </is>
      </c>
      <c r="E17" s="6" t="inlineStr">
        <is>
          <t>6.65%</t>
        </is>
      </c>
      <c r="F17" s="6" t="inlineStr">
        <is>
          <t>8.01%</t>
        </is>
      </c>
    </row>
    <row r="18">
      <c r="A18" s="6" t="inlineStr">
        <is>
          <t>ECL coverage ratio (total allowance / total gross)</t>
        </is>
      </c>
      <c r="B18" s="6" t="inlineStr">
        <is>
          <t>0.38%</t>
        </is>
      </c>
      <c r="C18" s="6" t="inlineStr">
        <is>
          <t>1.65%</t>
        </is>
      </c>
      <c r="D18" s="6" t="inlineStr">
        <is>
          <t>5.52%</t>
        </is>
      </c>
      <c r="E18" s="6" t="inlineStr">
        <is>
          <t>10.79%</t>
        </is>
      </c>
      <c r="F18" s="6" t="inlineStr">
        <is>
          <t>14.22%</t>
        </is>
      </c>
    </row>
    <row r="19">
      <c r="A19" s="6" t="inlineStr">
        <is>
          <t>Stage 3 coverage ratio (Stage 3 allowance / Stage 3 gross)</t>
        </is>
      </c>
      <c r="B19" s="6" t="inlineStr">
        <is>
          <t>39.43%</t>
        </is>
      </c>
      <c r="C19" s="6" t="inlineStr">
        <is>
          <t>79.59%</t>
        </is>
      </c>
      <c r="D19" s="6" t="inlineStr">
        <is>
          <t>88.81%</t>
        </is>
      </c>
      <c r="E19" s="6" t="inlineStr">
        <is>
          <t>85.71%</t>
        </is>
      </c>
      <c r="F19" s="6" t="inlineStr">
        <is>
          <t>85.40%</t>
        </is>
      </c>
    </row>
    <row r="21" ht="220" customHeight="1">
      <c r="A21" s="8" t="inlineStr">
        <is>
          <t>Sources - Chetwood Financial Limited's own Credit Risk / Note 36 (37 in earlier years) disclosures, combining the separately-disclosed 'unsecured lending at amortised cost' and 'secured lending' IFRS 9 stage tables (secured mortgage lending only exists from FY2022, when CHL Mortgages for Intermediaries Limited was acquired - FY2021 is unsecured lending only, and ties exactly to that year's Balance Sheet loan figure).
FY2025/FY2024: Annual Report 2025, p.96-100 (Note 36.2/36.3 Credit quality) - https://chetwoodbank.co.uk/documents/chetwood-bank-annual-report.pdf
FY2023: Annual Report 2024, p.51-52 (Note 37, FY2023 comparative tables) - http://web.archive.org/web/20240920030034/https://chetwood.co/static/97d26e488d5277699e5b9a9983db4d5b/AnnualReport.pdf
FY2022/FY2021: Annual Report 2022, p.49-52 (Note 31.2 Credit quality) - http://web.archive.org/web/20230131231341/https://chetwood.co/static/7fbc3d1ed9c0913dca3435f640a5a570/AnnualReport.pdf
ENTITY NOTE: Chetwood Financial Limited (trading as Chetwood Bank) is the entity on the PRA register - no holding-company substitution was needed here (unlike Monzo). All years are Chetwood Financial Limited, consolidated/Group basis, EXCEPT FY2021 (marked †), which is Chetwood's own standalone entity accounts - the Group didn't exist yet (Chetwood acquired Yobota Limited on 1 March 2022, and CHL Mortgages for Intermediaries Limited later still), so there is no consolidated cash flow statement for FY2021. Companies House confirms FY2021 accounts were filed as 'Full accounts' (solo), while FY2022-FY2025 were filed as 'Group of companies' accounts' (consolidated). Per user direction, FY2021 is included on a standalone basis and clearly flagged, rather than omitted.
FY2024 (marked *) is consolidated, but no Pillar 3 disclosure for 'as at 31 March 2024' was ever published or archived - see the note on each Pillar 3 sheet.
PRESENTATION NOTE: these Note 36/37 tables report gross/net loans and advances measured at amortised cost only. The Balance Sheet's own 'Loans and advances to customers' line is larger in every year from FY2022 onward (e.g. FY2025: £2,691,247k on the Balance Sheet vs £2,665,626k gross / £2,655,384k net summed here) because some loans are measured at fair value through profit or loss and fall outside this amortised-cost IFRS 9 note - this gap is a genuine measurement-basis difference disclosed by the Bank, not a transcription error, and is not force-reconciled here. FY2021 is the exception: with no secured book yet and no FVTPL loans, the combined stage total ties to the Balance Sheet exactly (£156,249k both ways).</t>
        </is>
      </c>
    </row>
  </sheetData>
  <mergeCells count="1">
    <mergeCell ref="A21:F2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Chetwood Financial Limited — CET1 Capital</t>
        </is>
      </c>
    </row>
    <row r="2">
      <c r="A2" s="2" t="inlineStr">
        <is>
          <t>£'000, Group/consolidated basis (FY2021: standalone entity)</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187605</v>
      </c>
      <c r="C4" s="6" t="n"/>
      <c r="D4" s="6" t="n">
        <v>91268</v>
      </c>
      <c r="E4" s="6" t="n">
        <v>57554</v>
      </c>
      <c r="F4" s="6" t="n">
        <v>50637</v>
      </c>
    </row>
    <row r="5" ht="60" customHeight="1">
      <c r="A5" s="7" t="inlineStr">
        <is>
          <t>Note: FY2024 is blank - no Pillar 3 disclosure 'as at 31 March 2024' was published/archived. See source note.</t>
        </is>
      </c>
    </row>
    <row r="7" ht="150" customHeight="1">
      <c r="A7" s="8" t="inlineStr">
        <is>
          <t>Sources (see entity note on Cash Flow Statement sheet):
FY2025: Chetwood Bank Pillar 3 Disclosures, September 2025 (as at 31 March 2025), Section 5 (Key Metrics - KM1) - https://chetwoodbank.co.uk/documents/chetwood-bank-pillar-three-disclosures.pdf
FY2024: No Pillar 3 disclosure 'as at 31 March 2024' was found - not published on Chetwood's live site (which hosts only the current edition at a non-dated URL) and no snapshot was captured by the Internet Archive Wayback Machine between the FY2023 edition (published Jan 2024) and the FY2025 edition (published Sept 2025). Left blank.
FY2023: Chetwood Financial Ltd Pillar 3 Disclosure, as at 31 March 2023, Section 6 (Key Metrics - KM1) and Section 7.1 (Capital Resources) - http://web.archive.org/web/20240315022245/https://chetwood.co/static/330c40d433df90b83d3b3e5c673e21cc/Pillar3Disclosures.pdf
FY2022: Chetwood Financial Ltd Pillar 3 Disclosure, as at 31 March 2022, Annex B (Key Metrics - KM1) - http://web.archive.org/web/20230131235943/https://chetwood.co/static/815e2dd174c4655ddf55a93ca1029ce3/Pillar3Disclosures.pdf
FY2021: Chetwood Financial Ltd Pillar 3 Disclosure, as at 31 March 2021, Section 1.2 (Summary Analysis) and Section 4 (Capital Resources) - http://web.archive.org/web/20211128171331/https://chetwood.co/static/221a3946677e4d8c49c5525d22f9b534/Pillar3Disclosures.pdf (pre-dates the formal KM1 template; Chetwood adopted the CRR KM1 annex from the FY2022 report onward)</t>
        </is>
      </c>
    </row>
  </sheetData>
  <mergeCells count="2">
    <mergeCell ref="A5:F5"/>
    <mergeCell ref="A7:F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Chetwood Financial Limited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ratio</t>
        </is>
      </c>
      <c r="B4" s="6" t="inlineStr">
        <is>
          <t>15.2%</t>
        </is>
      </c>
      <c r="C4" s="6" t="n"/>
      <c r="D4" s="6" t="inlineStr">
        <is>
          <t>26.6%</t>
        </is>
      </c>
      <c r="E4" s="6" t="inlineStr">
        <is>
          <t>29.3%</t>
        </is>
      </c>
      <c r="F4" s="6" t="inlineStr">
        <is>
          <t>28%</t>
        </is>
      </c>
    </row>
    <row r="5" ht="60" customHeight="1">
      <c r="A5" s="7" t="inlineStr">
        <is>
          <t>Note: FY2024 is blank - no Pillar 3 disclosure 'as at 31 March 2024' was published/archived. See source note. FY2021 is as stated in the source (rounded to the nearest whole percent; no decimal figure was disclosed that year).</t>
        </is>
      </c>
    </row>
    <row r="7" ht="150" customHeight="1">
      <c r="A7" s="8" t="inlineStr">
        <is>
          <t>Sources (see entity note on Cash Flow Statement sheet):
FY2025: Chetwood Bank Pillar 3 Disclosures, September 2025 (as at 31 March 2025), Section 5 (Key Metrics - KM1) - https://chetwoodbank.co.uk/documents/chetwood-bank-pillar-three-disclosures.pdf
FY2024: No Pillar 3 disclosure 'as at 31 March 2024' was found - not published on Chetwood's live site (which hosts only the current edition at a non-dated URL) and no snapshot was captured by the Internet Archive Wayback Machine between the FY2023 edition (published Jan 2024) and the FY2025 edition (published Sept 2025). Left blank.
FY2023: Chetwood Financial Ltd Pillar 3 Disclosure, as at 31 March 2023, Section 6 (Key Metrics - KM1) and Section 7.1 (Capital Resources) - http://web.archive.org/web/20240315022245/https://chetwood.co/static/330c40d433df90b83d3b3e5c673e21cc/Pillar3Disclosures.pdf
FY2022: Chetwood Financial Ltd Pillar 3 Disclosure, as at 31 March 2022, Annex B (Key Metrics - KM1) - http://web.archive.org/web/20230131235943/https://chetwood.co/static/815e2dd174c4655ddf55a93ca1029ce3/Pillar3Disclosures.pdf
FY2021: Chetwood Financial Ltd Pillar 3 Disclosure, as at 31 March 2021, Section 1.2 (Summary Analysis) and Section 4 (Capital Resources) - http://web.archive.org/web/20211128171331/https://chetwood.co/static/221a3946677e4d8c49c5525d22f9b534/Pillar3Disclosures.pdf (pre-dates the formal KM1 template; Chetwood adopted the CRR KM1 annex from the FY2022 report onward)</t>
        </is>
      </c>
    </row>
  </sheetData>
  <mergeCells count="2">
    <mergeCell ref="A5:F5"/>
    <mergeCell ref="A7:F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Chetwood Financial Limited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187605</v>
      </c>
      <c r="C4" s="6" t="n"/>
      <c r="D4" s="6" t="n">
        <v>91268</v>
      </c>
      <c r="E4" s="6" t="n">
        <v>57554</v>
      </c>
      <c r="F4" s="6" t="n">
        <v>50637</v>
      </c>
    </row>
    <row r="5" ht="60" customHeight="1">
      <c r="A5" s="7" t="inlineStr">
        <is>
          <t>Note: FY2024 is blank - no Pillar 3 disclosure 'as at 31 March 2024' was published/archived. See source note. Equal to CET1 capital in every year shown - Chetwood has no Additional Tier 1 (AT1) instruments.</t>
        </is>
      </c>
    </row>
    <row r="7" ht="150" customHeight="1">
      <c r="A7" s="8" t="inlineStr">
        <is>
          <t>Sources (see entity note on Cash Flow Statement sheet):
FY2025: Chetwood Bank Pillar 3 Disclosures, September 2025 (as at 31 March 2025), Section 5 (Key Metrics - KM1) - https://chetwoodbank.co.uk/documents/chetwood-bank-pillar-three-disclosures.pdf
FY2024: No Pillar 3 disclosure 'as at 31 March 2024' was found - not published on Chetwood's live site (which hosts only the current edition at a non-dated URL) and no snapshot was captured by the Internet Archive Wayback Machine between the FY2023 edition (published Jan 2024) and the FY2025 edition (published Sept 2025). Left blank.
FY2023: Chetwood Financial Ltd Pillar 3 Disclosure, as at 31 March 2023, Section 6 (Key Metrics - KM1) and Section 7.1 (Capital Resources) - http://web.archive.org/web/20240315022245/https://chetwood.co/static/330c40d433df90b83d3b3e5c673e21cc/Pillar3Disclosures.pdf
FY2022: Chetwood Financial Ltd Pillar 3 Disclosure, as at 31 March 2022, Annex B (Key Metrics - KM1) - http://web.archive.org/web/20230131235943/https://chetwood.co/static/815e2dd174c4655ddf55a93ca1029ce3/Pillar3Disclosures.pdf
FY2021: Chetwood Financial Ltd Pillar 3 Disclosure, as at 31 March 2021, Section 1.2 (Summary Analysis) and Section 4 (Capital Resources) - http://web.archive.org/web/20211128171331/https://chetwood.co/static/221a3946677e4d8c49c5525d22f9b534/Pillar3Disclosures.pdf (pre-dates the formal KM1 template; Chetwood adopted the CRR KM1 annex from the FY2022 report onward)</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Chetwood Financial Limited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15.2%</t>
        </is>
      </c>
      <c r="C4" s="6" t="n"/>
      <c r="D4" s="6" t="inlineStr">
        <is>
          <t>26.6%</t>
        </is>
      </c>
      <c r="E4" s="6" t="inlineStr">
        <is>
          <t>29.3%</t>
        </is>
      </c>
      <c r="F4" s="6" t="inlineStr">
        <is>
          <t>28%</t>
        </is>
      </c>
    </row>
    <row r="5" ht="60" customHeight="1">
      <c r="A5" s="7" t="inlineStr">
        <is>
          <t>Note: FY2024 is blank - no Pillar 3 disclosure 'as at 31 March 2024' was published/archived. See source note.</t>
        </is>
      </c>
    </row>
    <row r="7" ht="150" customHeight="1">
      <c r="A7" s="8" t="inlineStr">
        <is>
          <t>Sources (see entity note on Cash Flow Statement sheet):
FY2025: Chetwood Bank Pillar 3 Disclosures, September 2025 (as at 31 March 2025), Section 5 (Key Metrics - KM1) - https://chetwoodbank.co.uk/documents/chetwood-bank-pillar-three-disclosures.pdf
FY2024: No Pillar 3 disclosure 'as at 31 March 2024' was found - not published on Chetwood's live site (which hosts only the current edition at a non-dated URL) and no snapshot was captured by the Internet Archive Wayback Machine between the FY2023 edition (published Jan 2024) and the FY2025 edition (published Sept 2025). Left blank.
FY2023: Chetwood Financial Ltd Pillar 3 Disclosure, as at 31 March 2023, Section 6 (Key Metrics - KM1) and Section 7.1 (Capital Resources) - http://web.archive.org/web/20240315022245/https://chetwood.co/static/330c40d433df90b83d3b3e5c673e21cc/Pillar3Disclosures.pdf
FY2022: Chetwood Financial Ltd Pillar 3 Disclosure, as at 31 March 2022, Annex B (Key Metrics - KM1) - http://web.archive.org/web/20230131235943/https://chetwood.co/static/815e2dd174c4655ddf55a93ca1029ce3/Pillar3Disclosures.pdf
FY2021: Chetwood Financial Ltd Pillar 3 Disclosure, as at 31 March 2021, Section 1.2 (Summary Analysis) and Section 4 (Capital Resources) - http://web.archive.org/web/20211128171331/https://chetwood.co/static/221a3946677e4d8c49c5525d22f9b534/Pillar3Disclosures.pdf (pre-dates the formal KM1 template; Chetwood adopted the CRR KM1 annex from the FY2022 report onward)</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Chetwood Financial Limited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v>187605</v>
      </c>
      <c r="C4" s="6" t="n"/>
      <c r="D4" s="6" t="n">
        <v>91268</v>
      </c>
      <c r="E4" s="6" t="n">
        <v>57554</v>
      </c>
      <c r="F4" s="6" t="n">
        <v>50637</v>
      </c>
    </row>
    <row r="5" ht="60" customHeight="1">
      <c r="A5" s="7" t="inlineStr">
        <is>
          <t>Note: FY2024 is blank - no Pillar 3 disclosure 'as at 31 March 2024' was published/archived. See source note. Equal to CET1/Tier 1 capital in every year shown - Chetwood has no Tier 2 capital either.</t>
        </is>
      </c>
    </row>
    <row r="7" ht="150" customHeight="1">
      <c r="A7" s="8" t="inlineStr">
        <is>
          <t>Sources (see entity note on Cash Flow Statement sheet):
FY2025: Chetwood Bank Pillar 3 Disclosures, September 2025 (as at 31 March 2025), Section 5 (Key Metrics - KM1) - https://chetwoodbank.co.uk/documents/chetwood-bank-pillar-three-disclosures.pdf
FY2024: No Pillar 3 disclosure 'as at 31 March 2024' was found - not published on Chetwood's live site (which hosts only the current edition at a non-dated URL) and no snapshot was captured by the Internet Archive Wayback Machine between the FY2023 edition (published Jan 2024) and the FY2025 edition (published Sept 2025). Left blank.
FY2023: Chetwood Financial Ltd Pillar 3 Disclosure, as at 31 March 2023, Section 6 (Key Metrics - KM1) and Section 7.1 (Capital Resources) - http://web.archive.org/web/20240315022245/https://chetwood.co/static/330c40d433df90b83d3b3e5c673e21cc/Pillar3Disclosures.pdf
FY2022: Chetwood Financial Ltd Pillar 3 Disclosure, as at 31 March 2022, Annex B (Key Metrics - KM1) - http://web.archive.org/web/20230131235943/https://chetwood.co/static/815e2dd174c4655ddf55a93ca1029ce3/Pillar3Disclosures.pdf
FY2021: Chetwood Financial Ltd Pillar 3 Disclosure, as at 31 March 2021, Section 1.2 (Summary Analysis) and Section 4 (Capital Resources) - http://web.archive.org/web/20211128171331/https://chetwood.co/static/221a3946677e4d8c49c5525d22f9b534/Pillar3Disclosures.pdf (pre-dates the formal KM1 template; Chetwood adopted the CRR KM1 annex from the FY2022 report onward)</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Chetwood Financial Limited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15.2%</t>
        </is>
      </c>
      <c r="C4" s="6" t="n"/>
      <c r="D4" s="6" t="inlineStr">
        <is>
          <t>26.6%</t>
        </is>
      </c>
      <c r="E4" s="6" t="inlineStr">
        <is>
          <t>29.3%</t>
        </is>
      </c>
      <c r="F4" s="6" t="inlineStr">
        <is>
          <t>28%</t>
        </is>
      </c>
    </row>
    <row r="5" ht="60" customHeight="1">
      <c r="A5" s="7" t="inlineStr">
        <is>
          <t>Note: FY2024 is blank - no Pillar 3 disclosure 'as at 31 March 2024' was published/archived. See source note.</t>
        </is>
      </c>
    </row>
    <row r="7" ht="150" customHeight="1">
      <c r="A7" s="8" t="inlineStr">
        <is>
          <t>Sources (see entity note on Cash Flow Statement sheet):
FY2025: Chetwood Bank Pillar 3 Disclosures, September 2025 (as at 31 March 2025), Section 5 (Key Metrics - KM1) - https://chetwoodbank.co.uk/documents/chetwood-bank-pillar-three-disclosures.pdf
FY2024: No Pillar 3 disclosure 'as at 31 March 2024' was found - not published on Chetwood's live site (which hosts only the current edition at a non-dated URL) and no snapshot was captured by the Internet Archive Wayback Machine between the FY2023 edition (published Jan 2024) and the FY2025 edition (published Sept 2025). Left blank.
FY2023: Chetwood Financial Ltd Pillar 3 Disclosure, as at 31 March 2023, Section 6 (Key Metrics - KM1) and Section 7.1 (Capital Resources) - http://web.archive.org/web/20240315022245/https://chetwood.co/static/330c40d433df90b83d3b3e5c673e21cc/Pillar3Disclosures.pdf
FY2022: Chetwood Financial Ltd Pillar 3 Disclosure, as at 31 March 2022, Annex B (Key Metrics - KM1) - http://web.archive.org/web/20230131235943/https://chetwood.co/static/815e2dd174c4655ddf55a93ca1029ce3/Pillar3Disclosures.pdf
FY2021: Chetwood Financial Ltd Pillar 3 Disclosure, as at 31 March 2021, Section 1.2 (Summary Analysis) and Section 4 (Capital Resources) - http://web.archive.org/web/20211128171331/https://chetwood.co/static/221a3946677e4d8c49c5525d22f9b534/Pillar3Disclosures.pdf (pre-dates the formal KM1 template; Chetwood adopted the CRR KM1 annex from the FY2022 report onward)</t>
        </is>
      </c>
    </row>
  </sheetData>
  <mergeCells count="2">
    <mergeCell ref="A5:F5"/>
    <mergeCell ref="A7:F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Chetwood Financial Limited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exposure amount</t>
        </is>
      </c>
      <c r="B4" s="6" t="n">
        <v>1233321</v>
      </c>
      <c r="C4" s="6" t="n">
        <v>824623</v>
      </c>
      <c r="D4" s="6" t="n">
        <v>343668</v>
      </c>
      <c r="E4" s="6" t="n">
        <v>196750</v>
      </c>
      <c r="F4" s="6" t="n">
        <v>178987</v>
      </c>
    </row>
    <row r="5" ht="60" customHeight="1">
      <c r="A5" s="7" t="inlineStr">
        <is>
          <t>Note: FY2024 is populated (unlike the other Pillar 3 sheets) because the FY2025 Pillar 3 document's own OV1 table (Section 6.3) discloses a full FY2024 comparative Total row (824,623) - the same figure the RWA Breakdown sheet's FY2024 column sums to. The KM1 template (Section 5) and LCR/NSFR/Overall Capital Requirement tables (Sections 5-6.6) that supply every other Pillar 3 metric on this workbook are all single-column ('as at 31 March 2025' only, no FY2024 comparative) - confirmed by reading the full FY2025 Pillar 3 document page by page, so CET1/Tier 1/Total Capital/all ratios/Leverage/LCR/NSFR/MREL genuinely remain blank for FY2024.</t>
        </is>
      </c>
    </row>
    <row r="7" ht="150" customHeight="1">
      <c r="A7" s="8" t="inlineStr">
        <is>
          <t>Sources (see entity note on Cash Flow Statement sheet):
FY2025: Chetwood Bank Pillar 3 Disclosures, September 2025 (as at 31 March 2025), Section 5 (Key Metrics - KM1) - https://chetwoodbank.co.uk/documents/chetwood-bank-pillar-three-disclosures.pdf
FY2024: No Pillar 3 disclosure 'as at 31 March 2024' was found - not published on Chetwood's live site (which hosts only the current edition at a non-dated URL) and no snapshot was captured by the Internet Archive Wayback Machine between the FY2023 edition (published Jan 2024) and the FY2025 edition (published Sept 2025). Left blank.
FY2023: Chetwood Financial Ltd Pillar 3 Disclosure, as at 31 March 2023, Section 6 (Key Metrics - KM1) and Section 7.1 (Capital Resources) - http://web.archive.org/web/20240315022245/https://chetwood.co/static/330c40d433df90b83d3b3e5c673e21cc/Pillar3Disclosures.pdf
FY2022: Chetwood Financial Ltd Pillar 3 Disclosure, as at 31 March 2022, Annex B (Key Metrics - KM1) - http://web.archive.org/web/20230131235943/https://chetwood.co/static/815e2dd174c4655ddf55a93ca1029ce3/Pillar3Disclosures.pdf
FY2021: Chetwood Financial Ltd Pillar 3 Disclosure, as at 31 March 2021, Section 1.2 (Summary Analysis) and Section 4 (Capital Resources) - http://web.archive.org/web/20211128171331/https://chetwood.co/static/221a3946677e4d8c49c5525d22f9b534/Pillar3Disclosures.pdf (pre-dates the formal KM1 template; Chetwood adopted the CRR KM1 annex from the FY2022 report onward)</t>
        </is>
      </c>
    </row>
  </sheetData>
  <mergeCells count="2">
    <mergeCell ref="A5:F5"/>
    <mergeCell ref="A7:F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Chetwood Financial Limited — RWA Breakdown</t>
        </is>
      </c>
    </row>
    <row r="2">
      <c r="A2" s="2" t="inlineStr">
        <is>
          <t>£'000, Group/consolidated basis (FY2021: standalone entity).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RWA by risk category</t>
        </is>
      </c>
      <c r="B4" s="6" t="n"/>
      <c r="C4" s="6" t="n"/>
      <c r="D4" s="6" t="n"/>
      <c r="E4" s="6" t="n"/>
      <c r="F4" s="6" t="n"/>
    </row>
    <row r="5">
      <c r="A5" s="6" t="inlineStr">
        <is>
          <t>Credit risk (excluding CCR)</t>
        </is>
      </c>
      <c r="B5" s="6" t="n">
        <v>1017779</v>
      </c>
      <c r="C5" s="6" t="n">
        <v>703828</v>
      </c>
      <c r="D5" s="6" t="n">
        <v>290536</v>
      </c>
      <c r="E5" s="6" t="n">
        <v>179962</v>
      </c>
      <c r="F5" s="6" t="n">
        <v>126942</v>
      </c>
    </row>
    <row r="6">
      <c r="A6" s="6" t="inlineStr">
        <is>
          <t>Counterparty credit risk (CCR)</t>
        </is>
      </c>
      <c r="B6" s="6" t="n">
        <v>23777</v>
      </c>
      <c r="C6" s="6" t="n">
        <v>13638</v>
      </c>
      <c r="D6" s="6" t="n">
        <v>4143</v>
      </c>
      <c r="E6" s="6" t="n">
        <v>1937</v>
      </c>
      <c r="F6" s="6" t="n">
        <v>450</v>
      </c>
    </row>
    <row r="7">
      <c r="A7" s="6" t="inlineStr">
        <is>
          <t>Securitisation exposures in the non-trading book</t>
        </is>
      </c>
      <c r="B7" s="6" t="n">
        <v>102610</v>
      </c>
      <c r="C7" s="6" t="n">
        <v>62980</v>
      </c>
      <c r="D7" s="6" t="n">
        <v>18124</v>
      </c>
      <c r="E7" s="6" t="n"/>
      <c r="F7" s="6" t="n"/>
    </row>
    <row r="8">
      <c r="A8" s="6" t="inlineStr">
        <is>
          <t>Operational risk</t>
        </is>
      </c>
      <c r="B8" s="6" t="n">
        <v>89154</v>
      </c>
      <c r="C8" s="6" t="n">
        <v>44177</v>
      </c>
      <c r="D8" s="6" t="n">
        <v>30865</v>
      </c>
      <c r="E8" s="6" t="n">
        <v>14852</v>
      </c>
      <c r="F8" s="6" t="n">
        <v>51595</v>
      </c>
    </row>
    <row r="9">
      <c r="A9" s="5" t="inlineStr">
        <is>
          <t>Total</t>
        </is>
      </c>
      <c r="B9" s="5" t="n">
        <v>1233321</v>
      </c>
      <c r="C9" s="5" t="n">
        <v>824623</v>
      </c>
      <c r="D9" s="5" t="n">
        <v>343668</v>
      </c>
      <c r="E9" s="5" t="n">
        <v>196750</v>
      </c>
      <c r="F9" s="5" t="n">
        <v>178987</v>
      </c>
    </row>
    <row r="11" ht="220" customHeight="1">
      <c r="A11" s="8" t="inlineStr">
        <is>
          <t>Sources - Chetwood's own Pillar 3 Disclosures, Section 6 'Overview of RWAs' (OV1 template from FY2022 onward; FY2021 uses an equivalent pre-KM1 category table).
FY2025/FY2024: Chetwood Bank Pillar 3 Disclosures, September 2025 (as at 31 March 2025), Section 6.3, which unlike the standalone FY2024 KM1 gap noted on the other Pillar 3 sheets, discloses its OV1 table's FY2024 comparative RWEA column in full - https://chetwoodbank.co.uk/documents/chetwood-bank-pillar-three-disclosures.pdf
FY2023/FY2022: Chetwood Financial Ltd Pillar 3 Disclosure, as at 31 March 2023, Section 8.3 (OV1 table with FY2022 comparative) - http://web.archive.org/web/20240315022245/https://chetwood.co/static/330c40d433df90b83d3b3e5c673e21cc/Pillar3Disclosures.pdf
FY2021: Chetwood Financial Ltd Pillar 3 Disclosure, as at 31 March 2021, Section 5.4 (pre-KM1 category table) - http://web.archive.org/web/20211128171331/https://chetwood.co/static/221a3946677e4d8c49c5525d22f9b534/Pillar3Disclosures.pdf
ENTITY NOTE: Chetwood Financial Limited (trading as Chetwood Bank) is the entity on the PRA register - no holding-company substitution was needed here (unlike Monzo). All years are Chetwood Financial Limited, consolidated/Group basis, EXCEPT FY2021 (marked †), which is Chetwood's own standalone entity accounts - the Group didn't exist yet (Chetwood acquired Yobota Limited on 1 March 2022, and CHL Mortgages for Intermediaries Limited later still), so there is no consolidated cash flow statement for FY2021. Companies House confirms FY2021 accounts were filed as 'Full accounts' (solo), while FY2022-FY2025 were filed as 'Group of companies' accounts' (consolidated). Per user direction, FY2021 is included on a standalone basis and clearly flagged, rather than omitted.
FY2024 (marked *) is consolidated, but no Pillar 3 disclosure for 'as at 31 March 2024' was ever published or archived - see the note on each Pillar 3 sheet.
FINDING: the other Pillar 3 sheets in this workbook leave FY2024 blank because no dedicated 'as at 31 March 2024' Pillar 3 document was ever published - true for the CET1/Tier 1/Total Capital/ratio figures. However the FY2025 Pillar 3 document's own OV1 table (used here) discloses a full FY2024 comparative RWEA-by-category column, so RWA Breakdown alone can be populated for FY2024 even though the other Pillar 3 sheets cannot.
PRESENTATION NOTE: FY2021's pre-KM1 category table has no separate 'Securitisation' line (Chetwood had no securitised exposures that early) and combines credit valuation adjustment into Counterparty credit risk rather than breaking it out - both blank rather than assumed zero-and-separate.</t>
        </is>
      </c>
    </row>
  </sheetData>
  <mergeCells count="1">
    <mergeCell ref="A11:F11"/>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Chetwood Financial Limited — Leverage Ratio</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 total exposure measure</t>
        </is>
      </c>
      <c r="B4" s="6" t="n">
        <v>3615720</v>
      </c>
      <c r="C4" s="6" t="n"/>
      <c r="D4" s="6" t="n">
        <v>1519817</v>
      </c>
      <c r="E4" s="6" t="n">
        <v>394658</v>
      </c>
      <c r="F4" s="6" t="n">
        <v>216375</v>
      </c>
    </row>
    <row r="5">
      <c r="A5" s="6" t="inlineStr">
        <is>
          <t>Leverage ratio (%)</t>
        </is>
      </c>
      <c r="B5" s="6" t="inlineStr">
        <is>
          <t>5.19%</t>
        </is>
      </c>
      <c r="C5" s="6" t="n"/>
      <c r="D5" s="6" t="inlineStr">
        <is>
          <t>6.01%</t>
        </is>
      </c>
      <c r="E5" s="6" t="inlineStr">
        <is>
          <t>14.58%</t>
        </is>
      </c>
      <c r="F5" s="6" t="inlineStr">
        <is>
          <t>23.4%</t>
        </is>
      </c>
    </row>
    <row r="6" ht="60" customHeight="1">
      <c r="A6" s="7" t="inlineStr">
        <is>
          <t>Note: FY2024 is blank - no Pillar 3 disclosure 'as at 31 March 2024' was published/archived. See source note. Unlike Barclays/Monzo, Chetwood's disclosures do not distinguish an 'excluding/including claims on central banks' basis in any year - a single leverage ratio definition is used throughout (Tier 1 capital / total exposure measure). FY2021 used a pre-KM1 narrative table; FY2022 onward uses the formal KM1 rows 13-14.</t>
        </is>
      </c>
    </row>
    <row r="8" ht="150" customHeight="1">
      <c r="A8" s="8" t="inlineStr">
        <is>
          <t>Sources (see entity note on Cash Flow Statement sheet):
FY2025: Chetwood Bank Pillar 3 Disclosures, September 2025 (as at 31 March 2025), Section 5 (Key Metrics - KM1) - https://chetwoodbank.co.uk/documents/chetwood-bank-pillar-three-disclosures.pdf
FY2024: No Pillar 3 disclosure 'as at 31 March 2024' was found - not published on Chetwood's live site (which hosts only the current edition at a non-dated URL) and no snapshot was captured by the Internet Archive Wayback Machine between the FY2023 edition (published Jan 2024) and the FY2025 edition (published Sept 2025). Left blank.
FY2023: Chetwood Financial Ltd Pillar 3 Disclosure, as at 31 March 2023, Section 6 (Key Metrics - KM1) and Section 7.1 (Capital Resources) - http://web.archive.org/web/20240315022245/https://chetwood.co/static/330c40d433df90b83d3b3e5c673e21cc/Pillar3Disclosures.pdf
FY2022: Chetwood Financial Ltd Pillar 3 Disclosure, as at 31 March 2022, Annex B (Key Metrics - KM1) - http://web.archive.org/web/20230131235943/https://chetwood.co/static/815e2dd174c4655ddf55a93ca1029ce3/Pillar3Disclosures.pdf
FY2021: Chetwood Financial Ltd Pillar 3 Disclosure, as at 31 March 2021, Section 1.2 (Summary Analysis) and Section 4 (Capital Resources) - http://web.archive.org/web/20211128171331/https://chetwood.co/static/221a3946677e4d8c49c5525d22f9b534/Pillar3Disclosures.pdf (pre-dates the formal KM1 template; Chetwood adopted the CRR KM1 annex from the FY2022 report onward)</t>
        </is>
      </c>
    </row>
  </sheetData>
  <mergeCells count="2">
    <mergeCell ref="A8:F8"/>
    <mergeCell ref="A6:F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Chetwood Financial Limited — LCR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high-quality liquid assets (HQLA) (weighted value - average)</t>
        </is>
      </c>
      <c r="B4" s="6" t="n">
        <v>897493</v>
      </c>
      <c r="C4" s="6" t="n"/>
      <c r="D4" s="6" t="n">
        <v>302266</v>
      </c>
      <c r="E4" s="6" t="n">
        <v>67841</v>
      </c>
      <c r="F4" s="6" t="n"/>
    </row>
    <row r="5">
      <c r="A5" s="6" t="inlineStr">
        <is>
          <t>Cash outflows - total weighted value</t>
        </is>
      </c>
      <c r="B5" s="6" t="n">
        <v>489794</v>
      </c>
      <c r="C5" s="6" t="n"/>
      <c r="D5" s="6" t="n">
        <v>52035</v>
      </c>
      <c r="E5" s="6" t="n">
        <v>5627</v>
      </c>
      <c r="F5" s="6" t="n"/>
    </row>
    <row r="6">
      <c r="A6" s="6" t="inlineStr">
        <is>
          <t>Cash inflows - total weighted value</t>
        </is>
      </c>
      <c r="B6" s="6" t="n">
        <v>28009</v>
      </c>
      <c r="C6" s="6" t="n"/>
      <c r="D6" s="6" t="n">
        <v>15169</v>
      </c>
      <c r="E6" s="6" t="n">
        <v>13656</v>
      </c>
      <c r="F6" s="6" t="n"/>
    </row>
    <row r="7">
      <c r="A7" s="6" t="inlineStr">
        <is>
          <t>Total net cash outflows (adjusted value)</t>
        </is>
      </c>
      <c r="B7" s="6" t="n">
        <v>461785</v>
      </c>
      <c r="C7" s="6" t="n"/>
      <c r="D7" s="6" t="n">
        <v>36865</v>
      </c>
      <c r="E7" s="6" t="n">
        <v>1407</v>
      </c>
      <c r="F7" s="6" t="n"/>
    </row>
    <row r="8">
      <c r="A8" s="6" t="inlineStr">
        <is>
          <t>Liquidity Coverage Ratio (%)</t>
        </is>
      </c>
      <c r="B8" s="6" t="inlineStr">
        <is>
          <t>194%</t>
        </is>
      </c>
      <c r="C8" s="6" t="n"/>
      <c r="D8" s="6" t="inlineStr">
        <is>
          <t>1,015%</t>
        </is>
      </c>
      <c r="E8" s="6" t="inlineStr">
        <is>
          <t>4,823%</t>
        </is>
      </c>
      <c r="F8" s="6" t="inlineStr">
        <is>
          <t>51,086%</t>
        </is>
      </c>
    </row>
    <row r="9" ht="60" customHeight="1">
      <c r="A9" s="7" t="inlineStr">
        <is>
          <t>Note: FY2024 is blank - no Pillar 3 disclosure 'as at 31 March 2024' was published/archived. See source note. FY2021 disclosed only the headline ratio in narrative form (no HQLA/outflow £ breakdown was published that year - the formal KM1 liquidity rows were introduced from FY2022). Chetwood's LCR ratios are extremely high because, as a young/small deposit-taker at the time, its regulatory outflow assumptions were small relative to its liquid asset holdings - this is as disclosed by Chetwood, not a transcription error.</t>
        </is>
      </c>
    </row>
    <row r="11" ht="150" customHeight="1">
      <c r="A11" s="8" t="inlineStr">
        <is>
          <t>Sources (see entity note on Cash Flow Statement sheet):
FY2025: Chetwood Bank Pillar 3 Disclosures, September 2025 (as at 31 March 2025), Section 5 (Key Metrics - KM1) - https://chetwoodbank.co.uk/documents/chetwood-bank-pillar-three-disclosures.pdf
FY2024: No Pillar 3 disclosure 'as at 31 March 2024' was found - not published on Chetwood's live site (which hosts only the current edition at a non-dated URL) and no snapshot was captured by the Internet Archive Wayback Machine between the FY2023 edition (published Jan 2024) and the FY2025 edition (published Sept 2025). Left blank.
FY2023: Chetwood Financial Ltd Pillar 3 Disclosure, as at 31 March 2023, Section 6 (Key Metrics - KM1) and Section 7.1 (Capital Resources) - http://web.archive.org/web/20240315022245/https://chetwood.co/static/330c40d433df90b83d3b3e5c673e21cc/Pillar3Disclosures.pdf
FY2022: Chetwood Financial Ltd Pillar 3 Disclosure, as at 31 March 2022, Annex B (Key Metrics - KM1) - http://web.archive.org/web/20230131235943/https://chetwood.co/static/815e2dd174c4655ddf55a93ca1029ce3/Pillar3Disclosures.pdf
FY2021: Chetwood Financial Ltd Pillar 3 Disclosure, as at 31 March 2021, Section 1.2 (Summary Analysis) and Section 4 (Capital Resources) - http://web.archive.org/web/20211128171331/https://chetwood.co/static/221a3946677e4d8c49c5525d22f9b534/Pillar3Disclosures.pdf (pre-dates the formal KM1 template; Chetwood adopted the CRR KM1 annex from the FY2022 report onward)</t>
        </is>
      </c>
    </row>
  </sheetData>
  <mergeCells count="2">
    <mergeCell ref="A11:F11"/>
    <mergeCell ref="A9:F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Chetwood Financial Limited — NSFR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available stable funding</t>
        </is>
      </c>
      <c r="B4" s="6" t="n">
        <v>3677559</v>
      </c>
      <c r="C4" s="6" t="n"/>
      <c r="D4" s="6" t="n">
        <v>1387511</v>
      </c>
      <c r="E4" s="6" t="n">
        <v>380549</v>
      </c>
      <c r="F4" s="6" t="n"/>
    </row>
    <row r="5">
      <c r="A5" s="6" t="inlineStr">
        <is>
          <t>Total required stable funding</t>
        </is>
      </c>
      <c r="B5" s="6" t="n">
        <v>2536343</v>
      </c>
      <c r="C5" s="6" t="n"/>
      <c r="D5" s="6" t="n">
        <v>572002</v>
      </c>
      <c r="E5" s="6" t="n">
        <v>233566</v>
      </c>
      <c r="F5" s="6" t="n"/>
    </row>
    <row r="6">
      <c r="A6" s="6" t="inlineStr">
        <is>
          <t>Net Stable Funding Ratio (%)</t>
        </is>
      </c>
      <c r="B6" s="6" t="inlineStr">
        <is>
          <t>145%</t>
        </is>
      </c>
      <c r="C6" s="6" t="n"/>
      <c r="D6" s="6" t="inlineStr">
        <is>
          <t>243%</t>
        </is>
      </c>
      <c r="E6" s="6" t="inlineStr">
        <is>
          <t>162.9%</t>
        </is>
      </c>
      <c r="F6" s="6" t="inlineStr">
        <is>
          <t>146.5%</t>
        </is>
      </c>
    </row>
    <row r="7" ht="60" customHeight="1">
      <c r="A7" s="7" t="inlineStr">
        <is>
          <t>Note: FY2024 is blank - no Pillar 3 disclosure 'as at 31 March 2024' was published/archived. See source note. FY2021's NSFR figure (146.5%) is quoted exactly as printed in the FY2021 Pillar 3 report, which oddly labels it 'as at the 31 March 2020' in a document otherwise dated 'as at 31 March 2021' - this looks like a typo in Chetwood's own document, but it is reproduced verbatim rather than silently corrected; no £ breakdown was published for FY2021 (the formal KM1 NSFR rows were introduced from FY2022).</t>
        </is>
      </c>
    </row>
    <row r="9" ht="150" customHeight="1">
      <c r="A9" s="8" t="inlineStr">
        <is>
          <t>Sources (see entity note on Cash Flow Statement sheet):
FY2025: Chetwood Bank Pillar 3 Disclosures, September 2025 (as at 31 March 2025), Section 5 (Key Metrics - KM1) - https://chetwoodbank.co.uk/documents/chetwood-bank-pillar-three-disclosures.pdf
FY2024: No Pillar 3 disclosure 'as at 31 March 2024' was found - not published on Chetwood's live site (which hosts only the current edition at a non-dated URL) and no snapshot was captured by the Internet Archive Wayback Machine between the FY2023 edition (published Jan 2024) and the FY2025 edition (published Sept 2025). Left blank.
FY2023: Chetwood Financial Ltd Pillar 3 Disclosure, as at 31 March 2023, Section 6 (Key Metrics - KM1) and Section 7.1 (Capital Resources) - http://web.archive.org/web/20240315022245/https://chetwood.co/static/330c40d433df90b83d3b3e5c673e21cc/Pillar3Disclosures.pdf
FY2022: Chetwood Financial Ltd Pillar 3 Disclosure, as at 31 March 2022, Annex B (Key Metrics - KM1) - http://web.archive.org/web/20230131235943/https://chetwood.co/static/815e2dd174c4655ddf55a93ca1029ce3/Pillar3Disclosures.pdf
FY2021: Chetwood Financial Ltd Pillar 3 Disclosure, as at 31 March 2021, Section 1.2 (Summary Analysis) and Section 4 (Capital Resources) - http://web.archive.org/web/20211128171331/https://chetwood.co/static/221a3946677e4d8c49c5525d22f9b534/Pillar3Disclosures.pdf (pre-dates the formal KM1 template; Chetwood adopted the CRR KM1 annex from the FY2022 report onward)</t>
        </is>
      </c>
    </row>
  </sheetData>
  <mergeCells count="2">
    <mergeCell ref="A7:F7"/>
    <mergeCell ref="A9:F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Chetwood Financial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applicable</t>
        </is>
      </c>
      <c r="C4" s="6" t="inlineStr">
        <is>
          <t>Not applicable</t>
        </is>
      </c>
      <c r="D4" s="6" t="inlineStr">
        <is>
          <t>Not applicable</t>
        </is>
      </c>
      <c r="E4" s="6" t="inlineStr">
        <is>
          <t>Not applicable</t>
        </is>
      </c>
      <c r="F4" s="6" t="inlineStr">
        <is>
          <t>Not applicable</t>
        </is>
      </c>
    </row>
    <row r="5" ht="60" customHeight="1">
      <c r="A5" s="7" t="inlineStr">
        <is>
          <t>Note: Chetwood is classified as a 'small and non-complex institution' (SNCI) and is not subject to any MREL requirement above its minimum capital requirement - stated explicitly in the FY2021, FY2022 and FY2023 Pillar 3 reports ('...has no minimum requirements for Own funds and Eligible Liabilities (MREL) above its [minimum capital requirement]'). The FY2025 report uses a shorter reduced-disclosure format that omits this narrative section, but there is no indication Chetwood's MREL/SNCI status has changed.</t>
        </is>
      </c>
    </row>
    <row r="7" ht="150" customHeight="1">
      <c r="A7" s="8" t="inlineStr">
        <is>
          <t>Sources (see entity note on Cash Flow Statement sheet):
FY2025: Chetwood Bank Pillar 3 Disclosures, September 2025 (as at 31 March 2025), Section 5 (Key Metrics - KM1) - https://chetwoodbank.co.uk/documents/chetwood-bank-pillar-three-disclosures.pdf
FY2024: No Pillar 3 disclosure 'as at 31 March 2024' was found - not published on Chetwood's live site (which hosts only the current edition at a non-dated URL) and no snapshot was captured by the Internet Archive Wayback Machine between the FY2023 edition (published Jan 2024) and the FY2025 edition (published Sept 2025). Left blank.
FY2023: Chetwood Financial Ltd Pillar 3 Disclosure, as at 31 March 2023, Section 6 (Key Metrics - KM1) and Section 7.1 (Capital Resources) - http://web.archive.org/web/20240315022245/https://chetwood.co/static/330c40d433df90b83d3b3e5c673e21cc/Pillar3Disclosures.pdf
FY2022: Chetwood Financial Ltd Pillar 3 Disclosure, as at 31 March 2022, Annex B (Key Metrics - KM1) - http://web.archive.org/web/20230131235943/https://chetwood.co/static/815e2dd174c4655ddf55a93ca1029ce3/Pillar3Disclosures.pdf
FY2021: Chetwood Financial Ltd Pillar 3 Disclosure, as at 31 March 2021, Section 1.2 (Summary Analysis) and Section 4 (Capital Resources) - http://web.archive.org/web/20211128171331/https://chetwood.co/static/221a3946677e4d8c49c5525d22f9b534/Pillar3Disclosures.pdf (pre-dates the formal KM1 template; Chetwood adopted the CRR KM1 annex from the FY2022 report onward)</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2026-09-02T20:58:10Z</dcterms:created>
  <dcterms:modified xmlns:dcterms="http://purl.org/dc/terms/" xmlns:xsi="http://www.w3.org/2001/XMLSchema-instance" xsi:type="dcterms:W3CDTF">2026-09-02T20:58:10Z</dcterms:modified>
</cp:coreProperties>
</file>