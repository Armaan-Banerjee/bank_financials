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c r="O6" s="5" t="n"/>
      <c r="P6" s="5" t="n"/>
      <c r="Q6" s="5" t="n"/>
      <c r="R6" s="5" t="n"/>
      <c r="U6" t="inlineStr">
        <is>
          <t>Total assets</t>
        </is>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c r="O7" s="5" t="n"/>
      <c r="P7" s="5" t="n"/>
      <c r="Q7" s="5" t="n"/>
      <c r="R7" s="5" t="n"/>
      <c r="U7" t="inlineStr">
        <is>
          <t>Loans and advances to customers (amortised cost)</t>
        </is>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c r="O8" s="5" t="n"/>
      <c r="P8" s="5" t="n"/>
      <c r="Q8" s="5" t="n"/>
      <c r="R8" s="5" t="n"/>
      <c r="U8" t="inlineStr">
        <is>
          <t>Customer deposits</t>
        </is>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c r="O9" s="5" t="n"/>
      <c r="P9" s="5" t="n"/>
      <c r="Q9" s="5" t="n"/>
      <c r="R9" s="5" t="n"/>
      <c r="U9" t="inlineStr">
        <is>
          <t>Total equity</t>
        </is>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J11" t="n">
        <v>134</v>
      </c>
      <c r="DK11" t="n">
        <v>136</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c r="O13" s="5" t="n"/>
      <c r="P13" s="5" t="n"/>
      <c r="Q13" s="5" t="n"/>
      <c r="R13" s="5" t="n"/>
      <c r="AO13" t="inlineStr">
        <is>
          <t>Total income</t>
        </is>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c r="O15" s="5" t="n"/>
      <c r="P15" s="5" t="n"/>
      <c r="Q15" s="5" t="n"/>
      <c r="R15" s="5" t="n"/>
      <c r="AO15" t="inlineStr">
        <is>
          <t>Profit for the period/year</t>
        </is>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c r="O26" s="5" t="n"/>
      <c r="P26" s="5" t="n"/>
      <c r="Q26" s="5" t="n"/>
      <c r="R26" s="5" t="n"/>
      <c r="CC26" t="inlineStr">
        <is>
          <t>Net cash from/(used in) operating activities</t>
        </is>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c r="O27" s="5" t="n"/>
      <c r="P27" s="5" t="n"/>
      <c r="Q27" s="5" t="n"/>
      <c r="R27" s="5" t="n"/>
      <c r="CC27" t="inlineStr">
        <is>
          <t>Net cash from/(used in) investing activities</t>
        </is>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c r="O28" s="5" t="n"/>
      <c r="P28" s="5" t="n"/>
      <c r="Q28" s="5" t="n"/>
      <c r="R28" s="5" t="n"/>
      <c r="CC28" t="inlineStr">
        <is>
          <t>Net cash from/(used in) financing activities</t>
        </is>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c r="O29" s="5" t="n"/>
      <c r="P29" s="5" t="n"/>
      <c r="Q29" s="5" t="n"/>
      <c r="R29" s="5" t="n"/>
      <c r="CC29" t="inlineStr">
        <is>
          <t>Cash and cash equivalents at end of period/year</t>
        </is>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on ordinary activities before tax</t>
        </is>
      </c>
      <c r="B5" s="6" t="n"/>
      <c r="C5" s="6" t="n">
        <v>186</v>
      </c>
      <c r="D5" s="6" t="n">
        <v>344</v>
      </c>
      <c r="E5" s="6" t="n">
        <v>590</v>
      </c>
      <c r="F5" s="6" t="n">
        <v>416</v>
      </c>
      <c r="G5" s="6" t="n">
        <v>-173</v>
      </c>
      <c r="H5" s="6" t="n">
        <v>-182</v>
      </c>
      <c r="I5" s="6" t="n">
        <v>-276</v>
      </c>
      <c r="J5" s="6" t="n">
        <v>-261</v>
      </c>
      <c r="K5" s="6" t="n">
        <v>-352</v>
      </c>
      <c r="L5" s="6" t="n">
        <v>-308</v>
      </c>
      <c r="M5" s="6" t="n">
        <v>-216</v>
      </c>
      <c r="N5" s="6" t="n">
        <v>-33</v>
      </c>
      <c r="O5" s="6" t="n">
        <v>-614</v>
      </c>
      <c r="P5" s="6" t="n">
        <v>21</v>
      </c>
      <c r="Q5" s="6" t="n">
        <v>49</v>
      </c>
      <c r="R5" s="6" t="n">
        <v>48</v>
      </c>
    </row>
    <row r="6">
      <c r="A6" s="6" t="inlineStr">
        <is>
          <t>Non-cash or non-operating items included in profit before tax</t>
        </is>
      </c>
      <c r="B6" s="6" t="n"/>
      <c r="C6" s="6" t="n">
        <v>368</v>
      </c>
      <c r="D6" s="6" t="n">
        <v>-1203</v>
      </c>
      <c r="E6" s="6" t="n">
        <v>-1306</v>
      </c>
      <c r="F6" s="6" t="n">
        <v>-1221</v>
      </c>
      <c r="G6" s="6" t="n">
        <v>-544</v>
      </c>
      <c r="H6" s="6" t="n">
        <v>-935</v>
      </c>
      <c r="I6" s="6" t="n">
        <v>-761</v>
      </c>
      <c r="J6" s="6" t="n">
        <v>-735</v>
      </c>
      <c r="K6" s="6" t="n">
        <v>-644</v>
      </c>
      <c r="L6" s="6" t="n">
        <v>-721</v>
      </c>
      <c r="M6" s="6" t="n">
        <v>-696</v>
      </c>
      <c r="N6" s="6" t="n">
        <v>-583</v>
      </c>
      <c r="O6" s="6" t="n">
        <v>-136</v>
      </c>
      <c r="P6" s="6" t="n">
        <v>-630</v>
      </c>
      <c r="Q6" s="6" t="n">
        <v>-690</v>
      </c>
      <c r="R6" s="6" t="n">
        <v>-685</v>
      </c>
    </row>
    <row r="7">
      <c r="A7" s="6" t="inlineStr">
        <is>
          <t>Changes in operating assets</t>
        </is>
      </c>
      <c r="B7" s="6" t="n"/>
      <c r="C7" s="6" t="n"/>
      <c r="D7" s="6" t="n">
        <v>-551</v>
      </c>
      <c r="E7" s="6" t="n">
        <v>1213</v>
      </c>
      <c r="F7" s="6" t="n">
        <v>819</v>
      </c>
      <c r="G7" s="6" t="n">
        <v>-102</v>
      </c>
      <c r="H7" s="6" t="n">
        <v>-2350</v>
      </c>
      <c r="I7" s="6" t="n">
        <v>-1423</v>
      </c>
      <c r="J7" s="6" t="n">
        <v>-1497</v>
      </c>
      <c r="K7" s="6" t="n">
        <v>-2279</v>
      </c>
      <c r="L7" s="6" t="n">
        <v>-1837</v>
      </c>
      <c r="M7" s="6" t="n">
        <v>-1191</v>
      </c>
      <c r="N7" s="6" t="n">
        <v>6129</v>
      </c>
      <c r="O7" s="6" t="n">
        <v>463</v>
      </c>
      <c r="P7" s="6" t="n">
        <v>-1304</v>
      </c>
      <c r="Q7" s="6" t="n">
        <v>1119</v>
      </c>
      <c r="R7" s="6" t="n">
        <v>-498</v>
      </c>
    </row>
    <row r="8">
      <c r="A8" s="6" t="inlineStr">
        <is>
          <t>Changes in operating liabilities</t>
        </is>
      </c>
      <c r="B8" s="6" t="n"/>
      <c r="C8" s="6" t="n"/>
      <c r="D8" s="6" t="n">
        <v>284</v>
      </c>
      <c r="E8" s="6" t="n">
        <v>-240</v>
      </c>
      <c r="F8" s="6" t="n">
        <v>-1026</v>
      </c>
      <c r="G8" s="6" t="n">
        <v>1878</v>
      </c>
      <c r="H8" s="6" t="n">
        <v>2662</v>
      </c>
      <c r="I8" s="6" t="n">
        <v>-122</v>
      </c>
      <c r="J8" s="6" t="n">
        <v>917</v>
      </c>
      <c r="K8" s="6" t="n">
        <v>1585</v>
      </c>
      <c r="L8" s="6" t="n">
        <v>2021</v>
      </c>
      <c r="M8" s="6" t="n">
        <v>563</v>
      </c>
      <c r="N8" s="6" t="n">
        <v>-2657</v>
      </c>
      <c r="O8" s="6" t="n">
        <v>-2172</v>
      </c>
      <c r="P8" s="6" t="n">
        <v>32</v>
      </c>
      <c r="Q8" s="6" t="n">
        <v>1380</v>
      </c>
      <c r="R8" s="6" t="n">
        <v>2128</v>
      </c>
    </row>
    <row r="9">
      <c r="A9" s="6" t="inlineStr">
        <is>
          <t>Changes in operating assets and liabilities (combined, as reported)</t>
        </is>
      </c>
      <c r="B9" s="6" t="n"/>
      <c r="C9" s="6" t="n">
        <v>-1738</v>
      </c>
      <c r="D9" s="6" t="n"/>
      <c r="E9" s="6" t="n"/>
      <c r="F9" s="6" t="n"/>
      <c r="G9" s="6" t="n"/>
      <c r="H9" s="6" t="n"/>
      <c r="I9" s="6" t="n"/>
      <c r="J9" s="6" t="n"/>
      <c r="K9" s="6" t="n"/>
      <c r="L9" s="6" t="n"/>
      <c r="M9" s="6" t="n"/>
      <c r="N9" s="6" t="n"/>
      <c r="O9" s="6" t="n"/>
      <c r="P9" s="6" t="n"/>
      <c r="Q9" s="6" t="n"/>
      <c r="R9" s="6" t="n"/>
    </row>
    <row r="10">
      <c r="A10" s="6" t="inlineStr">
        <is>
          <t>Payments for short-term and low value leases</t>
        </is>
      </c>
      <c r="B10" s="6" t="n"/>
      <c r="C10" s="6" t="n"/>
      <c r="D10" s="6" t="n">
        <v>-3</v>
      </c>
      <c r="E10" s="6" t="n">
        <v>-2</v>
      </c>
      <c r="F10" s="6" t="n">
        <v>-1</v>
      </c>
      <c r="G10" s="6" t="n">
        <v>-2</v>
      </c>
      <c r="H10" s="6" t="n"/>
      <c r="I10" s="6" t="n"/>
      <c r="J10" s="6" t="n"/>
      <c r="K10" s="6" t="n"/>
      <c r="L10" s="6" t="n"/>
      <c r="M10" s="6" t="n"/>
      <c r="N10" s="6" t="n"/>
      <c r="O10" s="6" t="n"/>
      <c r="P10" s="6" t="n"/>
      <c r="Q10" s="6" t="n"/>
      <c r="R10" s="6" t="n"/>
    </row>
    <row r="11">
      <c r="A11" s="6" t="inlineStr">
        <is>
          <t>Interest received (operating)</t>
        </is>
      </c>
      <c r="B11" s="6" t="n"/>
      <c r="C11" s="6" t="n"/>
      <c r="D11" s="6" t="n">
        <v>3300</v>
      </c>
      <c r="E11" s="6" t="n">
        <v>2112</v>
      </c>
      <c r="F11" s="6" t="n">
        <v>2088</v>
      </c>
      <c r="G11" s="6" t="n">
        <v>2151</v>
      </c>
      <c r="H11" s="6" t="n">
        <v>2320</v>
      </c>
      <c r="I11" s="6" t="n">
        <v>1108</v>
      </c>
      <c r="J11" s="6" t="n">
        <v>1124</v>
      </c>
      <c r="K11" s="6" t="n">
        <v>1101</v>
      </c>
      <c r="L11" s="6" t="n">
        <v>1257</v>
      </c>
      <c r="M11" s="6" t="n">
        <v>1134</v>
      </c>
      <c r="N11" s="6" t="n">
        <v>1213</v>
      </c>
      <c r="O11" s="6" t="n">
        <v>1563</v>
      </c>
      <c r="P11" s="6" t="n">
        <v>1649</v>
      </c>
      <c r="Q11" s="6" t="n">
        <v>1070</v>
      </c>
      <c r="R11" s="6" t="n">
        <v>2017</v>
      </c>
    </row>
    <row r="12">
      <c r="A12" s="6" t="inlineStr">
        <is>
          <t>Interest paid (operating)</t>
        </is>
      </c>
      <c r="B12" s="6" t="n"/>
      <c r="C12" s="6" t="n"/>
      <c r="D12" s="6" t="n">
        <v>-1173</v>
      </c>
      <c r="E12" s="6" t="n">
        <v>-378</v>
      </c>
      <c r="F12" s="6" t="n">
        <v>-461</v>
      </c>
      <c r="G12" s="6" t="n">
        <v>-790</v>
      </c>
      <c r="H12" s="6" t="n">
        <v>-808</v>
      </c>
      <c r="I12" s="6" t="n">
        <v>-169</v>
      </c>
      <c r="J12" s="6" t="n">
        <v>-260</v>
      </c>
      <c r="K12" s="6" t="n">
        <v>-198</v>
      </c>
      <c r="L12" s="6" t="n">
        <v>-432</v>
      </c>
      <c r="M12" s="6" t="n">
        <v>-257</v>
      </c>
      <c r="N12" s="6" t="n">
        <v>-317</v>
      </c>
      <c r="O12" s="6" t="n">
        <v>-451</v>
      </c>
      <c r="P12" s="6" t="n">
        <v>-553</v>
      </c>
      <c r="Q12" s="6" t="n">
        <v>-134</v>
      </c>
      <c r="R12" s="6" t="n">
        <v>-758</v>
      </c>
    </row>
    <row r="13">
      <c r="A13" s="6" t="inlineStr">
        <is>
          <t>Tax paid including group relief</t>
        </is>
      </c>
      <c r="B13" s="6" t="n"/>
      <c r="C13" s="6" t="n">
        <v>-37</v>
      </c>
      <c r="D13" s="6" t="n">
        <v>-50</v>
      </c>
      <c r="E13" s="6" t="n">
        <v>-59</v>
      </c>
      <c r="F13" s="6" t="n">
        <v>-32</v>
      </c>
      <c r="G13" s="6" t="n">
        <v>-15</v>
      </c>
      <c r="H13" s="6" t="n">
        <v>-8</v>
      </c>
      <c r="I13" s="6" t="n">
        <v>-1</v>
      </c>
      <c r="J13" s="6" t="n">
        <v>-8</v>
      </c>
      <c r="K13" s="6" t="n">
        <v>5</v>
      </c>
      <c r="L13" s="6" t="n">
        <v>-4</v>
      </c>
      <c r="M13" s="6" t="n">
        <v>34</v>
      </c>
      <c r="N13" s="6" t="n">
        <v>50</v>
      </c>
      <c r="O13" s="6" t="n">
        <v>4</v>
      </c>
      <c r="P13" s="6" t="n">
        <v>-13</v>
      </c>
      <c r="Q13" s="6" t="n">
        <v>-10</v>
      </c>
      <c r="R13" s="6" t="n">
        <v>13</v>
      </c>
    </row>
    <row r="14">
      <c r="A14" s="5" t="inlineStr">
        <is>
          <t>Net cash provided by/(used in) operating activities</t>
        </is>
      </c>
      <c r="B14" s="5" t="n"/>
      <c r="C14" s="5" t="n">
        <v>-1221</v>
      </c>
      <c r="D14" s="5" t="n">
        <v>948</v>
      </c>
      <c r="E14" s="5" t="n">
        <v>1930</v>
      </c>
      <c r="F14" s="5" t="n">
        <v>582</v>
      </c>
      <c r="G14" s="5" t="n">
        <v>2403</v>
      </c>
      <c r="H14" s="5" t="n">
        <v>699</v>
      </c>
      <c r="I14" s="5" t="n">
        <v>-1644</v>
      </c>
      <c r="J14" s="5" t="n">
        <v>-720</v>
      </c>
      <c r="K14" s="5" t="n">
        <v>-782</v>
      </c>
      <c r="L14" s="5" t="n">
        <v>-24</v>
      </c>
      <c r="M14" s="5" t="n">
        <v>-629</v>
      </c>
      <c r="N14" s="5" t="n">
        <v>3802</v>
      </c>
      <c r="O14" s="5" t="n">
        <v>-1343</v>
      </c>
      <c r="P14" s="5" t="n">
        <v>-798</v>
      </c>
      <c r="Q14" s="5" t="n">
        <v>2784</v>
      </c>
      <c r="R14" s="5" t="n">
        <v>2265</v>
      </c>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row>
    <row r="16">
      <c r="A16" s="6" t="inlineStr">
        <is>
          <t>Interest received (investing)</t>
        </is>
      </c>
      <c r="B16" s="6" t="n"/>
      <c r="C16" s="6" t="n"/>
      <c r="D16" s="6" t="n">
        <v>232</v>
      </c>
      <c r="E16" s="6" t="n">
        <v>47</v>
      </c>
      <c r="F16" s="6" t="n">
        <v>19</v>
      </c>
      <c r="G16" s="6" t="n">
        <v>35</v>
      </c>
      <c r="H16" s="6" t="n">
        <v>28</v>
      </c>
      <c r="I16" s="6" t="n">
        <v>12</v>
      </c>
      <c r="J16" s="6" t="n">
        <v>12</v>
      </c>
      <c r="K16" s="6" t="n">
        <v>11</v>
      </c>
      <c r="L16" s="6" t="n">
        <v>8</v>
      </c>
      <c r="M16" s="6" t="n">
        <v>8</v>
      </c>
      <c r="N16" s="6" t="n">
        <v>8</v>
      </c>
      <c r="O16" s="6" t="n">
        <v>12</v>
      </c>
      <c r="P16" s="6" t="n">
        <v>25</v>
      </c>
      <c r="Q16" s="6" t="n">
        <v>26</v>
      </c>
      <c r="R16" s="6" t="n">
        <v>45</v>
      </c>
    </row>
    <row r="17">
      <c r="A17" s="6" t="inlineStr">
        <is>
          <t>Proceeds from maturity of financial instruments at FVOCI</t>
        </is>
      </c>
      <c r="B17" s="6" t="n"/>
      <c r="C17" s="6" t="n"/>
      <c r="D17" s="6" t="n"/>
      <c r="E17" s="6" t="n">
        <v>479</v>
      </c>
      <c r="F17" s="6" t="n">
        <v>1079</v>
      </c>
      <c r="G17" s="6" t="n">
        <v>1568</v>
      </c>
      <c r="H17" s="6" t="n">
        <v>659</v>
      </c>
      <c r="I17" s="6" t="n"/>
      <c r="J17" s="6" t="n"/>
      <c r="K17" s="6" t="n"/>
      <c r="L17" s="6" t="n"/>
      <c r="M17" s="6" t="n"/>
      <c r="N17" s="6" t="n"/>
      <c r="O17" s="6" t="n"/>
      <c r="P17" s="6" t="n"/>
      <c r="Q17" s="6" t="n"/>
      <c r="R17" s="6" t="n"/>
    </row>
    <row r="18">
      <c r="A18" s="6" t="inlineStr">
        <is>
          <t>Proceeds from sale of financial assets at FVOCI</t>
        </is>
      </c>
      <c r="B18" s="6" t="n"/>
      <c r="C18" s="6" t="n"/>
      <c r="D18" s="6" t="n"/>
      <c r="E18" s="6" t="n">
        <v>194</v>
      </c>
      <c r="F18" s="6" t="n"/>
      <c r="G18" s="6" t="n">
        <v>587</v>
      </c>
      <c r="H18" s="6" t="n">
        <v>352</v>
      </c>
      <c r="I18" s="6" t="n"/>
      <c r="J18" s="6" t="n"/>
      <c r="K18" s="6" t="n"/>
      <c r="L18" s="6" t="n"/>
      <c r="M18" s="6" t="n"/>
      <c r="N18" s="6" t="n"/>
      <c r="O18" s="6" t="n"/>
      <c r="P18" s="6" t="n"/>
      <c r="Q18" s="6" t="n"/>
      <c r="R18" s="6" t="n"/>
    </row>
    <row r="19">
      <c r="A19" s="6" t="inlineStr">
        <is>
          <t>Proceeds from sale and maturity of financial instruments at FVOCI (combined, as reported)</t>
        </is>
      </c>
      <c r="B19" s="6" t="n"/>
      <c r="C19" s="6" t="n">
        <v>2266</v>
      </c>
      <c r="D19" s="6" t="n">
        <v>1868</v>
      </c>
      <c r="E19" s="6" t="n"/>
      <c r="F19" s="6" t="n"/>
      <c r="G19" s="6" t="n"/>
      <c r="H19" s="6" t="n"/>
      <c r="I19" s="6" t="n"/>
      <c r="J19" s="6" t="n"/>
      <c r="K19" s="6" t="n"/>
      <c r="L19" s="6" t="n"/>
      <c r="M19" s="6" t="n"/>
      <c r="N19" s="6" t="n"/>
      <c r="O19" s="6" t="n"/>
      <c r="P19" s="6" t="n"/>
      <c r="Q19" s="6" t="n"/>
      <c r="R19" s="6" t="n"/>
    </row>
    <row r="20">
      <c r="A20" s="6" t="inlineStr">
        <is>
          <t>Purchase of financial assets at FVOCI</t>
        </is>
      </c>
      <c r="B20" s="6" t="n"/>
      <c r="C20" s="6" t="n">
        <v>-2198</v>
      </c>
      <c r="D20" s="6" t="n">
        <v>-2950</v>
      </c>
      <c r="E20" s="6" t="n">
        <v>-2019</v>
      </c>
      <c r="F20" s="6" t="n">
        <v>-521</v>
      </c>
      <c r="G20" s="6" t="n">
        <v>-2838</v>
      </c>
      <c r="H20" s="6" t="n">
        <v>-1647</v>
      </c>
      <c r="I20" s="6" t="n"/>
      <c r="J20" s="6" t="n"/>
      <c r="K20" s="6" t="n"/>
      <c r="L20" s="6" t="n"/>
      <c r="M20" s="6" t="n"/>
      <c r="N20" s="6" t="n"/>
      <c r="O20" s="6" t="n"/>
      <c r="P20" s="6" t="n"/>
      <c r="Q20" s="6" t="n"/>
      <c r="R20" s="6" t="n"/>
    </row>
    <row r="21">
      <c r="A21" s="6" t="inlineStr">
        <is>
          <t>Proceeds from/(purchase of) financial assets available for sale (pre-IFRS 9)</t>
        </is>
      </c>
      <c r="B21" s="6" t="n"/>
      <c r="C21" s="6" t="n"/>
      <c r="D21" s="6" t="n"/>
      <c r="E21" s="6" t="n"/>
      <c r="F21" s="6" t="n"/>
      <c r="G21" s="6" t="n"/>
      <c r="H21" s="6" t="n"/>
      <c r="I21" s="6" t="n">
        <v>822</v>
      </c>
      <c r="J21" s="6" t="n">
        <v>60</v>
      </c>
      <c r="K21" s="6" t="n">
        <v>56</v>
      </c>
      <c r="L21" s="6" t="n">
        <v>0</v>
      </c>
      <c r="M21" s="6" t="n"/>
      <c r="N21" s="6" t="n"/>
      <c r="O21" s="6" t="n"/>
      <c r="P21" s="6" t="n"/>
      <c r="Q21" s="6" t="n"/>
      <c r="R21" s="6" t="n"/>
    </row>
    <row r="22">
      <c r="A22" s="6" t="inlineStr">
        <is>
          <t>Purchase of financial assets available for sale (pre-IFRS 9)</t>
        </is>
      </c>
      <c r="B22" s="6" t="n"/>
      <c r="C22" s="6" t="n"/>
      <c r="D22" s="6" t="n"/>
      <c r="E22" s="6" t="n"/>
      <c r="F22" s="6" t="n"/>
      <c r="G22" s="6" t="n"/>
      <c r="H22" s="6" t="n"/>
      <c r="I22" s="6" t="n">
        <v>-593</v>
      </c>
      <c r="J22" s="6" t="n">
        <v>-492</v>
      </c>
      <c r="K22" s="6" t="n">
        <v>-357</v>
      </c>
      <c r="L22" s="6" t="n">
        <v>-269</v>
      </c>
      <c r="M22" s="6" t="n">
        <v>-251</v>
      </c>
      <c r="N22" s="6" t="n">
        <v>-50</v>
      </c>
      <c r="O22" s="6" t="n"/>
      <c r="P22" s="6" t="n"/>
      <c r="Q22" s="6" t="n">
        <v>-735</v>
      </c>
      <c r="R22" s="6" t="n">
        <v>-1508</v>
      </c>
    </row>
    <row r="23">
      <c r="A23" s="6" t="inlineStr">
        <is>
          <t>Proceeds from maturity of investments (pre-IFRS 9)</t>
        </is>
      </c>
      <c r="B23" s="6" t="n"/>
      <c r="C23" s="6" t="n"/>
      <c r="D23" s="6" t="n"/>
      <c r="E23" s="6" t="n"/>
      <c r="F23" s="6" t="n"/>
      <c r="G23" s="6" t="n"/>
      <c r="H23" s="6" t="n"/>
      <c r="I23" s="6" t="n">
        <v>245</v>
      </c>
      <c r="J23" s="6" t="n">
        <v>20</v>
      </c>
      <c r="K23" s="6" t="n">
        <v>101</v>
      </c>
      <c r="L23" s="6" t="n"/>
      <c r="M23" s="6" t="n">
        <v>50</v>
      </c>
      <c r="N23" s="6" t="n"/>
      <c r="O23" s="6" t="n"/>
      <c r="P23" s="6" t="n"/>
      <c r="Q23" s="6" t="n"/>
      <c r="R23" s="6" t="n"/>
    </row>
    <row r="24">
      <c r="A24" s="6" t="inlineStr">
        <is>
          <t>Proceeds from sale of investments (FY2009-FY2013, as disclosed)</t>
        </is>
      </c>
      <c r="B24" s="6" t="n"/>
      <c r="C24" s="6" t="n"/>
      <c r="D24" s="6" t="n"/>
      <c r="E24" s="6" t="n"/>
      <c r="F24" s="6" t="n"/>
      <c r="G24" s="6" t="n"/>
      <c r="H24" s="6" t="n"/>
      <c r="I24" s="6" t="n"/>
      <c r="J24" s="6" t="n"/>
      <c r="K24" s="6" t="n"/>
      <c r="L24" s="6" t="n"/>
      <c r="M24" s="6" t="n"/>
      <c r="N24" s="6" t="n">
        <v>50</v>
      </c>
      <c r="O24" s="6" t="n">
        <v>71</v>
      </c>
      <c r="P24" s="6" t="n">
        <v>1174</v>
      </c>
      <c r="Q24" s="6" t="n">
        <v>4</v>
      </c>
      <c r="R24" s="6" t="n">
        <v>6</v>
      </c>
    </row>
    <row r="25">
      <c r="A25" s="6" t="inlineStr">
        <is>
          <t>Purchase of held to maturity investments (FY2009, pre-IFRS 9)</t>
        </is>
      </c>
      <c r="B25" s="6" t="n"/>
      <c r="C25" s="6" t="n"/>
      <c r="D25" s="6" t="n"/>
      <c r="E25" s="6" t="n"/>
      <c r="F25" s="6" t="n"/>
      <c r="G25" s="6" t="n"/>
      <c r="H25" s="6" t="n"/>
      <c r="I25" s="6" t="n"/>
      <c r="J25" s="6" t="n"/>
      <c r="K25" s="6" t="n"/>
      <c r="L25" s="6" t="n"/>
      <c r="M25" s="6" t="n"/>
      <c r="N25" s="6" t="n"/>
      <c r="O25" s="6" t="n"/>
      <c r="P25" s="6" t="n"/>
      <c r="Q25" s="6" t="n"/>
      <c r="R25" s="6" t="n">
        <v>-638</v>
      </c>
    </row>
    <row r="26">
      <c r="A26" s="6" t="inlineStr">
        <is>
          <t>Cash inflow from matured held to maturity investments (FY2010, pre-IFRS 9)</t>
        </is>
      </c>
      <c r="B26" s="6" t="n"/>
      <c r="C26" s="6" t="n"/>
      <c r="D26" s="6" t="n"/>
      <c r="E26" s="6" t="n"/>
      <c r="F26" s="6" t="n"/>
      <c r="G26" s="6" t="n"/>
      <c r="H26" s="6" t="n"/>
      <c r="I26" s="6" t="n"/>
      <c r="J26" s="6" t="n"/>
      <c r="K26" s="6" t="n"/>
      <c r="L26" s="6" t="n"/>
      <c r="M26" s="6" t="n"/>
      <c r="N26" s="6" t="n"/>
      <c r="O26" s="6" t="n"/>
      <c r="P26" s="6" t="n"/>
      <c r="Q26" s="6" t="n">
        <v>639</v>
      </c>
      <c r="R26" s="6" t="n"/>
    </row>
    <row r="27">
      <c r="A27" s="6" t="inlineStr">
        <is>
          <t>Investment in joint venture (FY2011 only)</t>
        </is>
      </c>
      <c r="B27" s="6" t="n"/>
      <c r="C27" s="6" t="n"/>
      <c r="D27" s="6" t="n"/>
      <c r="E27" s="6" t="n"/>
      <c r="F27" s="6" t="n"/>
      <c r="G27" s="6" t="n"/>
      <c r="H27" s="6" t="n"/>
      <c r="I27" s="6" t="n"/>
      <c r="J27" s="6" t="n"/>
      <c r="K27" s="6" t="n"/>
      <c r="L27" s="6" t="n"/>
      <c r="M27" s="6" t="n"/>
      <c r="N27" s="6" t="n"/>
      <c r="O27" s="6" t="n"/>
      <c r="P27" s="6" t="n">
        <v>-1</v>
      </c>
      <c r="Q27" s="6" t="n"/>
      <c r="R27" s="6" t="n"/>
    </row>
    <row r="28">
      <c r="A28" s="6" t="inlineStr">
        <is>
          <t>Proceeds from sale of subsidiary (FY2009 only)</t>
        </is>
      </c>
      <c r="B28" s="6" t="n"/>
      <c r="C28" s="6" t="n"/>
      <c r="D28" s="6" t="n"/>
      <c r="E28" s="6" t="n"/>
      <c r="F28" s="6" t="n"/>
      <c r="G28" s="6" t="n"/>
      <c r="H28" s="6" t="n"/>
      <c r="I28" s="6" t="n"/>
      <c r="J28" s="6" t="n"/>
      <c r="K28" s="6" t="n"/>
      <c r="L28" s="6" t="n"/>
      <c r="M28" s="6" t="n"/>
      <c r="N28" s="6" t="n"/>
      <c r="O28" s="6" t="n"/>
      <c r="P28" s="6" t="n"/>
      <c r="Q28" s="6" t="n"/>
      <c r="R28" s="6" t="n">
        <v>2</v>
      </c>
    </row>
    <row r="29">
      <c r="A29" s="6" t="inlineStr">
        <is>
          <t>Cash acquired on acquisition of Virgin Money Holdings (UK) PLC</t>
        </is>
      </c>
      <c r="B29" s="6" t="n"/>
      <c r="C29" s="6" t="n"/>
      <c r="D29" s="6" t="n"/>
      <c r="E29" s="6" t="n"/>
      <c r="F29" s="6" t="n"/>
      <c r="G29" s="6" t="n"/>
      <c r="H29" s="6" t="n">
        <v>4106</v>
      </c>
      <c r="I29" s="6" t="n"/>
      <c r="J29" s="6" t="n"/>
      <c r="K29" s="6" t="n"/>
      <c r="L29" s="6" t="n"/>
      <c r="M29" s="6" t="n"/>
      <c r="N29" s="6" t="n"/>
      <c r="O29" s="6" t="n"/>
      <c r="P29" s="6" t="n"/>
      <c r="Q29" s="6" t="n"/>
      <c r="R29" s="6" t="n"/>
    </row>
    <row r="30">
      <c r="A30" s="6" t="inlineStr">
        <is>
          <t>Purchase of shares in UTM previously held in Virgin Money Holdings (UK) Limited</t>
        </is>
      </c>
      <c r="B30" s="6" t="n"/>
      <c r="C30" s="6" t="n"/>
      <c r="D30" s="6" t="n"/>
      <c r="E30" s="6" t="n">
        <v>-4</v>
      </c>
      <c r="F30" s="6" t="n">
        <v>-12</v>
      </c>
      <c r="G30" s="6" t="n">
        <v>-2</v>
      </c>
      <c r="H30" s="6" t="n">
        <v>45</v>
      </c>
      <c r="I30" s="6" t="n"/>
      <c r="J30" s="6" t="n"/>
      <c r="K30" s="6" t="n"/>
      <c r="L30" s="6" t="n"/>
      <c r="M30" s="6" t="n"/>
      <c r="N30" s="6" t="n"/>
      <c r="O30" s="6" t="n"/>
      <c r="P30" s="6" t="n"/>
      <c r="Q30" s="6" t="n"/>
      <c r="R30" s="6" t="n"/>
    </row>
    <row r="31">
      <c r="A31" s="6" t="inlineStr">
        <is>
          <t>Acquisition of controlled entities</t>
        </is>
      </c>
      <c r="B31" s="6" t="n"/>
      <c r="C31" s="6" t="n">
        <v>-20</v>
      </c>
      <c r="D31" s="6" t="n"/>
      <c r="E31" s="6" t="n"/>
      <c r="F31" s="6" t="n"/>
      <c r="G31" s="6" t="n"/>
      <c r="H31" s="6" t="n"/>
      <c r="I31" s="6" t="n"/>
      <c r="J31" s="6" t="n"/>
      <c r="K31" s="6" t="n"/>
      <c r="L31" s="6" t="n"/>
      <c r="M31" s="6" t="n"/>
      <c r="N31" s="6" t="n"/>
      <c r="O31" s="6" t="n"/>
      <c r="P31" s="6" t="n"/>
      <c r="Q31" s="6" t="n"/>
      <c r="R31" s="6" t="n"/>
    </row>
    <row r="32">
      <c r="A32" s="6" t="inlineStr">
        <is>
          <t>Dividends received</t>
        </is>
      </c>
      <c r="B32" s="6" t="n"/>
      <c r="C32" s="6" t="n"/>
      <c r="D32" s="6" t="n"/>
      <c r="E32" s="6" t="n"/>
      <c r="F32" s="6" t="n"/>
      <c r="G32" s="6" t="n"/>
      <c r="H32" s="6" t="n"/>
      <c r="I32" s="6" t="n"/>
      <c r="J32" s="6" t="n"/>
      <c r="K32" s="6" t="n">
        <v>0</v>
      </c>
      <c r="L32" s="6" t="n"/>
      <c r="M32" s="6" t="n"/>
      <c r="N32" s="6" t="n"/>
      <c r="O32" s="6" t="n"/>
      <c r="P32" s="6" t="n"/>
      <c r="Q32" s="6" t="n"/>
      <c r="R32" s="6" t="n"/>
    </row>
    <row r="33">
      <c r="A33" s="6" t="inlineStr">
        <is>
          <t>Proceeds from sale of property, plant and equipment</t>
        </is>
      </c>
      <c r="B33" s="6" t="n"/>
      <c r="C33" s="6" t="n">
        <v>3</v>
      </c>
      <c r="D33" s="6" t="n">
        <v>1</v>
      </c>
      <c r="E33" s="6" t="n">
        <v>1</v>
      </c>
      <c r="F33" s="6" t="n">
        <v>6</v>
      </c>
      <c r="G33" s="6" t="n">
        <v>5</v>
      </c>
      <c r="H33" s="6" t="n">
        <v>3</v>
      </c>
      <c r="I33" s="6" t="n">
        <v>9</v>
      </c>
      <c r="J33" s="6" t="n">
        <v>19</v>
      </c>
      <c r="K33" s="6" t="n">
        <v>17</v>
      </c>
      <c r="L33" s="6" t="n">
        <v>17</v>
      </c>
      <c r="M33" s="6" t="n">
        <v>41</v>
      </c>
      <c r="N33" s="6" t="n">
        <v>39</v>
      </c>
      <c r="O33" s="6" t="n">
        <v>38</v>
      </c>
      <c r="P33" s="6" t="n">
        <v>33</v>
      </c>
      <c r="Q33" s="6" t="n">
        <v>17</v>
      </c>
      <c r="R33" s="6" t="n">
        <v>66</v>
      </c>
    </row>
    <row r="34">
      <c r="A34" s="6" t="inlineStr">
        <is>
          <t>Purchase of property, plant and equipment</t>
        </is>
      </c>
      <c r="B34" s="6" t="n"/>
      <c r="C34" s="6" t="n">
        <v>-15</v>
      </c>
      <c r="D34" s="6" t="n">
        <v>-9</v>
      </c>
      <c r="E34" s="6" t="n">
        <v>-13</v>
      </c>
      <c r="F34" s="6" t="n">
        <v>-26</v>
      </c>
      <c r="G34" s="6" t="n">
        <v>-14</v>
      </c>
      <c r="H34" s="6" t="n">
        <v>-20</v>
      </c>
      <c r="I34" s="6" t="n">
        <v>-22</v>
      </c>
      <c r="J34" s="6" t="n">
        <v>-21</v>
      </c>
      <c r="K34" s="6" t="n">
        <v>-22</v>
      </c>
      <c r="L34" s="6" t="n">
        <v>-15</v>
      </c>
      <c r="M34" s="6" t="n">
        <v>-16</v>
      </c>
      <c r="N34" s="6" t="n">
        <v>-32</v>
      </c>
      <c r="O34" s="6" t="n">
        <v>-13</v>
      </c>
      <c r="P34" s="6" t="n">
        <v>-41</v>
      </c>
      <c r="Q34" s="6" t="n">
        <v>-73</v>
      </c>
      <c r="R34" s="6" t="n">
        <v>-81</v>
      </c>
    </row>
    <row r="35">
      <c r="A35" s="6" t="inlineStr">
        <is>
          <t>Purchase and development of intangible assets</t>
        </is>
      </c>
      <c r="B35" s="6" t="n"/>
      <c r="C35" s="6" t="n">
        <v>-6</v>
      </c>
      <c r="D35" s="6" t="n">
        <v>-11</v>
      </c>
      <c r="E35" s="6" t="n">
        <v>-53</v>
      </c>
      <c r="F35" s="6" t="n">
        <v>-80</v>
      </c>
      <c r="G35" s="6" t="n">
        <v>-78</v>
      </c>
      <c r="H35" s="6" t="n">
        <v>-130</v>
      </c>
      <c r="I35" s="6" t="n">
        <v>-144</v>
      </c>
      <c r="J35" s="6" t="n">
        <v>-148</v>
      </c>
      <c r="K35" s="6" t="n">
        <v>-99</v>
      </c>
      <c r="L35" s="6" t="n"/>
      <c r="M35" s="6" t="n"/>
      <c r="N35" s="6" t="n"/>
      <c r="O35" s="6" t="n"/>
      <c r="P35" s="6" t="n"/>
      <c r="Q35" s="6" t="n"/>
      <c r="R35" s="6" t="n"/>
    </row>
    <row r="36">
      <c r="A36" s="5" t="inlineStr">
        <is>
          <t>Net cash provided by/(used in) investing activities</t>
        </is>
      </c>
      <c r="B36" s="5" t="n"/>
      <c r="C36" s="5" t="n">
        <v>30</v>
      </c>
      <c r="D36" s="5" t="n">
        <v>-869</v>
      </c>
      <c r="E36" s="5" t="n">
        <v>-1368</v>
      </c>
      <c r="F36" s="5" t="n">
        <v>465</v>
      </c>
      <c r="G36" s="5" t="n">
        <v>-737</v>
      </c>
      <c r="H36" s="5" t="n">
        <v>3396</v>
      </c>
      <c r="I36" s="5" t="n">
        <v>329</v>
      </c>
      <c r="J36" s="5" t="n">
        <v>-550</v>
      </c>
      <c r="K36" s="5" t="n">
        <v>-293</v>
      </c>
      <c r="L36" s="5" t="n">
        <v>-259</v>
      </c>
      <c r="M36" s="5" t="n">
        <v>-168</v>
      </c>
      <c r="N36" s="5" t="n">
        <v>15</v>
      </c>
      <c r="O36" s="5" t="n">
        <v>108</v>
      </c>
      <c r="P36" s="5" t="n">
        <v>1190</v>
      </c>
      <c r="Q36" s="5" t="n">
        <v>-122</v>
      </c>
      <c r="R36" s="5" t="n">
        <v>-2108</v>
      </c>
    </row>
    <row r="37">
      <c r="A37" s="5" t="inlineStr">
        <is>
          <t>Financing activities</t>
        </is>
      </c>
      <c r="B37" s="6" t="n"/>
      <c r="C37" s="6" t="n"/>
      <c r="D37" s="6" t="n"/>
      <c r="E37" s="6" t="n"/>
      <c r="F37" s="6" t="n"/>
      <c r="G37" s="6" t="n"/>
      <c r="H37" s="6" t="n"/>
      <c r="I37" s="6" t="n"/>
      <c r="J37" s="6" t="n"/>
      <c r="K37" s="6" t="n"/>
      <c r="L37" s="6" t="n"/>
      <c r="M37" s="6" t="n"/>
      <c r="N37" s="6" t="n"/>
      <c r="O37" s="6" t="n"/>
      <c r="P37" s="6" t="n"/>
      <c r="Q37" s="6" t="n"/>
      <c r="R37" s="6" t="n"/>
    </row>
    <row r="38">
      <c r="A38" s="6" t="inlineStr">
        <is>
          <t>Interest received (financing)</t>
        </is>
      </c>
      <c r="B38" s="6" t="n"/>
      <c r="C38" s="6" t="n"/>
      <c r="D38" s="6" t="n"/>
      <c r="E38" s="6" t="n"/>
      <c r="F38" s="6" t="n"/>
      <c r="G38" s="6" t="n"/>
      <c r="H38" s="6" t="n"/>
      <c r="I38" s="6" t="n"/>
      <c r="J38" s="6" t="n"/>
      <c r="K38" s="6" t="n">
        <v>1</v>
      </c>
      <c r="L38" s="6" t="n">
        <v>3</v>
      </c>
      <c r="M38" s="6" t="n">
        <v>4</v>
      </c>
      <c r="N38" s="6" t="n">
        <v>5</v>
      </c>
      <c r="O38" s="6" t="n">
        <v>13</v>
      </c>
      <c r="P38" s="6" t="n">
        <v>22</v>
      </c>
      <c r="Q38" s="6" t="n">
        <v>15</v>
      </c>
      <c r="R38" s="6" t="n"/>
    </row>
    <row r="39">
      <c r="A39" s="6" t="inlineStr">
        <is>
          <t>Interest paid (financing)</t>
        </is>
      </c>
      <c r="B39" s="6" t="n"/>
      <c r="C39" s="6" t="n"/>
      <c r="D39" s="6" t="n">
        <v>-743</v>
      </c>
      <c r="E39" s="6" t="n">
        <v>-246</v>
      </c>
      <c r="F39" s="6" t="n">
        <v>-158</v>
      </c>
      <c r="G39" s="6" t="n">
        <v>-87</v>
      </c>
      <c r="H39" s="6" t="n">
        <v>-13</v>
      </c>
      <c r="I39" s="6" t="n">
        <v>-94</v>
      </c>
      <c r="J39" s="6" t="n">
        <v>-89</v>
      </c>
      <c r="K39" s="6" t="n">
        <v>-97</v>
      </c>
      <c r="L39" s="6" t="n">
        <v>-120</v>
      </c>
      <c r="M39" s="6" t="n">
        <v>-132</v>
      </c>
      <c r="N39" s="6" t="n">
        <v>-132</v>
      </c>
      <c r="O39" s="6" t="n">
        <v>-229</v>
      </c>
      <c r="P39" s="6" t="n">
        <v>-141</v>
      </c>
      <c r="Q39" s="6" t="n">
        <v>-115</v>
      </c>
      <c r="R39" s="6" t="n">
        <v>-319</v>
      </c>
    </row>
    <row r="40">
      <c r="A40" s="6" t="inlineStr">
        <is>
          <t>Repayment of principal portion of lease liabilities</t>
        </is>
      </c>
      <c r="B40" s="6" t="n"/>
      <c r="C40" s="6" t="n">
        <v>-40</v>
      </c>
      <c r="D40" s="6" t="n">
        <v>-24</v>
      </c>
      <c r="E40" s="6" t="n">
        <v>-26</v>
      </c>
      <c r="F40" s="6" t="n">
        <v>-28</v>
      </c>
      <c r="G40" s="6" t="n">
        <v>-30</v>
      </c>
      <c r="H40" s="6" t="n"/>
      <c r="I40" s="6" t="n"/>
      <c r="J40" s="6" t="n"/>
      <c r="K40" s="6" t="n"/>
      <c r="L40" s="6" t="n"/>
      <c r="M40" s="6" t="n"/>
      <c r="N40" s="6" t="n"/>
      <c r="O40" s="6" t="n"/>
      <c r="P40" s="6" t="n"/>
      <c r="Q40" s="6" t="n"/>
      <c r="R40" s="6" t="n"/>
    </row>
    <row r="41">
      <c r="A41" s="6" t="inlineStr">
        <is>
          <t>Redemption and principal repayment on RMBS and covered bonds</t>
        </is>
      </c>
      <c r="B41" s="6" t="n"/>
      <c r="C41" s="6" t="n"/>
      <c r="D41" s="6" t="n">
        <v>-1012</v>
      </c>
      <c r="E41" s="6" t="n">
        <v>-1264</v>
      </c>
      <c r="F41" s="6" t="n">
        <v>-1543</v>
      </c>
      <c r="G41" s="6" t="n">
        <v>-1492</v>
      </c>
      <c r="H41" s="6" t="n">
        <v>-2003</v>
      </c>
      <c r="I41" s="6" t="n">
        <v>-1372</v>
      </c>
      <c r="J41" s="6" t="n">
        <v>-740</v>
      </c>
      <c r="K41" s="6" t="n">
        <v>-1029</v>
      </c>
      <c r="L41" s="6" t="n">
        <v>-921</v>
      </c>
      <c r="M41" s="6" t="n">
        <v>-216</v>
      </c>
      <c r="N41" s="6" t="n">
        <v>-613</v>
      </c>
      <c r="O41" s="6" t="n">
        <v>-936</v>
      </c>
      <c r="P41" s="6" t="n">
        <v>-856</v>
      </c>
      <c r="Q41" s="6" t="n">
        <v>-877</v>
      </c>
      <c r="R41" s="6" t="n">
        <v>-1414</v>
      </c>
    </row>
    <row r="42">
      <c r="A42" s="6" t="inlineStr">
        <is>
          <t>Issuance of RMBS and covered bonds</t>
        </is>
      </c>
      <c r="B42" s="6" t="n"/>
      <c r="C42" s="6" t="n"/>
      <c r="D42" s="6" t="n">
        <v>1826</v>
      </c>
      <c r="E42" s="6" t="n">
        <v>2480</v>
      </c>
      <c r="F42" s="6" t="n"/>
      <c r="G42" s="6" t="n">
        <v>491</v>
      </c>
      <c r="H42" s="6" t="n">
        <v>2226</v>
      </c>
      <c r="I42" s="6" t="n">
        <v>1049</v>
      </c>
      <c r="J42" s="6" t="n">
        <v>750</v>
      </c>
      <c r="K42" s="6" t="n">
        <v>750</v>
      </c>
      <c r="L42" s="6" t="n">
        <v>1207</v>
      </c>
      <c r="M42" s="6" t="n">
        <v>601</v>
      </c>
      <c r="N42" s="6" t="n">
        <v>541</v>
      </c>
      <c r="O42" s="6" t="n">
        <v>2644</v>
      </c>
      <c r="P42" s="6" t="n"/>
      <c r="Q42" s="6" t="n"/>
      <c r="R42" s="6" t="n">
        <v>1250</v>
      </c>
    </row>
    <row r="43">
      <c r="A43" s="6" t="inlineStr">
        <is>
          <t>Redemption of subordinated debt / medium-term notes</t>
        </is>
      </c>
      <c r="B43" s="6" t="n"/>
      <c r="C43" s="6" t="n"/>
      <c r="D43" s="6" t="n"/>
      <c r="E43" s="6" t="n"/>
      <c r="F43" s="6" t="n"/>
      <c r="G43" s="6" t="n"/>
      <c r="H43" s="6" t="n"/>
      <c r="I43" s="6" t="n"/>
      <c r="J43" s="6" t="n"/>
      <c r="K43" s="6" t="n">
        <v>-474</v>
      </c>
      <c r="L43" s="6" t="n">
        <v>-989</v>
      </c>
      <c r="M43" s="6" t="n"/>
      <c r="N43" s="6" t="n"/>
      <c r="O43" s="6" t="n">
        <v>-200</v>
      </c>
      <c r="P43" s="6" t="n"/>
      <c r="Q43" s="6" t="n"/>
      <c r="R43" s="6" t="n"/>
    </row>
    <row r="44">
      <c r="A44" s="6" t="inlineStr">
        <is>
          <t>Maturity of medium term notes (FY2012 only)</t>
        </is>
      </c>
      <c r="B44" s="6" t="n"/>
      <c r="C44" s="6" t="n"/>
      <c r="D44" s="6" t="n"/>
      <c r="E44" s="6" t="n"/>
      <c r="F44" s="6" t="n"/>
      <c r="G44" s="6" t="n"/>
      <c r="H44" s="6" t="n"/>
      <c r="I44" s="6" t="n"/>
      <c r="J44" s="6" t="n"/>
      <c r="K44" s="6" t="n"/>
      <c r="L44" s="6" t="n"/>
      <c r="M44" s="6" t="n"/>
      <c r="N44" s="6" t="n"/>
      <c r="O44" s="6" t="n">
        <v>-1898</v>
      </c>
      <c r="P44" s="6" t="n"/>
      <c r="Q44" s="6" t="n"/>
      <c r="R44" s="6" t="n"/>
    </row>
    <row r="45">
      <c r="A45" s="6" t="inlineStr">
        <is>
          <t>Issuance of AT1 securities</t>
        </is>
      </c>
      <c r="B45" s="6" t="n"/>
      <c r="C45" s="6" t="n">
        <v>347</v>
      </c>
      <c r="D45" s="6" t="n"/>
      <c r="E45" s="6" t="n">
        <v>347</v>
      </c>
      <c r="F45" s="6" t="n"/>
      <c r="G45" s="6" t="n"/>
      <c r="H45" s="6" t="n"/>
      <c r="I45" s="6" t="n"/>
      <c r="J45" s="6" t="n"/>
      <c r="K45" s="6" t="n">
        <v>425</v>
      </c>
      <c r="L45" s="6" t="n">
        <v>450</v>
      </c>
      <c r="M45" s="6" t="n"/>
      <c r="N45" s="6" t="n"/>
      <c r="O45" s="6" t="n"/>
      <c r="P45" s="6" t="n"/>
      <c r="Q45" s="6" t="n"/>
      <c r="R45" s="6" t="n"/>
    </row>
    <row r="46">
      <c r="A46" s="6" t="inlineStr">
        <is>
          <t>Redemption of AT1 securities</t>
        </is>
      </c>
      <c r="B46" s="6" t="n"/>
      <c r="C46" s="6" t="n">
        <v>-250</v>
      </c>
      <c r="D46" s="6" t="n">
        <v>-72</v>
      </c>
      <c r="E46" s="6" t="n">
        <v>-384</v>
      </c>
      <c r="F46" s="6" t="n"/>
      <c r="G46" s="6" t="n">
        <v>0</v>
      </c>
      <c r="H46" s="6" t="n">
        <v>-160</v>
      </c>
      <c r="I46" s="6" t="n"/>
      <c r="J46" s="6" t="n"/>
      <c r="K46" s="6" t="n">
        <v>-429</v>
      </c>
      <c r="L46" s="6" t="n"/>
      <c r="M46" s="6" t="n"/>
      <c r="N46" s="6" t="n"/>
      <c r="O46" s="6" t="n"/>
      <c r="P46" s="6" t="n"/>
      <c r="Q46" s="6" t="n"/>
      <c r="R46" s="6" t="n"/>
    </row>
    <row r="47">
      <c r="A47" s="6" t="inlineStr">
        <is>
          <t>Redemption and principal repayment on medium-term notes</t>
        </is>
      </c>
      <c r="B47" s="6" t="n"/>
      <c r="C47" s="6" t="n"/>
      <c r="D47" s="6" t="n"/>
      <c r="E47" s="6" t="n"/>
      <c r="F47" s="6" t="n">
        <v>0</v>
      </c>
      <c r="G47" s="6" t="n">
        <v>-300</v>
      </c>
      <c r="H47" s="6" t="n"/>
      <c r="I47" s="6" t="n"/>
      <c r="J47" s="6" t="n"/>
      <c r="K47" s="6" t="n"/>
      <c r="L47" s="6" t="n"/>
      <c r="M47" s="6" t="n"/>
      <c r="N47" s="6" t="n"/>
      <c r="O47" s="6" t="n"/>
      <c r="P47" s="6" t="n"/>
      <c r="Q47" s="6" t="n"/>
      <c r="R47" s="6" t="n"/>
    </row>
    <row r="48">
      <c r="A48" s="6" t="inlineStr">
        <is>
          <t>Amounts drawn down under the TFSME</t>
        </is>
      </c>
      <c r="B48" s="6" t="n"/>
      <c r="C48" s="6" t="n"/>
      <c r="D48" s="6" t="n"/>
      <c r="E48" s="6" t="n">
        <v>2550</v>
      </c>
      <c r="F48" s="6" t="n">
        <v>3350</v>
      </c>
      <c r="G48" s="6" t="n">
        <v>1300</v>
      </c>
      <c r="H48" s="6" t="n"/>
      <c r="I48" s="6" t="n"/>
      <c r="J48" s="6" t="n"/>
      <c r="K48" s="6" t="n"/>
      <c r="L48" s="6" t="n"/>
      <c r="M48" s="6" t="n"/>
      <c r="N48" s="6" t="n"/>
      <c r="O48" s="6" t="n"/>
      <c r="P48" s="6" t="n"/>
      <c r="Q48" s="6" t="n"/>
      <c r="R48" s="6" t="n"/>
    </row>
    <row r="49">
      <c r="A49" s="6" t="inlineStr">
        <is>
          <t>Amounts repaid under the TFSME</t>
        </is>
      </c>
      <c r="B49" s="6" t="n"/>
      <c r="C49" s="6" t="n"/>
      <c r="D49" s="6" t="n">
        <v>-1000</v>
      </c>
      <c r="E49" s="6" t="n"/>
      <c r="F49" s="6" t="n"/>
      <c r="G49" s="6" t="n"/>
      <c r="H49" s="6" t="n"/>
      <c r="I49" s="6" t="n"/>
      <c r="J49" s="6" t="n"/>
      <c r="K49" s="6" t="n"/>
      <c r="L49" s="6" t="n"/>
      <c r="M49" s="6" t="n"/>
      <c r="N49" s="6" t="n"/>
      <c r="O49" s="6" t="n"/>
      <c r="P49" s="6" t="n"/>
      <c r="Q49" s="6" t="n"/>
      <c r="R49" s="6" t="n"/>
    </row>
    <row r="50">
      <c r="A50" s="6" t="inlineStr">
        <is>
          <t>Amounts drawn down under the TFS</t>
        </is>
      </c>
      <c r="B50" s="6" t="n"/>
      <c r="C50" s="6" t="n"/>
      <c r="D50" s="6" t="n"/>
      <c r="E50" s="6" t="n"/>
      <c r="F50" s="6" t="n"/>
      <c r="G50" s="6" t="n"/>
      <c r="H50" s="6" t="n"/>
      <c r="I50" s="6" t="n">
        <v>1250</v>
      </c>
      <c r="J50" s="6" t="n">
        <v>1900</v>
      </c>
      <c r="K50" s="6" t="n"/>
      <c r="L50" s="6" t="n"/>
      <c r="M50" s="6" t="n"/>
      <c r="N50" s="6" t="n"/>
      <c r="O50" s="6" t="n"/>
      <c r="P50" s="6" t="n"/>
      <c r="Q50" s="6" t="n"/>
      <c r="R50" s="6" t="n"/>
    </row>
    <row r="51">
      <c r="A51" s="6" t="inlineStr">
        <is>
          <t>Amounts repaid under the TFS</t>
        </is>
      </c>
      <c r="B51" s="6" t="n"/>
      <c r="C51" s="6" t="n"/>
      <c r="D51" s="6" t="n"/>
      <c r="E51" s="6" t="n">
        <v>-1244</v>
      </c>
      <c r="F51" s="6" t="n">
        <v>-2864</v>
      </c>
      <c r="G51" s="6" t="n">
        <v>-3234</v>
      </c>
      <c r="H51" s="6" t="n">
        <v>-1295</v>
      </c>
      <c r="I51" s="6" t="n">
        <v>-900</v>
      </c>
      <c r="J51" s="6" t="n"/>
      <c r="K51" s="6" t="n"/>
      <c r="L51" s="6" t="n"/>
      <c r="M51" s="6" t="n"/>
      <c r="N51" s="6" t="n"/>
      <c r="O51" s="6" t="n"/>
      <c r="P51" s="6" t="n"/>
      <c r="Q51" s="6" t="n"/>
      <c r="R51" s="6" t="n"/>
    </row>
    <row r="52">
      <c r="A52" s="6" t="inlineStr">
        <is>
          <t>Proceeds from ordinary shares issued (financing)</t>
        </is>
      </c>
      <c r="B52" s="6" t="n"/>
      <c r="C52" s="6" t="n"/>
      <c r="D52" s="6" t="n"/>
      <c r="E52" s="6" t="n"/>
      <c r="F52" s="6" t="n"/>
      <c r="G52" s="6" t="n"/>
      <c r="H52" s="6" t="n"/>
      <c r="I52" s="6" t="n">
        <v>511</v>
      </c>
      <c r="J52" s="6" t="n">
        <v>178</v>
      </c>
      <c r="K52" s="6" t="n">
        <v>426</v>
      </c>
      <c r="L52" s="6" t="n">
        <v>770</v>
      </c>
      <c r="M52" s="6" t="n">
        <v>600</v>
      </c>
      <c r="N52" s="6" t="n"/>
      <c r="O52" s="6" t="n">
        <v>500</v>
      </c>
      <c r="P52" s="6" t="n">
        <v>100</v>
      </c>
      <c r="Q52" s="6" t="n">
        <v>310</v>
      </c>
      <c r="R52" s="6" t="n">
        <v>300</v>
      </c>
    </row>
    <row r="53">
      <c r="A53" s="6" t="inlineStr">
        <is>
          <t>Proceeds from redeemable preference shares issued (FY2009, FY2011 only)</t>
        </is>
      </c>
      <c r="B53" s="6" t="n"/>
      <c r="C53" s="6" t="n"/>
      <c r="D53" s="6" t="n"/>
      <c r="E53" s="6" t="n"/>
      <c r="F53" s="6" t="n"/>
      <c r="G53" s="6" t="n"/>
      <c r="H53" s="6" t="n"/>
      <c r="I53" s="6" t="n"/>
      <c r="J53" s="6" t="n"/>
      <c r="K53" s="6" t="n"/>
      <c r="L53" s="6" t="n"/>
      <c r="M53" s="6" t="n"/>
      <c r="N53" s="6" t="n"/>
      <c r="O53" s="6" t="n"/>
      <c r="P53" s="6" t="n">
        <v>200</v>
      </c>
      <c r="Q53" s="6" t="n"/>
      <c r="R53" s="6" t="n">
        <v>100</v>
      </c>
    </row>
    <row r="54">
      <c r="A54" s="6" t="inlineStr">
        <is>
          <t>Redemption of preference shares</t>
        </is>
      </c>
      <c r="B54" s="6" t="n"/>
      <c r="C54" s="6" t="n"/>
      <c r="D54" s="6" t="n"/>
      <c r="E54" s="6" t="n"/>
      <c r="F54" s="6" t="n"/>
      <c r="G54" s="6" t="n"/>
      <c r="H54" s="6" t="n"/>
      <c r="I54" s="6" t="n"/>
      <c r="J54" s="6" t="n"/>
      <c r="K54" s="6" t="n"/>
      <c r="L54" s="6" t="n"/>
      <c r="M54" s="6" t="n">
        <v>-300</v>
      </c>
      <c r="N54" s="6" t="n"/>
      <c r="O54" s="6" t="n"/>
      <c r="P54" s="6" t="n"/>
      <c r="Q54" s="6" t="n"/>
      <c r="R54" s="6" t="n"/>
    </row>
    <row r="55">
      <c r="A55" s="6" t="inlineStr">
        <is>
          <t>Share options settled (FY2009-FY2010 only, as disclosed)</t>
        </is>
      </c>
      <c r="B55" s="6" t="n"/>
      <c r="C55" s="6" t="n"/>
      <c r="D55" s="6" t="n"/>
      <c r="E55" s="6" t="n"/>
      <c r="F55" s="6" t="n"/>
      <c r="G55" s="6" t="n"/>
      <c r="H55" s="6" t="n"/>
      <c r="I55" s="6" t="n"/>
      <c r="J55" s="6" t="n"/>
      <c r="K55" s="6" t="n"/>
      <c r="L55" s="6" t="n"/>
      <c r="M55" s="6" t="n"/>
      <c r="N55" s="6" t="n"/>
      <c r="O55" s="6" t="n"/>
      <c r="P55" s="6" t="n"/>
      <c r="Q55" s="6" t="n">
        <v>-17</v>
      </c>
      <c r="R55" s="6" t="n">
        <v>-35</v>
      </c>
    </row>
    <row r="56">
      <c r="A56" s="6" t="inlineStr">
        <is>
          <t>Net (increase)/decrease in amounts due from related entities</t>
        </is>
      </c>
      <c r="B56" s="6" t="n"/>
      <c r="C56" s="6" t="n">
        <v>-55</v>
      </c>
      <c r="D56" s="6" t="n">
        <v>7</v>
      </c>
      <c r="E56" s="6" t="n">
        <v>1</v>
      </c>
      <c r="F56" s="6" t="n">
        <v>9</v>
      </c>
      <c r="G56" s="6" t="n">
        <v>9</v>
      </c>
      <c r="H56" s="6" t="n">
        <v>-12</v>
      </c>
      <c r="I56" s="6" t="n">
        <v>0</v>
      </c>
      <c r="J56" s="6" t="n">
        <v>-2</v>
      </c>
      <c r="K56" s="6" t="n">
        <v>786</v>
      </c>
      <c r="L56" s="6" t="n">
        <v>694</v>
      </c>
      <c r="M56" s="6" t="n">
        <v>-73</v>
      </c>
      <c r="N56" s="6" t="n">
        <v>-152</v>
      </c>
      <c r="O56" s="6" t="n">
        <v>3694</v>
      </c>
      <c r="P56" s="6" t="n">
        <v>-2111</v>
      </c>
      <c r="Q56" s="6" t="n">
        <v>-868</v>
      </c>
      <c r="R56" s="6" t="n">
        <v>-818</v>
      </c>
    </row>
    <row r="57">
      <c r="A57" s="6" t="inlineStr">
        <is>
          <t>Net increase/(decrease) in amounts due to related entities</t>
        </is>
      </c>
      <c r="B57" s="6" t="n"/>
      <c r="C57" s="6" t="n">
        <v>373</v>
      </c>
      <c r="D57" s="6" t="n">
        <v>297</v>
      </c>
      <c r="E57" s="6" t="n">
        <v>9</v>
      </c>
      <c r="F57" s="6" t="n">
        <v>705</v>
      </c>
      <c r="G57" s="6" t="n">
        <v>439</v>
      </c>
      <c r="H57" s="6" t="n">
        <v>611</v>
      </c>
      <c r="I57" s="6" t="n">
        <v>505</v>
      </c>
      <c r="J57" s="6" t="n">
        <v>311</v>
      </c>
      <c r="K57" s="6" t="n">
        <v>407</v>
      </c>
      <c r="L57" s="6" t="n">
        <v>-354</v>
      </c>
      <c r="M57" s="6" t="n">
        <v>-338</v>
      </c>
      <c r="N57" s="6" t="n">
        <v>-4846</v>
      </c>
      <c r="O57" s="6" t="n">
        <v>-233</v>
      </c>
      <c r="P57" s="6" t="n">
        <v>4368</v>
      </c>
      <c r="Q57" s="6" t="n">
        <v>180</v>
      </c>
      <c r="R57" s="6" t="n">
        <v>-1792</v>
      </c>
    </row>
    <row r="58">
      <c r="A58" s="6" t="inlineStr">
        <is>
          <t>AT1 distributions</t>
        </is>
      </c>
      <c r="B58" s="6" t="n"/>
      <c r="C58" s="6" t="n">
        <v>-66</v>
      </c>
      <c r="D58" s="6" t="n">
        <v>-54</v>
      </c>
      <c r="E58" s="6" t="n">
        <v>-60</v>
      </c>
      <c r="F58" s="6" t="n">
        <v>-59</v>
      </c>
      <c r="G58" s="6" t="n">
        <v>-59</v>
      </c>
      <c r="H58" s="6" t="n">
        <v>-41</v>
      </c>
      <c r="I58" s="6" t="n">
        <v>-36</v>
      </c>
      <c r="J58" s="6" t="n">
        <v>-36</v>
      </c>
      <c r="K58" s="6" t="n">
        <v>-19</v>
      </c>
      <c r="L58" s="6" t="n"/>
      <c r="M58" s="6" t="n"/>
      <c r="N58" s="6" t="n"/>
      <c r="O58" s="6" t="n"/>
      <c r="P58" s="6" t="n"/>
      <c r="Q58" s="6" t="n"/>
      <c r="R58" s="6" t="n"/>
    </row>
    <row r="59">
      <c r="A59" s="6" t="inlineStr">
        <is>
          <t>Distributions to non-controlling interests</t>
        </is>
      </c>
      <c r="B59" s="6" t="n"/>
      <c r="C59" s="6" t="n"/>
      <c r="D59" s="6" t="n"/>
      <c r="E59" s="6" t="n"/>
      <c r="F59" s="6" t="n"/>
      <c r="G59" s="6" t="n"/>
      <c r="H59" s="6" t="n">
        <v>-33</v>
      </c>
      <c r="I59" s="6" t="n"/>
      <c r="J59" s="6" t="n"/>
      <c r="K59" s="6" t="n"/>
      <c r="L59" s="6" t="n"/>
      <c r="M59" s="6" t="n"/>
      <c r="N59" s="6" t="n"/>
      <c r="O59" s="6" t="n"/>
      <c r="P59" s="6" t="n"/>
      <c r="Q59" s="6" t="n"/>
      <c r="R59" s="6" t="n"/>
    </row>
    <row r="60">
      <c r="A60" s="6" t="inlineStr">
        <is>
          <t>Ordinary dividends paid</t>
        </is>
      </c>
      <c r="B60" s="6" t="n"/>
      <c r="C60" s="6" t="n">
        <v>-211</v>
      </c>
      <c r="D60" s="6" t="n">
        <v>-248</v>
      </c>
      <c r="E60" s="6" t="n">
        <v>-367</v>
      </c>
      <c r="F60" s="6" t="n">
        <v>-20</v>
      </c>
      <c r="G60" s="6" t="n">
        <v>-20</v>
      </c>
      <c r="H60" s="6" t="n">
        <v>-44</v>
      </c>
      <c r="I60" s="6" t="n">
        <v>-9</v>
      </c>
      <c r="J60" s="6" t="n"/>
      <c r="K60" s="6" t="n">
        <v>-51</v>
      </c>
      <c r="L60" s="6" t="n"/>
      <c r="M60" s="6" t="n">
        <v>-14</v>
      </c>
      <c r="N60" s="6" t="n"/>
      <c r="O60" s="6" t="n"/>
      <c r="P60" s="6" t="n"/>
      <c r="Q60" s="6" t="n"/>
      <c r="R60" s="6" t="n"/>
    </row>
    <row r="61">
      <c r="A61" s="6" t="inlineStr">
        <is>
          <t>Dividends paid (FY2009-FY2013, preference shares - see Statement of Changes in Equity)</t>
        </is>
      </c>
      <c r="B61" s="6" t="n"/>
      <c r="C61" s="6" t="n"/>
      <c r="D61" s="6" t="n"/>
      <c r="E61" s="6" t="n"/>
      <c r="F61" s="6" t="n"/>
      <c r="G61" s="6" t="n"/>
      <c r="H61" s="6" t="n"/>
      <c r="I61" s="6" t="n"/>
      <c r="J61" s="6" t="n"/>
      <c r="K61" s="6" t="n"/>
      <c r="L61" s="6" t="n"/>
      <c r="M61" s="6" t="n"/>
      <c r="N61" s="6" t="n">
        <v>-24</v>
      </c>
      <c r="O61" s="6" t="n">
        <v>-15</v>
      </c>
      <c r="P61" s="6" t="n">
        <v>-21</v>
      </c>
      <c r="Q61" s="6" t="n">
        <v>-12</v>
      </c>
      <c r="R61" s="6" t="n">
        <v>-6</v>
      </c>
    </row>
    <row r="62">
      <c r="A62" s="6" t="inlineStr">
        <is>
          <t>Proceeds from issuance of other equity instruments</t>
        </is>
      </c>
      <c r="B62" s="6" t="n"/>
      <c r="C62" s="6" t="n"/>
      <c r="D62" s="6" t="n"/>
      <c r="E62" s="6" t="n"/>
      <c r="F62" s="6" t="n"/>
      <c r="G62" s="6" t="n">
        <v>0</v>
      </c>
      <c r="H62" s="6" t="n">
        <v>247</v>
      </c>
      <c r="I62" s="6" t="n"/>
      <c r="J62" s="6" t="n"/>
      <c r="K62" s="6" t="n"/>
      <c r="L62" s="6" t="n"/>
      <c r="M62" s="6" t="n"/>
      <c r="N62" s="6" t="n"/>
      <c r="O62" s="6" t="n"/>
      <c r="P62" s="6" t="n"/>
      <c r="Q62" s="6" t="n"/>
      <c r="R62" s="6" t="n"/>
    </row>
    <row r="63">
      <c r="A63" s="6" t="inlineStr">
        <is>
          <t>Proceeds from ordinary shares issued</t>
        </is>
      </c>
      <c r="B63" s="6" t="n"/>
      <c r="C63" s="6" t="n">
        <v>800</v>
      </c>
      <c r="D63" s="6" t="n"/>
      <c r="E63" s="6" t="n"/>
      <c r="F63" s="6" t="n"/>
      <c r="G63" s="6" t="n"/>
      <c r="H63" s="6" t="n"/>
      <c r="I63" s="6" t="n"/>
      <c r="J63" s="6" t="n"/>
      <c r="K63" s="6" t="n"/>
      <c r="L63" s="6" t="n"/>
      <c r="M63" s="6" t="n"/>
      <c r="N63" s="6" t="n"/>
      <c r="O63" s="6" t="n"/>
      <c r="P63" s="6" t="n"/>
      <c r="Q63" s="6" t="n"/>
      <c r="R63" s="6" t="n"/>
    </row>
    <row r="64">
      <c r="A64" s="6" t="inlineStr">
        <is>
          <t>Other financing items, net (equity-based compensation settlements, etc.)</t>
        </is>
      </c>
      <c r="B64" s="6" t="n"/>
      <c r="C64" s="6" t="n"/>
      <c r="D64" s="6" t="n"/>
      <c r="E64" s="6" t="n"/>
      <c r="F64" s="6" t="n"/>
      <c r="G64" s="6" t="n"/>
      <c r="H64" s="6" t="n"/>
      <c r="I64" s="6" t="n"/>
      <c r="J64" s="6" t="n"/>
      <c r="K64" s="6" t="n">
        <v>-7</v>
      </c>
      <c r="L64" s="6" t="n"/>
      <c r="M64" s="6" t="n"/>
      <c r="N64" s="6" t="n"/>
      <c r="O64" s="6" t="n"/>
      <c r="P64" s="6" t="n"/>
      <c r="Q64" s="6" t="n"/>
      <c r="R64" s="6" t="n"/>
    </row>
    <row r="65">
      <c r="A65" s="5" t="inlineStr">
        <is>
          <t>Net cash provided by/(used in) financing activities</t>
        </is>
      </c>
      <c r="B65" s="5" t="n"/>
      <c r="C65" s="5" t="n">
        <v>898</v>
      </c>
      <c r="D65" s="5" t="n">
        <v>-1023</v>
      </c>
      <c r="E65" s="5" t="n">
        <v>1796</v>
      </c>
      <c r="F65" s="5" t="n">
        <v>-608</v>
      </c>
      <c r="G65" s="5" t="n">
        <v>-2983</v>
      </c>
      <c r="H65" s="5" t="n">
        <v>-517</v>
      </c>
      <c r="I65" s="5" t="n">
        <v>905</v>
      </c>
      <c r="J65" s="5" t="n">
        <v>2272</v>
      </c>
      <c r="K65" s="5" t="n">
        <v>688</v>
      </c>
      <c r="L65" s="5" t="n">
        <v>740</v>
      </c>
      <c r="M65" s="5" t="n">
        <v>132</v>
      </c>
      <c r="N65" s="5" t="n">
        <v>-5221</v>
      </c>
      <c r="O65" s="5" t="n">
        <v>3340</v>
      </c>
      <c r="P65" s="5" t="n">
        <v>1561</v>
      </c>
      <c r="Q65" s="5" t="n">
        <v>-1384</v>
      </c>
      <c r="R65" s="5" t="n">
        <v>-2734</v>
      </c>
    </row>
    <row r="66">
      <c r="A66" s="5" t="inlineStr">
        <is>
          <t>Net (decrease)/increase in cash and cash equivalents</t>
        </is>
      </c>
      <c r="B66" s="5" t="n"/>
      <c r="C66" s="5" t="n">
        <v>-293</v>
      </c>
      <c r="D66" s="5" t="n">
        <v>-944</v>
      </c>
      <c r="E66" s="5" t="n">
        <v>2358</v>
      </c>
      <c r="F66" s="5" t="n">
        <v>439</v>
      </c>
      <c r="G66" s="5" t="n">
        <v>-1317</v>
      </c>
      <c r="H66" s="5" t="n">
        <v>3578</v>
      </c>
      <c r="I66" s="5" t="n">
        <v>-410</v>
      </c>
      <c r="J66" s="5" t="n">
        <v>1002</v>
      </c>
      <c r="K66" s="5" t="n">
        <v>-387</v>
      </c>
      <c r="L66" s="5" t="n">
        <v>457</v>
      </c>
      <c r="M66" s="5" t="n">
        <v>-665</v>
      </c>
      <c r="N66" s="5" t="n">
        <v>-1404</v>
      </c>
      <c r="O66" s="5" t="n">
        <v>2105</v>
      </c>
      <c r="P66" s="5" t="n">
        <v>1953</v>
      </c>
      <c r="Q66" s="5" t="n">
        <v>1278</v>
      </c>
      <c r="R66" s="5" t="n">
        <v>-2577</v>
      </c>
    </row>
    <row r="67">
      <c r="A67" s="6" t="inlineStr">
        <is>
          <t>Cash and cash equivalents at the beginning of the period/year</t>
        </is>
      </c>
      <c r="B67" s="6" t="n"/>
      <c r="C67" s="6" t="n">
        <v>10589</v>
      </c>
      <c r="D67" s="6" t="n">
        <v>12611</v>
      </c>
      <c r="E67" s="6" t="n">
        <v>10253</v>
      </c>
      <c r="F67" s="6" t="n">
        <v>9814</v>
      </c>
      <c r="G67" s="6" t="n">
        <v>11131</v>
      </c>
      <c r="H67" s="6" t="n">
        <v>6542</v>
      </c>
      <c r="I67" s="6" t="n">
        <v>6952</v>
      </c>
      <c r="J67" s="6" t="n">
        <v>5950</v>
      </c>
      <c r="K67" s="6" t="n">
        <v>6337</v>
      </c>
      <c r="L67" s="6" t="n">
        <v>5880</v>
      </c>
      <c r="M67" s="6" t="n">
        <v>6545</v>
      </c>
      <c r="N67" s="6" t="n">
        <v>7949</v>
      </c>
      <c r="O67" s="6" t="n">
        <v>5844</v>
      </c>
      <c r="P67" s="6" t="n">
        <v>3891</v>
      </c>
      <c r="Q67" s="6" t="n">
        <v>2613</v>
      </c>
      <c r="R67" s="6" t="n">
        <v>5190</v>
      </c>
    </row>
    <row r="68">
      <c r="A68" s="5" t="inlineStr">
        <is>
          <t>Cash and cash equivalents at the end of the period/year</t>
        </is>
      </c>
      <c r="B68" s="5" t="n"/>
      <c r="C68" s="5" t="n">
        <v>10296</v>
      </c>
      <c r="D68" s="5" t="n">
        <v>11667</v>
      </c>
      <c r="E68" s="5" t="n">
        <v>12611</v>
      </c>
      <c r="F68" s="5" t="n">
        <v>10253</v>
      </c>
      <c r="G68" s="5" t="n">
        <v>9814</v>
      </c>
      <c r="H68" s="5" t="n">
        <v>10120</v>
      </c>
      <c r="I68" s="5" t="n">
        <v>6542</v>
      </c>
      <c r="J68" s="5" t="n">
        <v>6952</v>
      </c>
      <c r="K68" s="5" t="n">
        <v>5950</v>
      </c>
      <c r="L68" s="5" t="n">
        <v>6337</v>
      </c>
      <c r="M68" s="5" t="n">
        <v>5880</v>
      </c>
      <c r="N68" s="5" t="n">
        <v>6545</v>
      </c>
      <c r="O68" s="5" t="n">
        <v>7949</v>
      </c>
      <c r="P68" s="5" t="n">
        <v>5844</v>
      </c>
      <c r="Q68" s="5" t="n">
        <v>3891</v>
      </c>
      <c r="R68" s="5" t="n">
        <v>2613</v>
      </c>
    </row>
    <row r="70" ht="280" customHeight="1">
      <c r="A70"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0:R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KM1 Key Metrics</t>
        </is>
      </c>
    </row>
    <row r="2">
      <c r="A2" s="2" t="inlineStr">
        <is>
          <t>UK KM1 as published, Clydesdale Bank PLC's own basis (CB Group Consolidated for FY2022/FY2023, CB Solo-Consolidated Group / CRR article 9 individual consolidation for FY2025/FY2026) - taken from Appendix 1 of the Virgin Money UK PLC Pillar 3 reports, never from their VMUK-consolidated body tables. Amounts £m, ratios as printed. FY2021 and earlier pre-date the template - see source note at bottom.</t>
        </is>
      </c>
    </row>
    <row r="3">
      <c r="A3" s="4" t="inlineStr">
        <is>
          <t>Line item</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 — £m</t>
        </is>
      </c>
      <c r="B4" s="6" t="n"/>
      <c r="C4" s="6" t="n"/>
      <c r="D4" s="6" t="n"/>
      <c r="E4" s="6" t="n"/>
      <c r="F4" s="6" t="n"/>
      <c r="G4" s="6" t="n"/>
      <c r="H4" s="6" t="n"/>
      <c r="I4" s="6" t="n"/>
      <c r="J4" s="6" t="n"/>
      <c r="K4" s="6" t="n"/>
      <c r="L4" s="6" t="n"/>
      <c r="M4" s="6" t="n"/>
    </row>
    <row r="5">
      <c r="A5" s="6" t="inlineStr">
        <is>
          <t>1    Common Equity Tier 1 (CET1) capital</t>
        </is>
      </c>
      <c r="B5" s="6" t="n">
        <v>4248</v>
      </c>
      <c r="C5" s="6" t="n">
        <v>3900</v>
      </c>
      <c r="D5" s="6" t="n">
        <v>3685</v>
      </c>
      <c r="E5" s="6" t="n">
        <v>3606</v>
      </c>
      <c r="F5" s="6" t="n"/>
      <c r="G5" s="6" t="n"/>
      <c r="H5" s="6" t="n"/>
      <c r="I5" s="6" t="n"/>
      <c r="J5" s="6" t="n"/>
      <c r="K5" s="6" t="n"/>
      <c r="L5" s="6" t="n"/>
      <c r="M5" s="6" t="n"/>
    </row>
    <row r="6">
      <c r="A6" s="6" t="inlineStr">
        <is>
          <t>2    Tier 1 capital</t>
        </is>
      </c>
      <c r="B6" s="6" t="n">
        <v>4946</v>
      </c>
      <c r="C6" s="6" t="n">
        <v>4593</v>
      </c>
      <c r="D6" s="6" t="n">
        <v>4279</v>
      </c>
      <c r="E6" s="6" t="n">
        <v>4268</v>
      </c>
      <c r="F6" s="6" t="n"/>
      <c r="G6" s="6" t="n"/>
      <c r="H6" s="6" t="n"/>
      <c r="I6" s="6" t="n"/>
      <c r="J6" s="6" t="n"/>
      <c r="K6" s="6" t="n"/>
      <c r="L6" s="6" t="n"/>
      <c r="M6" s="6" t="n"/>
    </row>
    <row r="7">
      <c r="A7" s="6" t="inlineStr">
        <is>
          <t>3    Total capital</t>
        </is>
      </c>
      <c r="B7" s="6" t="n">
        <v>5747</v>
      </c>
      <c r="C7" s="6" t="n">
        <v>5347</v>
      </c>
      <c r="D7" s="6" t="n">
        <v>5301</v>
      </c>
      <c r="E7" s="6" t="n">
        <v>5288</v>
      </c>
      <c r="F7" s="6" t="n"/>
      <c r="G7" s="6" t="n"/>
      <c r="H7" s="6" t="n"/>
      <c r="I7" s="6" t="n"/>
      <c r="J7" s="6" t="n"/>
      <c r="K7" s="6" t="n"/>
      <c r="L7" s="6" t="n"/>
      <c r="M7" s="6" t="n"/>
    </row>
    <row r="8">
      <c r="A8" s="5" t="inlineStr">
        <is>
          <t>Risk-weighted exposure amounts — £m</t>
        </is>
      </c>
      <c r="B8" s="6" t="n"/>
      <c r="C8" s="6" t="n"/>
      <c r="D8" s="6" t="n"/>
      <c r="E8" s="6" t="n"/>
      <c r="F8" s="6" t="n"/>
      <c r="G8" s="6" t="n"/>
      <c r="H8" s="6" t="n"/>
      <c r="I8" s="6" t="n"/>
      <c r="J8" s="6" t="n"/>
      <c r="K8" s="6" t="n"/>
      <c r="L8" s="6" t="n"/>
      <c r="M8" s="6" t="n"/>
    </row>
    <row r="9">
      <c r="A9" s="6" t="inlineStr">
        <is>
          <t>4    Total risk-weighted exposure amount</t>
        </is>
      </c>
      <c r="B9" s="6" t="n">
        <v>29742</v>
      </c>
      <c r="C9" s="6" t="n">
        <v>27555</v>
      </c>
      <c r="D9" s="6" t="n">
        <v>25172</v>
      </c>
      <c r="E9" s="6" t="n">
        <v>24128</v>
      </c>
      <c r="F9" s="6" t="n"/>
      <c r="G9" s="6" t="n"/>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inlineStr">
        <is>
          <t>14.3%</t>
        </is>
      </c>
      <c r="C11" s="6" t="inlineStr">
        <is>
          <t>14.2%</t>
        </is>
      </c>
      <c r="D11" s="6" t="inlineStr">
        <is>
          <t>14.6%</t>
        </is>
      </c>
      <c r="E11" s="6" t="inlineStr">
        <is>
          <t>14.9%</t>
        </is>
      </c>
      <c r="F11" s="6" t="n"/>
      <c r="G11" s="6" t="n"/>
      <c r="H11" s="6" t="n"/>
      <c r="I11" s="6" t="n"/>
      <c r="J11" s="6" t="n"/>
      <c r="K11" s="6" t="n"/>
      <c r="L11" s="6" t="n"/>
      <c r="M11" s="6" t="n"/>
    </row>
    <row r="12">
      <c r="A12" s="6" t="inlineStr">
        <is>
          <t>6    Tier 1 ratio (%)</t>
        </is>
      </c>
      <c r="B12" s="6" t="inlineStr">
        <is>
          <t>16.6%</t>
        </is>
      </c>
      <c r="C12" s="6" t="inlineStr">
        <is>
          <t>16.7%</t>
        </is>
      </c>
      <c r="D12" s="6" t="inlineStr">
        <is>
          <t>17.0%</t>
        </is>
      </c>
      <c r="E12" s="6" t="inlineStr">
        <is>
          <t>17.7%</t>
        </is>
      </c>
      <c r="F12" s="6" t="n"/>
      <c r="G12" s="6" t="n"/>
      <c r="H12" s="6" t="n"/>
      <c r="I12" s="6" t="n"/>
      <c r="J12" s="6" t="n"/>
      <c r="K12" s="6" t="n"/>
      <c r="L12" s="6" t="n"/>
      <c r="M12" s="6" t="n"/>
    </row>
    <row r="13">
      <c r="A13" s="6" t="inlineStr">
        <is>
          <t>7    Total capital ratio (%)</t>
        </is>
      </c>
      <c r="B13" s="6" t="inlineStr">
        <is>
          <t>19.3%</t>
        </is>
      </c>
      <c r="C13" s="6" t="inlineStr">
        <is>
          <t>19.4%</t>
        </is>
      </c>
      <c r="D13" s="6" t="inlineStr">
        <is>
          <t>21.1%</t>
        </is>
      </c>
      <c r="E13" s="6" t="inlineStr">
        <is>
          <t>21.9%</t>
        </is>
      </c>
      <c r="F13" s="6" t="n"/>
      <c r="G13" s="6" t="n"/>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inlineStr">
        <is>
          <t>2.0%</t>
        </is>
      </c>
      <c r="C15" s="6" t="inlineStr">
        <is>
          <t>2.1%</t>
        </is>
      </c>
      <c r="D15" s="6" t="inlineStr">
        <is>
          <t>1.7%</t>
        </is>
      </c>
      <c r="E15" s="6" t="inlineStr">
        <is>
          <t>1.7%</t>
        </is>
      </c>
      <c r="F15" s="6" t="n"/>
      <c r="G15" s="6" t="n"/>
      <c r="H15" s="6" t="n"/>
      <c r="I15" s="6" t="n"/>
      <c r="J15" s="6" t="n"/>
      <c r="K15" s="6" t="n"/>
      <c r="L15" s="6" t="n"/>
      <c r="M15" s="6" t="n"/>
    </row>
    <row r="16">
      <c r="A16" s="6" t="inlineStr">
        <is>
          <t>UK 7b    Additional AT1 SREP requirements (%)</t>
        </is>
      </c>
      <c r="B16" s="6" t="inlineStr">
        <is>
          <t>0.7%</t>
        </is>
      </c>
      <c r="C16" s="6" t="inlineStr">
        <is>
          <t>0.7%</t>
        </is>
      </c>
      <c r="D16" s="6" t="inlineStr">
        <is>
          <t>0.6%</t>
        </is>
      </c>
      <c r="E16" s="6" t="inlineStr">
        <is>
          <t>0.6%</t>
        </is>
      </c>
      <c r="F16" s="6" t="n"/>
      <c r="G16" s="6" t="n"/>
      <c r="H16" s="6" t="n"/>
      <c r="I16" s="6" t="n"/>
      <c r="J16" s="6" t="n"/>
      <c r="K16" s="6" t="n"/>
      <c r="L16" s="6" t="n"/>
      <c r="M16" s="6" t="n"/>
    </row>
    <row r="17">
      <c r="A17" s="6" t="inlineStr">
        <is>
          <t>UK 7c    Additional T2 SREP requirements (%)</t>
        </is>
      </c>
      <c r="B17" s="6" t="inlineStr">
        <is>
          <t>0.9%</t>
        </is>
      </c>
      <c r="C17" s="6" t="inlineStr">
        <is>
          <t>1.0%</t>
        </is>
      </c>
      <c r="D17" s="6" t="inlineStr">
        <is>
          <t>0.7%</t>
        </is>
      </c>
      <c r="E17" s="6" t="inlineStr">
        <is>
          <t>0.8%</t>
        </is>
      </c>
      <c r="F17" s="6" t="n"/>
      <c r="G17" s="6" t="n"/>
      <c r="H17" s="6" t="n"/>
      <c r="I17" s="6" t="n"/>
      <c r="J17" s="6" t="n"/>
      <c r="K17" s="6" t="n"/>
      <c r="L17" s="6" t="n"/>
      <c r="M17" s="6" t="n"/>
    </row>
    <row r="18">
      <c r="A18" s="6" t="inlineStr">
        <is>
          <t>UK 7d    Total SREP own funds requirements (%)</t>
        </is>
      </c>
      <c r="B18" s="6" t="inlineStr">
        <is>
          <t>11.6%</t>
        </is>
      </c>
      <c r="C18" s="6" t="inlineStr">
        <is>
          <t>11.8%</t>
        </is>
      </c>
      <c r="D18" s="6" t="inlineStr">
        <is>
          <t>11.0%</t>
        </is>
      </c>
      <c r="E18" s="6" t="inlineStr">
        <is>
          <t>11.1%</t>
        </is>
      </c>
      <c r="F18" s="6" t="n"/>
      <c r="G18" s="6" t="n"/>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inlineStr">
        <is>
          <t>2.5%</t>
        </is>
      </c>
      <c r="C20" s="6" t="inlineStr">
        <is>
          <t>2.5%</t>
        </is>
      </c>
      <c r="D20" s="6" t="inlineStr">
        <is>
          <t>2.5%</t>
        </is>
      </c>
      <c r="E20" s="6" t="inlineStr">
        <is>
          <t>2.5%</t>
        </is>
      </c>
      <c r="F20" s="6" t="n"/>
      <c r="G20" s="6" t="n"/>
      <c r="H20" s="6" t="n"/>
      <c r="I20" s="6" t="n"/>
      <c r="J20" s="6" t="n"/>
      <c r="K20" s="6" t="n"/>
      <c r="L20" s="6" t="n"/>
      <c r="M20" s="6" t="n"/>
    </row>
    <row r="21">
      <c r="A21" s="6" t="inlineStr">
        <is>
          <t>9    Institution specific countercyclical capital buffer (%)</t>
        </is>
      </c>
      <c r="B21" s="6" t="inlineStr">
        <is>
          <t>2.0%</t>
        </is>
      </c>
      <c r="C21" s="6" t="inlineStr">
        <is>
          <t>2.0%</t>
        </is>
      </c>
      <c r="D21" s="6" t="inlineStr">
        <is>
          <t>2.0%</t>
        </is>
      </c>
      <c r="E21" s="6" t="n"/>
      <c r="F21" s="6" t="n"/>
      <c r="G21" s="6" t="n"/>
      <c r="H21" s="6" t="n"/>
      <c r="I21" s="6" t="n"/>
      <c r="J21" s="6" t="n"/>
      <c r="K21" s="6" t="n"/>
      <c r="L21" s="6" t="n"/>
      <c r="M21" s="6" t="n"/>
    </row>
    <row r="22">
      <c r="A22" s="6" t="inlineStr">
        <is>
          <t>UK 10a    Other Systemically Important Institution buffer (%)</t>
        </is>
      </c>
      <c r="B22" s="6" t="inlineStr">
        <is>
          <t>0.0%</t>
        </is>
      </c>
      <c r="C22" s="6" t="inlineStr">
        <is>
          <t>0.0%</t>
        </is>
      </c>
      <c r="D22" s="6" t="inlineStr">
        <is>
          <t>0.0%</t>
        </is>
      </c>
      <c r="E22" s="6" t="n"/>
      <c r="F22" s="6" t="n"/>
      <c r="G22" s="6" t="n"/>
      <c r="H22" s="6" t="n"/>
      <c r="I22" s="6" t="n"/>
      <c r="J22" s="6" t="n"/>
      <c r="K22" s="6" t="n"/>
      <c r="L22" s="6" t="n"/>
      <c r="M22" s="6" t="n"/>
    </row>
    <row r="23">
      <c r="A23" s="6" t="inlineStr">
        <is>
          <t>11    Combined buffer requirement (%)</t>
        </is>
      </c>
      <c r="B23" s="6" t="inlineStr">
        <is>
          <t>4.5%</t>
        </is>
      </c>
      <c r="C23" s="6" t="inlineStr">
        <is>
          <t>4.5%</t>
        </is>
      </c>
      <c r="D23" s="6" t="inlineStr">
        <is>
          <t>4.5%</t>
        </is>
      </c>
      <c r="E23" s="6" t="inlineStr">
        <is>
          <t>2.5%</t>
        </is>
      </c>
      <c r="F23" s="6" t="n"/>
      <c r="G23" s="6" t="n"/>
      <c r="H23" s="6" t="n"/>
      <c r="I23" s="6" t="n"/>
      <c r="J23" s="6" t="n"/>
      <c r="K23" s="6" t="n"/>
      <c r="L23" s="6" t="n"/>
      <c r="M23" s="6" t="n"/>
    </row>
    <row r="24">
      <c r="A24" s="6" t="inlineStr">
        <is>
          <t>UK 11a    Overall capital requirements (%)</t>
        </is>
      </c>
      <c r="B24" s="6" t="inlineStr">
        <is>
          <t>16.1%</t>
        </is>
      </c>
      <c r="C24" s="6" t="inlineStr">
        <is>
          <t>16.3%</t>
        </is>
      </c>
      <c r="D24" s="6" t="inlineStr">
        <is>
          <t>15.5%</t>
        </is>
      </c>
      <c r="E24" s="6" t="inlineStr">
        <is>
          <t>13.6%</t>
        </is>
      </c>
      <c r="F24" s="6" t="n"/>
      <c r="G24" s="6" t="n"/>
      <c r="H24" s="6" t="n"/>
      <c r="I24" s="6" t="n"/>
      <c r="J24" s="6" t="n"/>
      <c r="K24" s="6" t="n"/>
      <c r="L24" s="6" t="n"/>
      <c r="M24" s="6" t="n"/>
    </row>
    <row r="25">
      <c r="A25" s="6" t="inlineStr">
        <is>
          <t>12    CET1 available after meeting the total SREP own funds requirements (%)</t>
        </is>
      </c>
      <c r="B25" s="6" t="inlineStr">
        <is>
          <t>7.8%</t>
        </is>
      </c>
      <c r="C25" s="6" t="inlineStr">
        <is>
          <t>7.5%</t>
        </is>
      </c>
      <c r="D25" s="6" t="inlineStr">
        <is>
          <t>8.4%</t>
        </is>
      </c>
      <c r="E25" s="6" t="inlineStr">
        <is>
          <t>8.7%</t>
        </is>
      </c>
      <c r="F25" s="6" t="n"/>
      <c r="G25" s="6" t="n"/>
      <c r="H25" s="6" t="n"/>
      <c r="I25" s="6" t="n"/>
      <c r="J25" s="6" t="n"/>
      <c r="K25" s="6" t="n"/>
      <c r="L25" s="6" t="n"/>
      <c r="M25" s="6" t="n"/>
    </row>
    <row r="26">
      <c r="A26" s="5" t="inlineStr">
        <is>
          <t>Leverage ratio — amounts £m</t>
        </is>
      </c>
      <c r="B26" s="6" t="n"/>
      <c r="C26" s="6" t="n"/>
      <c r="D26" s="6" t="n"/>
      <c r="E26" s="6" t="n"/>
      <c r="F26" s="6" t="n"/>
      <c r="G26" s="6" t="n"/>
      <c r="H26" s="6" t="n"/>
      <c r="I26" s="6" t="n"/>
      <c r="J26" s="6" t="n"/>
      <c r="K26" s="6" t="n"/>
      <c r="L26" s="6" t="n"/>
      <c r="M26" s="6" t="n"/>
    </row>
    <row r="27">
      <c r="A27" s="6" t="inlineStr">
        <is>
          <t>13    Total exposure measure excluding claims on central banks</t>
        </is>
      </c>
      <c r="B27" s="6" t="n">
        <v>78792</v>
      </c>
      <c r="C27" s="6" t="n">
        <v>83120</v>
      </c>
      <c r="D27" s="6" t="n">
        <v>86545</v>
      </c>
      <c r="E27" s="6" t="n">
        <v>83758</v>
      </c>
      <c r="F27" s="6" t="n"/>
      <c r="G27" s="6" t="n"/>
      <c r="H27" s="6" t="n"/>
      <c r="I27" s="6" t="n"/>
      <c r="J27" s="6" t="n"/>
      <c r="K27" s="6" t="n"/>
      <c r="L27" s="6" t="n"/>
      <c r="M27" s="6" t="n"/>
    </row>
    <row r="28">
      <c r="A28" s="6" t="inlineStr">
        <is>
          <t>14    Leverage ratio excluding claims on central banks (%)</t>
        </is>
      </c>
      <c r="B28" s="6" t="inlineStr">
        <is>
          <t>6.3%</t>
        </is>
      </c>
      <c r="C28" s="6" t="inlineStr">
        <is>
          <t>5.5%</t>
        </is>
      </c>
      <c r="D28" s="6" t="inlineStr">
        <is>
          <t>4.9%</t>
        </is>
      </c>
      <c r="E28" s="6" t="inlineStr">
        <is>
          <t>5.1%</t>
        </is>
      </c>
      <c r="F28" s="6" t="n"/>
      <c r="G28" s="6" t="n"/>
      <c r="H28" s="6" t="n"/>
      <c r="I28" s="6" t="n"/>
      <c r="J28" s="6" t="n"/>
      <c r="K28" s="6" t="n"/>
      <c r="L28" s="6" t="n"/>
      <c r="M28" s="6" t="n"/>
    </row>
    <row r="29">
      <c r="A29" s="5" t="inlineStr">
        <is>
          <t>Additional leverage ratio disclosure requirements</t>
        </is>
      </c>
      <c r="B29" s="6" t="n"/>
      <c r="C29" s="6" t="n"/>
      <c r="D29" s="6" t="n"/>
      <c r="E29" s="6" t="n"/>
      <c r="F29" s="6" t="n"/>
      <c r="G29" s="6" t="n"/>
      <c r="H29" s="6" t="n"/>
      <c r="I29" s="6" t="n"/>
      <c r="J29" s="6" t="n"/>
      <c r="K29" s="6" t="n"/>
      <c r="L29" s="6" t="n"/>
      <c r="M29" s="6" t="n"/>
    </row>
    <row r="30">
      <c r="A30" s="6" t="inlineStr">
        <is>
          <t>14a    Fully loaded Expected Credit Loss (ECL) accounting model leverage ratio excluding claims on central banks (%)</t>
        </is>
      </c>
      <c r="B30" s="6" t="inlineStr">
        <is>
          <t>6.3%</t>
        </is>
      </c>
      <c r="C30" s="6" t="inlineStr">
        <is>
          <t>5.5%</t>
        </is>
      </c>
      <c r="D30" s="6" t="inlineStr">
        <is>
          <t>4.8%</t>
        </is>
      </c>
      <c r="E30" s="6" t="inlineStr">
        <is>
          <t>5.0%</t>
        </is>
      </c>
      <c r="F30" s="6" t="n"/>
      <c r="G30" s="6" t="n"/>
      <c r="H30" s="6" t="n"/>
      <c r="I30" s="6" t="n"/>
      <c r="J30" s="6" t="n"/>
      <c r="K30" s="6" t="n"/>
      <c r="L30" s="6" t="n"/>
      <c r="M30" s="6" t="n"/>
    </row>
    <row r="31">
      <c r="A31" s="6" t="inlineStr">
        <is>
          <t>14b    Leverage ratio including claims on central banks (%)</t>
        </is>
      </c>
      <c r="B31" s="6" t="inlineStr">
        <is>
          <t>5.3%</t>
        </is>
      </c>
      <c r="C31" s="6" t="inlineStr">
        <is>
          <t>5.0%</t>
        </is>
      </c>
      <c r="D31" s="6" t="inlineStr">
        <is>
          <t>4.5%</t>
        </is>
      </c>
      <c r="E31" s="6" t="inlineStr">
        <is>
          <t>4.5%</t>
        </is>
      </c>
      <c r="F31" s="6" t="n"/>
      <c r="G31" s="6" t="n"/>
      <c r="H31" s="6" t="n"/>
      <c r="I31" s="6" t="n"/>
      <c r="J31" s="6" t="n"/>
      <c r="K31" s="6" t="n"/>
      <c r="L31" s="6" t="n"/>
      <c r="M31" s="6" t="n"/>
    </row>
    <row r="32">
      <c r="A32" s="6" t="inlineStr">
        <is>
          <t>14c    Average leverage ratio excluding claims on central banks (%)</t>
        </is>
      </c>
      <c r="B32" s="6" t="inlineStr">
        <is>
          <t>6.1%</t>
        </is>
      </c>
      <c r="C32" s="6" t="inlineStr">
        <is>
          <t>5.3%</t>
        </is>
      </c>
      <c r="D32" s="6" t="inlineStr">
        <is>
          <t>4.9%</t>
        </is>
      </c>
      <c r="E32" s="6" t="inlineStr">
        <is>
          <t>5.0%</t>
        </is>
      </c>
      <c r="F32" s="6" t="n"/>
      <c r="G32" s="6" t="n"/>
      <c r="H32" s="6" t="n"/>
      <c r="I32" s="6" t="n"/>
      <c r="J32" s="6" t="n"/>
      <c r="K32" s="6" t="n"/>
      <c r="L32" s="6" t="n"/>
      <c r="M32" s="6" t="n"/>
    </row>
    <row r="33">
      <c r="A33" s="6" t="inlineStr">
        <is>
          <t>14d    Average leverage ratio including claims on central banks (%)</t>
        </is>
      </c>
      <c r="B33" s="6" t="inlineStr">
        <is>
          <t>5.3%</t>
        </is>
      </c>
      <c r="C33" s="6" t="inlineStr">
        <is>
          <t>4.8%</t>
        </is>
      </c>
      <c r="D33" s="6" t="inlineStr">
        <is>
          <t>4.4%</t>
        </is>
      </c>
      <c r="E33" s="6" t="inlineStr">
        <is>
          <t>4.4%</t>
        </is>
      </c>
      <c r="F33" s="6" t="n"/>
      <c r="G33" s="6" t="n"/>
      <c r="H33" s="6" t="n"/>
      <c r="I33" s="6" t="n"/>
      <c r="J33" s="6" t="n"/>
      <c r="K33" s="6" t="n"/>
      <c r="L33" s="6" t="n"/>
      <c r="M33" s="6" t="n"/>
    </row>
    <row r="34">
      <c r="A34" s="6" t="inlineStr">
        <is>
          <t>14e    Countercyclical leverage ratio buffer (%)</t>
        </is>
      </c>
      <c r="B34" s="6" t="inlineStr">
        <is>
          <t>0.7%</t>
        </is>
      </c>
      <c r="C34" s="6" t="inlineStr">
        <is>
          <t>0.7%</t>
        </is>
      </c>
      <c r="D34" s="6" t="inlineStr">
        <is>
          <t>0.7%</t>
        </is>
      </c>
      <c r="E34" s="6" t="inlineStr">
        <is>
          <t>0.0%</t>
        </is>
      </c>
      <c r="F34" s="6" t="n"/>
      <c r="G34" s="6" t="n"/>
      <c r="H34" s="6" t="n"/>
      <c r="I34" s="6" t="n"/>
      <c r="J34" s="6" t="n"/>
      <c r="K34" s="6" t="n"/>
      <c r="L34" s="6" t="n"/>
      <c r="M34" s="6" t="n"/>
    </row>
    <row r="35">
      <c r="A35" s="5" t="inlineStr">
        <is>
          <t>Liquidity Coverage Ratio — amounts £m, 12-month average of month-end observations</t>
        </is>
      </c>
      <c r="B35" s="6" t="n"/>
      <c r="C35" s="6" t="n"/>
      <c r="D35" s="6" t="n"/>
      <c r="E35" s="6" t="n"/>
      <c r="F35" s="6" t="n"/>
      <c r="G35" s="6" t="n"/>
      <c r="H35" s="6" t="n"/>
      <c r="I35" s="6" t="n"/>
      <c r="J35" s="6" t="n"/>
      <c r="K35" s="6" t="n"/>
      <c r="L35" s="6" t="n"/>
      <c r="M35" s="6" t="n"/>
    </row>
    <row r="36">
      <c r="A36" s="6" t="inlineStr">
        <is>
          <t>15    Total high-quality liquid assets (HQLA) (Weighted value - average)</t>
        </is>
      </c>
      <c r="B36" s="6" t="n">
        <v>16246</v>
      </c>
      <c r="C36" s="6" t="n">
        <v>14868</v>
      </c>
      <c r="D36" s="6" t="n">
        <v>13798</v>
      </c>
      <c r="E36" s="6" t="n">
        <v>11503</v>
      </c>
      <c r="F36" s="6" t="n"/>
      <c r="G36" s="6" t="n"/>
      <c r="H36" s="6" t="n"/>
      <c r="I36" s="6" t="n"/>
      <c r="J36" s="6" t="n"/>
      <c r="K36" s="6" t="n"/>
      <c r="L36" s="6" t="n"/>
      <c r="M36" s="6" t="n"/>
    </row>
    <row r="37">
      <c r="A37" s="6" t="inlineStr">
        <is>
          <t>UK 16a    Cash outflows - Total weighted value</t>
        </is>
      </c>
      <c r="B37" s="6" t="n">
        <v>10312</v>
      </c>
      <c r="C37" s="6" t="n">
        <v>9857</v>
      </c>
      <c r="D37" s="6" t="n">
        <v>9933</v>
      </c>
      <c r="E37" s="6" t="n">
        <v>8764</v>
      </c>
      <c r="F37" s="6" t="n"/>
      <c r="G37" s="6" t="n"/>
      <c r="H37" s="6" t="n"/>
      <c r="I37" s="6" t="n"/>
      <c r="J37" s="6" t="n"/>
      <c r="K37" s="6" t="n"/>
      <c r="L37" s="6" t="n"/>
      <c r="M37" s="6" t="n"/>
    </row>
    <row r="38">
      <c r="A38" s="6" t="inlineStr">
        <is>
          <t>UK 16b    Cash inflows - Total weighted value</t>
        </is>
      </c>
      <c r="B38" s="6" t="n">
        <v>400</v>
      </c>
      <c r="C38" s="6" t="n">
        <v>443</v>
      </c>
      <c r="D38" s="6" t="n">
        <v>509</v>
      </c>
      <c r="E38" s="6" t="n">
        <v>543</v>
      </c>
      <c r="F38" s="6" t="n"/>
      <c r="G38" s="6" t="n"/>
      <c r="H38" s="6" t="n"/>
      <c r="I38" s="6" t="n"/>
      <c r="J38" s="6" t="n"/>
      <c r="K38" s="6" t="n"/>
      <c r="L38" s="6" t="n"/>
      <c r="M38" s="6" t="n"/>
    </row>
    <row r="39">
      <c r="A39" s="6" t="inlineStr">
        <is>
          <t>16    Total net cash outflows (adjusted value)</t>
        </is>
      </c>
      <c r="B39" s="6" t="n">
        <v>9912</v>
      </c>
      <c r="C39" s="6" t="n">
        <v>9414</v>
      </c>
      <c r="D39" s="6" t="n">
        <v>9424</v>
      </c>
      <c r="E39" s="6" t="n">
        <v>8222</v>
      </c>
      <c r="F39" s="6" t="n"/>
      <c r="G39" s="6" t="n"/>
      <c r="H39" s="6" t="n"/>
      <c r="I39" s="6" t="n"/>
      <c r="J39" s="6" t="n"/>
      <c r="K39" s="6" t="n"/>
      <c r="L39" s="6" t="n"/>
      <c r="M39" s="6" t="n"/>
    </row>
    <row r="40">
      <c r="A40" s="6" t="inlineStr">
        <is>
          <t>17    Liquidity coverage ratio (%)</t>
        </is>
      </c>
      <c r="B40" s="6" t="inlineStr">
        <is>
          <t>164%</t>
        </is>
      </c>
      <c r="C40" s="6" t="inlineStr">
        <is>
          <t>158%</t>
        </is>
      </c>
      <c r="D40" s="6" t="inlineStr">
        <is>
          <t>146%</t>
        </is>
      </c>
      <c r="E40" s="6" t="inlineStr">
        <is>
          <t>140%</t>
        </is>
      </c>
      <c r="F40" s="6" t="n"/>
      <c r="G40" s="6" t="n"/>
      <c r="H40" s="6" t="n"/>
      <c r="I40" s="6" t="n"/>
      <c r="J40" s="6" t="n"/>
      <c r="K40" s="6" t="n"/>
      <c r="L40" s="6" t="n"/>
      <c r="M40" s="6" t="n"/>
    </row>
    <row r="41">
      <c r="A41" s="5" t="inlineStr">
        <is>
          <t>Net Stable Funding Ratio — amounts £m</t>
        </is>
      </c>
      <c r="B41" s="6" t="n"/>
      <c r="C41" s="6" t="n"/>
      <c r="D41" s="6" t="n"/>
      <c r="E41" s="6" t="n"/>
      <c r="F41" s="6" t="n"/>
      <c r="G41" s="6" t="n"/>
      <c r="H41" s="6" t="n"/>
      <c r="I41" s="6" t="n"/>
      <c r="J41" s="6" t="n"/>
      <c r="K41" s="6" t="n"/>
      <c r="L41" s="6" t="n"/>
      <c r="M41" s="6" t="n"/>
    </row>
    <row r="42">
      <c r="A42" s="6" t="inlineStr">
        <is>
          <t>18    Total available stable funding</t>
        </is>
      </c>
      <c r="B42" s="6" t="n">
        <v>78219</v>
      </c>
      <c r="C42" s="6" t="n">
        <v>77427</v>
      </c>
      <c r="D42" s="6" t="n">
        <v>79295</v>
      </c>
      <c r="E42" s="6" t="n"/>
      <c r="F42" s="6" t="n"/>
      <c r="G42" s="6" t="n"/>
      <c r="H42" s="6" t="n"/>
      <c r="I42" s="6" t="n"/>
      <c r="J42" s="6" t="n"/>
      <c r="K42" s="6" t="n"/>
      <c r="L42" s="6" t="n"/>
      <c r="M42" s="6" t="n"/>
    </row>
    <row r="43">
      <c r="A43" s="6" t="inlineStr">
        <is>
          <t>19    Total required stable funding</t>
        </is>
      </c>
      <c r="B43" s="6" t="n">
        <v>54560</v>
      </c>
      <c r="C43" s="6" t="n">
        <v>54375</v>
      </c>
      <c r="D43" s="6" t="n">
        <v>58450</v>
      </c>
      <c r="E43" s="6" t="n"/>
      <c r="F43" s="6" t="n"/>
      <c r="G43" s="6" t="n"/>
      <c r="H43" s="6" t="n"/>
      <c r="I43" s="6" t="n"/>
      <c r="J43" s="6" t="n"/>
      <c r="K43" s="6" t="n"/>
      <c r="L43" s="6" t="n"/>
      <c r="M43" s="6" t="n"/>
    </row>
    <row r="44">
      <c r="A44" s="6" t="inlineStr">
        <is>
          <t>20    NSFR ratio (%)</t>
        </is>
      </c>
      <c r="B44" s="6" t="inlineStr">
        <is>
          <t>143%</t>
        </is>
      </c>
      <c r="C44" s="6" t="inlineStr">
        <is>
          <t>142%</t>
        </is>
      </c>
      <c r="D44" s="6" t="inlineStr">
        <is>
          <t>136%</t>
        </is>
      </c>
      <c r="E44" s="6" t="n"/>
      <c r="F44" s="6" t="n"/>
      <c r="G44" s="6" t="n"/>
      <c r="H44" s="6" t="n"/>
      <c r="I44" s="6" t="n"/>
      <c r="J44" s="6" t="n"/>
      <c r="K44" s="6" t="n"/>
      <c r="L44" s="6" t="n"/>
      <c r="M44" s="6" t="n"/>
    </row>
    <row r="46" ht="640" customHeight="1">
      <c r="A46" s="8" t="inlineStr">
        <is>
          <t>Sources - Clydesdale Bank PLC's own UK KM1, each year from the edition in which that date is the REPORTING date. Amounts £m; ratios as each edition prints them.
FY2026 (31 Mar 2026): Clydesdale Bank PLC Pillar 3 Disclosures 2026, section 2.1 'UK KM1 - Key metrics', printed pp.5-6, column a - https://www.virginmoneyukplc.com/downloads/pdf/cb-2026-pillar-3-report.pdf
FY2025 (18mo, to 31 Mar 2025): Virgin Money UK PLC Pillar 3 Disclosures 2025, APPENDIX 1 'Disclosures for CB Solo-Consolidated Group', section 21.1.2 'UK KM1 - Key metrics', printed pp.140-141, column a - https://www.virginmoneyukplc.com/downloads/pdf/vmukplc-2025-pillar-3-report.pdf
FY2023 (30 Sep 2023): Virgin Money UK PLC Pillar 3 Disclosures 2023, APPENDIX 1 'Disclosures for CB Group Consolidated', section 21.1.2, printed pp.123-124, column A - https://www.virginmoneyukplc.com/downloads/pdf/vmukplc-2023-pillar-3-report.pdf
FY2022 (30 Sep 2022): Virgin Money UK PLC Pillar 3 Disclosures 2022, APPENDIX 1 'Disclosures for CB Group Consolidated', section 21.1.2, printed pp.103-104, column A - https://www.virginmoneyukplc.com/downloads/pdf/vmukplc-2022-pillar-3-report.pdf
FY2021 and earlier: BLANK - see below.
THE APPENDIX, NOT THE BODY. Three of the four editions above are titled 'Virgin Money UK PLC Pillar 3 Disclosures' and print TWO UK KM1 tables: one in the body, on the VMUK (sub-)consolidated basis, and one in Appendix 1 on Clydesdale Bank PLC's own basis. Only the appendix table is used here. The two are close enough to be mistaken for each other and far enough apart to matter - at 30 Sep 2023 VMUK's CET1 is 3,711 against CB's 3,685, and at 30 Sep 2021 VMUK's is 3,616 against CB's 3,603.
COLUMN SET BELONGS TO THE TABLE. Each edition prints four to six columns, being the reporting date plus the preceding quarter-ends (FY2026: a-e, 31 Mar 26 back to 31 Mar 25; FY2025: a-f, 31 Mar 25 back to 31 Dec 23; FY2023 and FY2022: A-E, five quarter-ends). Only the column whose date is the financial year end is carried; the intra-year quarter columns are recorded here and not used.
BASIS CAPTION CHANGES MID-SERIES, WITH NO STATED CHANGE OF PERIMETER. FY2022 and FY2023 head the appendix 'CB Group Consolidated'; FY2025 heads it 'CB Solo-Consolidated Group' and explains it as 'the individual (or solo) consolidated disclosures required for Clydesdale Bank PLC..., which aligns with... the CRR article 9 individual consolidation permission the Bank holds'; FY2026's own report says 'The numbers presented within this report (with the exception of liquidity metrics) are on an individual (or solo) consolidated basis'. No edition says the perimeter itself moved, and the FY2026 edition's 31 Mar 25 comparative column reproduces every FY2025 figure here identically, so the change reads as a caption rather than a restatement - but it is recorded rather than smoothed over, because this workbook cannot verify a perimeter it was never shown.
ROW-SET DRIFT BETWEEN EDITIONS, all reproduced as printed:
- Rows 9 (institution-specific countercyclical buffer) and UK 10a (O-SII buffer) are NOT PRINTED at all by the FY2022 edition, so FY2022 is blank on both. The FY2023 edition's own 30 Sept 2022 comparative does print them, both as 0.0% - that figure is deliberately not back-filled here, because a row the bank did not print is not the same thing as a row printed zero.
- Rows 18-20 (NSFR) are absent from the FY2022 edition entirely, and blank in the FY2023 edition's 31 Dec 2022 and 30 Sept 2022 columns, footnoted 'In line with PRA guidance, disclosures for the NSFR were not required until reporting reference dates after 1 January 2023.' With a 30 September year end that makes FY2023 the Bank's first KM1 NSFR. The 136% this workbook's NSFR sheet shows for FY2022 is the Bank's own voluntary Annual Report figure on a different basis - see that sheet.
- Row 10 (G-SII buffer) and rows UK 8a / UK 9a are not printed in any edition.
- Row numbering style differs: the FY2022/FY2023 editions print 'UK-7a', 'UK-10a', 'UK-11a' with a hyphen and write ratios with a per-cent sign ('14.9%'); FY2025/FY2026 print 'UK 7a' with a space and write ratios bare ('14.2'). The most recent form is used for the row labels here and the variants recorded in this note; no figure is affected.
RULE 1 PAID OFF ON THE LEVERAGE ROWS. FY2022's own edition prints a 30 Sep 2022 leverage exposure measure of 83,758 (row 13) and 5.1% (row 14). The FY2023 edition's 30 Sept 2022 comparative prints 85,921 and 5.0% for the same date, footnoted 'The comparative figures include a restatement to qualifying central bank claims which have been adjusted to exclude encumbered note cover and payments system collateral balances.' FY2022's own-edition figures are the ones shown; the restated comparative is recorded here and not used. The FY2022 edition carries a restatement footnote of its own in the other direction ('Following the implementation of PS22/21 effective from 1 January 2022, the comparative figures have been restated to reflect the exclusion of the BBLS from the exposure value'), which affects only its own 31 Dec 2021 / 30 Sept 2021 comparative columns, none of which are used.
FY2021 AND EARLIER ARE BLANK, AND NOT FOR WANT OF LOOKING. Virgin Money UK PLC's Pillar 3 Disclosures 2021 (https://www.virginmoneyukplc.com/downloads/pdf/vm-pillar-3-2021.pdf) contains no UK KM1 for CB or for VMUK: the template arrived with the Disclosure (CRR) Part of the PRA Rulebook, applicable from 1 January 2022, and that edition's reporting date is 30 September 2021. Its Appendix 1 'Disclosures for CB Group consolidated' (printed pp.77-81) carries Table 57 'Capital composition' (the UK CC1 own-funds build-up), Table 58 'Capital flow statement', Table 59 'IFRS 9-FL', Table 60 'Reconciliation of statutory equity to regulatory capital' and Tables 61/62 (LRSum/LRCom) - a different row set, not an unnumbered KM1, so mapping it onto template row numbers would invent a correspondence the Bank never published. Checked three ways rather than one: the string 'KM1' occurs zero times in the whole 108-page document while 'capital' occurs 463 times, 'ratio' 284 and 'leverage' 71 (so the zero is a fact about the document, not a failed extraction); the document's own contents page lists every table by name and none is a key-metrics template; and 'pdfimages -list' over the appendix pages returns nothing at all, so no table is hiding in a bitmap. FY2020 and earlier pre-date CB PLC's Pillar 3 archive at this entity level altogether - those years' capital metrics come from the Annual Report's Risk Report, which is not this template and is not back-filled onto it.
LATEST-EDITION CHECK, 2026-09-16: read off virginmoneyukplc.com's own 'Annual reports' and 'Financial results' pages (which is where Clydesdale Bank PLC's own documents are hosted - the entity has no separate investor site), not from the URLs previously cited here. The newest annual Pillar 3 of any kind is the Clydesdale Bank PLC Pillar 3 Disclosures 2026 already used above; the newest document of any kind is the CB PLC quarterly Pillar 3 disclosure at 31 December 2025 (cbplc-dec25-quarterly-pillar3-disclosure.pdf), which is an interim date already carried as column b of the FY2026 annual KM1 and so adds nothing. No FY2027 edition exists and, on the Bank's own statement, none ever will: 'Post Part VII transfer, the Company no longer meets the thresholds for Large subsidiary reporting, and it is therefore not expected that the Company will produce Pillar 3 disclosures for subsequent financial periods' (2026 report, Introduction). Checked, none newer. YEARS unchanged.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sheetData>
  <mergeCells count="1">
    <mergeCell ref="A46:M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Leverage ratio excluding claims on central banks (%)</t>
        </is>
      </c>
      <c r="B5" s="6" t="inlineStr">
        <is>
          <t>6.3%</t>
        </is>
      </c>
      <c r="C5" s="6" t="inlineStr">
        <is>
          <t>5.5%</t>
        </is>
      </c>
      <c r="D5" s="6" t="inlineStr">
        <is>
          <t>4.9%</t>
        </is>
      </c>
      <c r="E5" s="6" t="inlineStr">
        <is>
          <t>5.1%</t>
        </is>
      </c>
      <c r="F5" s="6" t="inlineStr">
        <is>
          <t>5.1%</t>
        </is>
      </c>
      <c r="G5" s="6" t="inlineStr">
        <is>
          <t>4.8%</t>
        </is>
      </c>
      <c r="H5" s="6" t="inlineStr">
        <is>
          <t>4.4%</t>
        </is>
      </c>
      <c r="I5" s="6" t="inlineStr">
        <is>
          <t>5.6%</t>
        </is>
      </c>
      <c r="J5" s="6" t="inlineStr">
        <is>
          <t>6.2%</t>
        </is>
      </c>
      <c r="K5" s="6" t="inlineStr">
        <is>
          <t>6.8%</t>
        </is>
      </c>
      <c r="L5" s="6" t="inlineStr">
        <is>
          <t>7.2%</t>
        </is>
      </c>
      <c r="M5" s="6" t="inlineStr">
        <is>
          <t>5.7%</t>
        </is>
      </c>
    </row>
    <row r="6">
      <c r="A6" s="6" t="inlineStr">
        <is>
          <t>Leverage ratio including claims on central banks (%)</t>
        </is>
      </c>
      <c r="B6" s="6" t="inlineStr">
        <is>
          <t>5.3%</t>
        </is>
      </c>
      <c r="C6" s="6" t="inlineStr">
        <is>
          <t>5.0%</t>
        </is>
      </c>
      <c r="D6" s="6" t="inlineStr">
        <is>
          <t>4.5%</t>
        </is>
      </c>
      <c r="E6" s="6" t="inlineStr">
        <is>
          <t>4.5%</t>
        </is>
      </c>
      <c r="F6" s="6" t="n"/>
      <c r="G6" s="6" t="n"/>
      <c r="H6" s="6" t="n"/>
      <c r="I6" s="6" t="n"/>
      <c r="J6" s="6" t="n"/>
      <c r="K6" s="6" t="n"/>
      <c r="L6" s="6" t="n"/>
      <c r="M6" s="6" t="n"/>
    </row>
    <row r="7">
      <c r="A7" s="6" t="inlineStr">
        <is>
          <t>UK leverage ratio (%)</t>
        </is>
      </c>
      <c r="B7" s="6" t="n"/>
      <c r="C7" s="6" t="n"/>
      <c r="D7" s="6" t="n"/>
      <c r="E7" s="6" t="n"/>
      <c r="F7" s="6" t="n"/>
      <c r="G7" s="6" t="inlineStr">
        <is>
          <t>4.9%</t>
        </is>
      </c>
      <c r="H7" s="6" t="inlineStr">
        <is>
          <t>4.9%</t>
        </is>
      </c>
      <c r="I7" s="6" t="inlineStr">
        <is>
          <t>6.5%</t>
        </is>
      </c>
      <c r="J7" s="6" t="inlineStr">
        <is>
          <t>7.3%</t>
        </is>
      </c>
      <c r="K7" s="6" t="n"/>
      <c r="L7" s="6" t="n"/>
      <c r="M7" s="6" t="n"/>
    </row>
    <row r="8" ht="60" customHeight="1">
      <c r="A8"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t>
        </is>
      </c>
    </row>
    <row r="10" ht="110" customHeight="1">
      <c r="A10"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Not disclosed</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110"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c r="G4" s="6" t="n">
        <v>4929</v>
      </c>
      <c r="H4" s="6" t="n">
        <v>4857</v>
      </c>
      <c r="I4" s="6" t="n"/>
      <c r="J4" s="6" t="n"/>
      <c r="K4" s="6" t="n"/>
      <c r="L4" s="6" t="n"/>
      <c r="M4" s="6" t="n"/>
    </row>
    <row r="5">
      <c r="A5" s="6" t="inlineStr">
        <is>
          <t>Eligible senior unsecured securities</t>
        </is>
      </c>
      <c r="B5" s="6" t="n">
        <v>3520</v>
      </c>
      <c r="C5" s="6" t="n">
        <v>3004</v>
      </c>
      <c r="D5" s="6" t="n">
        <v>2707</v>
      </c>
      <c r="E5" s="6" t="n">
        <v>2423</v>
      </c>
      <c r="F5" s="6" t="n"/>
      <c r="G5" s="6" t="n">
        <v>2002</v>
      </c>
      <c r="H5" s="6" t="n">
        <v>1550</v>
      </c>
      <c r="I5" s="6" t="n"/>
      <c r="J5" s="6" t="n"/>
      <c r="K5" s="6" t="n"/>
      <c r="L5" s="6" t="n"/>
      <c r="M5" s="6" t="n"/>
    </row>
    <row r="6">
      <c r="A6" s="6" t="inlineStr">
        <is>
          <t>Total MREL resources</t>
        </is>
      </c>
      <c r="B6" s="6" t="n">
        <v>9267</v>
      </c>
      <c r="C6" s="6" t="n">
        <v>8351</v>
      </c>
      <c r="D6" s="6" t="n">
        <v>8008</v>
      </c>
      <c r="E6" s="6" t="n">
        <v>7711</v>
      </c>
      <c r="F6" s="6" t="n"/>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Not disclosed</t>
        </is>
      </c>
      <c r="G7" s="6" t="inlineStr">
        <is>
          <t>28.4%</t>
        </is>
      </c>
      <c r="H7" s="6" t="inlineStr">
        <is>
          <t>26.6%</t>
        </is>
      </c>
      <c r="I7" s="6" t="inlineStr">
        <is>
          <t>Not disclosed</t>
        </is>
      </c>
      <c r="J7" s="6" t="inlineStr">
        <is>
          <t>Not disclosed</t>
        </is>
      </c>
      <c r="K7" s="6" t="inlineStr">
        <is>
          <t>Not disclosed</t>
        </is>
      </c>
      <c r="L7" s="6" t="inlineStr">
        <is>
          <t>Not disclosed</t>
        </is>
      </c>
      <c r="M7" s="6" t="inlineStr">
        <is>
          <t>Not disclosed</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2026-09-16T15:32:36Z</dcterms:created>
  <dcterms:modified xmlns:dcterms="http://purl.org/dc/terms/" xmlns:xsi="http://www.w3.org/2001/XMLSchema-instance" xsi:type="dcterms:W3CDTF">2026-09-16T15:32:36Z</dcterms:modified>
</cp:coreProperties>
</file>