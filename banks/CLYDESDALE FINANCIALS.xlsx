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FY2025 (18mo)</t>
        </is>
      </c>
      <c r="DN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c r="O6" s="5" t="n"/>
      <c r="P6" s="5" t="n"/>
      <c r="Q6" s="5" t="n"/>
      <c r="R6" s="5" t="n"/>
      <c r="U6" t="inlineStr">
        <is>
          <t>Total assets</t>
        </is>
      </c>
      <c r="AA6" t="n">
        <v>37083</v>
      </c>
      <c r="AB6" t="n">
        <v>38701</v>
      </c>
      <c r="AC6" t="n">
        <v>39963</v>
      </c>
      <c r="AD6" t="n">
        <v>43314</v>
      </c>
      <c r="AE6" t="n">
        <v>43583</v>
      </c>
      <c r="AF6" t="n">
        <v>91101</v>
      </c>
      <c r="AG6" t="n">
        <v>90307</v>
      </c>
      <c r="AH6" t="n">
        <v>89216</v>
      </c>
      <c r="AI6" t="n">
        <v>92010</v>
      </c>
      <c r="AJ6" t="n">
        <v>91884</v>
      </c>
      <c r="AK6" t="n">
        <v>89876</v>
      </c>
      <c r="AL6" t="n">
        <v>91020</v>
      </c>
      <c r="CW6" t="inlineStr">
        <is>
          <t>CET1 Ratio</t>
        </is>
      </c>
      <c r="DC6" t="n">
        <v>12.1</v>
      </c>
      <c r="DD6" t="n">
        <v>13.3</v>
      </c>
      <c r="DE6" t="n">
        <v>12.6</v>
      </c>
      <c r="DF6" t="n">
        <v>12.2</v>
      </c>
      <c r="DG6" t="n">
        <v>10.7</v>
      </c>
      <c r="DH6" t="n">
        <v>14.4</v>
      </c>
      <c r="DI6" t="n">
        <v>14.4</v>
      </c>
      <c r="DJ6" t="n">
        <v>14.9</v>
      </c>
      <c r="DK6" t="n">
        <v>14.9</v>
      </c>
      <c r="DL6" t="n">
        <v>14.6</v>
      </c>
      <c r="DM6" t="n">
        <v>14.2</v>
      </c>
      <c r="DN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c r="O7" s="5" t="n"/>
      <c r="P7" s="5" t="n"/>
      <c r="Q7" s="5" t="n"/>
      <c r="R7" s="5" t="n"/>
      <c r="U7" t="inlineStr">
        <is>
          <t>Loans and advances to customers (amortised cost)</t>
        </is>
      </c>
      <c r="AA7" t="n">
        <v>25901</v>
      </c>
      <c r="AB7" t="n">
        <v>27482</v>
      </c>
      <c r="AC7" t="n">
        <v>29202</v>
      </c>
      <c r="AD7" t="n">
        <v>31293</v>
      </c>
      <c r="AE7" t="n">
        <v>32744</v>
      </c>
      <c r="AF7" t="n">
        <v>73093</v>
      </c>
      <c r="AG7" t="n">
        <v>72428</v>
      </c>
      <c r="AH7" t="n">
        <v>71874</v>
      </c>
      <c r="AI7" t="n">
        <v>71749</v>
      </c>
      <c r="AJ7" t="n">
        <v>72191</v>
      </c>
      <c r="AK7" t="n">
        <v>71072</v>
      </c>
      <c r="AL7" t="n">
        <v>69060</v>
      </c>
      <c r="CW7" t="inlineStr">
        <is>
          <t>Tier 1 Ratio</t>
        </is>
      </c>
      <c r="DC7" t="n">
        <v>12.1</v>
      </c>
      <c r="DD7" t="n">
        <v>15.8</v>
      </c>
      <c r="DE7" t="n">
        <v>14.8</v>
      </c>
      <c r="DF7" t="n">
        <v>14.3</v>
      </c>
      <c r="DG7" t="n">
        <v>12.8</v>
      </c>
      <c r="DH7" t="n">
        <v>17.2</v>
      </c>
      <c r="DI7" t="n">
        <v>17.1</v>
      </c>
      <c r="DJ7" t="n">
        <v>17.7</v>
      </c>
      <c r="DK7" t="n">
        <v>17.7</v>
      </c>
      <c r="DL7" t="n">
        <v>17</v>
      </c>
      <c r="DM7" t="n">
        <v>16.7</v>
      </c>
      <c r="DN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c r="O8" s="5" t="n"/>
      <c r="P8" s="5" t="n"/>
      <c r="Q8" s="5" t="n"/>
      <c r="R8" s="5" t="n"/>
      <c r="U8" t="inlineStr">
        <is>
          <t>Customer deposits</t>
        </is>
      </c>
      <c r="AA8" t="n">
        <v>24073</v>
      </c>
      <c r="AB8" t="n">
        <v>26407</v>
      </c>
      <c r="AC8" t="n">
        <v>27090</v>
      </c>
      <c r="AD8" t="n">
        <v>27718</v>
      </c>
      <c r="AE8" t="n">
        <v>28904</v>
      </c>
      <c r="AF8" t="n">
        <v>64000</v>
      </c>
      <c r="AG8" t="n">
        <v>67710</v>
      </c>
      <c r="AH8" t="n">
        <v>66971</v>
      </c>
      <c r="AI8" t="n">
        <v>65434</v>
      </c>
      <c r="AJ8" t="n">
        <v>66827</v>
      </c>
      <c r="AK8" t="n">
        <v>70383</v>
      </c>
      <c r="AL8" t="n">
        <v>72711</v>
      </c>
      <c r="CW8" t="inlineStr">
        <is>
          <t>Total Capital Ratio</t>
        </is>
      </c>
      <c r="DC8" t="n">
        <v>18.6</v>
      </c>
      <c r="DD8" t="n">
        <v>19.1</v>
      </c>
      <c r="DE8" t="n">
        <v>18.1</v>
      </c>
      <c r="DF8" t="n">
        <v>17.4</v>
      </c>
      <c r="DG8" t="n">
        <v>15.9</v>
      </c>
      <c r="DH8" t="n">
        <v>20.2</v>
      </c>
      <c r="DI8" t="n">
        <v>20.2</v>
      </c>
      <c r="DJ8" t="n">
        <v>21.9</v>
      </c>
      <c r="DK8" t="n">
        <v>21.9</v>
      </c>
      <c r="DL8" t="n">
        <v>21.1</v>
      </c>
      <c r="DM8" t="n">
        <v>19.4</v>
      </c>
      <c r="DN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c r="O9" s="5" t="n"/>
      <c r="P9" s="5" t="n"/>
      <c r="Q9" s="5" t="n"/>
      <c r="R9" s="5" t="n"/>
      <c r="U9" t="inlineStr">
        <is>
          <t>Total equity</t>
        </is>
      </c>
      <c r="AA9" t="n">
        <v>2505</v>
      </c>
      <c r="AB9" t="n">
        <v>3458</v>
      </c>
      <c r="AC9" t="n">
        <v>3221</v>
      </c>
      <c r="AD9" t="n">
        <v>3464</v>
      </c>
      <c r="AE9" t="n">
        <v>3291</v>
      </c>
      <c r="AF9" t="n">
        <v>5141</v>
      </c>
      <c r="AG9" t="n">
        <v>4990</v>
      </c>
      <c r="AH9" t="n">
        <v>5582</v>
      </c>
      <c r="AI9" t="n">
        <v>6411</v>
      </c>
      <c r="AJ9" t="n">
        <v>5689</v>
      </c>
      <c r="AK9" t="n">
        <v>5609</v>
      </c>
      <c r="AL9" t="n">
        <v>5582</v>
      </c>
      <c r="CW9" t="inlineStr">
        <is>
          <t>Leverage Ratio</t>
        </is>
      </c>
      <c r="DC9" t="n">
        <v>5.7</v>
      </c>
      <c r="DD9" t="n">
        <v>7.2</v>
      </c>
      <c r="DE9" t="n">
        <v>6.8</v>
      </c>
      <c r="DF9" t="n">
        <v>6.2</v>
      </c>
      <c r="DG9" t="n">
        <v>5.6</v>
      </c>
      <c r="DH9" t="n">
        <v>4.4</v>
      </c>
      <c r="DI9" t="n">
        <v>4.8</v>
      </c>
      <c r="DJ9" t="n">
        <v>5.1</v>
      </c>
      <c r="DK9" t="n">
        <v>5.1</v>
      </c>
      <c r="DL9" t="n">
        <v>4.9</v>
      </c>
      <c r="DM9" t="n">
        <v>5.5</v>
      </c>
      <c r="DN9" t="n">
        <v>6.3</v>
      </c>
    </row>
    <row r="10">
      <c r="CW10" t="inlineStr">
        <is>
          <t>LCR</t>
        </is>
      </c>
      <c r="DC10" t="n">
        <v>110</v>
      </c>
      <c r="DD10" t="n">
        <v>136</v>
      </c>
      <c r="DE10" t="n">
        <v>140</v>
      </c>
      <c r="DF10" t="n">
        <v>164</v>
      </c>
      <c r="DG10" t="n">
        <v>137</v>
      </c>
      <c r="DH10" t="n">
        <v>152</v>
      </c>
      <c r="DI10" t="n">
        <v>140</v>
      </c>
      <c r="DK10" t="n">
        <v>140</v>
      </c>
      <c r="DL10" t="n">
        <v>146</v>
      </c>
      <c r="DM10" t="n">
        <v>158</v>
      </c>
      <c r="DN10" t="n">
        <v>164</v>
      </c>
    </row>
    <row r="11">
      <c r="A11" s="3" t="inlineStr">
        <is>
          <t>Profit &amp; Loss Summary (£m)</t>
        </is>
      </c>
      <c r="CW11" t="inlineStr">
        <is>
          <t>NSFR</t>
        </is>
      </c>
      <c r="DC11" t="n">
        <v>108</v>
      </c>
      <c r="DD11" t="n">
        <v>120</v>
      </c>
      <c r="DE11" t="n">
        <v>124</v>
      </c>
      <c r="DF11" t="n">
        <v>118</v>
      </c>
      <c r="DG11" t="n">
        <v>125</v>
      </c>
      <c r="DH11" t="n">
        <v>128</v>
      </c>
      <c r="DI11" t="n">
        <v>131</v>
      </c>
      <c r="DL11" t="n">
        <v>136</v>
      </c>
      <c r="DM11" t="n">
        <v>142</v>
      </c>
      <c r="DN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c r="O13" s="5" t="n"/>
      <c r="P13" s="5" t="n"/>
      <c r="Q13" s="5" t="n"/>
      <c r="R13" s="5" t="n"/>
      <c r="AO13" t="inlineStr">
        <is>
          <t>Total income</t>
        </is>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c r="O15" s="5" t="n"/>
      <c r="P15" s="5" t="n"/>
      <c r="Q15" s="5" t="n"/>
      <c r="R15" s="5" t="n"/>
      <c r="AO15" t="inlineStr">
        <is>
          <t>Profit for the period/year</t>
        </is>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FY2025 (18mo)</t>
        </is>
      </c>
      <c r="BZ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N19" s="5" t="n"/>
      <c r="O19" s="5" t="n"/>
      <c r="P19" s="5" t="n"/>
      <c r="Q19" s="5" t="n"/>
      <c r="R19" s="5" t="n"/>
      <c r="BI19" t="inlineStr">
        <is>
          <t>Opening equity</t>
        </is>
      </c>
      <c r="BO19" t="n">
        <v>2410</v>
      </c>
      <c r="BP19" t="n">
        <v>2505</v>
      </c>
      <c r="BQ19" t="n">
        <v>3458</v>
      </c>
      <c r="BR19" t="n">
        <v>3221</v>
      </c>
      <c r="BS19" t="n">
        <v>3464</v>
      </c>
      <c r="BT19" t="n">
        <v>3291</v>
      </c>
      <c r="BU19" t="n">
        <v>5141</v>
      </c>
      <c r="BV19" t="n">
        <v>4990</v>
      </c>
      <c r="BW19" t="n">
        <v>5582</v>
      </c>
      <c r="BX19" t="n">
        <v>6411</v>
      </c>
      <c r="BY19" t="n">
        <v>5334</v>
      </c>
      <c r="BZ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N20" s="5" t="n"/>
      <c r="O20" s="5" t="n"/>
      <c r="P20" s="5" t="n"/>
      <c r="Q20" s="5" t="n"/>
      <c r="R20" s="5" t="n"/>
      <c r="BI20" t="inlineStr">
        <is>
          <t>Total comprehensive income/(losses) for the period/year</t>
        </is>
      </c>
      <c r="BO20" t="n">
        <v>-191</v>
      </c>
      <c r="BP20" t="n">
        <v>-271</v>
      </c>
      <c r="BQ20" t="n">
        <v>-597</v>
      </c>
      <c r="BR20" t="n">
        <v>-263</v>
      </c>
      <c r="BS20" t="n">
        <v>-282</v>
      </c>
      <c r="BT20" t="n">
        <v>-60</v>
      </c>
      <c r="BU20" t="n">
        <v>-62</v>
      </c>
      <c r="BV20" t="n">
        <v>674</v>
      </c>
      <c r="BW20" t="n">
        <v>1297</v>
      </c>
      <c r="BX20" t="n">
        <v>-346</v>
      </c>
      <c r="BY20" t="n">
        <v>-343</v>
      </c>
      <c r="BZ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N21" s="5" t="n"/>
      <c r="O21" s="5" t="n"/>
      <c r="P21" s="5" t="n"/>
      <c r="Q21" s="5" t="n"/>
      <c r="R21" s="5" t="n"/>
      <c r="BI21" t="inlineStr">
        <is>
          <t>Other equity movements, net</t>
        </is>
      </c>
      <c r="BO21" t="n">
        <v>286</v>
      </c>
      <c r="BP21" t="n">
        <v>1224</v>
      </c>
      <c r="BQ21" t="n">
        <v>360</v>
      </c>
      <c r="BR21" t="n">
        <v>506</v>
      </c>
      <c r="BS21" t="n">
        <v>109</v>
      </c>
      <c r="BT21" t="n">
        <v>1910</v>
      </c>
      <c r="BU21" t="n">
        <v>-89</v>
      </c>
      <c r="BV21" t="n">
        <v>-82</v>
      </c>
      <c r="BW21" t="n">
        <v>-468</v>
      </c>
      <c r="BX21" t="n">
        <v>-376</v>
      </c>
      <c r="BY21" t="n">
        <v>618</v>
      </c>
      <c r="BZ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N22" s="5" t="n"/>
      <c r="O22" s="5" t="n"/>
      <c r="P22" s="5" t="n"/>
      <c r="Q22" s="5" t="n"/>
      <c r="R22" s="5" t="n"/>
      <c r="BI22" t="inlineStr">
        <is>
          <t>Closing equity</t>
        </is>
      </c>
      <c r="BO22" t="n">
        <v>2505</v>
      </c>
      <c r="BP22" t="n">
        <v>3458</v>
      </c>
      <c r="BQ22" t="n">
        <v>3221</v>
      </c>
      <c r="BR22" t="n">
        <v>3464</v>
      </c>
      <c r="BS22" t="n">
        <v>3291</v>
      </c>
      <c r="BT22" t="n">
        <v>5141</v>
      </c>
      <c r="BU22" t="n">
        <v>4990</v>
      </c>
      <c r="BV22" t="n">
        <v>5582</v>
      </c>
      <c r="BW22" t="n">
        <v>6411</v>
      </c>
      <c r="BX22" t="n">
        <v>5689</v>
      </c>
      <c r="BY22" t="n">
        <v>5609</v>
      </c>
      <c r="BZ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CD25" t="inlineStr">
        <is>
          <t>FY2009</t>
        </is>
      </c>
      <c r="CE25" t="inlineStr">
        <is>
          <t>FY2010</t>
        </is>
      </c>
      <c r="CF25" t="inlineStr">
        <is>
          <t>FY2011</t>
        </is>
      </c>
      <c r="CG25" t="inlineStr">
        <is>
          <t>FY2012</t>
        </is>
      </c>
      <c r="CH25" t="inlineStr">
        <is>
          <t>FY2013</t>
        </is>
      </c>
      <c r="CI25" t="inlineStr">
        <is>
          <t>FY2014</t>
        </is>
      </c>
      <c r="CJ25" t="inlineStr">
        <is>
          <t>FY2015</t>
        </is>
      </c>
      <c r="CK25" t="inlineStr">
        <is>
          <t>FY2016</t>
        </is>
      </c>
      <c r="CL25" t="inlineStr">
        <is>
          <t>FY2017</t>
        </is>
      </c>
      <c r="CM25" t="inlineStr">
        <is>
          <t>FY2018</t>
        </is>
      </c>
      <c r="CN25" t="inlineStr">
        <is>
          <t>FY2019</t>
        </is>
      </c>
      <c r="CO25" t="inlineStr">
        <is>
          <t>FY2020</t>
        </is>
      </c>
      <c r="CP25" t="inlineStr">
        <is>
          <t>FY2021</t>
        </is>
      </c>
      <c r="CQ25" t="inlineStr">
        <is>
          <t>FY2022</t>
        </is>
      </c>
      <c r="CR25" t="inlineStr">
        <is>
          <t>FY2023</t>
        </is>
      </c>
      <c r="CS25" t="inlineStr">
        <is>
          <t>FY2025 (18mo)</t>
        </is>
      </c>
      <c r="CT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c r="O26" s="5" t="n"/>
      <c r="P26" s="5" t="n"/>
      <c r="Q26" s="5" t="n"/>
      <c r="R26" s="5" t="n"/>
      <c r="CC26" t="inlineStr">
        <is>
          <t>Net cash from/(used in) operating activities</t>
        </is>
      </c>
      <c r="CI26" t="n">
        <v>-629</v>
      </c>
      <c r="CJ26" t="n">
        <v>-24</v>
      </c>
      <c r="CK26" t="n">
        <v>-782</v>
      </c>
      <c r="CL26" t="n">
        <v>-720</v>
      </c>
      <c r="CM26" t="n">
        <v>-1644</v>
      </c>
      <c r="CN26" t="n">
        <v>699</v>
      </c>
      <c r="CO26" t="n">
        <v>2403</v>
      </c>
      <c r="CP26" t="n">
        <v>582</v>
      </c>
      <c r="CQ26" t="n">
        <v>1930</v>
      </c>
      <c r="CR26" t="n">
        <v>948</v>
      </c>
      <c r="CS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c r="O27" s="5" t="n"/>
      <c r="P27" s="5" t="n"/>
      <c r="Q27" s="5" t="n"/>
      <c r="R27" s="5" t="n"/>
      <c r="CC27" t="inlineStr">
        <is>
          <t>Net cash from/(used in) investing activities</t>
        </is>
      </c>
      <c r="CI27" t="n">
        <v>-168</v>
      </c>
      <c r="CJ27" t="n">
        <v>-259</v>
      </c>
      <c r="CK27" t="n">
        <v>-293</v>
      </c>
      <c r="CL27" t="n">
        <v>-550</v>
      </c>
      <c r="CM27" t="n">
        <v>329</v>
      </c>
      <c r="CN27" t="n">
        <v>3396</v>
      </c>
      <c r="CO27" t="n">
        <v>-737</v>
      </c>
      <c r="CP27" t="n">
        <v>465</v>
      </c>
      <c r="CQ27" t="n">
        <v>-1368</v>
      </c>
      <c r="CR27" t="n">
        <v>-869</v>
      </c>
      <c r="CS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c r="O28" s="5" t="n"/>
      <c r="P28" s="5" t="n"/>
      <c r="Q28" s="5" t="n"/>
      <c r="R28" s="5" t="n"/>
      <c r="CC28" t="inlineStr">
        <is>
          <t>Net cash from/(used in) financing activities</t>
        </is>
      </c>
      <c r="CI28" t="n">
        <v>132</v>
      </c>
      <c r="CJ28" t="n">
        <v>740</v>
      </c>
      <c r="CK28" t="n">
        <v>688</v>
      </c>
      <c r="CL28" t="n">
        <v>2272</v>
      </c>
      <c r="CM28" t="n">
        <v>905</v>
      </c>
      <c r="CN28" t="n">
        <v>-517</v>
      </c>
      <c r="CO28" t="n">
        <v>-2983</v>
      </c>
      <c r="CP28" t="n">
        <v>-608</v>
      </c>
      <c r="CQ28" t="n">
        <v>1796</v>
      </c>
      <c r="CR28" t="n">
        <v>-1023</v>
      </c>
      <c r="CS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c r="O29" s="5" t="n"/>
      <c r="P29" s="5" t="n"/>
      <c r="Q29" s="5" t="n"/>
      <c r="R29" s="5" t="n"/>
      <c r="CC29" t="inlineStr">
        <is>
          <t>Cash and cash equivalents at end of period/year</t>
        </is>
      </c>
      <c r="CI29" t="n">
        <v>5880</v>
      </c>
      <c r="CJ29" t="n">
        <v>6337</v>
      </c>
      <c r="CK29" t="n">
        <v>5950</v>
      </c>
      <c r="CL29" t="n">
        <v>6952</v>
      </c>
      <c r="CM29" t="n">
        <v>6542</v>
      </c>
      <c r="CN29" t="n">
        <v>10120</v>
      </c>
      <c r="CO29" t="n">
        <v>9814</v>
      </c>
      <c r="CP29" t="n">
        <v>10253</v>
      </c>
      <c r="CQ29" t="n">
        <v>12611</v>
      </c>
      <c r="CR29" t="n">
        <v>11667</v>
      </c>
      <c r="CS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c r="N33" s="6" t="n"/>
      <c r="O33" s="6" t="n"/>
      <c r="P33" s="6" t="n"/>
      <c r="Q33" s="6" t="n"/>
      <c r="R33" s="6" t="n"/>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c r="N34" s="6" t="n"/>
      <c r="O34" s="6" t="n"/>
      <c r="P34" s="6" t="n"/>
      <c r="Q34" s="6" t="n"/>
      <c r="R34" s="6" t="n"/>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c r="N35" s="6" t="n"/>
      <c r="O35" s="6" t="n"/>
      <c r="P35" s="6" t="n"/>
      <c r="Q35" s="6" t="n"/>
      <c r="R35" s="6" t="n"/>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c r="N36" s="6" t="n"/>
      <c r="O36" s="6" t="n"/>
      <c r="P36" s="6" t="n"/>
      <c r="Q36" s="6" t="n"/>
      <c r="R36" s="6" t="n"/>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c r="N37" s="6" t="n"/>
      <c r="O37" s="6" t="n"/>
      <c r="P37" s="6" t="n"/>
      <c r="Q37" s="6" t="n"/>
      <c r="R37" s="6" t="n"/>
    </row>
    <row r="38">
      <c r="A38" s="6" t="inlineStr">
        <is>
          <t>NSFR</t>
        </is>
      </c>
      <c r="B38" s="6" t="inlineStr">
        <is>
          <t>143%</t>
        </is>
      </c>
      <c r="C38" s="6" t="inlineStr">
        <is>
          <t>142%</t>
        </is>
      </c>
      <c r="D38" s="6" t="inlineStr">
        <is>
          <t>136%</t>
        </is>
      </c>
      <c r="E38" s="6" t="n"/>
      <c r="F38" s="6" t="n"/>
      <c r="G38" s="6" t="inlineStr">
        <is>
          <t>131%</t>
        </is>
      </c>
      <c r="H38" s="6" t="inlineStr">
        <is>
          <t>128%</t>
        </is>
      </c>
      <c r="I38" s="6" t="inlineStr">
        <is>
          <t>125%</t>
        </is>
      </c>
      <c r="J38" s="6" t="inlineStr">
        <is>
          <t>118%</t>
        </is>
      </c>
      <c r="K38" s="6" t="inlineStr">
        <is>
          <t>124%</t>
        </is>
      </c>
      <c r="L38" s="6" t="inlineStr">
        <is>
          <t>120%</t>
        </is>
      </c>
      <c r="M38" s="6" t="inlineStr">
        <is>
          <t>108%</t>
        </is>
      </c>
      <c r="N38" s="6" t="n"/>
      <c r="O38" s="6" t="n"/>
      <c r="P38" s="6" t="n"/>
      <c r="Q38" s="6" t="n"/>
      <c r="R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4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blank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on ordinary activities before tax</t>
        </is>
      </c>
      <c r="B5" s="6" t="n"/>
      <c r="C5" s="6" t="n">
        <v>186</v>
      </c>
      <c r="D5" s="6" t="n">
        <v>344</v>
      </c>
      <c r="E5" s="6" t="n">
        <v>590</v>
      </c>
      <c r="F5" s="6" t="n">
        <v>416</v>
      </c>
      <c r="G5" s="6" t="n">
        <v>-173</v>
      </c>
      <c r="H5" s="6" t="n">
        <v>-182</v>
      </c>
      <c r="I5" s="6" t="n">
        <v>-276</v>
      </c>
      <c r="J5" s="6" t="n">
        <v>-261</v>
      </c>
      <c r="K5" s="6" t="n">
        <v>-352</v>
      </c>
      <c r="L5" s="6" t="n">
        <v>-308</v>
      </c>
      <c r="M5" s="6" t="n">
        <v>-216</v>
      </c>
      <c r="N5" s="6" t="n">
        <v>-33</v>
      </c>
      <c r="O5" s="6" t="n">
        <v>-614</v>
      </c>
      <c r="P5" s="6" t="n">
        <v>21</v>
      </c>
      <c r="Q5" s="6" t="n">
        <v>49</v>
      </c>
      <c r="R5" s="6" t="n">
        <v>48</v>
      </c>
    </row>
    <row r="6">
      <c r="A6" s="6" t="inlineStr">
        <is>
          <t>Non-cash or non-operating items included in profit before tax</t>
        </is>
      </c>
      <c r="B6" s="6" t="n"/>
      <c r="C6" s="6" t="n">
        <v>368</v>
      </c>
      <c r="D6" s="6" t="n">
        <v>-1203</v>
      </c>
      <c r="E6" s="6" t="n">
        <v>-1306</v>
      </c>
      <c r="F6" s="6" t="n">
        <v>-1221</v>
      </c>
      <c r="G6" s="6" t="n">
        <v>-544</v>
      </c>
      <c r="H6" s="6" t="n">
        <v>-935</v>
      </c>
      <c r="I6" s="6" t="n">
        <v>-761</v>
      </c>
      <c r="J6" s="6" t="n">
        <v>-735</v>
      </c>
      <c r="K6" s="6" t="n">
        <v>-644</v>
      </c>
      <c r="L6" s="6" t="n">
        <v>-721</v>
      </c>
      <c r="M6" s="6" t="n">
        <v>-696</v>
      </c>
      <c r="N6" s="6" t="n">
        <v>-583</v>
      </c>
      <c r="O6" s="6" t="n">
        <v>-136</v>
      </c>
      <c r="P6" s="6" t="n">
        <v>-630</v>
      </c>
      <c r="Q6" s="6" t="n">
        <v>-690</v>
      </c>
      <c r="R6" s="6" t="n">
        <v>-685</v>
      </c>
    </row>
    <row r="7">
      <c r="A7" s="6" t="inlineStr">
        <is>
          <t>Changes in operating assets</t>
        </is>
      </c>
      <c r="B7" s="6" t="n"/>
      <c r="C7" s="6" t="n"/>
      <c r="D7" s="6" t="n">
        <v>-551</v>
      </c>
      <c r="E7" s="6" t="n">
        <v>1213</v>
      </c>
      <c r="F7" s="6" t="n">
        <v>819</v>
      </c>
      <c r="G7" s="6" t="n">
        <v>-102</v>
      </c>
      <c r="H7" s="6" t="n">
        <v>-2350</v>
      </c>
      <c r="I7" s="6" t="n">
        <v>-1423</v>
      </c>
      <c r="J7" s="6" t="n">
        <v>-1497</v>
      </c>
      <c r="K7" s="6" t="n">
        <v>-2279</v>
      </c>
      <c r="L7" s="6" t="n">
        <v>-1837</v>
      </c>
      <c r="M7" s="6" t="n">
        <v>-1191</v>
      </c>
      <c r="N7" s="6" t="n">
        <v>6129</v>
      </c>
      <c r="O7" s="6" t="n">
        <v>463</v>
      </c>
      <c r="P7" s="6" t="n">
        <v>-1304</v>
      </c>
      <c r="Q7" s="6" t="n">
        <v>1119</v>
      </c>
      <c r="R7" s="6" t="n">
        <v>-498</v>
      </c>
    </row>
    <row r="8">
      <c r="A8" s="6" t="inlineStr">
        <is>
          <t>Changes in operating liabilities</t>
        </is>
      </c>
      <c r="B8" s="6" t="n"/>
      <c r="C8" s="6" t="n"/>
      <c r="D8" s="6" t="n">
        <v>284</v>
      </c>
      <c r="E8" s="6" t="n">
        <v>-240</v>
      </c>
      <c r="F8" s="6" t="n">
        <v>-1026</v>
      </c>
      <c r="G8" s="6" t="n">
        <v>1878</v>
      </c>
      <c r="H8" s="6" t="n">
        <v>2662</v>
      </c>
      <c r="I8" s="6" t="n">
        <v>-122</v>
      </c>
      <c r="J8" s="6" t="n">
        <v>917</v>
      </c>
      <c r="K8" s="6" t="n">
        <v>1585</v>
      </c>
      <c r="L8" s="6" t="n">
        <v>2021</v>
      </c>
      <c r="M8" s="6" t="n">
        <v>563</v>
      </c>
      <c r="N8" s="6" t="n">
        <v>-2657</v>
      </c>
      <c r="O8" s="6" t="n">
        <v>-2172</v>
      </c>
      <c r="P8" s="6" t="n">
        <v>32</v>
      </c>
      <c r="Q8" s="6" t="n">
        <v>1380</v>
      </c>
      <c r="R8" s="6" t="n">
        <v>2128</v>
      </c>
    </row>
    <row r="9">
      <c r="A9" s="6" t="inlineStr">
        <is>
          <t>Changes in operating assets and liabilities (combined, as reported)</t>
        </is>
      </c>
      <c r="B9" s="6" t="n"/>
      <c r="C9" s="6" t="n">
        <v>-1738</v>
      </c>
      <c r="D9" s="6" t="n"/>
      <c r="E9" s="6" t="n"/>
      <c r="F9" s="6" t="n"/>
      <c r="G9" s="6" t="n"/>
      <c r="H9" s="6" t="n"/>
      <c r="I9" s="6" t="n"/>
      <c r="J9" s="6" t="n"/>
      <c r="K9" s="6" t="n"/>
      <c r="L9" s="6" t="n"/>
      <c r="M9" s="6" t="n"/>
      <c r="N9" s="6" t="n"/>
      <c r="O9" s="6" t="n"/>
      <c r="P9" s="6" t="n"/>
      <c r="Q9" s="6" t="n"/>
      <c r="R9" s="6" t="n"/>
    </row>
    <row r="10">
      <c r="A10" s="6" t="inlineStr">
        <is>
          <t>Payments for short-term and low value leases</t>
        </is>
      </c>
      <c r="B10" s="6" t="n"/>
      <c r="C10" s="6" t="n"/>
      <c r="D10" s="6" t="n">
        <v>-3</v>
      </c>
      <c r="E10" s="6" t="n">
        <v>-2</v>
      </c>
      <c r="F10" s="6" t="n">
        <v>-1</v>
      </c>
      <c r="G10" s="6" t="n">
        <v>-2</v>
      </c>
      <c r="H10" s="6" t="n"/>
      <c r="I10" s="6" t="n"/>
      <c r="J10" s="6" t="n"/>
      <c r="K10" s="6" t="n"/>
      <c r="L10" s="6" t="n"/>
      <c r="M10" s="6" t="n"/>
      <c r="N10" s="6" t="n"/>
      <c r="O10" s="6" t="n"/>
      <c r="P10" s="6" t="n"/>
      <c r="Q10" s="6" t="n"/>
      <c r="R10" s="6" t="n"/>
    </row>
    <row r="11">
      <c r="A11" s="6" t="inlineStr">
        <is>
          <t>Interest received (operating)</t>
        </is>
      </c>
      <c r="B11" s="6" t="n"/>
      <c r="C11" s="6" t="n"/>
      <c r="D11" s="6" t="n">
        <v>3300</v>
      </c>
      <c r="E11" s="6" t="n">
        <v>2112</v>
      </c>
      <c r="F11" s="6" t="n">
        <v>2088</v>
      </c>
      <c r="G11" s="6" t="n">
        <v>2151</v>
      </c>
      <c r="H11" s="6" t="n">
        <v>2320</v>
      </c>
      <c r="I11" s="6" t="n">
        <v>1108</v>
      </c>
      <c r="J11" s="6" t="n">
        <v>1124</v>
      </c>
      <c r="K11" s="6" t="n">
        <v>1101</v>
      </c>
      <c r="L11" s="6" t="n">
        <v>1257</v>
      </c>
      <c r="M11" s="6" t="n">
        <v>1134</v>
      </c>
      <c r="N11" s="6" t="n">
        <v>1213</v>
      </c>
      <c r="O11" s="6" t="n">
        <v>1563</v>
      </c>
      <c r="P11" s="6" t="n">
        <v>1649</v>
      </c>
      <c r="Q11" s="6" t="n">
        <v>1070</v>
      </c>
      <c r="R11" s="6" t="n">
        <v>2017</v>
      </c>
    </row>
    <row r="12">
      <c r="A12" s="6" t="inlineStr">
        <is>
          <t>Interest paid (operating)</t>
        </is>
      </c>
      <c r="B12" s="6" t="n"/>
      <c r="C12" s="6" t="n"/>
      <c r="D12" s="6" t="n">
        <v>-1173</v>
      </c>
      <c r="E12" s="6" t="n">
        <v>-378</v>
      </c>
      <c r="F12" s="6" t="n">
        <v>-461</v>
      </c>
      <c r="G12" s="6" t="n">
        <v>-790</v>
      </c>
      <c r="H12" s="6" t="n">
        <v>-808</v>
      </c>
      <c r="I12" s="6" t="n">
        <v>-169</v>
      </c>
      <c r="J12" s="6" t="n">
        <v>-260</v>
      </c>
      <c r="K12" s="6" t="n">
        <v>-198</v>
      </c>
      <c r="L12" s="6" t="n">
        <v>-432</v>
      </c>
      <c r="M12" s="6" t="n">
        <v>-257</v>
      </c>
      <c r="N12" s="6" t="n">
        <v>-317</v>
      </c>
      <c r="O12" s="6" t="n">
        <v>-451</v>
      </c>
      <c r="P12" s="6" t="n">
        <v>-553</v>
      </c>
      <c r="Q12" s="6" t="n">
        <v>-134</v>
      </c>
      <c r="R12" s="6" t="n">
        <v>-758</v>
      </c>
    </row>
    <row r="13">
      <c r="A13" s="6" t="inlineStr">
        <is>
          <t>Tax paid including group relief</t>
        </is>
      </c>
      <c r="B13" s="6" t="n"/>
      <c r="C13" s="6" t="n">
        <v>-37</v>
      </c>
      <c r="D13" s="6" t="n">
        <v>-50</v>
      </c>
      <c r="E13" s="6" t="n">
        <v>-59</v>
      </c>
      <c r="F13" s="6" t="n">
        <v>-32</v>
      </c>
      <c r="G13" s="6" t="n">
        <v>-15</v>
      </c>
      <c r="H13" s="6" t="n">
        <v>-8</v>
      </c>
      <c r="I13" s="6" t="n">
        <v>-1</v>
      </c>
      <c r="J13" s="6" t="n">
        <v>-8</v>
      </c>
      <c r="K13" s="6" t="n">
        <v>5</v>
      </c>
      <c r="L13" s="6" t="n">
        <v>-4</v>
      </c>
      <c r="M13" s="6" t="n">
        <v>34</v>
      </c>
      <c r="N13" s="6" t="n">
        <v>50</v>
      </c>
      <c r="O13" s="6" t="n">
        <v>4</v>
      </c>
      <c r="P13" s="6" t="n">
        <v>-13</v>
      </c>
      <c r="Q13" s="6" t="n">
        <v>-10</v>
      </c>
      <c r="R13" s="6" t="n">
        <v>13</v>
      </c>
    </row>
    <row r="14">
      <c r="A14" s="5" t="inlineStr">
        <is>
          <t>Net cash provided by/(used in) operating activities</t>
        </is>
      </c>
      <c r="B14" s="5" t="n"/>
      <c r="C14" s="5" t="n">
        <v>-1221</v>
      </c>
      <c r="D14" s="5" t="n">
        <v>948</v>
      </c>
      <c r="E14" s="5" t="n">
        <v>1930</v>
      </c>
      <c r="F14" s="5" t="n">
        <v>582</v>
      </c>
      <c r="G14" s="5" t="n">
        <v>2403</v>
      </c>
      <c r="H14" s="5" t="n">
        <v>699</v>
      </c>
      <c r="I14" s="5" t="n">
        <v>-1644</v>
      </c>
      <c r="J14" s="5" t="n">
        <v>-720</v>
      </c>
      <c r="K14" s="5" t="n">
        <v>-782</v>
      </c>
      <c r="L14" s="5" t="n">
        <v>-24</v>
      </c>
      <c r="M14" s="5" t="n">
        <v>-629</v>
      </c>
      <c r="N14" s="5" t="n">
        <v>3802</v>
      </c>
      <c r="O14" s="5" t="n">
        <v>-1343</v>
      </c>
      <c r="P14" s="5" t="n">
        <v>-798</v>
      </c>
      <c r="Q14" s="5" t="n">
        <v>2784</v>
      </c>
      <c r="R14" s="5" t="n">
        <v>2265</v>
      </c>
    </row>
    <row r="15">
      <c r="A15" s="5" t="inlineStr">
        <is>
          <t>Investing activities</t>
        </is>
      </c>
      <c r="B15" s="6" t="n"/>
      <c r="C15" s="6" t="n"/>
      <c r="D15" s="6" t="n"/>
      <c r="E15" s="6" t="n"/>
      <c r="F15" s="6" t="n"/>
      <c r="G15" s="6" t="n"/>
      <c r="H15" s="6" t="n"/>
      <c r="I15" s="6" t="n"/>
      <c r="J15" s="6" t="n"/>
      <c r="K15" s="6" t="n"/>
      <c r="L15" s="6" t="n"/>
      <c r="M15" s="6" t="n"/>
      <c r="N15" s="6" t="n"/>
      <c r="O15" s="6" t="n"/>
      <c r="P15" s="6" t="n"/>
      <c r="Q15" s="6" t="n"/>
      <c r="R15" s="6" t="n"/>
    </row>
    <row r="16">
      <c r="A16" s="6" t="inlineStr">
        <is>
          <t>Interest received (investing)</t>
        </is>
      </c>
      <c r="B16" s="6" t="n"/>
      <c r="C16" s="6" t="n"/>
      <c r="D16" s="6" t="n">
        <v>232</v>
      </c>
      <c r="E16" s="6" t="n">
        <v>47</v>
      </c>
      <c r="F16" s="6" t="n">
        <v>19</v>
      </c>
      <c r="G16" s="6" t="n">
        <v>35</v>
      </c>
      <c r="H16" s="6" t="n">
        <v>28</v>
      </c>
      <c r="I16" s="6" t="n">
        <v>12</v>
      </c>
      <c r="J16" s="6" t="n">
        <v>12</v>
      </c>
      <c r="K16" s="6" t="n">
        <v>11</v>
      </c>
      <c r="L16" s="6" t="n">
        <v>8</v>
      </c>
      <c r="M16" s="6" t="n">
        <v>8</v>
      </c>
      <c r="N16" s="6" t="n">
        <v>8</v>
      </c>
      <c r="O16" s="6" t="n">
        <v>12</v>
      </c>
      <c r="P16" s="6" t="n">
        <v>25</v>
      </c>
      <c r="Q16" s="6" t="n">
        <v>26</v>
      </c>
      <c r="R16" s="6" t="n">
        <v>45</v>
      </c>
    </row>
    <row r="17">
      <c r="A17" s="6" t="inlineStr">
        <is>
          <t>Proceeds from maturity of financial instruments at FVOCI</t>
        </is>
      </c>
      <c r="B17" s="6" t="n"/>
      <c r="C17" s="6" t="n"/>
      <c r="D17" s="6" t="n"/>
      <c r="E17" s="6" t="n">
        <v>479</v>
      </c>
      <c r="F17" s="6" t="n">
        <v>1079</v>
      </c>
      <c r="G17" s="6" t="n">
        <v>1568</v>
      </c>
      <c r="H17" s="6" t="n">
        <v>659</v>
      </c>
      <c r="I17" s="6" t="n"/>
      <c r="J17" s="6" t="n"/>
      <c r="K17" s="6" t="n"/>
      <c r="L17" s="6" t="n"/>
      <c r="M17" s="6" t="n"/>
      <c r="N17" s="6" t="n"/>
      <c r="O17" s="6" t="n"/>
      <c r="P17" s="6" t="n"/>
      <c r="Q17" s="6" t="n"/>
      <c r="R17" s="6" t="n"/>
    </row>
    <row r="18">
      <c r="A18" s="6" t="inlineStr">
        <is>
          <t>Proceeds from sale of financial assets at FVOCI</t>
        </is>
      </c>
      <c r="B18" s="6" t="n"/>
      <c r="C18" s="6" t="n"/>
      <c r="D18" s="6" t="n"/>
      <c r="E18" s="6" t="n">
        <v>194</v>
      </c>
      <c r="F18" s="6" t="n"/>
      <c r="G18" s="6" t="n">
        <v>587</v>
      </c>
      <c r="H18" s="6" t="n">
        <v>352</v>
      </c>
      <c r="I18" s="6" t="n"/>
      <c r="J18" s="6" t="n"/>
      <c r="K18" s="6" t="n"/>
      <c r="L18" s="6" t="n"/>
      <c r="M18" s="6" t="n"/>
      <c r="N18" s="6" t="n"/>
      <c r="O18" s="6" t="n"/>
      <c r="P18" s="6" t="n"/>
      <c r="Q18" s="6" t="n"/>
      <c r="R18" s="6" t="n"/>
    </row>
    <row r="19">
      <c r="A19" s="6" t="inlineStr">
        <is>
          <t>Proceeds from sale and maturity of financial instruments at FVOCI (combined, as reported)</t>
        </is>
      </c>
      <c r="B19" s="6" t="n"/>
      <c r="C19" s="6" t="n">
        <v>2266</v>
      </c>
      <c r="D19" s="6" t="n">
        <v>1868</v>
      </c>
      <c r="E19" s="6" t="n"/>
      <c r="F19" s="6" t="n"/>
      <c r="G19" s="6" t="n"/>
      <c r="H19" s="6" t="n"/>
      <c r="I19" s="6" t="n"/>
      <c r="J19" s="6" t="n"/>
      <c r="K19" s="6" t="n"/>
      <c r="L19" s="6" t="n"/>
      <c r="M19" s="6" t="n"/>
      <c r="N19" s="6" t="n"/>
      <c r="O19" s="6" t="n"/>
      <c r="P19" s="6" t="n"/>
      <c r="Q19" s="6" t="n"/>
      <c r="R19" s="6" t="n"/>
    </row>
    <row r="20">
      <c r="A20" s="6" t="inlineStr">
        <is>
          <t>Purchase of financial assets at FVOCI</t>
        </is>
      </c>
      <c r="B20" s="6" t="n"/>
      <c r="C20" s="6" t="n">
        <v>-2198</v>
      </c>
      <c r="D20" s="6" t="n">
        <v>-2950</v>
      </c>
      <c r="E20" s="6" t="n">
        <v>-2019</v>
      </c>
      <c r="F20" s="6" t="n">
        <v>-521</v>
      </c>
      <c r="G20" s="6" t="n">
        <v>-2838</v>
      </c>
      <c r="H20" s="6" t="n">
        <v>-1647</v>
      </c>
      <c r="I20" s="6" t="n"/>
      <c r="J20" s="6" t="n"/>
      <c r="K20" s="6" t="n"/>
      <c r="L20" s="6" t="n"/>
      <c r="M20" s="6" t="n"/>
      <c r="N20" s="6" t="n"/>
      <c r="O20" s="6" t="n"/>
      <c r="P20" s="6" t="n"/>
      <c r="Q20" s="6" t="n"/>
      <c r="R20" s="6" t="n"/>
    </row>
    <row r="21">
      <c r="A21" s="6" t="inlineStr">
        <is>
          <t>Proceeds from/(purchase of) financial assets available for sale (pre-IFRS 9)</t>
        </is>
      </c>
      <c r="B21" s="6" t="n"/>
      <c r="C21" s="6" t="n"/>
      <c r="D21" s="6" t="n"/>
      <c r="E21" s="6" t="n"/>
      <c r="F21" s="6" t="n"/>
      <c r="G21" s="6" t="n"/>
      <c r="H21" s="6" t="n"/>
      <c r="I21" s="6" t="n">
        <v>822</v>
      </c>
      <c r="J21" s="6" t="n">
        <v>60</v>
      </c>
      <c r="K21" s="6" t="n">
        <v>56</v>
      </c>
      <c r="L21" s="6" t="n">
        <v>0</v>
      </c>
      <c r="M21" s="6" t="n"/>
      <c r="N21" s="6" t="n"/>
      <c r="O21" s="6" t="n"/>
      <c r="P21" s="6" t="n"/>
      <c r="Q21" s="6" t="n"/>
      <c r="R21" s="6" t="n"/>
    </row>
    <row r="22">
      <c r="A22" s="6" t="inlineStr">
        <is>
          <t>Purchase of financial assets available for sale (pre-IFRS 9)</t>
        </is>
      </c>
      <c r="B22" s="6" t="n"/>
      <c r="C22" s="6" t="n"/>
      <c r="D22" s="6" t="n"/>
      <c r="E22" s="6" t="n"/>
      <c r="F22" s="6" t="n"/>
      <c r="G22" s="6" t="n"/>
      <c r="H22" s="6" t="n"/>
      <c r="I22" s="6" t="n">
        <v>-593</v>
      </c>
      <c r="J22" s="6" t="n">
        <v>-492</v>
      </c>
      <c r="K22" s="6" t="n">
        <v>-357</v>
      </c>
      <c r="L22" s="6" t="n">
        <v>-269</v>
      </c>
      <c r="M22" s="6" t="n">
        <v>-251</v>
      </c>
      <c r="N22" s="6" t="n">
        <v>-50</v>
      </c>
      <c r="O22" s="6" t="n"/>
      <c r="P22" s="6" t="n"/>
      <c r="Q22" s="6" t="n">
        <v>-735</v>
      </c>
      <c r="R22" s="6" t="n">
        <v>-1508</v>
      </c>
    </row>
    <row r="23">
      <c r="A23" s="6" t="inlineStr">
        <is>
          <t>Proceeds from maturity of investments (pre-IFRS 9)</t>
        </is>
      </c>
      <c r="B23" s="6" t="n"/>
      <c r="C23" s="6" t="n"/>
      <c r="D23" s="6" t="n"/>
      <c r="E23" s="6" t="n"/>
      <c r="F23" s="6" t="n"/>
      <c r="G23" s="6" t="n"/>
      <c r="H23" s="6" t="n"/>
      <c r="I23" s="6" t="n">
        <v>245</v>
      </c>
      <c r="J23" s="6" t="n">
        <v>20</v>
      </c>
      <c r="K23" s="6" t="n">
        <v>101</v>
      </c>
      <c r="L23" s="6" t="n"/>
      <c r="M23" s="6" t="n">
        <v>50</v>
      </c>
      <c r="N23" s="6" t="n"/>
      <c r="O23" s="6" t="n"/>
      <c r="P23" s="6" t="n"/>
      <c r="Q23" s="6" t="n"/>
      <c r="R23" s="6" t="n"/>
    </row>
    <row r="24">
      <c r="A24" s="6" t="inlineStr">
        <is>
          <t>Proceeds from sale of investments (FY2009-FY2013, as disclosed)</t>
        </is>
      </c>
      <c r="B24" s="6" t="n"/>
      <c r="C24" s="6" t="n"/>
      <c r="D24" s="6" t="n"/>
      <c r="E24" s="6" t="n"/>
      <c r="F24" s="6" t="n"/>
      <c r="G24" s="6" t="n"/>
      <c r="H24" s="6" t="n"/>
      <c r="I24" s="6" t="n"/>
      <c r="J24" s="6" t="n"/>
      <c r="K24" s="6" t="n"/>
      <c r="L24" s="6" t="n"/>
      <c r="M24" s="6" t="n"/>
      <c r="N24" s="6" t="n">
        <v>50</v>
      </c>
      <c r="O24" s="6" t="n">
        <v>71</v>
      </c>
      <c r="P24" s="6" t="n">
        <v>1174</v>
      </c>
      <c r="Q24" s="6" t="n">
        <v>4</v>
      </c>
      <c r="R24" s="6" t="n">
        <v>6</v>
      </c>
    </row>
    <row r="25">
      <c r="A25" s="6" t="inlineStr">
        <is>
          <t>Purchase of held to maturity investments (FY2009, pre-IFRS 9)</t>
        </is>
      </c>
      <c r="B25" s="6" t="n"/>
      <c r="C25" s="6" t="n"/>
      <c r="D25" s="6" t="n"/>
      <c r="E25" s="6" t="n"/>
      <c r="F25" s="6" t="n"/>
      <c r="G25" s="6" t="n"/>
      <c r="H25" s="6" t="n"/>
      <c r="I25" s="6" t="n"/>
      <c r="J25" s="6" t="n"/>
      <c r="K25" s="6" t="n"/>
      <c r="L25" s="6" t="n"/>
      <c r="M25" s="6" t="n"/>
      <c r="N25" s="6" t="n"/>
      <c r="O25" s="6" t="n"/>
      <c r="P25" s="6" t="n"/>
      <c r="Q25" s="6" t="n"/>
      <c r="R25" s="6" t="n">
        <v>-638</v>
      </c>
    </row>
    <row r="26">
      <c r="A26" s="6" t="inlineStr">
        <is>
          <t>Cash inflow from matured held to maturity investments (FY2010, pre-IFRS 9)</t>
        </is>
      </c>
      <c r="B26" s="6" t="n"/>
      <c r="C26" s="6" t="n"/>
      <c r="D26" s="6" t="n"/>
      <c r="E26" s="6" t="n"/>
      <c r="F26" s="6" t="n"/>
      <c r="G26" s="6" t="n"/>
      <c r="H26" s="6" t="n"/>
      <c r="I26" s="6" t="n"/>
      <c r="J26" s="6" t="n"/>
      <c r="K26" s="6" t="n"/>
      <c r="L26" s="6" t="n"/>
      <c r="M26" s="6" t="n"/>
      <c r="N26" s="6" t="n"/>
      <c r="O26" s="6" t="n"/>
      <c r="P26" s="6" t="n"/>
      <c r="Q26" s="6" t="n">
        <v>639</v>
      </c>
      <c r="R26" s="6" t="n"/>
    </row>
    <row r="27">
      <c r="A27" s="6" t="inlineStr">
        <is>
          <t>Investment in joint venture (FY2011 only)</t>
        </is>
      </c>
      <c r="B27" s="6" t="n"/>
      <c r="C27" s="6" t="n"/>
      <c r="D27" s="6" t="n"/>
      <c r="E27" s="6" t="n"/>
      <c r="F27" s="6" t="n"/>
      <c r="G27" s="6" t="n"/>
      <c r="H27" s="6" t="n"/>
      <c r="I27" s="6" t="n"/>
      <c r="J27" s="6" t="n"/>
      <c r="K27" s="6" t="n"/>
      <c r="L27" s="6" t="n"/>
      <c r="M27" s="6" t="n"/>
      <c r="N27" s="6" t="n"/>
      <c r="O27" s="6" t="n"/>
      <c r="P27" s="6" t="n">
        <v>-1</v>
      </c>
      <c r="Q27" s="6" t="n"/>
      <c r="R27" s="6" t="n"/>
    </row>
    <row r="28">
      <c r="A28" s="6" t="inlineStr">
        <is>
          <t>Proceeds from sale of subsidiary (FY2009 only)</t>
        </is>
      </c>
      <c r="B28" s="6" t="n"/>
      <c r="C28" s="6" t="n"/>
      <c r="D28" s="6" t="n"/>
      <c r="E28" s="6" t="n"/>
      <c r="F28" s="6" t="n"/>
      <c r="G28" s="6" t="n"/>
      <c r="H28" s="6" t="n"/>
      <c r="I28" s="6" t="n"/>
      <c r="J28" s="6" t="n"/>
      <c r="K28" s="6" t="n"/>
      <c r="L28" s="6" t="n"/>
      <c r="M28" s="6" t="n"/>
      <c r="N28" s="6" t="n"/>
      <c r="O28" s="6" t="n"/>
      <c r="P28" s="6" t="n"/>
      <c r="Q28" s="6" t="n"/>
      <c r="R28" s="6" t="n">
        <v>2</v>
      </c>
    </row>
    <row r="29">
      <c r="A29" s="6" t="inlineStr">
        <is>
          <t>Cash acquired on acquisition of Virgin Money Holdings (UK) PLC</t>
        </is>
      </c>
      <c r="B29" s="6" t="n"/>
      <c r="C29" s="6" t="n"/>
      <c r="D29" s="6" t="n"/>
      <c r="E29" s="6" t="n"/>
      <c r="F29" s="6" t="n"/>
      <c r="G29" s="6" t="n"/>
      <c r="H29" s="6" t="n">
        <v>4106</v>
      </c>
      <c r="I29" s="6" t="n"/>
      <c r="J29" s="6" t="n"/>
      <c r="K29" s="6" t="n"/>
      <c r="L29" s="6" t="n"/>
      <c r="M29" s="6" t="n"/>
      <c r="N29" s="6" t="n"/>
      <c r="O29" s="6" t="n"/>
      <c r="P29" s="6" t="n"/>
      <c r="Q29" s="6" t="n"/>
      <c r="R29" s="6" t="n"/>
    </row>
    <row r="30">
      <c r="A30" s="6" t="inlineStr">
        <is>
          <t>Purchase of shares in UTM previously held in Virgin Money Holdings (UK) Limited</t>
        </is>
      </c>
      <c r="B30" s="6" t="n"/>
      <c r="C30" s="6" t="n"/>
      <c r="D30" s="6" t="n"/>
      <c r="E30" s="6" t="n">
        <v>-4</v>
      </c>
      <c r="F30" s="6" t="n">
        <v>-12</v>
      </c>
      <c r="G30" s="6" t="n">
        <v>-2</v>
      </c>
      <c r="H30" s="6" t="n">
        <v>45</v>
      </c>
      <c r="I30" s="6" t="n"/>
      <c r="J30" s="6" t="n"/>
      <c r="K30" s="6" t="n"/>
      <c r="L30" s="6" t="n"/>
      <c r="M30" s="6" t="n"/>
      <c r="N30" s="6" t="n"/>
      <c r="O30" s="6" t="n"/>
      <c r="P30" s="6" t="n"/>
      <c r="Q30" s="6" t="n"/>
      <c r="R30" s="6" t="n"/>
    </row>
    <row r="31">
      <c r="A31" s="6" t="inlineStr">
        <is>
          <t>Acquisition of controlled entities</t>
        </is>
      </c>
      <c r="B31" s="6" t="n"/>
      <c r="C31" s="6" t="n">
        <v>-20</v>
      </c>
      <c r="D31" s="6" t="n"/>
      <c r="E31" s="6" t="n"/>
      <c r="F31" s="6" t="n"/>
      <c r="G31" s="6" t="n"/>
      <c r="H31" s="6" t="n"/>
      <c r="I31" s="6" t="n"/>
      <c r="J31" s="6" t="n"/>
      <c r="K31" s="6" t="n"/>
      <c r="L31" s="6" t="n"/>
      <c r="M31" s="6" t="n"/>
      <c r="N31" s="6" t="n"/>
      <c r="O31" s="6" t="n"/>
      <c r="P31" s="6" t="n"/>
      <c r="Q31" s="6" t="n"/>
      <c r="R31" s="6" t="n"/>
    </row>
    <row r="32">
      <c r="A32" s="6" t="inlineStr">
        <is>
          <t>Dividends received</t>
        </is>
      </c>
      <c r="B32" s="6" t="n"/>
      <c r="C32" s="6" t="n"/>
      <c r="D32" s="6" t="n"/>
      <c r="E32" s="6" t="n"/>
      <c r="F32" s="6" t="n"/>
      <c r="G32" s="6" t="n"/>
      <c r="H32" s="6" t="n"/>
      <c r="I32" s="6" t="n"/>
      <c r="J32" s="6" t="n"/>
      <c r="K32" s="6" t="n">
        <v>0</v>
      </c>
      <c r="L32" s="6" t="n"/>
      <c r="M32" s="6" t="n"/>
      <c r="N32" s="6" t="n"/>
      <c r="O32" s="6" t="n"/>
      <c r="P32" s="6" t="n"/>
      <c r="Q32" s="6" t="n"/>
      <c r="R32" s="6" t="n"/>
    </row>
    <row r="33">
      <c r="A33" s="6" t="inlineStr">
        <is>
          <t>Proceeds from sale of property, plant and equipment</t>
        </is>
      </c>
      <c r="B33" s="6" t="n"/>
      <c r="C33" s="6" t="n">
        <v>3</v>
      </c>
      <c r="D33" s="6" t="n">
        <v>1</v>
      </c>
      <c r="E33" s="6" t="n">
        <v>1</v>
      </c>
      <c r="F33" s="6" t="n">
        <v>6</v>
      </c>
      <c r="G33" s="6" t="n">
        <v>5</v>
      </c>
      <c r="H33" s="6" t="n">
        <v>3</v>
      </c>
      <c r="I33" s="6" t="n">
        <v>9</v>
      </c>
      <c r="J33" s="6" t="n">
        <v>19</v>
      </c>
      <c r="K33" s="6" t="n">
        <v>17</v>
      </c>
      <c r="L33" s="6" t="n">
        <v>17</v>
      </c>
      <c r="M33" s="6" t="n">
        <v>41</v>
      </c>
      <c r="N33" s="6" t="n">
        <v>39</v>
      </c>
      <c r="O33" s="6" t="n">
        <v>38</v>
      </c>
      <c r="P33" s="6" t="n">
        <v>33</v>
      </c>
      <c r="Q33" s="6" t="n">
        <v>17</v>
      </c>
      <c r="R33" s="6" t="n">
        <v>66</v>
      </c>
    </row>
    <row r="34">
      <c r="A34" s="6" t="inlineStr">
        <is>
          <t>Purchase of property, plant and equipment</t>
        </is>
      </c>
      <c r="B34" s="6" t="n"/>
      <c r="C34" s="6" t="n">
        <v>-15</v>
      </c>
      <c r="D34" s="6" t="n">
        <v>-9</v>
      </c>
      <c r="E34" s="6" t="n">
        <v>-13</v>
      </c>
      <c r="F34" s="6" t="n">
        <v>-26</v>
      </c>
      <c r="G34" s="6" t="n">
        <v>-14</v>
      </c>
      <c r="H34" s="6" t="n">
        <v>-20</v>
      </c>
      <c r="I34" s="6" t="n">
        <v>-22</v>
      </c>
      <c r="J34" s="6" t="n">
        <v>-21</v>
      </c>
      <c r="K34" s="6" t="n">
        <v>-22</v>
      </c>
      <c r="L34" s="6" t="n">
        <v>-15</v>
      </c>
      <c r="M34" s="6" t="n">
        <v>-16</v>
      </c>
      <c r="N34" s="6" t="n">
        <v>-32</v>
      </c>
      <c r="O34" s="6" t="n">
        <v>-13</v>
      </c>
      <c r="P34" s="6" t="n">
        <v>-41</v>
      </c>
      <c r="Q34" s="6" t="n">
        <v>-73</v>
      </c>
      <c r="R34" s="6" t="n">
        <v>-81</v>
      </c>
    </row>
    <row r="35">
      <c r="A35" s="6" t="inlineStr">
        <is>
          <t>Purchase and development of intangible assets</t>
        </is>
      </c>
      <c r="B35" s="6" t="n"/>
      <c r="C35" s="6" t="n">
        <v>-6</v>
      </c>
      <c r="D35" s="6" t="n">
        <v>-11</v>
      </c>
      <c r="E35" s="6" t="n">
        <v>-53</v>
      </c>
      <c r="F35" s="6" t="n">
        <v>-80</v>
      </c>
      <c r="G35" s="6" t="n">
        <v>-78</v>
      </c>
      <c r="H35" s="6" t="n">
        <v>-130</v>
      </c>
      <c r="I35" s="6" t="n">
        <v>-144</v>
      </c>
      <c r="J35" s="6" t="n">
        <v>-148</v>
      </c>
      <c r="K35" s="6" t="n">
        <v>-99</v>
      </c>
      <c r="L35" s="6" t="n"/>
      <c r="M35" s="6" t="n"/>
      <c r="N35" s="6" t="n"/>
      <c r="O35" s="6" t="n"/>
      <c r="P35" s="6" t="n"/>
      <c r="Q35" s="6" t="n"/>
      <c r="R35" s="6" t="n"/>
    </row>
    <row r="36">
      <c r="A36" s="5" t="inlineStr">
        <is>
          <t>Net cash provided by/(used in) investing activities</t>
        </is>
      </c>
      <c r="B36" s="5" t="n"/>
      <c r="C36" s="5" t="n">
        <v>30</v>
      </c>
      <c r="D36" s="5" t="n">
        <v>-869</v>
      </c>
      <c r="E36" s="5" t="n">
        <v>-1368</v>
      </c>
      <c r="F36" s="5" t="n">
        <v>465</v>
      </c>
      <c r="G36" s="5" t="n">
        <v>-737</v>
      </c>
      <c r="H36" s="5" t="n">
        <v>3396</v>
      </c>
      <c r="I36" s="5" t="n">
        <v>329</v>
      </c>
      <c r="J36" s="5" t="n">
        <v>-550</v>
      </c>
      <c r="K36" s="5" t="n">
        <v>-293</v>
      </c>
      <c r="L36" s="5" t="n">
        <v>-259</v>
      </c>
      <c r="M36" s="5" t="n">
        <v>-168</v>
      </c>
      <c r="N36" s="5" t="n">
        <v>15</v>
      </c>
      <c r="O36" s="5" t="n">
        <v>108</v>
      </c>
      <c r="P36" s="5" t="n">
        <v>1190</v>
      </c>
      <c r="Q36" s="5" t="n">
        <v>-122</v>
      </c>
      <c r="R36" s="5" t="n">
        <v>-2108</v>
      </c>
    </row>
    <row r="37">
      <c r="A37" s="5" t="inlineStr">
        <is>
          <t>Financing activities</t>
        </is>
      </c>
      <c r="B37" s="6" t="n"/>
      <c r="C37" s="6" t="n"/>
      <c r="D37" s="6" t="n"/>
      <c r="E37" s="6" t="n"/>
      <c r="F37" s="6" t="n"/>
      <c r="G37" s="6" t="n"/>
      <c r="H37" s="6" t="n"/>
      <c r="I37" s="6" t="n"/>
      <c r="J37" s="6" t="n"/>
      <c r="K37" s="6" t="n"/>
      <c r="L37" s="6" t="n"/>
      <c r="M37" s="6" t="n"/>
      <c r="N37" s="6" t="n"/>
      <c r="O37" s="6" t="n"/>
      <c r="P37" s="6" t="n"/>
      <c r="Q37" s="6" t="n"/>
      <c r="R37" s="6" t="n"/>
    </row>
    <row r="38">
      <c r="A38" s="6" t="inlineStr">
        <is>
          <t>Interest received (financing)</t>
        </is>
      </c>
      <c r="B38" s="6" t="n"/>
      <c r="C38" s="6" t="n"/>
      <c r="D38" s="6" t="n"/>
      <c r="E38" s="6" t="n"/>
      <c r="F38" s="6" t="n"/>
      <c r="G38" s="6" t="n"/>
      <c r="H38" s="6" t="n"/>
      <c r="I38" s="6" t="n"/>
      <c r="J38" s="6" t="n"/>
      <c r="K38" s="6" t="n">
        <v>1</v>
      </c>
      <c r="L38" s="6" t="n">
        <v>3</v>
      </c>
      <c r="M38" s="6" t="n">
        <v>4</v>
      </c>
      <c r="N38" s="6" t="n">
        <v>5</v>
      </c>
      <c r="O38" s="6" t="n">
        <v>13</v>
      </c>
      <c r="P38" s="6" t="n">
        <v>22</v>
      </c>
      <c r="Q38" s="6" t="n">
        <v>15</v>
      </c>
      <c r="R38" s="6" t="n"/>
    </row>
    <row r="39">
      <c r="A39" s="6" t="inlineStr">
        <is>
          <t>Interest paid (financing)</t>
        </is>
      </c>
      <c r="B39" s="6" t="n"/>
      <c r="C39" s="6" t="n"/>
      <c r="D39" s="6" t="n">
        <v>-743</v>
      </c>
      <c r="E39" s="6" t="n">
        <v>-246</v>
      </c>
      <c r="F39" s="6" t="n">
        <v>-158</v>
      </c>
      <c r="G39" s="6" t="n">
        <v>-87</v>
      </c>
      <c r="H39" s="6" t="n">
        <v>-13</v>
      </c>
      <c r="I39" s="6" t="n">
        <v>-94</v>
      </c>
      <c r="J39" s="6" t="n">
        <v>-89</v>
      </c>
      <c r="K39" s="6" t="n">
        <v>-97</v>
      </c>
      <c r="L39" s="6" t="n">
        <v>-120</v>
      </c>
      <c r="M39" s="6" t="n">
        <v>-132</v>
      </c>
      <c r="N39" s="6" t="n">
        <v>-132</v>
      </c>
      <c r="O39" s="6" t="n">
        <v>-229</v>
      </c>
      <c r="P39" s="6" t="n">
        <v>-141</v>
      </c>
      <c r="Q39" s="6" t="n">
        <v>-115</v>
      </c>
      <c r="R39" s="6" t="n">
        <v>-319</v>
      </c>
    </row>
    <row r="40">
      <c r="A40" s="6" t="inlineStr">
        <is>
          <t>Repayment of principal portion of lease liabilities</t>
        </is>
      </c>
      <c r="B40" s="6" t="n"/>
      <c r="C40" s="6" t="n">
        <v>-40</v>
      </c>
      <c r="D40" s="6" t="n">
        <v>-24</v>
      </c>
      <c r="E40" s="6" t="n">
        <v>-26</v>
      </c>
      <c r="F40" s="6" t="n">
        <v>-28</v>
      </c>
      <c r="G40" s="6" t="n">
        <v>-30</v>
      </c>
      <c r="H40" s="6" t="n"/>
      <c r="I40" s="6" t="n"/>
      <c r="J40" s="6" t="n"/>
      <c r="K40" s="6" t="n"/>
      <c r="L40" s="6" t="n"/>
      <c r="M40" s="6" t="n"/>
      <c r="N40" s="6" t="n"/>
      <c r="O40" s="6" t="n"/>
      <c r="P40" s="6" t="n"/>
      <c r="Q40" s="6" t="n"/>
      <c r="R40" s="6" t="n"/>
    </row>
    <row r="41">
      <c r="A41" s="6" t="inlineStr">
        <is>
          <t>Redemption and principal repayment on RMBS and covered bonds</t>
        </is>
      </c>
      <c r="B41" s="6" t="n"/>
      <c r="C41" s="6" t="n"/>
      <c r="D41" s="6" t="n">
        <v>-1012</v>
      </c>
      <c r="E41" s="6" t="n">
        <v>-1264</v>
      </c>
      <c r="F41" s="6" t="n">
        <v>-1543</v>
      </c>
      <c r="G41" s="6" t="n">
        <v>-1492</v>
      </c>
      <c r="H41" s="6" t="n">
        <v>-2003</v>
      </c>
      <c r="I41" s="6" t="n">
        <v>-1372</v>
      </c>
      <c r="J41" s="6" t="n">
        <v>-740</v>
      </c>
      <c r="K41" s="6" t="n">
        <v>-1029</v>
      </c>
      <c r="L41" s="6" t="n">
        <v>-921</v>
      </c>
      <c r="M41" s="6" t="n">
        <v>-216</v>
      </c>
      <c r="N41" s="6" t="n">
        <v>-613</v>
      </c>
      <c r="O41" s="6" t="n">
        <v>-936</v>
      </c>
      <c r="P41" s="6" t="n">
        <v>-856</v>
      </c>
      <c r="Q41" s="6" t="n">
        <v>-877</v>
      </c>
      <c r="R41" s="6" t="n">
        <v>-1414</v>
      </c>
    </row>
    <row r="42">
      <c r="A42" s="6" t="inlineStr">
        <is>
          <t>Issuance of RMBS and covered bonds</t>
        </is>
      </c>
      <c r="B42" s="6" t="n"/>
      <c r="C42" s="6" t="n"/>
      <c r="D42" s="6" t="n">
        <v>1826</v>
      </c>
      <c r="E42" s="6" t="n">
        <v>2480</v>
      </c>
      <c r="F42" s="6" t="n"/>
      <c r="G42" s="6" t="n">
        <v>491</v>
      </c>
      <c r="H42" s="6" t="n">
        <v>2226</v>
      </c>
      <c r="I42" s="6" t="n">
        <v>1049</v>
      </c>
      <c r="J42" s="6" t="n">
        <v>750</v>
      </c>
      <c r="K42" s="6" t="n">
        <v>750</v>
      </c>
      <c r="L42" s="6" t="n">
        <v>1207</v>
      </c>
      <c r="M42" s="6" t="n">
        <v>601</v>
      </c>
      <c r="N42" s="6" t="n">
        <v>541</v>
      </c>
      <c r="O42" s="6" t="n">
        <v>2644</v>
      </c>
      <c r="P42" s="6" t="n"/>
      <c r="Q42" s="6" t="n"/>
      <c r="R42" s="6" t="n">
        <v>1250</v>
      </c>
    </row>
    <row r="43">
      <c r="A43" s="6" t="inlineStr">
        <is>
          <t>Redemption of subordinated debt / medium-term notes</t>
        </is>
      </c>
      <c r="B43" s="6" t="n"/>
      <c r="C43" s="6" t="n"/>
      <c r="D43" s="6" t="n"/>
      <c r="E43" s="6" t="n"/>
      <c r="F43" s="6" t="n"/>
      <c r="G43" s="6" t="n"/>
      <c r="H43" s="6" t="n"/>
      <c r="I43" s="6" t="n"/>
      <c r="J43" s="6" t="n"/>
      <c r="K43" s="6" t="n">
        <v>-474</v>
      </c>
      <c r="L43" s="6" t="n">
        <v>-989</v>
      </c>
      <c r="M43" s="6" t="n"/>
      <c r="N43" s="6" t="n"/>
      <c r="O43" s="6" t="n">
        <v>-200</v>
      </c>
      <c r="P43" s="6" t="n"/>
      <c r="Q43" s="6" t="n"/>
      <c r="R43" s="6" t="n"/>
    </row>
    <row r="44">
      <c r="A44" s="6" t="inlineStr">
        <is>
          <t>Maturity of medium term notes (FY2012 only)</t>
        </is>
      </c>
      <c r="B44" s="6" t="n"/>
      <c r="C44" s="6" t="n"/>
      <c r="D44" s="6" t="n"/>
      <c r="E44" s="6" t="n"/>
      <c r="F44" s="6" t="n"/>
      <c r="G44" s="6" t="n"/>
      <c r="H44" s="6" t="n"/>
      <c r="I44" s="6" t="n"/>
      <c r="J44" s="6" t="n"/>
      <c r="K44" s="6" t="n"/>
      <c r="L44" s="6" t="n"/>
      <c r="M44" s="6" t="n"/>
      <c r="N44" s="6" t="n"/>
      <c r="O44" s="6" t="n">
        <v>-1898</v>
      </c>
      <c r="P44" s="6" t="n"/>
      <c r="Q44" s="6" t="n"/>
      <c r="R44" s="6" t="n"/>
    </row>
    <row r="45">
      <c r="A45" s="6" t="inlineStr">
        <is>
          <t>Issuance of AT1 securities</t>
        </is>
      </c>
      <c r="B45" s="6" t="n"/>
      <c r="C45" s="6" t="n">
        <v>347</v>
      </c>
      <c r="D45" s="6" t="n"/>
      <c r="E45" s="6" t="n">
        <v>347</v>
      </c>
      <c r="F45" s="6" t="n"/>
      <c r="G45" s="6" t="n"/>
      <c r="H45" s="6" t="n"/>
      <c r="I45" s="6" t="n"/>
      <c r="J45" s="6" t="n"/>
      <c r="K45" s="6" t="n">
        <v>425</v>
      </c>
      <c r="L45" s="6" t="n">
        <v>450</v>
      </c>
      <c r="M45" s="6" t="n"/>
      <c r="N45" s="6" t="n"/>
      <c r="O45" s="6" t="n"/>
      <c r="P45" s="6" t="n"/>
      <c r="Q45" s="6" t="n"/>
      <c r="R45" s="6" t="n"/>
    </row>
    <row r="46">
      <c r="A46" s="6" t="inlineStr">
        <is>
          <t>Redemption of AT1 securities</t>
        </is>
      </c>
      <c r="B46" s="6" t="n"/>
      <c r="C46" s="6" t="n">
        <v>-250</v>
      </c>
      <c r="D46" s="6" t="n">
        <v>-72</v>
      </c>
      <c r="E46" s="6" t="n">
        <v>-384</v>
      </c>
      <c r="F46" s="6" t="n"/>
      <c r="G46" s="6" t="n">
        <v>0</v>
      </c>
      <c r="H46" s="6" t="n">
        <v>-160</v>
      </c>
      <c r="I46" s="6" t="n"/>
      <c r="J46" s="6" t="n"/>
      <c r="K46" s="6" t="n">
        <v>-429</v>
      </c>
      <c r="L46" s="6" t="n"/>
      <c r="M46" s="6" t="n"/>
      <c r="N46" s="6" t="n"/>
      <c r="O46" s="6" t="n"/>
      <c r="P46" s="6" t="n"/>
      <c r="Q46" s="6" t="n"/>
      <c r="R46" s="6" t="n"/>
    </row>
    <row r="47">
      <c r="A47" s="6" t="inlineStr">
        <is>
          <t>Redemption and principal repayment on medium-term notes</t>
        </is>
      </c>
      <c r="B47" s="6" t="n"/>
      <c r="C47" s="6" t="n"/>
      <c r="D47" s="6" t="n"/>
      <c r="E47" s="6" t="n"/>
      <c r="F47" s="6" t="n">
        <v>0</v>
      </c>
      <c r="G47" s="6" t="n">
        <v>-300</v>
      </c>
      <c r="H47" s="6" t="n"/>
      <c r="I47" s="6" t="n"/>
      <c r="J47" s="6" t="n"/>
      <c r="K47" s="6" t="n"/>
      <c r="L47" s="6" t="n"/>
      <c r="M47" s="6" t="n"/>
      <c r="N47" s="6" t="n"/>
      <c r="O47" s="6" t="n"/>
      <c r="P47" s="6" t="n"/>
      <c r="Q47" s="6" t="n"/>
      <c r="R47" s="6" t="n"/>
    </row>
    <row r="48">
      <c r="A48" s="6" t="inlineStr">
        <is>
          <t>Amounts drawn down under the TFSME</t>
        </is>
      </c>
      <c r="B48" s="6" t="n"/>
      <c r="C48" s="6" t="n"/>
      <c r="D48" s="6" t="n"/>
      <c r="E48" s="6" t="n">
        <v>2550</v>
      </c>
      <c r="F48" s="6" t="n">
        <v>3350</v>
      </c>
      <c r="G48" s="6" t="n">
        <v>1300</v>
      </c>
      <c r="H48" s="6" t="n"/>
      <c r="I48" s="6" t="n"/>
      <c r="J48" s="6" t="n"/>
      <c r="K48" s="6" t="n"/>
      <c r="L48" s="6" t="n"/>
      <c r="M48" s="6" t="n"/>
      <c r="N48" s="6" t="n"/>
      <c r="O48" s="6" t="n"/>
      <c r="P48" s="6" t="n"/>
      <c r="Q48" s="6" t="n"/>
      <c r="R48" s="6" t="n"/>
    </row>
    <row r="49">
      <c r="A49" s="6" t="inlineStr">
        <is>
          <t>Amounts repaid under the TFSME</t>
        </is>
      </c>
      <c r="B49" s="6" t="n"/>
      <c r="C49" s="6" t="n"/>
      <c r="D49" s="6" t="n">
        <v>-1000</v>
      </c>
      <c r="E49" s="6" t="n"/>
      <c r="F49" s="6" t="n"/>
      <c r="G49" s="6" t="n"/>
      <c r="H49" s="6" t="n"/>
      <c r="I49" s="6" t="n"/>
      <c r="J49" s="6" t="n"/>
      <c r="K49" s="6" t="n"/>
      <c r="L49" s="6" t="n"/>
      <c r="M49" s="6" t="n"/>
      <c r="N49" s="6" t="n"/>
      <c r="O49" s="6" t="n"/>
      <c r="P49" s="6" t="n"/>
      <c r="Q49" s="6" t="n"/>
      <c r="R49" s="6" t="n"/>
    </row>
    <row r="50">
      <c r="A50" s="6" t="inlineStr">
        <is>
          <t>Amounts drawn down under the TFS</t>
        </is>
      </c>
      <c r="B50" s="6" t="n"/>
      <c r="C50" s="6" t="n"/>
      <c r="D50" s="6" t="n"/>
      <c r="E50" s="6" t="n"/>
      <c r="F50" s="6" t="n"/>
      <c r="G50" s="6" t="n"/>
      <c r="H50" s="6" t="n"/>
      <c r="I50" s="6" t="n">
        <v>1250</v>
      </c>
      <c r="J50" s="6" t="n">
        <v>1900</v>
      </c>
      <c r="K50" s="6" t="n"/>
      <c r="L50" s="6" t="n"/>
      <c r="M50" s="6" t="n"/>
      <c r="N50" s="6" t="n"/>
      <c r="O50" s="6" t="n"/>
      <c r="P50" s="6" t="n"/>
      <c r="Q50" s="6" t="n"/>
      <c r="R50" s="6" t="n"/>
    </row>
    <row r="51">
      <c r="A51" s="6" t="inlineStr">
        <is>
          <t>Amounts repaid under the TFS</t>
        </is>
      </c>
      <c r="B51" s="6" t="n"/>
      <c r="C51" s="6" t="n"/>
      <c r="D51" s="6" t="n"/>
      <c r="E51" s="6" t="n">
        <v>-1244</v>
      </c>
      <c r="F51" s="6" t="n">
        <v>-2864</v>
      </c>
      <c r="G51" s="6" t="n">
        <v>-3234</v>
      </c>
      <c r="H51" s="6" t="n">
        <v>-1295</v>
      </c>
      <c r="I51" s="6" t="n">
        <v>-900</v>
      </c>
      <c r="J51" s="6" t="n"/>
      <c r="K51" s="6" t="n"/>
      <c r="L51" s="6" t="n"/>
      <c r="M51" s="6" t="n"/>
      <c r="N51" s="6" t="n"/>
      <c r="O51" s="6" t="n"/>
      <c r="P51" s="6" t="n"/>
      <c r="Q51" s="6" t="n"/>
      <c r="R51" s="6" t="n"/>
    </row>
    <row r="52">
      <c r="A52" s="6" t="inlineStr">
        <is>
          <t>Proceeds from ordinary shares issued (financing)</t>
        </is>
      </c>
      <c r="B52" s="6" t="n"/>
      <c r="C52" s="6" t="n"/>
      <c r="D52" s="6" t="n"/>
      <c r="E52" s="6" t="n"/>
      <c r="F52" s="6" t="n"/>
      <c r="G52" s="6" t="n"/>
      <c r="H52" s="6" t="n"/>
      <c r="I52" s="6" t="n">
        <v>511</v>
      </c>
      <c r="J52" s="6" t="n">
        <v>178</v>
      </c>
      <c r="K52" s="6" t="n">
        <v>426</v>
      </c>
      <c r="L52" s="6" t="n">
        <v>770</v>
      </c>
      <c r="M52" s="6" t="n">
        <v>600</v>
      </c>
      <c r="N52" s="6" t="n"/>
      <c r="O52" s="6" t="n">
        <v>500</v>
      </c>
      <c r="P52" s="6" t="n">
        <v>100</v>
      </c>
      <c r="Q52" s="6" t="n">
        <v>310</v>
      </c>
      <c r="R52" s="6" t="n">
        <v>300</v>
      </c>
    </row>
    <row r="53">
      <c r="A53" s="6" t="inlineStr">
        <is>
          <t>Proceeds from redeemable preference shares issued (FY2009, FY2011 only)</t>
        </is>
      </c>
      <c r="B53" s="6" t="n"/>
      <c r="C53" s="6" t="n"/>
      <c r="D53" s="6" t="n"/>
      <c r="E53" s="6" t="n"/>
      <c r="F53" s="6" t="n"/>
      <c r="G53" s="6" t="n"/>
      <c r="H53" s="6" t="n"/>
      <c r="I53" s="6" t="n"/>
      <c r="J53" s="6" t="n"/>
      <c r="K53" s="6" t="n"/>
      <c r="L53" s="6" t="n"/>
      <c r="M53" s="6" t="n"/>
      <c r="N53" s="6" t="n"/>
      <c r="O53" s="6" t="n"/>
      <c r="P53" s="6" t="n">
        <v>200</v>
      </c>
      <c r="Q53" s="6" t="n"/>
      <c r="R53" s="6" t="n">
        <v>100</v>
      </c>
    </row>
    <row r="54">
      <c r="A54" s="6" t="inlineStr">
        <is>
          <t>Redemption of preference shares</t>
        </is>
      </c>
      <c r="B54" s="6" t="n"/>
      <c r="C54" s="6" t="n"/>
      <c r="D54" s="6" t="n"/>
      <c r="E54" s="6" t="n"/>
      <c r="F54" s="6" t="n"/>
      <c r="G54" s="6" t="n"/>
      <c r="H54" s="6" t="n"/>
      <c r="I54" s="6" t="n"/>
      <c r="J54" s="6" t="n"/>
      <c r="K54" s="6" t="n"/>
      <c r="L54" s="6" t="n"/>
      <c r="M54" s="6" t="n">
        <v>-300</v>
      </c>
      <c r="N54" s="6" t="n"/>
      <c r="O54" s="6" t="n"/>
      <c r="P54" s="6" t="n"/>
      <c r="Q54" s="6" t="n"/>
      <c r="R54" s="6" t="n"/>
    </row>
    <row r="55">
      <c r="A55" s="6" t="inlineStr">
        <is>
          <t>Share options settled (FY2009-FY2010 only, as disclosed)</t>
        </is>
      </c>
      <c r="B55" s="6" t="n"/>
      <c r="C55" s="6" t="n"/>
      <c r="D55" s="6" t="n"/>
      <c r="E55" s="6" t="n"/>
      <c r="F55" s="6" t="n"/>
      <c r="G55" s="6" t="n"/>
      <c r="H55" s="6" t="n"/>
      <c r="I55" s="6" t="n"/>
      <c r="J55" s="6" t="n"/>
      <c r="K55" s="6" t="n"/>
      <c r="L55" s="6" t="n"/>
      <c r="M55" s="6" t="n"/>
      <c r="N55" s="6" t="n"/>
      <c r="O55" s="6" t="n"/>
      <c r="P55" s="6" t="n"/>
      <c r="Q55" s="6" t="n">
        <v>-17</v>
      </c>
      <c r="R55" s="6" t="n">
        <v>-35</v>
      </c>
    </row>
    <row r="56">
      <c r="A56" s="6" t="inlineStr">
        <is>
          <t>Net (increase)/decrease in amounts due from related entities</t>
        </is>
      </c>
      <c r="B56" s="6" t="n"/>
      <c r="C56" s="6" t="n">
        <v>-55</v>
      </c>
      <c r="D56" s="6" t="n">
        <v>7</v>
      </c>
      <c r="E56" s="6" t="n">
        <v>1</v>
      </c>
      <c r="F56" s="6" t="n">
        <v>9</v>
      </c>
      <c r="G56" s="6" t="n">
        <v>9</v>
      </c>
      <c r="H56" s="6" t="n">
        <v>-12</v>
      </c>
      <c r="I56" s="6" t="n">
        <v>0</v>
      </c>
      <c r="J56" s="6" t="n">
        <v>-2</v>
      </c>
      <c r="K56" s="6" t="n">
        <v>786</v>
      </c>
      <c r="L56" s="6" t="n">
        <v>694</v>
      </c>
      <c r="M56" s="6" t="n">
        <v>-73</v>
      </c>
      <c r="N56" s="6" t="n">
        <v>-152</v>
      </c>
      <c r="O56" s="6" t="n">
        <v>3694</v>
      </c>
      <c r="P56" s="6" t="n">
        <v>-2111</v>
      </c>
      <c r="Q56" s="6" t="n">
        <v>-868</v>
      </c>
      <c r="R56" s="6" t="n">
        <v>-818</v>
      </c>
    </row>
    <row r="57">
      <c r="A57" s="6" t="inlineStr">
        <is>
          <t>Net increase/(decrease) in amounts due to related entities</t>
        </is>
      </c>
      <c r="B57" s="6" t="n"/>
      <c r="C57" s="6" t="n">
        <v>373</v>
      </c>
      <c r="D57" s="6" t="n">
        <v>297</v>
      </c>
      <c r="E57" s="6" t="n">
        <v>9</v>
      </c>
      <c r="F57" s="6" t="n">
        <v>705</v>
      </c>
      <c r="G57" s="6" t="n">
        <v>439</v>
      </c>
      <c r="H57" s="6" t="n">
        <v>611</v>
      </c>
      <c r="I57" s="6" t="n">
        <v>505</v>
      </c>
      <c r="J57" s="6" t="n">
        <v>311</v>
      </c>
      <c r="K57" s="6" t="n">
        <v>407</v>
      </c>
      <c r="L57" s="6" t="n">
        <v>-354</v>
      </c>
      <c r="M57" s="6" t="n">
        <v>-338</v>
      </c>
      <c r="N57" s="6" t="n">
        <v>-4846</v>
      </c>
      <c r="O57" s="6" t="n">
        <v>-233</v>
      </c>
      <c r="P57" s="6" t="n">
        <v>4368</v>
      </c>
      <c r="Q57" s="6" t="n">
        <v>180</v>
      </c>
      <c r="R57" s="6" t="n">
        <v>-1792</v>
      </c>
    </row>
    <row r="58">
      <c r="A58" s="6" t="inlineStr">
        <is>
          <t>AT1 distributions</t>
        </is>
      </c>
      <c r="B58" s="6" t="n"/>
      <c r="C58" s="6" t="n">
        <v>-66</v>
      </c>
      <c r="D58" s="6" t="n">
        <v>-54</v>
      </c>
      <c r="E58" s="6" t="n">
        <v>-60</v>
      </c>
      <c r="F58" s="6" t="n">
        <v>-59</v>
      </c>
      <c r="G58" s="6" t="n">
        <v>-59</v>
      </c>
      <c r="H58" s="6" t="n">
        <v>-41</v>
      </c>
      <c r="I58" s="6" t="n">
        <v>-36</v>
      </c>
      <c r="J58" s="6" t="n">
        <v>-36</v>
      </c>
      <c r="K58" s="6" t="n">
        <v>-19</v>
      </c>
      <c r="L58" s="6" t="n"/>
      <c r="M58" s="6" t="n"/>
      <c r="N58" s="6" t="n"/>
      <c r="O58" s="6" t="n"/>
      <c r="P58" s="6" t="n"/>
      <c r="Q58" s="6" t="n"/>
      <c r="R58" s="6" t="n"/>
    </row>
    <row r="59">
      <c r="A59" s="6" t="inlineStr">
        <is>
          <t>Distributions to non-controlling interests</t>
        </is>
      </c>
      <c r="B59" s="6" t="n"/>
      <c r="C59" s="6" t="n"/>
      <c r="D59" s="6" t="n"/>
      <c r="E59" s="6" t="n"/>
      <c r="F59" s="6" t="n"/>
      <c r="G59" s="6" t="n"/>
      <c r="H59" s="6" t="n">
        <v>-33</v>
      </c>
      <c r="I59" s="6" t="n"/>
      <c r="J59" s="6" t="n"/>
      <c r="K59" s="6" t="n"/>
      <c r="L59" s="6" t="n"/>
      <c r="M59" s="6" t="n"/>
      <c r="N59" s="6" t="n"/>
      <c r="O59" s="6" t="n"/>
      <c r="P59" s="6" t="n"/>
      <c r="Q59" s="6" t="n"/>
      <c r="R59" s="6" t="n"/>
    </row>
    <row r="60">
      <c r="A60" s="6" t="inlineStr">
        <is>
          <t>Ordinary dividends paid</t>
        </is>
      </c>
      <c r="B60" s="6" t="n"/>
      <c r="C60" s="6" t="n">
        <v>-211</v>
      </c>
      <c r="D60" s="6" t="n">
        <v>-248</v>
      </c>
      <c r="E60" s="6" t="n">
        <v>-367</v>
      </c>
      <c r="F60" s="6" t="n">
        <v>-20</v>
      </c>
      <c r="G60" s="6" t="n">
        <v>-20</v>
      </c>
      <c r="H60" s="6" t="n">
        <v>-44</v>
      </c>
      <c r="I60" s="6" t="n">
        <v>-9</v>
      </c>
      <c r="J60" s="6" t="n"/>
      <c r="K60" s="6" t="n">
        <v>-51</v>
      </c>
      <c r="L60" s="6" t="n"/>
      <c r="M60" s="6" t="n">
        <v>-14</v>
      </c>
      <c r="N60" s="6" t="n"/>
      <c r="O60" s="6" t="n"/>
      <c r="P60" s="6" t="n"/>
      <c r="Q60" s="6" t="n"/>
      <c r="R60" s="6" t="n"/>
    </row>
    <row r="61">
      <c r="A61" s="6" t="inlineStr">
        <is>
          <t>Dividends paid (FY2009-FY2013, preference shares - see Statement of Changes in Equity)</t>
        </is>
      </c>
      <c r="B61" s="6" t="n"/>
      <c r="C61" s="6" t="n"/>
      <c r="D61" s="6" t="n"/>
      <c r="E61" s="6" t="n"/>
      <c r="F61" s="6" t="n"/>
      <c r="G61" s="6" t="n"/>
      <c r="H61" s="6" t="n"/>
      <c r="I61" s="6" t="n"/>
      <c r="J61" s="6" t="n"/>
      <c r="K61" s="6" t="n"/>
      <c r="L61" s="6" t="n"/>
      <c r="M61" s="6" t="n"/>
      <c r="N61" s="6" t="n">
        <v>-24</v>
      </c>
      <c r="O61" s="6" t="n">
        <v>-15</v>
      </c>
      <c r="P61" s="6" t="n">
        <v>-21</v>
      </c>
      <c r="Q61" s="6" t="n">
        <v>-12</v>
      </c>
      <c r="R61" s="6" t="n">
        <v>-6</v>
      </c>
    </row>
    <row r="62">
      <c r="A62" s="6" t="inlineStr">
        <is>
          <t>Proceeds from issuance of other equity instruments</t>
        </is>
      </c>
      <c r="B62" s="6" t="n"/>
      <c r="C62" s="6" t="n"/>
      <c r="D62" s="6" t="n"/>
      <c r="E62" s="6" t="n"/>
      <c r="F62" s="6" t="n"/>
      <c r="G62" s="6" t="n">
        <v>0</v>
      </c>
      <c r="H62" s="6" t="n">
        <v>247</v>
      </c>
      <c r="I62" s="6" t="n"/>
      <c r="J62" s="6" t="n"/>
      <c r="K62" s="6" t="n"/>
      <c r="L62" s="6" t="n"/>
      <c r="M62" s="6" t="n"/>
      <c r="N62" s="6" t="n"/>
      <c r="O62" s="6" t="n"/>
      <c r="P62" s="6" t="n"/>
      <c r="Q62" s="6" t="n"/>
      <c r="R62" s="6" t="n"/>
    </row>
    <row r="63">
      <c r="A63" s="6" t="inlineStr">
        <is>
          <t>Proceeds from ordinary shares issued</t>
        </is>
      </c>
      <c r="B63" s="6" t="n"/>
      <c r="C63" s="6" t="n">
        <v>800</v>
      </c>
      <c r="D63" s="6" t="n"/>
      <c r="E63" s="6" t="n"/>
      <c r="F63" s="6" t="n"/>
      <c r="G63" s="6" t="n"/>
      <c r="H63" s="6" t="n"/>
      <c r="I63" s="6" t="n"/>
      <c r="J63" s="6" t="n"/>
      <c r="K63" s="6" t="n"/>
      <c r="L63" s="6" t="n"/>
      <c r="M63" s="6" t="n"/>
      <c r="N63" s="6" t="n"/>
      <c r="O63" s="6" t="n"/>
      <c r="P63" s="6" t="n"/>
      <c r="Q63" s="6" t="n"/>
      <c r="R63" s="6" t="n"/>
    </row>
    <row r="64">
      <c r="A64" s="6" t="inlineStr">
        <is>
          <t>Other financing items, net (equity-based compensation settlements, etc.)</t>
        </is>
      </c>
      <c r="B64" s="6" t="n"/>
      <c r="C64" s="6" t="n"/>
      <c r="D64" s="6" t="n"/>
      <c r="E64" s="6" t="n"/>
      <c r="F64" s="6" t="n"/>
      <c r="G64" s="6" t="n"/>
      <c r="H64" s="6" t="n"/>
      <c r="I64" s="6" t="n"/>
      <c r="J64" s="6" t="n"/>
      <c r="K64" s="6" t="n">
        <v>-7</v>
      </c>
      <c r="L64" s="6" t="n"/>
      <c r="M64" s="6" t="n"/>
      <c r="N64" s="6" t="n"/>
      <c r="O64" s="6" t="n"/>
      <c r="P64" s="6" t="n"/>
      <c r="Q64" s="6" t="n"/>
      <c r="R64" s="6" t="n"/>
    </row>
    <row r="65">
      <c r="A65" s="5" t="inlineStr">
        <is>
          <t>Net cash provided by/(used in) financing activities</t>
        </is>
      </c>
      <c r="B65" s="5" t="n"/>
      <c r="C65" s="5" t="n">
        <v>898</v>
      </c>
      <c r="D65" s="5" t="n">
        <v>-1023</v>
      </c>
      <c r="E65" s="5" t="n">
        <v>1796</v>
      </c>
      <c r="F65" s="5" t="n">
        <v>-608</v>
      </c>
      <c r="G65" s="5" t="n">
        <v>-2983</v>
      </c>
      <c r="H65" s="5" t="n">
        <v>-517</v>
      </c>
      <c r="I65" s="5" t="n">
        <v>905</v>
      </c>
      <c r="J65" s="5" t="n">
        <v>2272</v>
      </c>
      <c r="K65" s="5" t="n">
        <v>688</v>
      </c>
      <c r="L65" s="5" t="n">
        <v>740</v>
      </c>
      <c r="M65" s="5" t="n">
        <v>132</v>
      </c>
      <c r="N65" s="5" t="n">
        <v>-5221</v>
      </c>
      <c r="O65" s="5" t="n">
        <v>3340</v>
      </c>
      <c r="P65" s="5" t="n">
        <v>1561</v>
      </c>
      <c r="Q65" s="5" t="n">
        <v>-1384</v>
      </c>
      <c r="R65" s="5" t="n">
        <v>-2734</v>
      </c>
    </row>
    <row r="66">
      <c r="A66" s="5" t="inlineStr">
        <is>
          <t>Net (decrease)/increase in cash and cash equivalents</t>
        </is>
      </c>
      <c r="B66" s="5" t="n"/>
      <c r="C66" s="5" t="n">
        <v>-293</v>
      </c>
      <c r="D66" s="5" t="n">
        <v>-944</v>
      </c>
      <c r="E66" s="5" t="n">
        <v>2358</v>
      </c>
      <c r="F66" s="5" t="n">
        <v>439</v>
      </c>
      <c r="G66" s="5" t="n">
        <v>-1317</v>
      </c>
      <c r="H66" s="5" t="n">
        <v>3578</v>
      </c>
      <c r="I66" s="5" t="n">
        <v>-410</v>
      </c>
      <c r="J66" s="5" t="n">
        <v>1002</v>
      </c>
      <c r="K66" s="5" t="n">
        <v>-387</v>
      </c>
      <c r="L66" s="5" t="n">
        <v>457</v>
      </c>
      <c r="M66" s="5" t="n">
        <v>-665</v>
      </c>
      <c r="N66" s="5" t="n">
        <v>-1404</v>
      </c>
      <c r="O66" s="5" t="n">
        <v>2105</v>
      </c>
      <c r="P66" s="5" t="n">
        <v>1953</v>
      </c>
      <c r="Q66" s="5" t="n">
        <v>1278</v>
      </c>
      <c r="R66" s="5" t="n">
        <v>-2577</v>
      </c>
    </row>
    <row r="67">
      <c r="A67" s="6" t="inlineStr">
        <is>
          <t>Cash and cash equivalents at the beginning of the period/year</t>
        </is>
      </c>
      <c r="B67" s="6" t="n"/>
      <c r="C67" s="6" t="n">
        <v>10589</v>
      </c>
      <c r="D67" s="6" t="n">
        <v>12611</v>
      </c>
      <c r="E67" s="6" t="n">
        <v>10253</v>
      </c>
      <c r="F67" s="6" t="n">
        <v>9814</v>
      </c>
      <c r="G67" s="6" t="n">
        <v>11131</v>
      </c>
      <c r="H67" s="6" t="n">
        <v>6542</v>
      </c>
      <c r="I67" s="6" t="n">
        <v>6952</v>
      </c>
      <c r="J67" s="6" t="n">
        <v>5950</v>
      </c>
      <c r="K67" s="6" t="n">
        <v>6337</v>
      </c>
      <c r="L67" s="6" t="n">
        <v>5880</v>
      </c>
      <c r="M67" s="6" t="n">
        <v>6545</v>
      </c>
      <c r="N67" s="6" t="n">
        <v>7949</v>
      </c>
      <c r="O67" s="6" t="n">
        <v>5844</v>
      </c>
      <c r="P67" s="6" t="n">
        <v>3891</v>
      </c>
      <c r="Q67" s="6" t="n">
        <v>2613</v>
      </c>
      <c r="R67" s="6" t="n">
        <v>5190</v>
      </c>
    </row>
    <row r="68">
      <c r="A68" s="5" t="inlineStr">
        <is>
          <t>Cash and cash equivalents at the end of the period/year</t>
        </is>
      </c>
      <c r="B68" s="5" t="n"/>
      <c r="C68" s="5" t="n">
        <v>10296</v>
      </c>
      <c r="D68" s="5" t="n">
        <v>11667</v>
      </c>
      <c r="E68" s="5" t="n">
        <v>12611</v>
      </c>
      <c r="F68" s="5" t="n">
        <v>10253</v>
      </c>
      <c r="G68" s="5" t="n">
        <v>9814</v>
      </c>
      <c r="H68" s="5" t="n">
        <v>10120</v>
      </c>
      <c r="I68" s="5" t="n">
        <v>6542</v>
      </c>
      <c r="J68" s="5" t="n">
        <v>6952</v>
      </c>
      <c r="K68" s="5" t="n">
        <v>5950</v>
      </c>
      <c r="L68" s="5" t="n">
        <v>6337</v>
      </c>
      <c r="M68" s="5" t="n">
        <v>5880</v>
      </c>
      <c r="N68" s="5" t="n">
        <v>6545</v>
      </c>
      <c r="O68" s="5" t="n">
        <v>7949</v>
      </c>
      <c r="P68" s="5" t="n">
        <v>5844</v>
      </c>
      <c r="Q68" s="5" t="n">
        <v>3891</v>
      </c>
      <c r="R68" s="5" t="n">
        <v>2613</v>
      </c>
    </row>
    <row r="70" ht="280" customHeight="1">
      <c r="A70"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cash flow is blank: the FY2026 Annual Report and Accounts moved to the FRS 101 Reduced Disclosure Framework and explicitly took the IAS 7 'Statement of Cash Flows' disclosure exemption (p.60) - https://www.virginmoneyukplc.com/downloads/pdf/cb-ara-2026-signed.pdf - available to it as a qualifying subsidiary whose ultimate parent (Nationwide Building Society) publishes consolidated financial statements. No cash flow statement of any kind appears in the FY2026 accounts. See the Nationwide acquisition note above for context (the exemption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0:R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Leverage ratio excluding claims on central banks (%)</t>
        </is>
      </c>
      <c r="B5" s="6" t="inlineStr">
        <is>
          <t>6.3%</t>
        </is>
      </c>
      <c r="C5" s="6" t="inlineStr">
        <is>
          <t>5.5%</t>
        </is>
      </c>
      <c r="D5" s="6" t="inlineStr">
        <is>
          <t>4.9%</t>
        </is>
      </c>
      <c r="E5" s="6" t="inlineStr">
        <is>
          <t>5.1%</t>
        </is>
      </c>
      <c r="F5" s="6" t="inlineStr">
        <is>
          <t>5.1%</t>
        </is>
      </c>
      <c r="G5" s="6" t="inlineStr">
        <is>
          <t>4.8%</t>
        </is>
      </c>
      <c r="H5" s="6" t="inlineStr">
        <is>
          <t>4.4%</t>
        </is>
      </c>
      <c r="I5" s="6" t="inlineStr">
        <is>
          <t>5.6%</t>
        </is>
      </c>
      <c r="J5" s="6" t="inlineStr">
        <is>
          <t>6.2%</t>
        </is>
      </c>
      <c r="K5" s="6" t="inlineStr">
        <is>
          <t>6.8%</t>
        </is>
      </c>
      <c r="L5" s="6" t="inlineStr">
        <is>
          <t>7.2%</t>
        </is>
      </c>
      <c r="M5" s="6" t="inlineStr">
        <is>
          <t>5.7%</t>
        </is>
      </c>
    </row>
    <row r="6">
      <c r="A6" s="6" t="inlineStr">
        <is>
          <t>Leverage ratio including claims on central banks (%)</t>
        </is>
      </c>
      <c r="B6" s="6" t="inlineStr">
        <is>
          <t>5.3%</t>
        </is>
      </c>
      <c r="C6" s="6" t="inlineStr">
        <is>
          <t>5.0%</t>
        </is>
      </c>
      <c r="D6" s="6" t="inlineStr">
        <is>
          <t>4.5%</t>
        </is>
      </c>
      <c r="E6" s="6" t="inlineStr">
        <is>
          <t>4.5%</t>
        </is>
      </c>
      <c r="F6" s="6" t="n"/>
      <c r="G6" s="6" t="n"/>
      <c r="H6" s="6" t="n"/>
      <c r="I6" s="6" t="n"/>
      <c r="J6" s="6" t="n"/>
      <c r="K6" s="6" t="n"/>
      <c r="L6" s="6" t="n"/>
      <c r="M6" s="6" t="n"/>
    </row>
    <row r="7">
      <c r="A7" s="6" t="inlineStr">
        <is>
          <t>UK leverage ratio (%)</t>
        </is>
      </c>
      <c r="B7" s="6" t="n"/>
      <c r="C7" s="6" t="n"/>
      <c r="D7" s="6" t="n"/>
      <c r="E7" s="6" t="n"/>
      <c r="F7" s="6" t="n"/>
      <c r="G7" s="6" t="inlineStr">
        <is>
          <t>4.9%</t>
        </is>
      </c>
      <c r="H7" s="6" t="inlineStr">
        <is>
          <t>4.9%</t>
        </is>
      </c>
      <c r="I7" s="6" t="inlineStr">
        <is>
          <t>6.5%</t>
        </is>
      </c>
      <c r="J7" s="6" t="inlineStr">
        <is>
          <t>7.3%</t>
        </is>
      </c>
      <c r="K7" s="6" t="n"/>
      <c r="L7" s="6" t="n"/>
      <c r="M7" s="6" t="n"/>
    </row>
    <row r="8" ht="60" customHeight="1">
      <c r="A8"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t>
        </is>
      </c>
    </row>
    <row r="10" ht="110" customHeight="1">
      <c r="A10"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Not disclosed</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Not disclosed</t>
        </is>
      </c>
      <c r="F6" s="6" t="inlineStr">
        <is>
          <t>Not disclosed</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Per PRA guidance, NSFR disclosures were not required until reporting reference dates after 1 January 2023 (per the FY2023 Pillar 3 report), so no FY2022 or FY2021 figures exist. FY2014-FY2020 NSFR is the Bank's own voluntary/early estimate under its own interpretation of then-draft Basel III guidance (the Annual Reports say so explicitly), narrative-only (no £m components disclosed), and not directly comparable to the later PRA-mandated NSFR regime.</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c r="G4" s="6" t="n">
        <v>4929</v>
      </c>
      <c r="H4" s="6" t="n">
        <v>4857</v>
      </c>
      <c r="I4" s="6" t="n"/>
      <c r="J4" s="6" t="n"/>
      <c r="K4" s="6" t="n"/>
      <c r="L4" s="6" t="n"/>
      <c r="M4" s="6" t="n"/>
    </row>
    <row r="5">
      <c r="A5" s="6" t="inlineStr">
        <is>
          <t>Eligible senior unsecured securities</t>
        </is>
      </c>
      <c r="B5" s="6" t="n">
        <v>3520</v>
      </c>
      <c r="C5" s="6" t="n">
        <v>3004</v>
      </c>
      <c r="D5" s="6" t="n">
        <v>2707</v>
      </c>
      <c r="E5" s="6" t="n">
        <v>2423</v>
      </c>
      <c r="F5" s="6" t="n"/>
      <c r="G5" s="6" t="n">
        <v>2002</v>
      </c>
      <c r="H5" s="6" t="n">
        <v>1550</v>
      </c>
      <c r="I5" s="6" t="n"/>
      <c r="J5" s="6" t="n"/>
      <c r="K5" s="6" t="n"/>
      <c r="L5" s="6" t="n"/>
      <c r="M5" s="6" t="n"/>
    </row>
    <row r="6">
      <c r="A6" s="6" t="inlineStr">
        <is>
          <t>Total MREL resources</t>
        </is>
      </c>
      <c r="B6" s="6" t="n">
        <v>9267</v>
      </c>
      <c r="C6" s="6" t="n">
        <v>8351</v>
      </c>
      <c r="D6" s="6" t="n">
        <v>8008</v>
      </c>
      <c r="E6" s="6" t="n">
        <v>7711</v>
      </c>
      <c r="F6" s="6" t="n"/>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Not disclosed</t>
        </is>
      </c>
      <c r="G7" s="6" t="inlineStr">
        <is>
          <t>28.4%</t>
        </is>
      </c>
      <c r="H7" s="6" t="inlineStr">
        <is>
          <t>26.6%</t>
        </is>
      </c>
      <c r="I7" s="6" t="inlineStr">
        <is>
          <t>Not disclosed</t>
        </is>
      </c>
      <c r="J7" s="6" t="inlineStr">
        <is>
          <t>Not disclosed</t>
        </is>
      </c>
      <c r="K7" s="6" t="inlineStr">
        <is>
          <t>Not disclosed</t>
        </is>
      </c>
      <c r="L7" s="6" t="inlineStr">
        <is>
          <t>Not disclosed</t>
        </is>
      </c>
      <c r="M7" s="6" t="inlineStr">
        <is>
          <t>Not disclosed</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2026-09-07T15:57:10Z</dcterms:created>
  <dcterms:modified xmlns:dcterms="http://purl.org/dc/terms/" xmlns:xsi="http://www.w3.org/2001/XMLSchema-instance" xsi:type="dcterms:W3CDTF">2026-09-07T15:57:10Z</dcterms:modified>
</cp:coreProperties>
</file>