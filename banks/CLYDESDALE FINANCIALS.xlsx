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Clydesdale Bank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FY2026</t>
        </is>
      </c>
      <c r="C5" s="4" t="inlineStr">
        <is>
          <t>FY2025 (18mo)</t>
        </is>
      </c>
      <c r="D5" s="4" t="inlineStr">
        <is>
          <t>FY2023</t>
        </is>
      </c>
      <c r="E5" s="4" t="inlineStr">
        <is>
          <t>FY2022</t>
        </is>
      </c>
      <c r="F5" s="4" t="inlineStr">
        <is>
          <t>FY2021</t>
        </is>
      </c>
      <c r="J5" t="inlineStr">
        <is>
          <t>FY2021</t>
        </is>
      </c>
      <c r="K5" t="inlineStr">
        <is>
          <t>FY2022</t>
        </is>
      </c>
      <c r="L5" t="inlineStr">
        <is>
          <t>FY2023</t>
        </is>
      </c>
      <c r="M5" t="inlineStr">
        <is>
          <t>FY2025 (18mo)</t>
        </is>
      </c>
      <c r="N5" t="inlineStr">
        <is>
          <t>FY2026</t>
        </is>
      </c>
      <c r="R5" t="inlineStr">
        <is>
          <t>FY2021</t>
        </is>
      </c>
      <c r="S5" t="inlineStr">
        <is>
          <t>FY2022</t>
        </is>
      </c>
      <c r="T5" t="inlineStr">
        <is>
          <t>FY2023</t>
        </is>
      </c>
      <c r="U5" t="inlineStr">
        <is>
          <t>FY2025 (18mo)</t>
        </is>
      </c>
      <c r="V5" t="inlineStr">
        <is>
          <t>FY2026</t>
        </is>
      </c>
    </row>
    <row r="6">
      <c r="A6" s="5" t="inlineStr">
        <is>
          <t>Net cash from/(used in) operating activities</t>
        </is>
      </c>
      <c r="B6" s="5" t="n"/>
      <c r="C6" s="5" t="n">
        <v>-1221</v>
      </c>
      <c r="D6" s="5" t="n">
        <v>948</v>
      </c>
      <c r="E6" s="5" t="n">
        <v>1930</v>
      </c>
      <c r="F6" s="5" t="n">
        <v>582</v>
      </c>
      <c r="I6" t="inlineStr">
        <is>
          <t>Net cash from/(used in) operating activities</t>
        </is>
      </c>
      <c r="J6" t="n">
        <v>582</v>
      </c>
      <c r="K6" t="n">
        <v>1930</v>
      </c>
      <c r="L6" t="n">
        <v>948</v>
      </c>
      <c r="M6" t="n">
        <v>-1221</v>
      </c>
      <c r="Q6" t="inlineStr">
        <is>
          <t>CET1 Ratio</t>
        </is>
      </c>
      <c r="R6" t="n">
        <v>14.9</v>
      </c>
      <c r="S6" t="n">
        <v>14.9</v>
      </c>
      <c r="T6" t="n">
        <v>14.6</v>
      </c>
      <c r="U6" t="n">
        <v>14.2</v>
      </c>
      <c r="V6" t="n">
        <v>14.3</v>
      </c>
    </row>
    <row r="7">
      <c r="A7" s="5" t="inlineStr">
        <is>
          <t>Net cash from/(used in) investing activities</t>
        </is>
      </c>
      <c r="B7" s="5" t="n"/>
      <c r="C7" s="5" t="n">
        <v>30</v>
      </c>
      <c r="D7" s="5" t="n">
        <v>-869</v>
      </c>
      <c r="E7" s="5" t="n">
        <v>-1368</v>
      </c>
      <c r="F7" s="5" t="n">
        <v>465</v>
      </c>
      <c r="I7" t="inlineStr">
        <is>
          <t>Net cash from/(used in) investing activities</t>
        </is>
      </c>
      <c r="J7" t="n">
        <v>465</v>
      </c>
      <c r="K7" t="n">
        <v>-1368</v>
      </c>
      <c r="L7" t="n">
        <v>-869</v>
      </c>
      <c r="M7" t="n">
        <v>30</v>
      </c>
      <c r="Q7" t="inlineStr">
        <is>
          <t>Tier 1 Ratio</t>
        </is>
      </c>
      <c r="R7" t="n">
        <v>17.7</v>
      </c>
      <c r="S7" t="n">
        <v>17.7</v>
      </c>
      <c r="T7" t="n">
        <v>17</v>
      </c>
      <c r="U7" t="n">
        <v>16.7</v>
      </c>
      <c r="V7" t="n">
        <v>16.6</v>
      </c>
    </row>
    <row r="8">
      <c r="A8" s="5" t="inlineStr">
        <is>
          <t>Net cash from/(used in) financing activities</t>
        </is>
      </c>
      <c r="B8" s="5" t="n"/>
      <c r="C8" s="5" t="n">
        <v>898</v>
      </c>
      <c r="D8" s="5" t="n">
        <v>-1023</v>
      </c>
      <c r="E8" s="5" t="n">
        <v>1796</v>
      </c>
      <c r="F8" s="5" t="n">
        <v>-608</v>
      </c>
      <c r="I8" t="inlineStr">
        <is>
          <t>Net cash from/(used in) financing activities</t>
        </is>
      </c>
      <c r="J8" t="n">
        <v>-608</v>
      </c>
      <c r="K8" t="n">
        <v>1796</v>
      </c>
      <c r="L8" t="n">
        <v>-1023</v>
      </c>
      <c r="M8" t="n">
        <v>898</v>
      </c>
      <c r="Q8" t="inlineStr">
        <is>
          <t>Total Capital Ratio</t>
        </is>
      </c>
      <c r="R8" t="n">
        <v>21.9</v>
      </c>
      <c r="S8" t="n">
        <v>21.9</v>
      </c>
      <c r="T8" t="n">
        <v>21.1</v>
      </c>
      <c r="U8" t="n">
        <v>19.4</v>
      </c>
      <c r="V8" t="n">
        <v>19.3</v>
      </c>
    </row>
    <row r="9">
      <c r="A9" s="5" t="inlineStr">
        <is>
          <t>Cash and cash equivalents at end of period/year</t>
        </is>
      </c>
      <c r="B9" s="5" t="n"/>
      <c r="C9" s="5" t="n">
        <v>10296</v>
      </c>
      <c r="D9" s="5" t="n">
        <v>11667</v>
      </c>
      <c r="E9" s="5" t="n">
        <v>12611</v>
      </c>
      <c r="F9" s="5" t="n">
        <v>10253</v>
      </c>
      <c r="I9" t="inlineStr">
        <is>
          <t>Cash and cash equivalents at end of period/year</t>
        </is>
      </c>
      <c r="J9" t="n">
        <v>10253</v>
      </c>
      <c r="K9" t="n">
        <v>12611</v>
      </c>
      <c r="L9" t="n">
        <v>11667</v>
      </c>
      <c r="M9" t="n">
        <v>10296</v>
      </c>
      <c r="Q9" t="inlineStr">
        <is>
          <t>Leverage Ratio</t>
        </is>
      </c>
      <c r="R9" t="n">
        <v>5.1</v>
      </c>
      <c r="S9" t="n">
        <v>5.1</v>
      </c>
      <c r="T9" t="n">
        <v>4.9</v>
      </c>
      <c r="U9" t="n">
        <v>5.5</v>
      </c>
      <c r="V9" t="n">
        <v>6.3</v>
      </c>
    </row>
    <row r="10">
      <c r="Q10" t="inlineStr">
        <is>
          <t>LCR</t>
        </is>
      </c>
      <c r="S10" t="n">
        <v>140</v>
      </c>
      <c r="T10" t="n">
        <v>146</v>
      </c>
      <c r="U10" t="n">
        <v>158</v>
      </c>
      <c r="V10" t="n">
        <v>164</v>
      </c>
    </row>
    <row r="11">
      <c r="A11" s="3" t="inlineStr">
        <is>
          <t>Pillar 3 Key Metrics</t>
        </is>
      </c>
      <c r="Q11" t="inlineStr">
        <is>
          <t>NSFR</t>
        </is>
      </c>
      <c r="T11" t="n">
        <v>136</v>
      </c>
      <c r="U11" t="n">
        <v>142</v>
      </c>
      <c r="V11" t="n">
        <v>143</v>
      </c>
    </row>
    <row r="12">
      <c r="A12" s="4" t="inlineStr">
        <is>
          <t>Line item</t>
        </is>
      </c>
      <c r="B12" s="4" t="inlineStr">
        <is>
          <t>FY2026</t>
        </is>
      </c>
      <c r="C12" s="4" t="inlineStr">
        <is>
          <t>FY2025 (18mo)</t>
        </is>
      </c>
      <c r="D12" s="4" t="inlineStr">
        <is>
          <t>FY2023</t>
        </is>
      </c>
      <c r="E12" s="4" t="inlineStr">
        <is>
          <t>FY2022</t>
        </is>
      </c>
      <c r="F12" s="4" t="inlineStr">
        <is>
          <t>FY2021</t>
        </is>
      </c>
    </row>
    <row r="13">
      <c r="A13" s="6" t="inlineStr">
        <is>
          <t>CET1 Ratio</t>
        </is>
      </c>
      <c r="B13" s="6" t="inlineStr">
        <is>
          <t>14.3%</t>
        </is>
      </c>
      <c r="C13" s="6" t="inlineStr">
        <is>
          <t>14.2%</t>
        </is>
      </c>
      <c r="D13" s="6" t="inlineStr">
        <is>
          <t>14.6%</t>
        </is>
      </c>
      <c r="E13" s="6" t="inlineStr">
        <is>
          <t>14.9%</t>
        </is>
      </c>
      <c r="F13" s="6" t="inlineStr">
        <is>
          <t>14.9%</t>
        </is>
      </c>
    </row>
    <row r="14">
      <c r="A14" s="6" t="inlineStr">
        <is>
          <t>Tier 1 Ratio</t>
        </is>
      </c>
      <c r="B14" s="6" t="inlineStr">
        <is>
          <t>16.6%</t>
        </is>
      </c>
      <c r="C14" s="6" t="inlineStr">
        <is>
          <t>16.7%</t>
        </is>
      </c>
      <c r="D14" s="6" t="inlineStr">
        <is>
          <t>17.0%</t>
        </is>
      </c>
      <c r="E14" s="6" t="inlineStr">
        <is>
          <t>17.7%</t>
        </is>
      </c>
      <c r="F14" s="6" t="inlineStr">
        <is>
          <t>17.7%</t>
        </is>
      </c>
    </row>
    <row r="15">
      <c r="A15" s="6" t="inlineStr">
        <is>
          <t>Total Capital Ratio</t>
        </is>
      </c>
      <c r="B15" s="6" t="inlineStr">
        <is>
          <t>19.3%</t>
        </is>
      </c>
      <c r="C15" s="6" t="inlineStr">
        <is>
          <t>19.4%</t>
        </is>
      </c>
      <c r="D15" s="6" t="inlineStr">
        <is>
          <t>21.1%</t>
        </is>
      </c>
      <c r="E15" s="6" t="inlineStr">
        <is>
          <t>21.9%</t>
        </is>
      </c>
      <c r="F15" s="6" t="inlineStr">
        <is>
          <t>21.9%</t>
        </is>
      </c>
    </row>
    <row r="16">
      <c r="A16" s="6" t="inlineStr">
        <is>
          <t>Leverage Ratio</t>
        </is>
      </c>
      <c r="B16" s="6" t="inlineStr">
        <is>
          <t>6.3%</t>
        </is>
      </c>
      <c r="C16" s="6" t="inlineStr">
        <is>
          <t>5.5%</t>
        </is>
      </c>
      <c r="D16" s="6" t="inlineStr">
        <is>
          <t>4.9%</t>
        </is>
      </c>
      <c r="E16" s="6" t="inlineStr">
        <is>
          <t>5.1%</t>
        </is>
      </c>
      <c r="F16" s="6" t="inlineStr">
        <is>
          <t>5.1%</t>
        </is>
      </c>
    </row>
    <row r="17">
      <c r="A17" s="6" t="inlineStr">
        <is>
          <t>LCR</t>
        </is>
      </c>
      <c r="B17" s="6" t="inlineStr">
        <is>
          <t>164%</t>
        </is>
      </c>
      <c r="C17" s="6" t="inlineStr">
        <is>
          <t>158%</t>
        </is>
      </c>
      <c r="D17" s="6" t="inlineStr">
        <is>
          <t>146%</t>
        </is>
      </c>
      <c r="E17" s="6" t="inlineStr">
        <is>
          <t>140%</t>
        </is>
      </c>
      <c r="F17" s="6" t="n"/>
    </row>
    <row r="18">
      <c r="A18" s="6" t="inlineStr">
        <is>
          <t>NSFR</t>
        </is>
      </c>
      <c r="B18" s="6" t="inlineStr">
        <is>
          <t>143%</t>
        </is>
      </c>
      <c r="C18" s="6" t="inlineStr">
        <is>
          <t>142%</t>
        </is>
      </c>
      <c r="D18" s="6" t="inlineStr">
        <is>
          <t>136%</t>
        </is>
      </c>
      <c r="E18" s="6" t="n"/>
      <c r="F18" s="6" t="n"/>
    </row>
    <row r="20" ht="45" customHeight="1">
      <c r="A2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on ordinary activities before tax</t>
        </is>
      </c>
      <c r="B5" s="6" t="n"/>
      <c r="C5" s="6" t="n">
        <v>186</v>
      </c>
      <c r="D5" s="6" t="n">
        <v>344</v>
      </c>
      <c r="E5" s="6" t="n">
        <v>590</v>
      </c>
      <c r="F5" s="6" t="n">
        <v>416</v>
      </c>
    </row>
    <row r="6">
      <c r="A6" s="6" t="inlineStr">
        <is>
          <t>Non-cash or non-operating items included in profit before tax</t>
        </is>
      </c>
      <c r="B6" s="6" t="n"/>
      <c r="C6" s="6" t="n">
        <v>368</v>
      </c>
      <c r="D6" s="6" t="n">
        <v>-1203</v>
      </c>
      <c r="E6" s="6" t="n">
        <v>-1306</v>
      </c>
      <c r="F6" s="6" t="n">
        <v>-1221</v>
      </c>
    </row>
    <row r="7">
      <c r="A7" s="6" t="inlineStr">
        <is>
          <t>Changes in operating assets</t>
        </is>
      </c>
      <c r="B7" s="6" t="n"/>
      <c r="C7" s="6" t="n"/>
      <c r="D7" s="6" t="n">
        <v>-551</v>
      </c>
      <c r="E7" s="6" t="n">
        <v>1213</v>
      </c>
      <c r="F7" s="6" t="n">
        <v>819</v>
      </c>
    </row>
    <row r="8">
      <c r="A8" s="6" t="inlineStr">
        <is>
          <t>Changes in operating liabilities</t>
        </is>
      </c>
      <c r="B8" s="6" t="n"/>
      <c r="C8" s="6" t="n"/>
      <c r="D8" s="6" t="n">
        <v>284</v>
      </c>
      <c r="E8" s="6" t="n">
        <v>-240</v>
      </c>
      <c r="F8" s="6" t="n">
        <v>-1026</v>
      </c>
    </row>
    <row r="9">
      <c r="A9" s="6" t="inlineStr">
        <is>
          <t>Changes in operating assets and liabilities (combined, as reported)</t>
        </is>
      </c>
      <c r="B9" s="6" t="n"/>
      <c r="C9" s="6" t="n">
        <v>-1738</v>
      </c>
      <c r="D9" s="6" t="n"/>
      <c r="E9" s="6" t="n"/>
      <c r="F9" s="6" t="n"/>
    </row>
    <row r="10">
      <c r="A10" s="6" t="inlineStr">
        <is>
          <t>Payments for short-term and low value leases</t>
        </is>
      </c>
      <c r="B10" s="6" t="n"/>
      <c r="C10" s="6" t="n"/>
      <c r="D10" s="6" t="n">
        <v>-3</v>
      </c>
      <c r="E10" s="6" t="n">
        <v>-2</v>
      </c>
      <c r="F10" s="6" t="n">
        <v>-1</v>
      </c>
    </row>
    <row r="11">
      <c r="A11" s="6" t="inlineStr">
        <is>
          <t>Interest received (operating)</t>
        </is>
      </c>
      <c r="B11" s="6" t="n"/>
      <c r="C11" s="6" t="n"/>
      <c r="D11" s="6" t="n">
        <v>3300</v>
      </c>
      <c r="E11" s="6" t="n">
        <v>2112</v>
      </c>
      <c r="F11" s="6" t="n">
        <v>2088</v>
      </c>
    </row>
    <row r="12">
      <c r="A12" s="6" t="inlineStr">
        <is>
          <t>Interest paid (operating)</t>
        </is>
      </c>
      <c r="B12" s="6" t="n"/>
      <c r="C12" s="6" t="n"/>
      <c r="D12" s="6" t="n">
        <v>-1173</v>
      </c>
      <c r="E12" s="6" t="n">
        <v>-378</v>
      </c>
      <c r="F12" s="6" t="n">
        <v>-461</v>
      </c>
    </row>
    <row r="13">
      <c r="A13" s="6" t="inlineStr">
        <is>
          <t>Tax paid including group relief</t>
        </is>
      </c>
      <c r="B13" s="6" t="n"/>
      <c r="C13" s="6" t="n">
        <v>-37</v>
      </c>
      <c r="D13" s="6" t="n">
        <v>-50</v>
      </c>
      <c r="E13" s="6" t="n">
        <v>-59</v>
      </c>
      <c r="F13" s="6" t="n">
        <v>-32</v>
      </c>
    </row>
    <row r="14">
      <c r="A14" s="5" t="inlineStr">
        <is>
          <t>Net cash provided by/(used in) operating activities</t>
        </is>
      </c>
      <c r="B14" s="5" t="n"/>
      <c r="C14" s="5" t="n">
        <v>-1221</v>
      </c>
      <c r="D14" s="5" t="n">
        <v>948</v>
      </c>
      <c r="E14" s="5" t="n">
        <v>1930</v>
      </c>
      <c r="F14" s="5" t="n">
        <v>582</v>
      </c>
    </row>
    <row r="15">
      <c r="A15" s="5" t="inlineStr">
        <is>
          <t>Investing activities</t>
        </is>
      </c>
      <c r="B15" s="6" t="n"/>
      <c r="C15" s="6" t="n"/>
      <c r="D15" s="6" t="n"/>
      <c r="E15" s="6" t="n"/>
      <c r="F15" s="6" t="n"/>
    </row>
    <row r="16">
      <c r="A16" s="6" t="inlineStr">
        <is>
          <t>Interest received (investing)</t>
        </is>
      </c>
      <c r="B16" s="6" t="n"/>
      <c r="C16" s="6" t="n"/>
      <c r="D16" s="6" t="n">
        <v>232</v>
      </c>
      <c r="E16" s="6" t="n">
        <v>47</v>
      </c>
      <c r="F16" s="6" t="n">
        <v>19</v>
      </c>
    </row>
    <row r="17">
      <c r="A17" s="6" t="inlineStr">
        <is>
          <t>Proceeds from maturity of financial instruments at FVOCI</t>
        </is>
      </c>
      <c r="B17" s="6" t="n"/>
      <c r="C17" s="6" t="n"/>
      <c r="D17" s="6" t="n"/>
      <c r="E17" s="6" t="n">
        <v>479</v>
      </c>
      <c r="F17" s="6" t="n">
        <v>1079</v>
      </c>
    </row>
    <row r="18">
      <c r="A18" s="6" t="inlineStr">
        <is>
          <t>Proceeds from sale of financial assets at FVOCI</t>
        </is>
      </c>
      <c r="B18" s="6" t="n"/>
      <c r="C18" s="6" t="n"/>
      <c r="D18" s="6" t="n"/>
      <c r="E18" s="6" t="n">
        <v>194</v>
      </c>
      <c r="F18" s="6" t="n"/>
    </row>
    <row r="19">
      <c r="A19" s="6" t="inlineStr">
        <is>
          <t>Proceeds from sale and maturity of financial instruments at FVOCI (combined, as reported)</t>
        </is>
      </c>
      <c r="B19" s="6" t="n"/>
      <c r="C19" s="6" t="n">
        <v>2266</v>
      </c>
      <c r="D19" s="6" t="n">
        <v>1868</v>
      </c>
      <c r="E19" s="6" t="n"/>
      <c r="F19" s="6" t="n"/>
    </row>
    <row r="20">
      <c r="A20" s="6" t="inlineStr">
        <is>
          <t>Purchase of financial assets at FVOCI</t>
        </is>
      </c>
      <c r="B20" s="6" t="n"/>
      <c r="C20" s="6" t="n">
        <v>-2198</v>
      </c>
      <c r="D20" s="6" t="n">
        <v>-2950</v>
      </c>
      <c r="E20" s="6" t="n">
        <v>-2019</v>
      </c>
      <c r="F20" s="6" t="n">
        <v>-521</v>
      </c>
    </row>
    <row r="21">
      <c r="A21" s="6" t="inlineStr">
        <is>
          <t>Purchase of shares in UTM previously held in Virgin Money Holdings (UK) Limited</t>
        </is>
      </c>
      <c r="B21" s="6" t="n"/>
      <c r="C21" s="6" t="n"/>
      <c r="D21" s="6" t="n"/>
      <c r="E21" s="6" t="n">
        <v>-4</v>
      </c>
      <c r="F21" s="6" t="n">
        <v>-12</v>
      </c>
    </row>
    <row r="22">
      <c r="A22" s="6" t="inlineStr">
        <is>
          <t>Acquisition of controlled entities</t>
        </is>
      </c>
      <c r="B22" s="6" t="n"/>
      <c r="C22" s="6" t="n">
        <v>-20</v>
      </c>
      <c r="D22" s="6" t="n"/>
      <c r="E22" s="6" t="n"/>
      <c r="F22" s="6" t="n"/>
    </row>
    <row r="23">
      <c r="A23" s="6" t="inlineStr">
        <is>
          <t>Proceeds from sale of property, plant and equipment</t>
        </is>
      </c>
      <c r="B23" s="6" t="n"/>
      <c r="C23" s="6" t="n">
        <v>3</v>
      </c>
      <c r="D23" s="6" t="n">
        <v>1</v>
      </c>
      <c r="E23" s="6" t="n">
        <v>1</v>
      </c>
      <c r="F23" s="6" t="n">
        <v>6</v>
      </c>
    </row>
    <row r="24">
      <c r="A24" s="6" t="inlineStr">
        <is>
          <t>Purchase of property, plant and equipment</t>
        </is>
      </c>
      <c r="B24" s="6" t="n"/>
      <c r="C24" s="6" t="n">
        <v>-15</v>
      </c>
      <c r="D24" s="6" t="n">
        <v>-9</v>
      </c>
      <c r="E24" s="6" t="n">
        <v>-13</v>
      </c>
      <c r="F24" s="6" t="n">
        <v>-26</v>
      </c>
    </row>
    <row r="25">
      <c r="A25" s="6" t="inlineStr">
        <is>
          <t>Purchase and development of intangible assets</t>
        </is>
      </c>
      <c r="B25" s="6" t="n"/>
      <c r="C25" s="6" t="n">
        <v>-6</v>
      </c>
      <c r="D25" s="6" t="n">
        <v>-11</v>
      </c>
      <c r="E25" s="6" t="n">
        <v>-53</v>
      </c>
      <c r="F25" s="6" t="n">
        <v>-80</v>
      </c>
    </row>
    <row r="26">
      <c r="A26" s="5" t="inlineStr">
        <is>
          <t>Net cash provided by/(used in) investing activities</t>
        </is>
      </c>
      <c r="B26" s="5" t="n"/>
      <c r="C26" s="5" t="n">
        <v>30</v>
      </c>
      <c r="D26" s="5" t="n">
        <v>-869</v>
      </c>
      <c r="E26" s="5" t="n">
        <v>-1368</v>
      </c>
      <c r="F26" s="5" t="n">
        <v>465</v>
      </c>
    </row>
    <row r="27">
      <c r="A27" s="5" t="inlineStr">
        <is>
          <t>Financing activities</t>
        </is>
      </c>
      <c r="B27" s="6" t="n"/>
      <c r="C27" s="6" t="n"/>
      <c r="D27" s="6" t="n"/>
      <c r="E27" s="6" t="n"/>
      <c r="F27" s="6" t="n"/>
    </row>
    <row r="28">
      <c r="A28" s="6" t="inlineStr">
        <is>
          <t>Interest paid (financing)</t>
        </is>
      </c>
      <c r="B28" s="6" t="n"/>
      <c r="C28" s="6" t="n"/>
      <c r="D28" s="6" t="n">
        <v>-743</v>
      </c>
      <c r="E28" s="6" t="n">
        <v>-246</v>
      </c>
      <c r="F28" s="6" t="n">
        <v>-158</v>
      </c>
    </row>
    <row r="29">
      <c r="A29" s="6" t="inlineStr">
        <is>
          <t>Repayment of principal portion of lease liabilities</t>
        </is>
      </c>
      <c r="B29" s="6" t="n"/>
      <c r="C29" s="6" t="n">
        <v>-40</v>
      </c>
      <c r="D29" s="6" t="n">
        <v>-24</v>
      </c>
      <c r="E29" s="6" t="n">
        <v>-26</v>
      </c>
      <c r="F29" s="6" t="n">
        <v>-28</v>
      </c>
    </row>
    <row r="30">
      <c r="A30" s="6" t="inlineStr">
        <is>
          <t>Redemption and principal repayment on RMBS and covered bonds</t>
        </is>
      </c>
      <c r="B30" s="6" t="n"/>
      <c r="C30" s="6" t="n"/>
      <c r="D30" s="6" t="n">
        <v>-1012</v>
      </c>
      <c r="E30" s="6" t="n">
        <v>-1264</v>
      </c>
      <c r="F30" s="6" t="n">
        <v>-1543</v>
      </c>
    </row>
    <row r="31">
      <c r="A31" s="6" t="inlineStr">
        <is>
          <t>Issuance of RMBS and covered bonds</t>
        </is>
      </c>
      <c r="B31" s="6" t="n"/>
      <c r="C31" s="6" t="n"/>
      <c r="D31" s="6" t="n">
        <v>1826</v>
      </c>
      <c r="E31" s="6" t="n">
        <v>2480</v>
      </c>
      <c r="F31" s="6" t="n"/>
    </row>
    <row r="32">
      <c r="A32" s="6" t="inlineStr">
        <is>
          <t>Issuance of AT1 securities</t>
        </is>
      </c>
      <c r="B32" s="6" t="n"/>
      <c r="C32" s="6" t="n">
        <v>347</v>
      </c>
      <c r="D32" s="6" t="n"/>
      <c r="E32" s="6" t="n">
        <v>347</v>
      </c>
      <c r="F32" s="6" t="n"/>
    </row>
    <row r="33">
      <c r="A33" s="6" t="inlineStr">
        <is>
          <t>Redemption of AT1 securities</t>
        </is>
      </c>
      <c r="B33" s="6" t="n"/>
      <c r="C33" s="6" t="n">
        <v>-250</v>
      </c>
      <c r="D33" s="6" t="n">
        <v>-72</v>
      </c>
      <c r="E33" s="6" t="n">
        <v>-384</v>
      </c>
      <c r="F33" s="6" t="n"/>
    </row>
    <row r="34">
      <c r="A34" s="6" t="inlineStr">
        <is>
          <t>Redemption and principal repayment on medium-term notes</t>
        </is>
      </c>
      <c r="B34" s="6" t="n"/>
      <c r="C34" s="6" t="n"/>
      <c r="D34" s="6" t="n"/>
      <c r="E34" s="6" t="n"/>
      <c r="F34" s="6" t="n">
        <v>0</v>
      </c>
    </row>
    <row r="35">
      <c r="A35" s="6" t="inlineStr">
        <is>
          <t>Amounts drawn down under the TFSME</t>
        </is>
      </c>
      <c r="B35" s="6" t="n"/>
      <c r="C35" s="6" t="n"/>
      <c r="D35" s="6" t="n"/>
      <c r="E35" s="6" t="n">
        <v>2550</v>
      </c>
      <c r="F35" s="6" t="n">
        <v>3350</v>
      </c>
    </row>
    <row r="36">
      <c r="A36" s="6" t="inlineStr">
        <is>
          <t>Amounts repaid under the TFSME</t>
        </is>
      </c>
      <c r="B36" s="6" t="n"/>
      <c r="C36" s="6" t="n"/>
      <c r="D36" s="6" t="n">
        <v>-1000</v>
      </c>
      <c r="E36" s="6" t="n"/>
      <c r="F36" s="6" t="n"/>
    </row>
    <row r="37">
      <c r="A37" s="6" t="inlineStr">
        <is>
          <t>Amounts repaid under the TFS</t>
        </is>
      </c>
      <c r="B37" s="6" t="n"/>
      <c r="C37" s="6" t="n"/>
      <c r="D37" s="6" t="n"/>
      <c r="E37" s="6" t="n">
        <v>-1244</v>
      </c>
      <c r="F37" s="6" t="n">
        <v>-2864</v>
      </c>
    </row>
    <row r="38">
      <c r="A38" s="6" t="inlineStr">
        <is>
          <t>Net (increase)/decrease in amounts due from related entities</t>
        </is>
      </c>
      <c r="B38" s="6" t="n"/>
      <c r="C38" s="6" t="n">
        <v>-55</v>
      </c>
      <c r="D38" s="6" t="n">
        <v>7</v>
      </c>
      <c r="E38" s="6" t="n">
        <v>1</v>
      </c>
      <c r="F38" s="6" t="n">
        <v>9</v>
      </c>
    </row>
    <row r="39">
      <c r="A39" s="6" t="inlineStr">
        <is>
          <t>Net increase/(decrease) in amounts due to related entities</t>
        </is>
      </c>
      <c r="B39" s="6" t="n"/>
      <c r="C39" s="6" t="n">
        <v>373</v>
      </c>
      <c r="D39" s="6" t="n">
        <v>297</v>
      </c>
      <c r="E39" s="6" t="n">
        <v>9</v>
      </c>
      <c r="F39" s="6" t="n">
        <v>705</v>
      </c>
    </row>
    <row r="40">
      <c r="A40" s="6" t="inlineStr">
        <is>
          <t>AT1 distributions</t>
        </is>
      </c>
      <c r="B40" s="6" t="n"/>
      <c r="C40" s="6" t="n">
        <v>-66</v>
      </c>
      <c r="D40" s="6" t="n">
        <v>-54</v>
      </c>
      <c r="E40" s="6" t="n">
        <v>-60</v>
      </c>
      <c r="F40" s="6" t="n">
        <v>-59</v>
      </c>
    </row>
    <row r="41">
      <c r="A41" s="6" t="inlineStr">
        <is>
          <t>Ordinary dividends paid</t>
        </is>
      </c>
      <c r="B41" s="6" t="n"/>
      <c r="C41" s="6" t="n">
        <v>-211</v>
      </c>
      <c r="D41" s="6" t="n">
        <v>-248</v>
      </c>
      <c r="E41" s="6" t="n">
        <v>-367</v>
      </c>
      <c r="F41" s="6" t="n">
        <v>-20</v>
      </c>
    </row>
    <row r="42">
      <c r="A42" s="6" t="inlineStr">
        <is>
          <t>Proceeds from ordinary shares issued</t>
        </is>
      </c>
      <c r="B42" s="6" t="n"/>
      <c r="C42" s="6" t="n">
        <v>800</v>
      </c>
      <c r="D42" s="6" t="n"/>
      <c r="E42" s="6" t="n"/>
      <c r="F42" s="6" t="n"/>
    </row>
    <row r="43">
      <c r="A43" s="5" t="inlineStr">
        <is>
          <t>Net cash provided by/(used in) financing activities</t>
        </is>
      </c>
      <c r="B43" s="5" t="n"/>
      <c r="C43" s="5" t="n">
        <v>898</v>
      </c>
      <c r="D43" s="5" t="n">
        <v>-1023</v>
      </c>
      <c r="E43" s="5" t="n">
        <v>1796</v>
      </c>
      <c r="F43" s="5" t="n">
        <v>-608</v>
      </c>
    </row>
    <row r="44">
      <c r="A44" s="5" t="inlineStr">
        <is>
          <t>Net (decrease)/increase in cash and cash equivalents</t>
        </is>
      </c>
      <c r="B44" s="5" t="n"/>
      <c r="C44" s="5" t="n">
        <v>-293</v>
      </c>
      <c r="D44" s="5" t="n">
        <v>-944</v>
      </c>
      <c r="E44" s="5" t="n">
        <v>2358</v>
      </c>
      <c r="F44" s="5" t="n">
        <v>439</v>
      </c>
    </row>
    <row r="45">
      <c r="A45" s="6" t="inlineStr">
        <is>
          <t>Cash and cash equivalents at the beginning of the period/year</t>
        </is>
      </c>
      <c r="B45" s="6" t="n"/>
      <c r="C45" s="6" t="n">
        <v>10589</v>
      </c>
      <c r="D45" s="6" t="n">
        <v>12611</v>
      </c>
      <c r="E45" s="6" t="n">
        <v>10253</v>
      </c>
      <c r="F45" s="6" t="n">
        <v>9814</v>
      </c>
    </row>
    <row r="46">
      <c r="A46" s="5" t="inlineStr">
        <is>
          <t>Cash and cash equivalents at the end of the period/year</t>
        </is>
      </c>
      <c r="B46" s="5" t="n"/>
      <c r="C46" s="5" t="n">
        <v>10296</v>
      </c>
      <c r="D46" s="5" t="n">
        <v>11667</v>
      </c>
      <c r="E46" s="5" t="n">
        <v>12611</v>
      </c>
      <c r="F46" s="5" t="n">
        <v>10253</v>
      </c>
    </row>
    <row r="48" ht="280" customHeight="1">
      <c r="A48"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Common Equity Tier 1 (CET1) capital</t>
        </is>
      </c>
      <c r="B4" s="6" t="n">
        <v>4248</v>
      </c>
      <c r="C4" s="6" t="n">
        <v>3900</v>
      </c>
      <c r="D4" s="6" t="n">
        <v>3685</v>
      </c>
      <c r="E4" s="6" t="n">
        <v>3606</v>
      </c>
      <c r="F4" s="6" t="n">
        <v>3603</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Common Equity Tier 1 (CET1) ratio</t>
        </is>
      </c>
      <c r="B4" s="6" t="inlineStr">
        <is>
          <t>14.3%</t>
        </is>
      </c>
      <c r="C4" s="6" t="inlineStr">
        <is>
          <t>14.2%</t>
        </is>
      </c>
      <c r="D4" s="6" t="inlineStr">
        <is>
          <t>14.6%</t>
        </is>
      </c>
      <c r="E4" s="6" t="inlineStr">
        <is>
          <t>14.9%</t>
        </is>
      </c>
      <c r="F4" s="6" t="inlineStr">
        <is>
          <t>14.9%</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Tier 1 capital</t>
        </is>
      </c>
      <c r="B4" s="6" t="n">
        <v>4946</v>
      </c>
      <c r="C4" s="6" t="n">
        <v>4593</v>
      </c>
      <c r="D4" s="6" t="n">
        <v>4279</v>
      </c>
      <c r="E4" s="6" t="n">
        <v>4268</v>
      </c>
      <c r="F4" s="6" t="n">
        <v>4275</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Tier 1 ratio</t>
        </is>
      </c>
      <c r="B4" s="6" t="inlineStr">
        <is>
          <t>16.6%</t>
        </is>
      </c>
      <c r="C4" s="6" t="inlineStr">
        <is>
          <t>16.7%</t>
        </is>
      </c>
      <c r="D4" s="6" t="inlineStr">
        <is>
          <t>17.0%</t>
        </is>
      </c>
      <c r="E4" s="6" t="inlineStr">
        <is>
          <t>17.7%</t>
        </is>
      </c>
      <c r="F4" s="6" t="inlineStr">
        <is>
          <t>17.7%</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t>
        </is>
      </c>
      <c r="B4" s="6" t="n">
        <v>5747</v>
      </c>
      <c r="C4" s="6" t="n">
        <v>5347</v>
      </c>
      <c r="D4" s="6" t="n">
        <v>5301</v>
      </c>
      <c r="E4" s="6" t="n">
        <v>5288</v>
      </c>
      <c r="F4" s="6" t="n">
        <v>5294</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 ratio</t>
        </is>
      </c>
      <c r="B4" s="6" t="inlineStr">
        <is>
          <t>19.3%</t>
        </is>
      </c>
      <c r="C4" s="6" t="inlineStr">
        <is>
          <t>19.4%</t>
        </is>
      </c>
      <c r="D4" s="6" t="inlineStr">
        <is>
          <t>21.1%</t>
        </is>
      </c>
      <c r="E4" s="6" t="inlineStr">
        <is>
          <t>21.9%</t>
        </is>
      </c>
      <c r="F4" s="6" t="inlineStr">
        <is>
          <t>21.9%</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risk-weighted exposure amount</t>
        </is>
      </c>
      <c r="B4" s="6" t="n">
        <v>29742</v>
      </c>
      <c r="C4" s="6" t="n">
        <v>27555</v>
      </c>
      <c r="D4" s="6" t="n">
        <v>25172</v>
      </c>
      <c r="E4" s="6" t="n">
        <v>24128</v>
      </c>
      <c r="F4" s="6" t="n">
        <v>24194</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exposure measure excluding claims on central banks</t>
        </is>
      </c>
      <c r="B4" s="6" t="n">
        <v>78792</v>
      </c>
      <c r="C4" s="6" t="n">
        <v>83120</v>
      </c>
      <c r="D4" s="6" t="n">
        <v>86545</v>
      </c>
      <c r="E4" s="6" t="n">
        <v>83758</v>
      </c>
      <c r="F4" s="6" t="n">
        <v>84293</v>
      </c>
    </row>
    <row r="5">
      <c r="A5" s="6" t="inlineStr">
        <is>
          <t>Leverage ratio excluding claims on central banks (%)</t>
        </is>
      </c>
      <c r="B5" s="6" t="inlineStr">
        <is>
          <t>6.3%</t>
        </is>
      </c>
      <c r="C5" s="6" t="inlineStr">
        <is>
          <t>5.5%</t>
        </is>
      </c>
      <c r="D5" s="6" t="inlineStr">
        <is>
          <t>4.9%</t>
        </is>
      </c>
      <c r="E5" s="6" t="inlineStr">
        <is>
          <t>5.1%</t>
        </is>
      </c>
      <c r="F5" s="6" t="inlineStr">
        <is>
          <t>5.1%</t>
        </is>
      </c>
    </row>
    <row r="6">
      <c r="A6" s="6" t="inlineStr">
        <is>
          <t>Leverage ratio including claims on central banks (%)</t>
        </is>
      </c>
      <c r="B6" s="6" t="inlineStr">
        <is>
          <t>5.3%</t>
        </is>
      </c>
      <c r="C6" s="6" t="inlineStr">
        <is>
          <t>5.0%</t>
        </is>
      </c>
      <c r="D6" s="6" t="inlineStr">
        <is>
          <t>4.5%</t>
        </is>
      </c>
      <c r="E6" s="6" t="inlineStr">
        <is>
          <t>4.5%</t>
        </is>
      </c>
      <c r="F6" s="6" t="n"/>
    </row>
    <row r="7" ht="60" customHeight="1">
      <c r="A7"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high-quality liquid assets (HQLA), weighted value (average)</t>
        </is>
      </c>
      <c r="B4" s="6" t="n">
        <v>16246</v>
      </c>
      <c r="C4" s="6" t="n">
        <v>14868</v>
      </c>
      <c r="D4" s="6" t="n">
        <v>13798</v>
      </c>
      <c r="E4" s="6" t="n">
        <v>11503</v>
      </c>
      <c r="F4" s="6" t="n"/>
    </row>
    <row r="5">
      <c r="A5" s="6" t="inlineStr">
        <is>
          <t>Total net cash outflows, adjusted value</t>
        </is>
      </c>
      <c r="B5" s="6" t="n">
        <v>9912</v>
      </c>
      <c r="C5" s="6" t="n">
        <v>9414</v>
      </c>
      <c r="D5" s="6" t="n">
        <v>9424</v>
      </c>
      <c r="E5" s="6" t="n">
        <v>8222</v>
      </c>
      <c r="F5" s="6" t="n"/>
    </row>
    <row r="6">
      <c r="A6" s="6" t="inlineStr">
        <is>
          <t>Liquidity Coverage Ratio (%)</t>
        </is>
      </c>
      <c r="B6" s="6" t="inlineStr">
        <is>
          <t>164%</t>
        </is>
      </c>
      <c r="C6" s="6" t="inlineStr">
        <is>
          <t>158%</t>
        </is>
      </c>
      <c r="D6" s="6" t="inlineStr">
        <is>
          <t>146%</t>
        </is>
      </c>
      <c r="E6" s="6" t="inlineStr">
        <is>
          <t>140%</t>
        </is>
      </c>
      <c r="F6" s="6" t="inlineStr">
        <is>
          <t>Not disclosed</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available stable funding</t>
        </is>
      </c>
      <c r="B4" s="6" t="n">
        <v>78219</v>
      </c>
      <c r="C4" s="6" t="n">
        <v>77427</v>
      </c>
      <c r="D4" s="6" t="n">
        <v>79295</v>
      </c>
      <c r="E4" s="6" t="n"/>
      <c r="F4" s="6" t="n"/>
    </row>
    <row r="5">
      <c r="A5" s="6" t="inlineStr">
        <is>
          <t>Total required stable funding</t>
        </is>
      </c>
      <c r="B5" s="6" t="n">
        <v>54560</v>
      </c>
      <c r="C5" s="6" t="n">
        <v>54375</v>
      </c>
      <c r="D5" s="6" t="n">
        <v>58450</v>
      </c>
      <c r="E5" s="6" t="n"/>
      <c r="F5" s="6" t="n"/>
    </row>
    <row r="6">
      <c r="A6" s="6" t="inlineStr">
        <is>
          <t>NSFR ratio (%)</t>
        </is>
      </c>
      <c r="B6" s="6" t="inlineStr">
        <is>
          <t>143%</t>
        </is>
      </c>
      <c r="C6" s="6" t="inlineStr">
        <is>
          <t>142%</t>
        </is>
      </c>
      <c r="D6" s="6" t="inlineStr">
        <is>
          <t>136%</t>
        </is>
      </c>
      <c r="E6" s="6" t="inlineStr">
        <is>
          <t>Not disclosed</t>
        </is>
      </c>
      <c r="F6" s="6" t="inlineStr">
        <is>
          <t>Not disclosed</t>
        </is>
      </c>
    </row>
    <row r="7" ht="60" customHeight="1">
      <c r="A7" s="7" t="inlineStr">
        <is>
          <t>Note: Per PRA guidance, NSFR disclosures were not required until reporting reference dates after 1 January 2023 (per the FY2023 Pillar 3 report), so no FY2022 or FY2021 figures exist.</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 resources</t>
        </is>
      </c>
      <c r="B4" s="6" t="n">
        <v>5747</v>
      </c>
      <c r="C4" s="6" t="n">
        <v>5347</v>
      </c>
      <c r="D4" s="6" t="n">
        <v>5301</v>
      </c>
      <c r="E4" s="6" t="n">
        <v>5288</v>
      </c>
      <c r="F4" s="6" t="n"/>
    </row>
    <row r="5">
      <c r="A5" s="6" t="inlineStr">
        <is>
          <t>Eligible senior unsecured securities</t>
        </is>
      </c>
      <c r="B5" s="6" t="n">
        <v>3520</v>
      </c>
      <c r="C5" s="6" t="n">
        <v>3004</v>
      </c>
      <c r="D5" s="6" t="n">
        <v>2707</v>
      </c>
      <c r="E5" s="6" t="n">
        <v>2423</v>
      </c>
      <c r="F5" s="6" t="n"/>
    </row>
    <row r="6">
      <c r="A6" s="6" t="inlineStr">
        <is>
          <t>Total MREL resources</t>
        </is>
      </c>
      <c r="B6" s="6" t="n">
        <v>9267</v>
      </c>
      <c r="C6" s="6" t="n">
        <v>8351</v>
      </c>
      <c r="D6" s="6" t="n">
        <v>8008</v>
      </c>
      <c r="E6" s="6" t="n">
        <v>7711</v>
      </c>
      <c r="F6" s="6" t="n"/>
    </row>
    <row r="7">
      <c r="A7" s="6" t="inlineStr">
        <is>
          <t>MREL resources (% of total risk-weighted assets)</t>
        </is>
      </c>
      <c r="B7" s="6" t="inlineStr">
        <is>
          <t>31.2%</t>
        </is>
      </c>
      <c r="C7" s="6" t="inlineStr">
        <is>
          <t>30.3%</t>
        </is>
      </c>
      <c r="D7" s="6" t="inlineStr">
        <is>
          <t>31.8%</t>
        </is>
      </c>
      <c r="E7" s="6" t="inlineStr">
        <is>
          <t>32.0%</t>
        </is>
      </c>
      <c r="F7" s="6" t="inlineStr">
        <is>
          <t>Not disclosed</t>
        </is>
      </c>
    </row>
    <row r="8">
      <c r="A8" s="6" t="inlineStr">
        <is>
          <t>MREL resources (% of UK leverage exposure measure)</t>
        </is>
      </c>
      <c r="B8" s="6" t="inlineStr">
        <is>
          <t>11.8%</t>
        </is>
      </c>
      <c r="C8" s="6" t="inlineStr">
        <is>
          <t>10.0%</t>
        </is>
      </c>
      <c r="D8" s="6" t="inlineStr">
        <is>
          <t>9.3%</t>
        </is>
      </c>
      <c r="E8" s="6" t="inlineStr">
        <is>
          <t>9.2%</t>
        </is>
      </c>
      <c r="F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2026-08-26T09:55:30Z</dcterms:created>
  <dcterms:modified xsi:type="dcterms:W3CDTF">2026-08-26T09:55:30Z</dcterms:modified>
</cp:coreProperties>
</file>