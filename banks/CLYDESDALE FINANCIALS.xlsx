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6D0E23"/>
        <bgColor rgb="006D0E2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Clydesdale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'Overview'!U6</f>
            </strRef>
          </tx>
          <spPr>
            <a:ln xmlns:a="http://schemas.openxmlformats.org/drawingml/2006/main">
              <a:prstDash val="solid"/>
            </a:ln>
          </spPr>
          <cat>
            <numRef>
              <f>'Overview'!$V$5:$AL$5</f>
            </numRef>
          </cat>
          <val>
            <numRef>
              <f>'Overview'!$V$6:$AL$6</f>
            </numRef>
          </val>
        </ser>
        <ser>
          <idx val="1"/>
          <order val="1"/>
          <tx>
            <strRef>
              <f>'Overview'!U7</f>
            </strRef>
          </tx>
          <spPr>
            <a:ln xmlns:a="http://schemas.openxmlformats.org/drawingml/2006/main">
              <a:prstDash val="solid"/>
            </a:ln>
          </spPr>
          <cat>
            <numRef>
              <f>'Overview'!$V$5:$AL$5</f>
            </numRef>
          </cat>
          <val>
            <numRef>
              <f>'Overview'!$V$7:$AL$7</f>
            </numRef>
          </val>
        </ser>
        <ser>
          <idx val="2"/>
          <order val="2"/>
          <tx>
            <strRef>
              <f>'Overview'!U8</f>
            </strRef>
          </tx>
          <spPr>
            <a:ln xmlns:a="http://schemas.openxmlformats.org/drawingml/2006/main">
              <a:prstDash val="solid"/>
            </a:ln>
          </spPr>
          <cat>
            <numRef>
              <f>'Overview'!$V$5:$AL$5</f>
            </numRef>
          </cat>
          <val>
            <numRef>
              <f>'Overview'!$V$8:$AL$8</f>
            </numRef>
          </val>
        </ser>
        <ser>
          <idx val="3"/>
          <order val="3"/>
          <tx>
            <strRef>
              <f>'Overview'!U9</f>
            </strRef>
          </tx>
          <spPr>
            <a:ln xmlns:a="http://schemas.openxmlformats.org/drawingml/2006/main">
              <a:prstDash val="solid"/>
            </a:ln>
          </spPr>
          <cat>
            <numRef>
              <f>'Overview'!$V$5:$AL$5</f>
            </numRef>
          </cat>
          <val>
            <numRef>
              <f>'Overview'!$V$9:$AL$9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Clydesdale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'Overview'!AO13</f>
            </strRef>
          </tx>
          <spPr>
            <a:ln xmlns:a="http://schemas.openxmlformats.org/drawingml/2006/main">
              <a:prstDash val="solid"/>
            </a:ln>
          </spPr>
          <cat>
            <numRef>
              <f>'Overview'!$AP$12:$BF$12</f>
            </numRef>
          </cat>
          <val>
            <numRef>
              <f>'Overview'!$AP$13:$BF$13</f>
            </numRef>
          </val>
        </ser>
        <ser>
          <idx val="1"/>
          <order val="1"/>
          <tx>
            <strRef>
              <f>'Overview'!AO14</f>
            </strRef>
          </tx>
          <spPr>
            <a:ln xmlns:a="http://schemas.openxmlformats.org/drawingml/2006/main">
              <a:prstDash val="solid"/>
            </a:ln>
          </spPr>
          <cat>
            <numRef>
              <f>'Overview'!$AP$12:$BF$12</f>
            </numRef>
          </cat>
          <val>
            <numRef>
              <f>'Overview'!$AP$14:$BF$14</f>
            </numRef>
          </val>
        </ser>
        <ser>
          <idx val="2"/>
          <order val="2"/>
          <tx>
            <strRef>
              <f>'Overview'!AO15</f>
            </strRef>
          </tx>
          <spPr>
            <a:ln xmlns:a="http://schemas.openxmlformats.org/drawingml/2006/main">
              <a:prstDash val="solid"/>
            </a:ln>
          </spPr>
          <cat>
            <numRef>
              <f>'Overview'!$AP$12:$BF$12</f>
            </numRef>
          </cat>
          <val>
            <numRef>
              <f>'Overview'!$AP$15:$BF$15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Clydesdale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'Overview'!BI19</f>
            </strRef>
          </tx>
          <spPr>
            <a:ln xmlns:a="http://schemas.openxmlformats.org/drawingml/2006/main">
              <a:prstDash val="solid"/>
            </a:ln>
          </spPr>
          <cat>
            <numRef>
              <f>'Overview'!$BJ$18:$BU$18</f>
            </numRef>
          </cat>
          <val>
            <numRef>
              <f>'Overview'!$BJ$19:$BU$19</f>
            </numRef>
          </val>
        </ser>
        <ser>
          <idx val="1"/>
          <order val="1"/>
          <tx>
            <strRef>
              <f>'Overview'!BI20</f>
            </strRef>
          </tx>
          <spPr>
            <a:ln xmlns:a="http://schemas.openxmlformats.org/drawingml/2006/main">
              <a:prstDash val="solid"/>
            </a:ln>
          </spPr>
          <cat>
            <numRef>
              <f>'Overview'!$BJ$18:$BU$18</f>
            </numRef>
          </cat>
          <val>
            <numRef>
              <f>'Overview'!$BJ$20:$BU$20</f>
            </numRef>
          </val>
        </ser>
        <ser>
          <idx val="2"/>
          <order val="2"/>
          <tx>
            <strRef>
              <f>'Overview'!BI21</f>
            </strRef>
          </tx>
          <spPr>
            <a:ln xmlns:a="http://schemas.openxmlformats.org/drawingml/2006/main">
              <a:prstDash val="solid"/>
            </a:ln>
          </spPr>
          <cat>
            <numRef>
              <f>'Overview'!$BJ$18:$BU$18</f>
            </numRef>
          </cat>
          <val>
            <numRef>
              <f>'Overview'!$BJ$21:$BU$21</f>
            </numRef>
          </val>
        </ser>
        <ser>
          <idx val="3"/>
          <order val="3"/>
          <tx>
            <strRef>
              <f>'Overview'!BI22</f>
            </strRef>
          </tx>
          <spPr>
            <a:ln xmlns:a="http://schemas.openxmlformats.org/drawingml/2006/main">
              <a:prstDash val="solid"/>
            </a:ln>
          </spPr>
          <cat>
            <numRef>
              <f>'Overview'!$BJ$18:$BU$18</f>
            </numRef>
          </cat>
          <val>
            <numRef>
              <f>'Overview'!$BJ$22:$BU$22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Clydesdale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'Overview'!BX26</f>
            </strRef>
          </tx>
          <spPr>
            <a:ln xmlns:a="http://schemas.openxmlformats.org/drawingml/2006/main">
              <a:prstDash val="solid"/>
            </a:ln>
          </spPr>
          <cat>
            <numRef>
              <f>'Overview'!$BY$25:$CO$25</f>
            </numRef>
          </cat>
          <val>
            <numRef>
              <f>'Overview'!$BY$26:$CO$26</f>
            </numRef>
          </val>
        </ser>
        <ser>
          <idx val="1"/>
          <order val="1"/>
          <tx>
            <strRef>
              <f>'Overview'!BX27</f>
            </strRef>
          </tx>
          <spPr>
            <a:ln xmlns:a="http://schemas.openxmlformats.org/drawingml/2006/main">
              <a:prstDash val="solid"/>
            </a:ln>
          </spPr>
          <cat>
            <numRef>
              <f>'Overview'!$BY$25:$CO$25</f>
            </numRef>
          </cat>
          <val>
            <numRef>
              <f>'Overview'!$BY$27:$CO$27</f>
            </numRef>
          </val>
        </ser>
        <ser>
          <idx val="2"/>
          <order val="2"/>
          <tx>
            <strRef>
              <f>'Overview'!BX28</f>
            </strRef>
          </tx>
          <spPr>
            <a:ln xmlns:a="http://schemas.openxmlformats.org/drawingml/2006/main">
              <a:prstDash val="solid"/>
            </a:ln>
          </spPr>
          <cat>
            <numRef>
              <f>'Overview'!$BY$25:$CO$25</f>
            </numRef>
          </cat>
          <val>
            <numRef>
              <f>'Overview'!$BY$28:$CO$28</f>
            </numRef>
          </val>
        </ser>
        <ser>
          <idx val="3"/>
          <order val="3"/>
          <tx>
            <strRef>
              <f>'Overview'!BX29</f>
            </strRef>
          </tx>
          <spPr>
            <a:ln xmlns:a="http://schemas.openxmlformats.org/drawingml/2006/main">
              <a:prstDash val="solid"/>
            </a:ln>
          </spPr>
          <cat>
            <numRef>
              <f>'Overview'!$BY$25:$CO$25</f>
            </numRef>
          </cat>
          <val>
            <numRef>
              <f>'Overview'!$BY$29:$CO$29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Clydesdale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'Overview'!CR6</f>
            </strRef>
          </tx>
          <spPr>
            <a:ln xmlns:a="http://schemas.openxmlformats.org/drawingml/2006/main">
              <a:prstDash val="solid"/>
            </a:ln>
          </spPr>
          <marker>
            <symbol val="none"/>
            <spPr>
              <a:ln xmlns:a="http://schemas.openxmlformats.org/drawingml/2006/main">
                <a:prstDash val="solid"/>
              </a:ln>
            </spPr>
          </marker>
          <cat>
            <numRef>
              <f>'Overview'!$CS$5:$DD$5</f>
            </numRef>
          </cat>
          <val>
            <numRef>
              <f>'Overview'!$CS$6:$DD$6</f>
            </numRef>
          </val>
          <smooth val="0"/>
        </ser>
        <ser>
          <idx val="1"/>
          <order val="1"/>
          <tx>
            <strRef>
              <f>'Overview'!CR7</f>
            </strRef>
          </tx>
          <spPr>
            <a:ln xmlns:a="http://schemas.openxmlformats.org/drawingml/2006/main">
              <a:prstDash val="solid"/>
            </a:ln>
          </spPr>
          <marker>
            <symbol val="none"/>
            <spPr>
              <a:ln xmlns:a="http://schemas.openxmlformats.org/drawingml/2006/main">
                <a:prstDash val="solid"/>
              </a:ln>
            </spPr>
          </marker>
          <cat>
            <numRef>
              <f>'Overview'!$CS$5:$DD$5</f>
            </numRef>
          </cat>
          <val>
            <numRef>
              <f>'Overview'!$CS$7:$DD$7</f>
            </numRef>
          </val>
          <smooth val="0"/>
        </ser>
        <ser>
          <idx val="2"/>
          <order val="2"/>
          <tx>
            <strRef>
              <f>'Overview'!CR8</f>
            </strRef>
          </tx>
          <spPr>
            <a:ln xmlns:a="http://schemas.openxmlformats.org/drawingml/2006/main">
              <a:prstDash val="solid"/>
            </a:ln>
          </spPr>
          <marker>
            <symbol val="none"/>
            <spPr>
              <a:ln xmlns:a="http://schemas.openxmlformats.org/drawingml/2006/main">
                <a:prstDash val="solid"/>
              </a:ln>
            </spPr>
          </marker>
          <cat>
            <numRef>
              <f>'Overview'!$CS$5:$DD$5</f>
            </numRef>
          </cat>
          <val>
            <numRef>
              <f>'Overview'!$CS$8:$DD$8</f>
            </numRef>
          </val>
          <smooth val="0"/>
        </ser>
        <ser>
          <idx val="3"/>
          <order val="3"/>
          <tx>
            <strRef>
              <f>'Overview'!CR9</f>
            </strRef>
          </tx>
          <spPr>
            <a:ln xmlns:a="http://schemas.openxmlformats.org/drawingml/2006/main">
              <a:prstDash val="solid"/>
            </a:ln>
          </spPr>
          <marker>
            <symbol val="none"/>
            <spPr>
              <a:ln xmlns:a="http://schemas.openxmlformats.org/drawingml/2006/main">
                <a:prstDash val="solid"/>
              </a:ln>
            </spPr>
          </marker>
          <cat>
            <numRef>
              <f>'Overview'!$CS$5:$DD$5</f>
            </numRef>
          </cat>
          <val>
            <numRef>
              <f>'Overview'!$CS$9:$DD$9</f>
            </numRef>
          </val>
          <smooth val="0"/>
        </ser>
        <ser>
          <idx val="4"/>
          <order val="4"/>
          <tx>
            <strRef>
              <f>'Overview'!CR10</f>
            </strRef>
          </tx>
          <spPr>
            <a:ln xmlns:a="http://schemas.openxmlformats.org/drawingml/2006/main">
              <a:prstDash val="solid"/>
            </a:ln>
          </spPr>
          <marker>
            <symbol val="none"/>
            <spPr>
              <a:ln xmlns:a="http://schemas.openxmlformats.org/drawingml/2006/main">
                <a:prstDash val="solid"/>
              </a:ln>
            </spPr>
          </marker>
          <cat>
            <numRef>
              <f>'Overview'!$CS$5:$DD$5</f>
            </numRef>
          </cat>
          <val>
            <numRef>
              <f>'Overview'!$CS$10:$DD$10</f>
            </numRef>
          </val>
          <smooth val="0"/>
        </ser>
        <ser>
          <idx val="5"/>
          <order val="5"/>
          <tx>
            <strRef>
              <f>'Overview'!CR11</f>
            </strRef>
          </tx>
          <spPr>
            <a:ln xmlns:a="http://schemas.openxmlformats.org/drawingml/2006/main">
              <a:prstDash val="solid"/>
            </a:ln>
          </spPr>
          <marker>
            <symbol val="none"/>
            <spPr>
              <a:ln xmlns:a="http://schemas.openxmlformats.org/drawingml/2006/main">
                <a:prstDash val="solid"/>
              </a:ln>
            </spPr>
          </marker>
          <cat>
            <numRef>
              <f>'Overview'!$CS$5:$DD$5</f>
            </numRef>
          </cat>
          <val>
            <numRef>
              <f>'Overview'!$CS$11:$DD$11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D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s>
  <sheetData>
    <row r="1">
      <c r="A1" s="1" t="inlineStr">
        <is>
          <t>Clydesdale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FY2026</t>
        </is>
      </c>
      <c r="C5" s="4" t="inlineStr">
        <is>
          <t>FY2025 (18mo)</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N5" s="4" t="inlineStr">
        <is>
          <t>FY2013</t>
        </is>
      </c>
      <c r="O5" s="4" t="inlineStr">
        <is>
          <t>FY2012</t>
        </is>
      </c>
      <c r="P5" s="4" t="inlineStr">
        <is>
          <t>FY2011</t>
        </is>
      </c>
      <c r="Q5" s="4" t="inlineStr">
        <is>
          <t>FY2010</t>
        </is>
      </c>
      <c r="R5" s="4" t="inlineStr">
        <is>
          <t>FY2009</t>
        </is>
      </c>
      <c r="V5" t="inlineStr">
        <is>
          <t>FY2009</t>
        </is>
      </c>
      <c r="W5" t="inlineStr">
        <is>
          <t>FY2010</t>
        </is>
      </c>
      <c r="X5" t="inlineStr">
        <is>
          <t>FY2011</t>
        </is>
      </c>
      <c r="Y5" t="inlineStr">
        <is>
          <t>FY2012</t>
        </is>
      </c>
      <c r="Z5" t="inlineStr">
        <is>
          <t>FY2013</t>
        </is>
      </c>
      <c r="AA5" t="inlineStr">
        <is>
          <t>FY2014</t>
        </is>
      </c>
      <c r="AB5" t="inlineStr">
        <is>
          <t>FY2015</t>
        </is>
      </c>
      <c r="AC5" t="inlineStr">
        <is>
          <t>FY2016</t>
        </is>
      </c>
      <c r="AD5" t="inlineStr">
        <is>
          <t>FY2017</t>
        </is>
      </c>
      <c r="AE5" t="inlineStr">
        <is>
          <t>FY2018</t>
        </is>
      </c>
      <c r="AF5" t="inlineStr">
        <is>
          <t>FY2019</t>
        </is>
      </c>
      <c r="AG5" t="inlineStr">
        <is>
          <t>FY2020</t>
        </is>
      </c>
      <c r="AH5" t="inlineStr">
        <is>
          <t>FY2021</t>
        </is>
      </c>
      <c r="AI5" t="inlineStr">
        <is>
          <t>FY2022</t>
        </is>
      </c>
      <c r="AJ5" t="inlineStr">
        <is>
          <t>FY2023</t>
        </is>
      </c>
      <c r="AK5" t="inlineStr">
        <is>
          <t>FY2025 (18mo)</t>
        </is>
      </c>
      <c r="AL5" t="inlineStr">
        <is>
          <t>FY2026</t>
        </is>
      </c>
      <c r="CS5" t="inlineStr">
        <is>
          <t>FY2014</t>
        </is>
      </c>
      <c r="CT5" t="inlineStr">
        <is>
          <t>FY2015</t>
        </is>
      </c>
      <c r="CU5" t="inlineStr">
        <is>
          <t>FY2016</t>
        </is>
      </c>
      <c r="CV5" t="inlineStr">
        <is>
          <t>FY2017</t>
        </is>
      </c>
      <c r="CW5" t="inlineStr">
        <is>
          <t>FY2018</t>
        </is>
      </c>
      <c r="CX5" t="inlineStr">
        <is>
          <t>FY2019</t>
        </is>
      </c>
      <c r="CY5" t="inlineStr">
        <is>
          <t>FY2020</t>
        </is>
      </c>
      <c r="CZ5" t="inlineStr">
        <is>
          <t>FY2021</t>
        </is>
      </c>
      <c r="DA5" t="inlineStr">
        <is>
          <t>FY2022</t>
        </is>
      </c>
      <c r="DB5" t="inlineStr">
        <is>
          <t>FY2023</t>
        </is>
      </c>
      <c r="DC5" t="inlineStr">
        <is>
          <t>FY2025 (18mo)</t>
        </is>
      </c>
      <c r="DD5" t="inlineStr">
        <is>
          <t>FY2026</t>
        </is>
      </c>
    </row>
    <row r="6">
      <c r="A6" s="5" t="inlineStr">
        <is>
          <t>Total assets</t>
        </is>
      </c>
      <c r="B6" s="5" t="n">
        <v>91020</v>
      </c>
      <c r="C6" s="5" t="n">
        <v>89876</v>
      </c>
      <c r="D6" s="5" t="n">
        <v>91884</v>
      </c>
      <c r="E6" s="5" t="n">
        <v>92010</v>
      </c>
      <c r="F6" s="5" t="n">
        <v>89216</v>
      </c>
      <c r="G6" s="5" t="n">
        <v>90307</v>
      </c>
      <c r="H6" s="5" t="n">
        <v>91101</v>
      </c>
      <c r="I6" s="5" t="n">
        <v>43583</v>
      </c>
      <c r="J6" s="5" t="n">
        <v>43314</v>
      </c>
      <c r="K6" s="5" t="n">
        <v>39963</v>
      </c>
      <c r="L6" s="5" t="n">
        <v>38701</v>
      </c>
      <c r="M6" s="5" t="n">
        <v>37083</v>
      </c>
      <c r="N6" s="5" t="n">
        <v>36632</v>
      </c>
      <c r="O6" s="5" t="n">
        <v>44221</v>
      </c>
      <c r="P6" s="5" t="n">
        <v>47252</v>
      </c>
      <c r="Q6" s="5" t="n">
        <v>43660</v>
      </c>
      <c r="R6" s="5" t="n">
        <v>42370</v>
      </c>
      <c r="U6" t="inlineStr">
        <is>
          <t>Total assets</t>
        </is>
      </c>
      <c r="V6" t="n">
        <v>42370</v>
      </c>
      <c r="W6" t="n">
        <v>43660</v>
      </c>
      <c r="X6" t="n">
        <v>47252</v>
      </c>
      <c r="Y6" t="n">
        <v>44221</v>
      </c>
      <c r="Z6" t="n">
        <v>36632</v>
      </c>
      <c r="AA6" t="n">
        <v>37083</v>
      </c>
      <c r="AB6" t="n">
        <v>38701</v>
      </c>
      <c r="AC6" t="n">
        <v>39963</v>
      </c>
      <c r="AD6" t="n">
        <v>43314</v>
      </c>
      <c r="AE6" t="n">
        <v>43583</v>
      </c>
      <c r="AF6" t="n">
        <v>91101</v>
      </c>
      <c r="AG6" t="n">
        <v>90307</v>
      </c>
      <c r="AH6" t="n">
        <v>89216</v>
      </c>
      <c r="AI6" t="n">
        <v>92010</v>
      </c>
      <c r="AJ6" t="n">
        <v>91884</v>
      </c>
      <c r="AK6" t="n">
        <v>89876</v>
      </c>
      <c r="AL6" t="n">
        <v>91020</v>
      </c>
      <c r="CR6" t="inlineStr">
        <is>
          <t>CET1 Ratio</t>
        </is>
      </c>
      <c r="CS6" t="n">
        <v>12.1</v>
      </c>
      <c r="CT6" t="n">
        <v>13.3</v>
      </c>
      <c r="CU6" t="n">
        <v>12.6</v>
      </c>
      <c r="CV6" t="n">
        <v>12.2</v>
      </c>
      <c r="CW6" t="n">
        <v>10.7</v>
      </c>
      <c r="CX6" t="n">
        <v>14.4</v>
      </c>
      <c r="CY6" t="n">
        <v>14.4</v>
      </c>
      <c r="CZ6" t="n">
        <v>14.9</v>
      </c>
      <c r="DA6" t="n">
        <v>14.9</v>
      </c>
      <c r="DB6" t="n">
        <v>14.6</v>
      </c>
      <c r="DC6" t="n">
        <v>14.2</v>
      </c>
      <c r="DD6" t="n">
        <v>14.3</v>
      </c>
    </row>
    <row r="7">
      <c r="A7" s="5" t="inlineStr">
        <is>
          <t>Loans and advances to customers (amortised cost)</t>
        </is>
      </c>
      <c r="B7" s="5" t="n">
        <v>69060</v>
      </c>
      <c r="C7" s="5" t="n">
        <v>71072</v>
      </c>
      <c r="D7" s="5" t="n">
        <v>72191</v>
      </c>
      <c r="E7" s="5" t="n">
        <v>71749</v>
      </c>
      <c r="F7" s="5" t="n">
        <v>71874</v>
      </c>
      <c r="G7" s="5" t="n">
        <v>72428</v>
      </c>
      <c r="H7" s="5" t="n">
        <v>73093</v>
      </c>
      <c r="I7" s="5" t="n">
        <v>32744</v>
      </c>
      <c r="J7" s="5" t="n">
        <v>31293</v>
      </c>
      <c r="K7" s="5" t="n">
        <v>29202</v>
      </c>
      <c r="L7" s="5" t="n">
        <v>27482</v>
      </c>
      <c r="M7" s="5" t="n">
        <v>25901</v>
      </c>
      <c r="N7" s="5" t="n">
        <v>23895</v>
      </c>
      <c r="O7" s="5" t="n">
        <v>24346</v>
      </c>
      <c r="P7" s="5" t="n">
        <v>28238</v>
      </c>
      <c r="Q7" s="5" t="n">
        <v>26981</v>
      </c>
      <c r="R7" s="5" t="n">
        <v>27147</v>
      </c>
      <c r="U7" t="inlineStr">
        <is>
          <t>Loans and advances to customers (amortised cost)</t>
        </is>
      </c>
      <c r="V7" t="n">
        <v>27147</v>
      </c>
      <c r="W7" t="n">
        <v>26981</v>
      </c>
      <c r="X7" t="n">
        <v>28238</v>
      </c>
      <c r="Y7" t="n">
        <v>24346</v>
      </c>
      <c r="Z7" t="n">
        <v>23895</v>
      </c>
      <c r="AA7" t="n">
        <v>25901</v>
      </c>
      <c r="AB7" t="n">
        <v>27482</v>
      </c>
      <c r="AC7" t="n">
        <v>29202</v>
      </c>
      <c r="AD7" t="n">
        <v>31293</v>
      </c>
      <c r="AE7" t="n">
        <v>32744</v>
      </c>
      <c r="AF7" t="n">
        <v>73093</v>
      </c>
      <c r="AG7" t="n">
        <v>72428</v>
      </c>
      <c r="AH7" t="n">
        <v>71874</v>
      </c>
      <c r="AI7" t="n">
        <v>71749</v>
      </c>
      <c r="AJ7" t="n">
        <v>72191</v>
      </c>
      <c r="AK7" t="n">
        <v>71072</v>
      </c>
      <c r="AL7" t="n">
        <v>69060</v>
      </c>
      <c r="CR7" t="inlineStr">
        <is>
          <t>Tier 1 Ratio</t>
        </is>
      </c>
      <c r="CS7" t="n">
        <v>12.1</v>
      </c>
      <c r="CT7" t="n">
        <v>15.8</v>
      </c>
      <c r="CU7" t="n">
        <v>14.8</v>
      </c>
      <c r="CV7" t="n">
        <v>14.3</v>
      </c>
      <c r="CW7" t="n">
        <v>12.8</v>
      </c>
      <c r="CX7" t="n">
        <v>17.2</v>
      </c>
      <c r="CY7" t="n">
        <v>17.1</v>
      </c>
      <c r="CZ7" t="n">
        <v>17.7</v>
      </c>
      <c r="DA7" t="n">
        <v>17.7</v>
      </c>
      <c r="DB7" t="n">
        <v>17</v>
      </c>
      <c r="DC7" t="n">
        <v>16.7</v>
      </c>
      <c r="DD7" t="n">
        <v>16.6</v>
      </c>
    </row>
    <row r="8">
      <c r="A8" s="5" t="inlineStr">
        <is>
          <t>Customer deposits</t>
        </is>
      </c>
      <c r="B8" s="5" t="n">
        <v>72711</v>
      </c>
      <c r="C8" s="5" t="n">
        <v>70383</v>
      </c>
      <c r="D8" s="5" t="n">
        <v>66827</v>
      </c>
      <c r="E8" s="5" t="n">
        <v>65434</v>
      </c>
      <c r="F8" s="5" t="n">
        <v>66971</v>
      </c>
      <c r="G8" s="5" t="n">
        <v>67710</v>
      </c>
      <c r="H8" s="5" t="n">
        <v>64000</v>
      </c>
      <c r="I8" s="5" t="n">
        <v>28904</v>
      </c>
      <c r="J8" s="5" t="n">
        <v>27718</v>
      </c>
      <c r="K8" s="5" t="n">
        <v>27090</v>
      </c>
      <c r="L8" s="5" t="n">
        <v>26407</v>
      </c>
      <c r="M8" s="5" t="n">
        <v>24073</v>
      </c>
      <c r="N8" s="5" t="n">
        <v>24146</v>
      </c>
      <c r="O8" s="5" t="n">
        <v>26381</v>
      </c>
      <c r="P8" s="5" t="n">
        <v>28170</v>
      </c>
      <c r="Q8" s="5" t="n">
        <v>28434</v>
      </c>
      <c r="R8" s="5" t="n">
        <v>26656</v>
      </c>
      <c r="U8" t="inlineStr">
        <is>
          <t>Customer deposits</t>
        </is>
      </c>
      <c r="V8" t="n">
        <v>26656</v>
      </c>
      <c r="W8" t="n">
        <v>28434</v>
      </c>
      <c r="X8" t="n">
        <v>28170</v>
      </c>
      <c r="Y8" t="n">
        <v>26381</v>
      </c>
      <c r="Z8" t="n">
        <v>24146</v>
      </c>
      <c r="AA8" t="n">
        <v>24073</v>
      </c>
      <c r="AB8" t="n">
        <v>26407</v>
      </c>
      <c r="AC8" t="n">
        <v>27090</v>
      </c>
      <c r="AD8" t="n">
        <v>27718</v>
      </c>
      <c r="AE8" t="n">
        <v>28904</v>
      </c>
      <c r="AF8" t="n">
        <v>64000</v>
      </c>
      <c r="AG8" t="n">
        <v>67710</v>
      </c>
      <c r="AH8" t="n">
        <v>66971</v>
      </c>
      <c r="AI8" t="n">
        <v>65434</v>
      </c>
      <c r="AJ8" t="n">
        <v>66827</v>
      </c>
      <c r="AK8" t="n">
        <v>70383</v>
      </c>
      <c r="AL8" t="n">
        <v>72711</v>
      </c>
      <c r="CR8" t="inlineStr">
        <is>
          <t>Total Capital Ratio</t>
        </is>
      </c>
      <c r="CS8" t="n">
        <v>18.6</v>
      </c>
      <c r="CT8" t="n">
        <v>19.1</v>
      </c>
      <c r="CU8" t="n">
        <v>18.1</v>
      </c>
      <c r="CV8" t="n">
        <v>17.4</v>
      </c>
      <c r="CW8" t="n">
        <v>15.9</v>
      </c>
      <c r="CX8" t="n">
        <v>20.2</v>
      </c>
      <c r="CY8" t="n">
        <v>20.2</v>
      </c>
      <c r="CZ8" t="n">
        <v>21.9</v>
      </c>
      <c r="DA8" t="n">
        <v>21.9</v>
      </c>
      <c r="DB8" t="n">
        <v>21.1</v>
      </c>
      <c r="DC8" t="n">
        <v>19.4</v>
      </c>
      <c r="DD8" t="n">
        <v>19.3</v>
      </c>
    </row>
    <row r="9">
      <c r="A9" s="5" t="inlineStr">
        <is>
          <t>Total equity</t>
        </is>
      </c>
      <c r="B9" s="5" t="n">
        <v>5582</v>
      </c>
      <c r="C9" s="5" t="n">
        <v>5609</v>
      </c>
      <c r="D9" s="5" t="n">
        <v>5689</v>
      </c>
      <c r="E9" s="5" t="n">
        <v>6411</v>
      </c>
      <c r="F9" s="5" t="n">
        <v>5582</v>
      </c>
      <c r="G9" s="5" t="n">
        <v>4990</v>
      </c>
      <c r="H9" s="5" t="n">
        <v>5141</v>
      </c>
      <c r="I9" s="5" t="n">
        <v>3291</v>
      </c>
      <c r="J9" s="5" t="n">
        <v>3464</v>
      </c>
      <c r="K9" s="5" t="n">
        <v>3221</v>
      </c>
      <c r="L9" s="5" t="n">
        <v>3458</v>
      </c>
      <c r="M9" s="5" t="n">
        <v>2505</v>
      </c>
      <c r="N9" s="5" t="n">
        <v>2410</v>
      </c>
      <c r="O9" s="5" t="n">
        <v>2604</v>
      </c>
      <c r="P9" s="5" t="n">
        <v>2879</v>
      </c>
      <c r="Q9" s="5" t="n">
        <v>2547</v>
      </c>
      <c r="R9" s="5" t="n">
        <v>2250</v>
      </c>
      <c r="U9" t="inlineStr">
        <is>
          <t>Total equity</t>
        </is>
      </c>
      <c r="V9" t="n">
        <v>2250</v>
      </c>
      <c r="W9" t="n">
        <v>2547</v>
      </c>
      <c r="X9" t="n">
        <v>2879</v>
      </c>
      <c r="Y9" t="n">
        <v>2604</v>
      </c>
      <c r="Z9" t="n">
        <v>2410</v>
      </c>
      <c r="AA9" t="n">
        <v>2505</v>
      </c>
      <c r="AB9" t="n">
        <v>3458</v>
      </c>
      <c r="AC9" t="n">
        <v>3221</v>
      </c>
      <c r="AD9" t="n">
        <v>3464</v>
      </c>
      <c r="AE9" t="n">
        <v>3291</v>
      </c>
      <c r="AF9" t="n">
        <v>5141</v>
      </c>
      <c r="AG9" t="n">
        <v>4990</v>
      </c>
      <c r="AH9" t="n">
        <v>5582</v>
      </c>
      <c r="AI9" t="n">
        <v>6411</v>
      </c>
      <c r="AJ9" t="n">
        <v>5689</v>
      </c>
      <c r="AK9" t="n">
        <v>5609</v>
      </c>
      <c r="AL9" t="n">
        <v>5582</v>
      </c>
      <c r="CR9" t="inlineStr">
        <is>
          <t>Leverage Ratio</t>
        </is>
      </c>
      <c r="CS9" t="n">
        <v>5.7</v>
      </c>
      <c r="CT9" t="n">
        <v>7.2</v>
      </c>
      <c r="CU9" t="n">
        <v>6.8</v>
      </c>
      <c r="CV9" t="n">
        <v>6.2</v>
      </c>
      <c r="CW9" t="n">
        <v>5.6</v>
      </c>
      <c r="CX9" t="n">
        <v>4.4</v>
      </c>
      <c r="CY9" t="n">
        <v>4.8</v>
      </c>
      <c r="CZ9" t="n">
        <v>5.1</v>
      </c>
      <c r="DA9" t="n">
        <v>5.1</v>
      </c>
      <c r="DB9" t="n">
        <v>4.9</v>
      </c>
      <c r="DC9" t="n">
        <v>5.5</v>
      </c>
      <c r="DD9" t="n">
        <v>6.3</v>
      </c>
    </row>
    <row r="10">
      <c r="CR10" t="inlineStr">
        <is>
          <t>LCR</t>
        </is>
      </c>
      <c r="CS10" t="n">
        <v>110</v>
      </c>
      <c r="CT10" t="n">
        <v>136</v>
      </c>
      <c r="CU10" t="n">
        <v>140</v>
      </c>
      <c r="CV10" t="n">
        <v>164</v>
      </c>
      <c r="CW10" t="n">
        <v>137</v>
      </c>
      <c r="CX10" t="n">
        <v>152</v>
      </c>
      <c r="CY10" t="n">
        <v>140</v>
      </c>
      <c r="CZ10" t="n">
        <v>151</v>
      </c>
      <c r="DA10" t="n">
        <v>140</v>
      </c>
      <c r="DB10" t="n">
        <v>146</v>
      </c>
      <c r="DC10" t="n">
        <v>158</v>
      </c>
      <c r="DD10" t="n">
        <v>164</v>
      </c>
    </row>
    <row r="11">
      <c r="A11" s="3" t="inlineStr">
        <is>
          <t>Profit &amp; Loss Summary (£m)</t>
        </is>
      </c>
      <c r="CR11" t="inlineStr">
        <is>
          <t>NSFR</t>
        </is>
      </c>
      <c r="CS11" t="n">
        <v>108</v>
      </c>
      <c r="CT11" t="n">
        <v>120</v>
      </c>
      <c r="CU11" t="n">
        <v>124</v>
      </c>
      <c r="CV11" t="n">
        <v>118</v>
      </c>
      <c r="CW11" t="n">
        <v>125</v>
      </c>
      <c r="CX11" t="n">
        <v>128</v>
      </c>
      <c r="CY11" t="n">
        <v>131</v>
      </c>
      <c r="CZ11" t="n">
        <v>134</v>
      </c>
      <c r="DA11" t="n">
        <v>136</v>
      </c>
      <c r="DB11" t="n">
        <v>136</v>
      </c>
      <c r="DC11" t="n">
        <v>142</v>
      </c>
      <c r="DD11" t="n">
        <v>143</v>
      </c>
    </row>
    <row r="12">
      <c r="A12" s="4" t="inlineStr">
        <is>
          <t>Line item</t>
        </is>
      </c>
      <c r="B12" s="4" t="inlineStr">
        <is>
          <t>FY2026</t>
        </is>
      </c>
      <c r="C12" s="4" t="inlineStr">
        <is>
          <t>FY2025 (18mo)</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N12" s="4" t="inlineStr">
        <is>
          <t>FY2013</t>
        </is>
      </c>
      <c r="O12" s="4" t="inlineStr">
        <is>
          <t>FY2012</t>
        </is>
      </c>
      <c r="P12" s="4" t="inlineStr">
        <is>
          <t>FY2011</t>
        </is>
      </c>
      <c r="Q12" s="4" t="inlineStr">
        <is>
          <t>FY2010</t>
        </is>
      </c>
      <c r="R12" s="4" t="inlineStr">
        <is>
          <t>FY2009</t>
        </is>
      </c>
      <c r="AP12" t="inlineStr">
        <is>
          <t>FY2009</t>
        </is>
      </c>
      <c r="AQ12" t="inlineStr">
        <is>
          <t>FY2010</t>
        </is>
      </c>
      <c r="AR12" t="inlineStr">
        <is>
          <t>FY2011</t>
        </is>
      </c>
      <c r="AS12" t="inlineStr">
        <is>
          <t>FY2012</t>
        </is>
      </c>
      <c r="AT12" t="inlineStr">
        <is>
          <t>FY2013</t>
        </is>
      </c>
      <c r="AU12" t="inlineStr">
        <is>
          <t>FY2014</t>
        </is>
      </c>
      <c r="AV12" t="inlineStr">
        <is>
          <t>FY2015</t>
        </is>
      </c>
      <c r="AW12" t="inlineStr">
        <is>
          <t>FY2016</t>
        </is>
      </c>
      <c r="AX12" t="inlineStr">
        <is>
          <t>FY2017</t>
        </is>
      </c>
      <c r="AY12" t="inlineStr">
        <is>
          <t>FY2018</t>
        </is>
      </c>
      <c r="AZ12" t="inlineStr">
        <is>
          <t>FY2019</t>
        </is>
      </c>
      <c r="BA12" t="inlineStr">
        <is>
          <t>FY2020</t>
        </is>
      </c>
      <c r="BB12" t="inlineStr">
        <is>
          <t>FY2021</t>
        </is>
      </c>
      <c r="BC12" t="inlineStr">
        <is>
          <t>FY2022</t>
        </is>
      </c>
      <c r="BD12" t="inlineStr">
        <is>
          <t>FY2023</t>
        </is>
      </c>
      <c r="BE12" t="inlineStr">
        <is>
          <t>FY2025 (18mo)</t>
        </is>
      </c>
      <c r="BF12" t="inlineStr">
        <is>
          <t>FY2026</t>
        </is>
      </c>
    </row>
    <row r="13">
      <c r="A13" s="5" t="inlineStr">
        <is>
          <t>Total income</t>
        </is>
      </c>
      <c r="B13" s="5" t="n">
        <v>1833</v>
      </c>
      <c r="C13" s="5" t="n">
        <v>2741</v>
      </c>
      <c r="D13" s="5" t="n">
        <v>1826</v>
      </c>
      <c r="E13" s="5" t="n">
        <v>1711</v>
      </c>
      <c r="F13" s="5" t="n">
        <v>1487</v>
      </c>
      <c r="G13" s="5" t="n">
        <v>1435</v>
      </c>
      <c r="H13" s="5" t="n">
        <v>1773</v>
      </c>
      <c r="I13" s="5" t="n">
        <v>1011</v>
      </c>
      <c r="J13" s="5" t="n">
        <v>1037</v>
      </c>
      <c r="K13" s="5" t="n">
        <v>998</v>
      </c>
      <c r="L13" s="5" t="n">
        <v>1004</v>
      </c>
      <c r="M13" s="5" t="n">
        <v>963</v>
      </c>
      <c r="N13" s="5" t="n">
        <v>810</v>
      </c>
      <c r="O13" s="5" t="n">
        <v>997</v>
      </c>
      <c r="P13" s="5" t="n">
        <v>1051</v>
      </c>
      <c r="Q13" s="5" t="n">
        <v>1136</v>
      </c>
      <c r="R13" s="5" t="n">
        <v>1122</v>
      </c>
      <c r="AO13" t="inlineStr">
        <is>
          <t>Total income</t>
        </is>
      </c>
      <c r="AP13" t="n">
        <v>1122</v>
      </c>
      <c r="AQ13" t="n">
        <v>1136</v>
      </c>
      <c r="AR13" t="n">
        <v>1051</v>
      </c>
      <c r="AS13" t="n">
        <v>997</v>
      </c>
      <c r="AT13" t="n">
        <v>810</v>
      </c>
      <c r="AU13" t="n">
        <v>963</v>
      </c>
      <c r="AV13" t="n">
        <v>1004</v>
      </c>
      <c r="AW13" t="n">
        <v>998</v>
      </c>
      <c r="AX13" t="n">
        <v>1037</v>
      </c>
      <c r="AY13" t="n">
        <v>1011</v>
      </c>
      <c r="AZ13" t="n">
        <v>1773</v>
      </c>
      <c r="BA13" t="n">
        <v>1435</v>
      </c>
      <c r="BB13" t="n">
        <v>1487</v>
      </c>
      <c r="BC13" t="n">
        <v>1711</v>
      </c>
      <c r="BD13" t="n">
        <v>1826</v>
      </c>
      <c r="BE13" t="n">
        <v>2741</v>
      </c>
      <c r="BF13" t="n">
        <v>1833</v>
      </c>
    </row>
    <row r="14">
      <c r="A14" s="5" t="inlineStr">
        <is>
          <t>Operating and administrative expenses</t>
        </is>
      </c>
      <c r="B14" s="5" t="n">
        <v>-1462</v>
      </c>
      <c r="C14" s="5" t="n">
        <v>-2126</v>
      </c>
      <c r="D14" s="5" t="n">
        <v>-1173</v>
      </c>
      <c r="E14" s="5" t="n">
        <v>-1069</v>
      </c>
      <c r="F14" s="5" t="n">
        <v>-1202</v>
      </c>
      <c r="G14" s="5" t="n">
        <v>-1101</v>
      </c>
      <c r="H14" s="5" t="n">
        <v>-1703</v>
      </c>
      <c r="I14" s="5" t="n">
        <v>-1246</v>
      </c>
      <c r="J14" s="5" t="n">
        <v>-1250</v>
      </c>
      <c r="K14" s="5" t="n">
        <v>-1311</v>
      </c>
      <c r="L14" s="5" t="n">
        <v>-1234</v>
      </c>
      <c r="M14" s="5" t="n">
        <v>-1105</v>
      </c>
      <c r="N14" s="5" t="n"/>
      <c r="O14" s="5" t="n"/>
      <c r="P14" s="5" t="n"/>
      <c r="Q14" s="5" t="n"/>
      <c r="R14" s="5" t="n"/>
      <c r="AO14" t="inlineStr">
        <is>
          <t>Operating and administrative expenses</t>
        </is>
      </c>
      <c r="AU14" t="n">
        <v>-1105</v>
      </c>
      <c r="AV14" t="n">
        <v>-1234</v>
      </c>
      <c r="AW14" t="n">
        <v>-1311</v>
      </c>
      <c r="AX14" t="n">
        <v>-1250</v>
      </c>
      <c r="AY14" t="n">
        <v>-1246</v>
      </c>
      <c r="AZ14" t="n">
        <v>-1703</v>
      </c>
      <c r="BA14" t="n">
        <v>-1101</v>
      </c>
      <c r="BB14" t="n">
        <v>-1202</v>
      </c>
      <c r="BC14" t="n">
        <v>-1069</v>
      </c>
      <c r="BD14" t="n">
        <v>-1173</v>
      </c>
      <c r="BE14" t="n">
        <v>-2126</v>
      </c>
      <c r="BF14" t="n">
        <v>-1462</v>
      </c>
    </row>
    <row r="15">
      <c r="A15" s="5" t="inlineStr">
        <is>
          <t>Profit for the period/year</t>
        </is>
      </c>
      <c r="B15" s="5" t="n">
        <v>150</v>
      </c>
      <c r="C15" s="5" t="n">
        <v>150</v>
      </c>
      <c r="D15" s="5" t="n">
        <v>249</v>
      </c>
      <c r="E15" s="5" t="n">
        <v>520</v>
      </c>
      <c r="F15" s="5" t="n">
        <v>532</v>
      </c>
      <c r="G15" s="5" t="n">
        <v>-191</v>
      </c>
      <c r="H15" s="5" t="n">
        <v>-139</v>
      </c>
      <c r="I15" s="5" t="n">
        <v>-239</v>
      </c>
      <c r="J15" s="5" t="n">
        <v>-294</v>
      </c>
      <c r="K15" s="5" t="n">
        <v>-558</v>
      </c>
      <c r="L15" s="5" t="n">
        <v>-249</v>
      </c>
      <c r="M15" s="5" t="n">
        <v>-178</v>
      </c>
      <c r="N15" s="5" t="n">
        <v>-27</v>
      </c>
      <c r="O15" s="5" t="n">
        <v>-470</v>
      </c>
      <c r="P15" s="5" t="n">
        <v>18</v>
      </c>
      <c r="Q15" s="5" t="n">
        <v>36</v>
      </c>
      <c r="R15" s="5" t="n">
        <v>34</v>
      </c>
      <c r="AO15" t="inlineStr">
        <is>
          <t>Profit for the period/year</t>
        </is>
      </c>
      <c r="AP15" t="n">
        <v>34</v>
      </c>
      <c r="AQ15" t="n">
        <v>36</v>
      </c>
      <c r="AR15" t="n">
        <v>18</v>
      </c>
      <c r="AS15" t="n">
        <v>-470</v>
      </c>
      <c r="AT15" t="n">
        <v>-27</v>
      </c>
      <c r="AU15" t="n">
        <v>-178</v>
      </c>
      <c r="AV15" t="n">
        <v>-249</v>
      </c>
      <c r="AW15" t="n">
        <v>-558</v>
      </c>
      <c r="AX15" t="n">
        <v>-294</v>
      </c>
      <c r="AY15" t="n">
        <v>-239</v>
      </c>
      <c r="AZ15" t="n">
        <v>-139</v>
      </c>
      <c r="BA15" t="n">
        <v>-191</v>
      </c>
      <c r="BB15" t="n">
        <v>532</v>
      </c>
      <c r="BC15" t="n">
        <v>520</v>
      </c>
      <c r="BD15" t="n">
        <v>249</v>
      </c>
      <c r="BE15" t="n">
        <v>150</v>
      </c>
      <c r="BF15" t="n">
        <v>150</v>
      </c>
    </row>
    <row r="17">
      <c r="A17" s="3" t="inlineStr">
        <is>
          <t>Statement of Changes in Equity Summary (£m)</t>
        </is>
      </c>
    </row>
    <row r="18">
      <c r="A18" s="4" t="inlineStr">
        <is>
          <t>Line item</t>
        </is>
      </c>
      <c r="B18" s="4" t="inlineStr">
        <is>
          <t>FY2026</t>
        </is>
      </c>
      <c r="C18" s="4" t="inlineStr">
        <is>
          <t>FY2025 (18mo)</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BJ18" t="inlineStr">
        <is>
          <t>FY2014</t>
        </is>
      </c>
      <c r="BK18" t="inlineStr">
        <is>
          <t>FY2015</t>
        </is>
      </c>
      <c r="BL18" t="inlineStr">
        <is>
          <t>FY2016</t>
        </is>
      </c>
      <c r="BM18" t="inlineStr">
        <is>
          <t>FY2017</t>
        </is>
      </c>
      <c r="BN18" t="inlineStr">
        <is>
          <t>FY2018</t>
        </is>
      </c>
      <c r="BO18" t="inlineStr">
        <is>
          <t>FY2019</t>
        </is>
      </c>
      <c r="BP18" t="inlineStr">
        <is>
          <t>FY2020</t>
        </is>
      </c>
      <c r="BQ18" t="inlineStr">
        <is>
          <t>FY2021</t>
        </is>
      </c>
      <c r="BR18" t="inlineStr">
        <is>
          <t>FY2022</t>
        </is>
      </c>
      <c r="BS18" t="inlineStr">
        <is>
          <t>FY2023</t>
        </is>
      </c>
      <c r="BT18" t="inlineStr">
        <is>
          <t>FY2025 (18mo)</t>
        </is>
      </c>
      <c r="BU18" t="inlineStr">
        <is>
          <t>FY2026</t>
        </is>
      </c>
    </row>
    <row r="19">
      <c r="A19" s="5" t="inlineStr">
        <is>
          <t>Opening equity</t>
        </is>
      </c>
      <c r="B19" s="5" t="n">
        <v>5583</v>
      </c>
      <c r="C19" s="5" t="n">
        <v>5334</v>
      </c>
      <c r="D19" s="5" t="n">
        <v>6411</v>
      </c>
      <c r="E19" s="5" t="n">
        <v>5582</v>
      </c>
      <c r="F19" s="5" t="n">
        <v>4990</v>
      </c>
      <c r="G19" s="5" t="n">
        <v>5141</v>
      </c>
      <c r="H19" s="5" t="n">
        <v>3291</v>
      </c>
      <c r="I19" s="5" t="n">
        <v>3464</v>
      </c>
      <c r="J19" s="5" t="n">
        <v>3221</v>
      </c>
      <c r="K19" s="5" t="n">
        <v>3458</v>
      </c>
      <c r="L19" s="5" t="n">
        <v>2505</v>
      </c>
      <c r="M19" s="5" t="n">
        <v>2410</v>
      </c>
      <c r="BI19" t="inlineStr">
        <is>
          <t>Opening equity</t>
        </is>
      </c>
      <c r="BJ19" t="n">
        <v>2410</v>
      </c>
      <c r="BK19" t="n">
        <v>2505</v>
      </c>
      <c r="BL19" t="n">
        <v>3458</v>
      </c>
      <c r="BM19" t="n">
        <v>3221</v>
      </c>
      <c r="BN19" t="n">
        <v>3464</v>
      </c>
      <c r="BO19" t="n">
        <v>3291</v>
      </c>
      <c r="BP19" t="n">
        <v>5141</v>
      </c>
      <c r="BQ19" t="n">
        <v>4990</v>
      </c>
      <c r="BR19" t="n">
        <v>5582</v>
      </c>
      <c r="BS19" t="n">
        <v>6411</v>
      </c>
      <c r="BT19" t="n">
        <v>5334</v>
      </c>
      <c r="BU19" t="n">
        <v>5583</v>
      </c>
    </row>
    <row r="20">
      <c r="A20" s="5" t="inlineStr">
        <is>
          <t>Total comprehensive income/(losses) for the period/year</t>
        </is>
      </c>
      <c r="B20" s="5" t="n">
        <v>37</v>
      </c>
      <c r="C20" s="5" t="n">
        <v>-343</v>
      </c>
      <c r="D20" s="5" t="n">
        <v>-346</v>
      </c>
      <c r="E20" s="5" t="n">
        <v>1297</v>
      </c>
      <c r="F20" s="5" t="n">
        <v>674</v>
      </c>
      <c r="G20" s="5" t="n">
        <v>-62</v>
      </c>
      <c r="H20" s="5" t="n">
        <v>-60</v>
      </c>
      <c r="I20" s="5" t="n">
        <v>-282</v>
      </c>
      <c r="J20" s="5" t="n">
        <v>-263</v>
      </c>
      <c r="K20" s="5" t="n">
        <v>-597</v>
      </c>
      <c r="L20" s="5" t="n">
        <v>-271</v>
      </c>
      <c r="M20" s="5" t="n">
        <v>-191</v>
      </c>
      <c r="BI20" t="inlineStr">
        <is>
          <t>Total comprehensive income/(losses) for the period/year</t>
        </is>
      </c>
      <c r="BJ20" t="n">
        <v>-191</v>
      </c>
      <c r="BK20" t="n">
        <v>-271</v>
      </c>
      <c r="BL20" t="n">
        <v>-597</v>
      </c>
      <c r="BM20" t="n">
        <v>-263</v>
      </c>
      <c r="BN20" t="n">
        <v>-282</v>
      </c>
      <c r="BO20" t="n">
        <v>-60</v>
      </c>
      <c r="BP20" t="n">
        <v>-62</v>
      </c>
      <c r="BQ20" t="n">
        <v>674</v>
      </c>
      <c r="BR20" t="n">
        <v>1297</v>
      </c>
      <c r="BS20" t="n">
        <v>-346</v>
      </c>
      <c r="BT20" t="n">
        <v>-343</v>
      </c>
      <c r="BU20" t="n">
        <v>37</v>
      </c>
    </row>
    <row r="21">
      <c r="A21" s="5" t="inlineStr">
        <is>
          <t>Other equity movements, net</t>
        </is>
      </c>
      <c r="B21" s="5" t="n">
        <v>-38</v>
      </c>
      <c r="C21" s="5" t="n">
        <v>618</v>
      </c>
      <c r="D21" s="5" t="n">
        <v>-376</v>
      </c>
      <c r="E21" s="5" t="n">
        <v>-468</v>
      </c>
      <c r="F21" s="5" t="n">
        <v>-82</v>
      </c>
      <c r="G21" s="5" t="n">
        <v>-89</v>
      </c>
      <c r="H21" s="5" t="n">
        <v>1910</v>
      </c>
      <c r="I21" s="5" t="n">
        <v>109</v>
      </c>
      <c r="J21" s="5" t="n">
        <v>506</v>
      </c>
      <c r="K21" s="5" t="n">
        <v>360</v>
      </c>
      <c r="L21" s="5" t="n">
        <v>1224</v>
      </c>
      <c r="M21" s="5" t="n">
        <v>286</v>
      </c>
      <c r="BI21" t="inlineStr">
        <is>
          <t>Other equity movements, net</t>
        </is>
      </c>
      <c r="BJ21" t="n">
        <v>286</v>
      </c>
      <c r="BK21" t="n">
        <v>1224</v>
      </c>
      <c r="BL21" t="n">
        <v>360</v>
      </c>
      <c r="BM21" t="n">
        <v>506</v>
      </c>
      <c r="BN21" t="n">
        <v>109</v>
      </c>
      <c r="BO21" t="n">
        <v>1910</v>
      </c>
      <c r="BP21" t="n">
        <v>-89</v>
      </c>
      <c r="BQ21" t="n">
        <v>-82</v>
      </c>
      <c r="BR21" t="n">
        <v>-468</v>
      </c>
      <c r="BS21" t="n">
        <v>-376</v>
      </c>
      <c r="BT21" t="n">
        <v>618</v>
      </c>
      <c r="BU21" t="n">
        <v>-38</v>
      </c>
    </row>
    <row r="22">
      <c r="A22" s="5" t="inlineStr">
        <is>
          <t>Closing equity</t>
        </is>
      </c>
      <c r="B22" s="5" t="n">
        <v>5582</v>
      </c>
      <c r="C22" s="5" t="n">
        <v>5609</v>
      </c>
      <c r="D22" s="5" t="n">
        <v>5689</v>
      </c>
      <c r="E22" s="5" t="n">
        <v>6411</v>
      </c>
      <c r="F22" s="5" t="n">
        <v>5582</v>
      </c>
      <c r="G22" s="5" t="n">
        <v>4990</v>
      </c>
      <c r="H22" s="5" t="n">
        <v>5141</v>
      </c>
      <c r="I22" s="5" t="n">
        <v>3291</v>
      </c>
      <c r="J22" s="5" t="n">
        <v>3464</v>
      </c>
      <c r="K22" s="5" t="n">
        <v>3221</v>
      </c>
      <c r="L22" s="5" t="n">
        <v>3458</v>
      </c>
      <c r="M22" s="5" t="n">
        <v>2505</v>
      </c>
      <c r="BI22" t="inlineStr">
        <is>
          <t>Closing equity</t>
        </is>
      </c>
      <c r="BJ22" t="n">
        <v>2505</v>
      </c>
      <c r="BK22" t="n">
        <v>3458</v>
      </c>
      <c r="BL22" t="n">
        <v>3221</v>
      </c>
      <c r="BM22" t="n">
        <v>3464</v>
      </c>
      <c r="BN22" t="n">
        <v>3291</v>
      </c>
      <c r="BO22" t="n">
        <v>5141</v>
      </c>
      <c r="BP22" t="n">
        <v>4990</v>
      </c>
      <c r="BQ22" t="n">
        <v>5582</v>
      </c>
      <c r="BR22" t="n">
        <v>6411</v>
      </c>
      <c r="BS22" t="n">
        <v>5689</v>
      </c>
      <c r="BT22" t="n">
        <v>5609</v>
      </c>
      <c r="BU22" t="n">
        <v>5582</v>
      </c>
    </row>
    <row r="24">
      <c r="A24" s="3" t="inlineStr">
        <is>
          <t>Cash Flow Summary (£m)</t>
        </is>
      </c>
    </row>
    <row r="25">
      <c r="A25" s="4" t="inlineStr">
        <is>
          <t>Line item</t>
        </is>
      </c>
      <c r="B25" s="4" t="inlineStr">
        <is>
          <t>FY2026</t>
        </is>
      </c>
      <c r="C25" s="4" t="inlineStr">
        <is>
          <t>FY2025 (18mo)</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L25" s="4" t="inlineStr">
        <is>
          <t>FY2015</t>
        </is>
      </c>
      <c r="M25" s="4" t="inlineStr">
        <is>
          <t>FY2014</t>
        </is>
      </c>
      <c r="N25" s="4" t="inlineStr">
        <is>
          <t>FY2013</t>
        </is>
      </c>
      <c r="O25" s="4" t="inlineStr">
        <is>
          <t>FY2012</t>
        </is>
      </c>
      <c r="P25" s="4" t="inlineStr">
        <is>
          <t>FY2011</t>
        </is>
      </c>
      <c r="Q25" s="4" t="inlineStr">
        <is>
          <t>FY2010</t>
        </is>
      </c>
      <c r="R25" s="4" t="inlineStr">
        <is>
          <t>FY2009</t>
        </is>
      </c>
      <c r="BY25" t="inlineStr">
        <is>
          <t>FY2009</t>
        </is>
      </c>
      <c r="BZ25" t="inlineStr">
        <is>
          <t>FY2010</t>
        </is>
      </c>
      <c r="CA25" t="inlineStr">
        <is>
          <t>FY2011</t>
        </is>
      </c>
      <c r="CB25" t="inlineStr">
        <is>
          <t>FY2012</t>
        </is>
      </c>
      <c r="CC25" t="inlineStr">
        <is>
          <t>FY2013</t>
        </is>
      </c>
      <c r="CD25" t="inlineStr">
        <is>
          <t>FY2014</t>
        </is>
      </c>
      <c r="CE25" t="inlineStr">
        <is>
          <t>FY2015</t>
        </is>
      </c>
      <c r="CF25" t="inlineStr">
        <is>
          <t>FY2016</t>
        </is>
      </c>
      <c r="CG25" t="inlineStr">
        <is>
          <t>FY2017</t>
        </is>
      </c>
      <c r="CH25" t="inlineStr">
        <is>
          <t>FY2018</t>
        </is>
      </c>
      <c r="CI25" t="inlineStr">
        <is>
          <t>FY2019</t>
        </is>
      </c>
      <c r="CJ25" t="inlineStr">
        <is>
          <t>FY2020</t>
        </is>
      </c>
      <c r="CK25" t="inlineStr">
        <is>
          <t>FY2021</t>
        </is>
      </c>
      <c r="CL25" t="inlineStr">
        <is>
          <t>FY2022</t>
        </is>
      </c>
      <c r="CM25" t="inlineStr">
        <is>
          <t>FY2023</t>
        </is>
      </c>
      <c r="CN25" t="inlineStr">
        <is>
          <t>FY2025 (18mo)</t>
        </is>
      </c>
      <c r="CO25" t="inlineStr">
        <is>
          <t>FY2026</t>
        </is>
      </c>
    </row>
    <row r="26">
      <c r="A26" s="5" t="inlineStr">
        <is>
          <t>Net cash from/(used in) operating activities</t>
        </is>
      </c>
      <c r="B26" s="5" t="n"/>
      <c r="C26" s="5" t="n">
        <v>-1221</v>
      </c>
      <c r="D26" s="5" t="n">
        <v>948</v>
      </c>
      <c r="E26" s="5" t="n">
        <v>1930</v>
      </c>
      <c r="F26" s="5" t="n">
        <v>582</v>
      </c>
      <c r="G26" s="5" t="n">
        <v>2403</v>
      </c>
      <c r="H26" s="5" t="n">
        <v>699</v>
      </c>
      <c r="I26" s="5" t="n">
        <v>-1644</v>
      </c>
      <c r="J26" s="5" t="n">
        <v>-720</v>
      </c>
      <c r="K26" s="5" t="n">
        <v>-782</v>
      </c>
      <c r="L26" s="5" t="n">
        <v>-24</v>
      </c>
      <c r="M26" s="5" t="n">
        <v>-629</v>
      </c>
      <c r="N26" s="5" t="n">
        <v>3802</v>
      </c>
      <c r="O26" s="5" t="n">
        <v>-1343</v>
      </c>
      <c r="P26" s="5" t="n">
        <v>-798</v>
      </c>
      <c r="Q26" s="5" t="n">
        <v>2784</v>
      </c>
      <c r="R26" s="5" t="n">
        <v>2265</v>
      </c>
      <c r="BX26" t="inlineStr">
        <is>
          <t>Net cash from/(used in) operating activities</t>
        </is>
      </c>
      <c r="BY26" t="n">
        <v>2265</v>
      </c>
      <c r="BZ26" t="n">
        <v>2784</v>
      </c>
      <c r="CA26" t="n">
        <v>-798</v>
      </c>
      <c r="CB26" t="n">
        <v>-1343</v>
      </c>
      <c r="CC26" t="n">
        <v>3802</v>
      </c>
      <c r="CD26" t="n">
        <v>-629</v>
      </c>
      <c r="CE26" t="n">
        <v>-24</v>
      </c>
      <c r="CF26" t="n">
        <v>-782</v>
      </c>
      <c r="CG26" t="n">
        <v>-720</v>
      </c>
      <c r="CH26" t="n">
        <v>-1644</v>
      </c>
      <c r="CI26" t="n">
        <v>699</v>
      </c>
      <c r="CJ26" t="n">
        <v>2403</v>
      </c>
      <c r="CK26" t="n">
        <v>582</v>
      </c>
      <c r="CL26" t="n">
        <v>1930</v>
      </c>
      <c r="CM26" t="n">
        <v>948</v>
      </c>
      <c r="CN26" t="n">
        <v>-1221</v>
      </c>
    </row>
    <row r="27">
      <c r="A27" s="5" t="inlineStr">
        <is>
          <t>Net cash from/(used in) investing activities</t>
        </is>
      </c>
      <c r="B27" s="5" t="n"/>
      <c r="C27" s="5" t="n">
        <v>30</v>
      </c>
      <c r="D27" s="5" t="n">
        <v>-869</v>
      </c>
      <c r="E27" s="5" t="n">
        <v>-1368</v>
      </c>
      <c r="F27" s="5" t="n">
        <v>465</v>
      </c>
      <c r="G27" s="5" t="n">
        <v>-737</v>
      </c>
      <c r="H27" s="5" t="n">
        <v>3396</v>
      </c>
      <c r="I27" s="5" t="n">
        <v>329</v>
      </c>
      <c r="J27" s="5" t="n">
        <v>-550</v>
      </c>
      <c r="K27" s="5" t="n">
        <v>-293</v>
      </c>
      <c r="L27" s="5" t="n">
        <v>-259</v>
      </c>
      <c r="M27" s="5" t="n">
        <v>-168</v>
      </c>
      <c r="N27" s="5" t="n">
        <v>15</v>
      </c>
      <c r="O27" s="5" t="n">
        <v>108</v>
      </c>
      <c r="P27" s="5" t="n">
        <v>1190</v>
      </c>
      <c r="Q27" s="5" t="n">
        <v>-122</v>
      </c>
      <c r="R27" s="5" t="n">
        <v>-2108</v>
      </c>
      <c r="BX27" t="inlineStr">
        <is>
          <t>Net cash from/(used in) investing activities</t>
        </is>
      </c>
      <c r="BY27" t="n">
        <v>-2108</v>
      </c>
      <c r="BZ27" t="n">
        <v>-122</v>
      </c>
      <c r="CA27" t="n">
        <v>1190</v>
      </c>
      <c r="CB27" t="n">
        <v>108</v>
      </c>
      <c r="CC27" t="n">
        <v>15</v>
      </c>
      <c r="CD27" t="n">
        <v>-168</v>
      </c>
      <c r="CE27" t="n">
        <v>-259</v>
      </c>
      <c r="CF27" t="n">
        <v>-293</v>
      </c>
      <c r="CG27" t="n">
        <v>-550</v>
      </c>
      <c r="CH27" t="n">
        <v>329</v>
      </c>
      <c r="CI27" t="n">
        <v>3396</v>
      </c>
      <c r="CJ27" t="n">
        <v>-737</v>
      </c>
      <c r="CK27" t="n">
        <v>465</v>
      </c>
      <c r="CL27" t="n">
        <v>-1368</v>
      </c>
      <c r="CM27" t="n">
        <v>-869</v>
      </c>
      <c r="CN27" t="n">
        <v>30</v>
      </c>
    </row>
    <row r="28">
      <c r="A28" s="5" t="inlineStr">
        <is>
          <t>Net cash from/(used in) financing activities</t>
        </is>
      </c>
      <c r="B28" s="5" t="n"/>
      <c r="C28" s="5" t="n">
        <v>898</v>
      </c>
      <c r="D28" s="5" t="n">
        <v>-1023</v>
      </c>
      <c r="E28" s="5" t="n">
        <v>1796</v>
      </c>
      <c r="F28" s="5" t="n">
        <v>-608</v>
      </c>
      <c r="G28" s="5" t="n">
        <v>-2983</v>
      </c>
      <c r="H28" s="5" t="n">
        <v>-517</v>
      </c>
      <c r="I28" s="5" t="n">
        <v>905</v>
      </c>
      <c r="J28" s="5" t="n">
        <v>2272</v>
      </c>
      <c r="K28" s="5" t="n">
        <v>688</v>
      </c>
      <c r="L28" s="5" t="n">
        <v>740</v>
      </c>
      <c r="M28" s="5" t="n">
        <v>132</v>
      </c>
      <c r="N28" s="5" t="n">
        <v>-5221</v>
      </c>
      <c r="O28" s="5" t="n">
        <v>3340</v>
      </c>
      <c r="P28" s="5" t="n">
        <v>1561</v>
      </c>
      <c r="Q28" s="5" t="n">
        <v>-1384</v>
      </c>
      <c r="R28" s="5" t="n">
        <v>-2734</v>
      </c>
      <c r="BX28" t="inlineStr">
        <is>
          <t>Net cash from/(used in) financing activities</t>
        </is>
      </c>
      <c r="BY28" t="n">
        <v>-2734</v>
      </c>
      <c r="BZ28" t="n">
        <v>-1384</v>
      </c>
      <c r="CA28" t="n">
        <v>1561</v>
      </c>
      <c r="CB28" t="n">
        <v>3340</v>
      </c>
      <c r="CC28" t="n">
        <v>-5221</v>
      </c>
      <c r="CD28" t="n">
        <v>132</v>
      </c>
      <c r="CE28" t="n">
        <v>740</v>
      </c>
      <c r="CF28" t="n">
        <v>688</v>
      </c>
      <c r="CG28" t="n">
        <v>2272</v>
      </c>
      <c r="CH28" t="n">
        <v>905</v>
      </c>
      <c r="CI28" t="n">
        <v>-517</v>
      </c>
      <c r="CJ28" t="n">
        <v>-2983</v>
      </c>
      <c r="CK28" t="n">
        <v>-608</v>
      </c>
      <c r="CL28" t="n">
        <v>1796</v>
      </c>
      <c r="CM28" t="n">
        <v>-1023</v>
      </c>
      <c r="CN28" t="n">
        <v>898</v>
      </c>
    </row>
    <row r="29">
      <c r="A29" s="5" t="inlineStr">
        <is>
          <t>Cash and cash equivalents at end of period/year</t>
        </is>
      </c>
      <c r="B29" s="5" t="n"/>
      <c r="C29" s="5" t="n">
        <v>10296</v>
      </c>
      <c r="D29" s="5" t="n">
        <v>11667</v>
      </c>
      <c r="E29" s="5" t="n">
        <v>12611</v>
      </c>
      <c r="F29" s="5" t="n">
        <v>10253</v>
      </c>
      <c r="G29" s="5" t="n">
        <v>9814</v>
      </c>
      <c r="H29" s="5" t="n">
        <v>10120</v>
      </c>
      <c r="I29" s="5" t="n">
        <v>6542</v>
      </c>
      <c r="J29" s="5" t="n">
        <v>6952</v>
      </c>
      <c r="K29" s="5" t="n">
        <v>5950</v>
      </c>
      <c r="L29" s="5" t="n">
        <v>6337</v>
      </c>
      <c r="M29" s="5" t="n">
        <v>5880</v>
      </c>
      <c r="N29" s="5" t="n">
        <v>6545</v>
      </c>
      <c r="O29" s="5" t="n">
        <v>7949</v>
      </c>
      <c r="P29" s="5" t="n">
        <v>5844</v>
      </c>
      <c r="Q29" s="5" t="n">
        <v>3891</v>
      </c>
      <c r="R29" s="5" t="n">
        <v>2613</v>
      </c>
      <c r="BX29" t="inlineStr">
        <is>
          <t>Cash and cash equivalents at end of period/year</t>
        </is>
      </c>
      <c r="BY29" t="n">
        <v>2613</v>
      </c>
      <c r="BZ29" t="n">
        <v>3891</v>
      </c>
      <c r="CA29" t="n">
        <v>5844</v>
      </c>
      <c r="CB29" t="n">
        <v>7949</v>
      </c>
      <c r="CC29" t="n">
        <v>6545</v>
      </c>
      <c r="CD29" t="n">
        <v>5880</v>
      </c>
      <c r="CE29" t="n">
        <v>6337</v>
      </c>
      <c r="CF29" t="n">
        <v>5950</v>
      </c>
      <c r="CG29" t="n">
        <v>6952</v>
      </c>
      <c r="CH29" t="n">
        <v>6542</v>
      </c>
      <c r="CI29" t="n">
        <v>10120</v>
      </c>
      <c r="CJ29" t="n">
        <v>9814</v>
      </c>
      <c r="CK29" t="n">
        <v>10253</v>
      </c>
      <c r="CL29" t="n">
        <v>12611</v>
      </c>
      <c r="CM29" t="n">
        <v>11667</v>
      </c>
      <c r="CN29" t="n">
        <v>10296</v>
      </c>
    </row>
    <row r="31">
      <c r="A31" s="3" t="inlineStr">
        <is>
          <t>Pillar 3 Key Metrics</t>
        </is>
      </c>
    </row>
    <row r="32">
      <c r="A32" s="4" t="inlineStr">
        <is>
          <t>Line item</t>
        </is>
      </c>
      <c r="B32" s="4" t="inlineStr">
        <is>
          <t>FY2026</t>
        </is>
      </c>
      <c r="C32" s="4" t="inlineStr">
        <is>
          <t>FY2025 (18mo)</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c r="L32" s="4" t="inlineStr">
        <is>
          <t>FY2015</t>
        </is>
      </c>
      <c r="M32" s="4" t="inlineStr">
        <is>
          <t>FY2014</t>
        </is>
      </c>
    </row>
    <row r="33">
      <c r="A33" s="6" t="inlineStr">
        <is>
          <t>CET1 Ratio</t>
        </is>
      </c>
      <c r="B33" s="6" t="inlineStr">
        <is>
          <t>14.3%</t>
        </is>
      </c>
      <c r="C33" s="6" t="inlineStr">
        <is>
          <t>14.2%</t>
        </is>
      </c>
      <c r="D33" s="6" t="inlineStr">
        <is>
          <t>14.6%</t>
        </is>
      </c>
      <c r="E33" s="6" t="inlineStr">
        <is>
          <t>14.9%</t>
        </is>
      </c>
      <c r="F33" s="6" t="inlineStr">
        <is>
          <t>14.9%</t>
        </is>
      </c>
      <c r="G33" s="6" t="inlineStr">
        <is>
          <t>14.4%</t>
        </is>
      </c>
      <c r="H33" s="6" t="inlineStr">
        <is>
          <t>14.4%</t>
        </is>
      </c>
      <c r="I33" s="6" t="inlineStr">
        <is>
          <t>10.7%</t>
        </is>
      </c>
      <c r="J33" s="6" t="inlineStr">
        <is>
          <t>12.2%</t>
        </is>
      </c>
      <c r="K33" s="6" t="inlineStr">
        <is>
          <t>12.6%</t>
        </is>
      </c>
      <c r="L33" s="6" t="inlineStr">
        <is>
          <t>13.3%</t>
        </is>
      </c>
      <c r="M33" s="6" t="inlineStr">
        <is>
          <t>12.1%</t>
        </is>
      </c>
    </row>
    <row r="34">
      <c r="A34" s="6" t="inlineStr">
        <is>
          <t>Tier 1 Ratio</t>
        </is>
      </c>
      <c r="B34" s="6" t="inlineStr">
        <is>
          <t>16.6%</t>
        </is>
      </c>
      <c r="C34" s="6" t="inlineStr">
        <is>
          <t>16.7%</t>
        </is>
      </c>
      <c r="D34" s="6" t="inlineStr">
        <is>
          <t>17.0%</t>
        </is>
      </c>
      <c r="E34" s="6" t="inlineStr">
        <is>
          <t>17.7%</t>
        </is>
      </c>
      <c r="F34" s="6" t="inlineStr">
        <is>
          <t>17.7%</t>
        </is>
      </c>
      <c r="G34" s="6" t="inlineStr">
        <is>
          <t>17.1%</t>
        </is>
      </c>
      <c r="H34" s="6" t="inlineStr">
        <is>
          <t>17.2%</t>
        </is>
      </c>
      <c r="I34" s="6" t="inlineStr">
        <is>
          <t>12.8%</t>
        </is>
      </c>
      <c r="J34" s="6" t="inlineStr">
        <is>
          <t>14.3%</t>
        </is>
      </c>
      <c r="K34" s="6" t="inlineStr">
        <is>
          <t>14.8%</t>
        </is>
      </c>
      <c r="L34" s="6" t="inlineStr">
        <is>
          <t>15.8%</t>
        </is>
      </c>
      <c r="M34" s="6" t="inlineStr">
        <is>
          <t>12.1%</t>
        </is>
      </c>
    </row>
    <row r="35">
      <c r="A35" s="6" t="inlineStr">
        <is>
          <t>Total Capital Ratio</t>
        </is>
      </c>
      <c r="B35" s="6" t="inlineStr">
        <is>
          <t>19.3%</t>
        </is>
      </c>
      <c r="C35" s="6" t="inlineStr">
        <is>
          <t>19.4%</t>
        </is>
      </c>
      <c r="D35" s="6" t="inlineStr">
        <is>
          <t>21.1%</t>
        </is>
      </c>
      <c r="E35" s="6" t="inlineStr">
        <is>
          <t>21.9%</t>
        </is>
      </c>
      <c r="F35" s="6" t="inlineStr">
        <is>
          <t>21.9%</t>
        </is>
      </c>
      <c r="G35" s="6" t="inlineStr">
        <is>
          <t>20.2%</t>
        </is>
      </c>
      <c r="H35" s="6" t="inlineStr">
        <is>
          <t>20.2%</t>
        </is>
      </c>
      <c r="I35" s="6" t="inlineStr">
        <is>
          <t>15.9%</t>
        </is>
      </c>
      <c r="J35" s="6" t="inlineStr">
        <is>
          <t>17.4%</t>
        </is>
      </c>
      <c r="K35" s="6" t="inlineStr">
        <is>
          <t>18.1%</t>
        </is>
      </c>
      <c r="L35" s="6" t="inlineStr">
        <is>
          <t>19.1%</t>
        </is>
      </c>
      <c r="M35" s="6" t="inlineStr">
        <is>
          <t>18.6%</t>
        </is>
      </c>
    </row>
    <row r="36">
      <c r="A36" s="6" t="inlineStr">
        <is>
          <t>Leverage Ratio</t>
        </is>
      </c>
      <c r="B36" s="6" t="inlineStr">
        <is>
          <t>6.3%</t>
        </is>
      </c>
      <c r="C36" s="6" t="inlineStr">
        <is>
          <t>5.5%</t>
        </is>
      </c>
      <c r="D36" s="6" t="inlineStr">
        <is>
          <t>4.9%</t>
        </is>
      </c>
      <c r="E36" s="6" t="inlineStr">
        <is>
          <t>5.1%</t>
        </is>
      </c>
      <c r="F36" s="6" t="inlineStr">
        <is>
          <t>5.1%</t>
        </is>
      </c>
      <c r="G36" s="6" t="inlineStr">
        <is>
          <t>4.8%</t>
        </is>
      </c>
      <c r="H36" s="6" t="inlineStr">
        <is>
          <t>4.4%</t>
        </is>
      </c>
      <c r="I36" s="6" t="inlineStr">
        <is>
          <t>5.6%</t>
        </is>
      </c>
      <c r="J36" s="6" t="inlineStr">
        <is>
          <t>6.2%</t>
        </is>
      </c>
      <c r="K36" s="6" t="inlineStr">
        <is>
          <t>6.8%</t>
        </is>
      </c>
      <c r="L36" s="6" t="inlineStr">
        <is>
          <t>7.2%</t>
        </is>
      </c>
      <c r="M36" s="6" t="inlineStr">
        <is>
          <t>5.7%</t>
        </is>
      </c>
    </row>
    <row r="37">
      <c r="A37" s="6" t="inlineStr">
        <is>
          <t>LCR</t>
        </is>
      </c>
      <c r="B37" s="6" t="inlineStr">
        <is>
          <t>164%</t>
        </is>
      </c>
      <c r="C37" s="6" t="inlineStr">
        <is>
          <t>158%</t>
        </is>
      </c>
      <c r="D37" s="6" t="inlineStr">
        <is>
          <t>146%</t>
        </is>
      </c>
      <c r="E37" s="6" t="inlineStr">
        <is>
          <t>140%</t>
        </is>
      </c>
      <c r="F37" s="6" t="inlineStr">
        <is>
          <t>151%</t>
        </is>
      </c>
      <c r="G37" s="6" t="inlineStr">
        <is>
          <t>140%</t>
        </is>
      </c>
      <c r="H37" s="6" t="inlineStr">
        <is>
          <t>152%</t>
        </is>
      </c>
      <c r="I37" s="6" t="inlineStr">
        <is>
          <t>137%</t>
        </is>
      </c>
      <c r="J37" s="6" t="inlineStr">
        <is>
          <t>164%</t>
        </is>
      </c>
      <c r="K37" s="6" t="inlineStr">
        <is>
          <t>140%</t>
        </is>
      </c>
      <c r="L37" s="6" t="inlineStr">
        <is>
          <t>136%</t>
        </is>
      </c>
      <c r="M37" s="6" t="inlineStr">
        <is>
          <t>110%</t>
        </is>
      </c>
    </row>
    <row r="38">
      <c r="A38" s="6" t="inlineStr">
        <is>
          <t>NSFR</t>
        </is>
      </c>
      <c r="B38" s="6" t="inlineStr">
        <is>
          <t>143%</t>
        </is>
      </c>
      <c r="C38" s="6" t="inlineStr">
        <is>
          <t>142%</t>
        </is>
      </c>
      <c r="D38" s="6" t="inlineStr">
        <is>
          <t>136%</t>
        </is>
      </c>
      <c r="E38" s="6" t="inlineStr">
        <is>
          <t>136%</t>
        </is>
      </c>
      <c r="F38" s="6" t="inlineStr">
        <is>
          <t>134%</t>
        </is>
      </c>
      <c r="G38" s="6" t="inlineStr">
        <is>
          <t>131%</t>
        </is>
      </c>
      <c r="H38" s="6" t="inlineStr">
        <is>
          <t>128%</t>
        </is>
      </c>
      <c r="I38" s="6" t="inlineStr">
        <is>
          <t>125%</t>
        </is>
      </c>
      <c r="J38" s="6" t="inlineStr">
        <is>
          <t>118%</t>
        </is>
      </c>
      <c r="K38" s="6" t="inlineStr">
        <is>
          <t>124%</t>
        </is>
      </c>
      <c r="L38" s="6" t="inlineStr">
        <is>
          <t>120%</t>
        </is>
      </c>
      <c r="M38" s="6" t="inlineStr">
        <is>
          <t>108%</t>
        </is>
      </c>
    </row>
    <row r="40" ht="52" customHeight="1">
      <c r="A40" s="7" t="inlineStr">
        <is>
          <t>Note: Figures are duplicated from the detail sheets for at-a-glance trend viewing; see each sheet's own source citation for the underlying document/page. FY2026 cash flow is blank because the FY2026 Annual Report took the FRS 101/IAS 7 cash-flow-statement exemption (see Cash Flow Statement sheet note) following the Part VII transfer of substantially all of the Bank's business to Nationwide on 2 April 2026; Pillar 3 disclosures were unaffected and continue for FY2026. Balance Sheet/P&amp;L/Equity figures are CB Group consolidated through FY2025 and Bank (Company)-solo for FY2026 - a genuine entity-basis change since the FY2026 Annual Report no longer prepares consolidated financial statements (see the Balance Sheet sheet's basis note); FY2025's equity roll-forward also includes an explicit restatement plug (aligning to Nationwide's accounting policies) that is not reflected in the FY2023 column, since that column uses FY2023's own originally-published closing balance. HD-047 (2026-09-05) extended the workbook back to FY2014 (capped project-wide - see wayfinder/historical-depth/tickets/HD-047.md); FY2014's cash flow 'Opening equity' of £2,410m is Sep-2013's closing balance, one year before this workbook's own FY2014 column, shown for roll-forward continuity only.</t>
        </is>
      </c>
    </row>
  </sheetData>
  <mergeCells count="1">
    <mergeCell ref="A40:R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5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Clydesdale Bank PLC — Balance Sheet</t>
        </is>
      </c>
    </row>
    <row r="2">
      <c r="A2" s="2" t="inlineStr">
        <is>
          <t>CB Group consolidated basis, £m (FY2026 Bank-solo - see basis note at bottom).</t>
        </is>
      </c>
    </row>
    <row r="3">
      <c r="A3" s="4" t="inlineStr">
        <is>
          <t>Line item</t>
        </is>
      </c>
      <c r="B3" s="4" t="inlineStr">
        <is>
          <t>FY2026 (£m)</t>
        </is>
      </c>
      <c r="C3" s="4" t="inlineStr">
        <is>
          <t>FY2025 (18mo)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c r="Q3" s="4" t="inlineStr">
        <is>
          <t>FY2010 (£m)</t>
        </is>
      </c>
      <c r="R3" s="4" t="inlineStr">
        <is>
          <t>FY2009 (£m)</t>
        </is>
      </c>
    </row>
    <row r="4">
      <c r="A4" s="5" t="inlineStr">
        <is>
          <t>Assets</t>
        </is>
      </c>
      <c r="B4" s="6" t="n"/>
      <c r="C4" s="6" t="n"/>
      <c r="D4" s="6" t="n"/>
      <c r="E4" s="6" t="n"/>
      <c r="F4" s="6" t="n"/>
      <c r="G4" s="6" t="n"/>
      <c r="H4" s="6" t="n"/>
      <c r="I4" s="6" t="n"/>
      <c r="J4" s="6" t="n"/>
      <c r="K4" s="6" t="n"/>
      <c r="L4" s="6" t="n"/>
      <c r="M4" s="6" t="n"/>
      <c r="N4" s="6" t="n"/>
      <c r="O4" s="6" t="n"/>
      <c r="P4" s="6" t="n"/>
      <c r="Q4" s="6" t="n"/>
      <c r="R4" s="6" t="n"/>
    </row>
    <row r="5">
      <c r="A5" s="6" t="inlineStr">
        <is>
          <t>Loans and advances to customers (amortised cost)</t>
        </is>
      </c>
      <c r="B5" s="6" t="n">
        <v>69060</v>
      </c>
      <c r="C5" s="6" t="n">
        <v>71072</v>
      </c>
      <c r="D5" s="6" t="n">
        <v>72191</v>
      </c>
      <c r="E5" s="6" t="n">
        <v>71749</v>
      </c>
      <c r="F5" s="6" t="n">
        <v>71874</v>
      </c>
      <c r="G5" s="6" t="n">
        <v>72428</v>
      </c>
      <c r="H5" s="6" t="n">
        <v>73093</v>
      </c>
      <c r="I5" s="6" t="n">
        <v>32744</v>
      </c>
      <c r="J5" s="6" t="n">
        <v>31293</v>
      </c>
      <c r="K5" s="6" t="n">
        <v>29202</v>
      </c>
      <c r="L5" s="6" t="n">
        <v>27482</v>
      </c>
      <c r="M5" s="6" t="n">
        <v>25901</v>
      </c>
      <c r="N5" s="6" t="n">
        <v>23895</v>
      </c>
      <c r="O5" s="6" t="n">
        <v>24346</v>
      </c>
      <c r="P5" s="6" t="n">
        <v>28238</v>
      </c>
      <c r="Q5" s="6" t="n">
        <v>26981</v>
      </c>
      <c r="R5" s="6" t="n">
        <v>27147</v>
      </c>
    </row>
    <row r="6">
      <c r="A6" s="6" t="inlineStr">
        <is>
          <t>Fair value adjustment for portfolio hedged risk</t>
        </is>
      </c>
      <c r="B6" s="6" t="n">
        <v>-185</v>
      </c>
      <c r="C6" s="6" t="n">
        <v>-116</v>
      </c>
      <c r="D6" s="6" t="n"/>
      <c r="E6" s="6" t="n"/>
      <c r="F6" s="6" t="n"/>
      <c r="G6" s="6" t="n"/>
      <c r="H6" s="6" t="n"/>
      <c r="I6" s="6" t="n"/>
      <c r="J6" s="6" t="n"/>
      <c r="K6" s="6" t="n"/>
      <c r="L6" s="6" t="n"/>
      <c r="M6" s="6" t="n"/>
      <c r="N6" s="6" t="n"/>
      <c r="O6" s="6" t="n"/>
      <c r="P6" s="6" t="n"/>
      <c r="Q6" s="6" t="n"/>
      <c r="R6" s="6" t="n"/>
    </row>
    <row r="7">
      <c r="A7" s="6" t="inlineStr">
        <is>
          <t>Cash and balances with central banks</t>
        </is>
      </c>
      <c r="B7" s="6" t="n">
        <v>16158</v>
      </c>
      <c r="C7" s="6" t="n">
        <v>10882</v>
      </c>
      <c r="D7" s="6" t="n">
        <v>11282</v>
      </c>
      <c r="E7" s="6" t="n">
        <v>12221</v>
      </c>
      <c r="F7" s="6" t="n">
        <v>9711</v>
      </c>
      <c r="G7" s="6" t="n">
        <v>9107</v>
      </c>
      <c r="H7" s="6" t="n">
        <v>10296</v>
      </c>
      <c r="I7" s="6" t="n">
        <v>6573</v>
      </c>
      <c r="J7" s="6" t="n">
        <v>6937</v>
      </c>
      <c r="K7" s="6" t="n">
        <v>5955</v>
      </c>
      <c r="L7" s="6" t="n">
        <v>6431</v>
      </c>
      <c r="M7" s="6" t="n">
        <v>5971</v>
      </c>
      <c r="N7" s="6" t="n">
        <v>6715</v>
      </c>
      <c r="O7" s="6" t="n">
        <v>7923</v>
      </c>
      <c r="P7" s="6" t="n">
        <v>6022</v>
      </c>
      <c r="Q7" s="6" t="n">
        <v>4070</v>
      </c>
      <c r="R7" s="6" t="n">
        <v>2713</v>
      </c>
    </row>
    <row r="8">
      <c r="A8" s="6" t="inlineStr">
        <is>
          <t>Due from other banks and similar institutions</t>
        </is>
      </c>
      <c r="B8" s="6" t="n">
        <v>528</v>
      </c>
      <c r="C8" s="6" t="n">
        <v>364</v>
      </c>
      <c r="D8" s="6" t="n">
        <v>661</v>
      </c>
      <c r="E8" s="6" t="n">
        <v>656</v>
      </c>
      <c r="F8" s="6" t="n">
        <v>800</v>
      </c>
      <c r="G8" s="6" t="n">
        <v>927</v>
      </c>
      <c r="H8" s="6" t="n">
        <v>1018</v>
      </c>
      <c r="I8" s="6" t="n">
        <v>836</v>
      </c>
      <c r="J8" s="6" t="n">
        <v>810</v>
      </c>
      <c r="K8" s="6" t="n">
        <v>945</v>
      </c>
      <c r="L8" s="6" t="n">
        <v>128</v>
      </c>
      <c r="M8" s="6" t="n">
        <v>184</v>
      </c>
      <c r="N8" s="6" t="n">
        <v>184</v>
      </c>
      <c r="O8" s="6" t="n">
        <v>14</v>
      </c>
      <c r="P8" s="6" t="n">
        <v>12</v>
      </c>
      <c r="Q8" s="6" t="n">
        <v>11</v>
      </c>
      <c r="R8" s="6" t="n">
        <v>340</v>
      </c>
    </row>
    <row r="9">
      <c r="A9" s="6" t="inlineStr">
        <is>
          <t>Financial assets at FVOCI</t>
        </is>
      </c>
      <c r="B9" s="6" t="n">
        <v>3835</v>
      </c>
      <c r="C9" s="6" t="n">
        <v>6197</v>
      </c>
      <c r="D9" s="6" t="n">
        <v>6184</v>
      </c>
      <c r="E9" s="6" t="n">
        <v>5064</v>
      </c>
      <c r="F9" s="6" t="n">
        <v>4352</v>
      </c>
      <c r="G9" s="6" t="n">
        <v>5080</v>
      </c>
      <c r="H9" s="6" t="n">
        <v>4328</v>
      </c>
      <c r="I9" s="6" t="n"/>
      <c r="J9" s="6" t="n"/>
      <c r="K9" s="6" t="n"/>
      <c r="L9" s="6" t="n"/>
      <c r="M9" s="6" t="n"/>
      <c r="N9" s="6" t="n"/>
      <c r="O9" s="6" t="n"/>
      <c r="P9" s="6" t="n"/>
      <c r="Q9" s="6" t="n"/>
      <c r="R9" s="6" t="n"/>
    </row>
    <row r="10">
      <c r="A10" s="6" t="inlineStr">
        <is>
          <t>Financial assets available for sale (pre-IFRS 9 FVOCI equivalent)</t>
        </is>
      </c>
      <c r="B10" s="6" t="n"/>
      <c r="C10" s="6" t="n"/>
      <c r="D10" s="6" t="n"/>
      <c r="E10" s="6" t="n"/>
      <c r="F10" s="6" t="n"/>
      <c r="G10" s="6" t="n"/>
      <c r="H10" s="6" t="n"/>
      <c r="I10" s="6" t="n">
        <v>1562</v>
      </c>
      <c r="J10" s="6" t="n">
        <v>2076</v>
      </c>
      <c r="K10" s="6" t="n">
        <v>1731</v>
      </c>
      <c r="L10" s="6" t="n">
        <v>1462</v>
      </c>
      <c r="M10" s="6" t="n">
        <v>1168</v>
      </c>
      <c r="N10" s="6" t="n">
        <v>973</v>
      </c>
      <c r="O10" s="6" t="n">
        <v>1039</v>
      </c>
      <c r="P10" s="6" t="n">
        <v>1110</v>
      </c>
      <c r="Q10" s="6" t="n">
        <v>2262</v>
      </c>
      <c r="R10" s="6" t="n">
        <v>1541</v>
      </c>
    </row>
    <row r="11">
      <c r="A11" s="6" t="inlineStr">
        <is>
          <t>Investments held to maturity (pre-IFRS 9, matured/disposed of during FY2010)</t>
        </is>
      </c>
      <c r="B11" s="6" t="n"/>
      <c r="C11" s="6" t="n"/>
      <c r="D11" s="6" t="n"/>
      <c r="E11" s="6" t="n"/>
      <c r="F11" s="6" t="n"/>
      <c r="G11" s="6" t="n"/>
      <c r="H11" s="6" t="n"/>
      <c r="I11" s="6" t="n"/>
      <c r="J11" s="6" t="n"/>
      <c r="K11" s="6" t="n"/>
      <c r="L11" s="6" t="n"/>
      <c r="M11" s="6" t="n"/>
      <c r="N11" s="6" t="n"/>
      <c r="O11" s="6" t="n"/>
      <c r="P11" s="6" t="n"/>
      <c r="Q11" s="6" t="n"/>
      <c r="R11" s="6" t="n">
        <v>639</v>
      </c>
    </row>
    <row r="12">
      <c r="A12" s="6" t="inlineStr">
        <is>
          <t>Loans and advances to customers, at FVTPL</t>
        </is>
      </c>
      <c r="B12" s="6" t="n">
        <v>37</v>
      </c>
      <c r="C12" s="6" t="n">
        <v>47</v>
      </c>
      <c r="D12" s="6" t="n">
        <v>59</v>
      </c>
      <c r="E12" s="6" t="n">
        <v>70</v>
      </c>
      <c r="F12" s="6" t="n">
        <v>133</v>
      </c>
      <c r="G12" s="6" t="n">
        <v>190</v>
      </c>
      <c r="H12" s="6" t="n">
        <v>253</v>
      </c>
      <c r="I12" s="6" t="n"/>
      <c r="J12" s="6" t="n"/>
      <c r="K12" s="6" t="n"/>
      <c r="L12" s="6" t="n"/>
      <c r="M12" s="6" t="n"/>
      <c r="N12" s="6" t="n"/>
      <c r="O12" s="6" t="n"/>
      <c r="P12" s="6" t="n"/>
      <c r="Q12" s="6" t="n"/>
      <c r="R12" s="6" t="n"/>
    </row>
    <row r="13">
      <c r="A13" s="6" t="inlineStr">
        <is>
          <t>Other financial assets at fair value (undifferentiated FVTPL, pre-FY2019 split)</t>
        </is>
      </c>
      <c r="B13" s="6" t="n"/>
      <c r="C13" s="6" t="n"/>
      <c r="D13" s="6" t="n"/>
      <c r="E13" s="6" t="n"/>
      <c r="F13" s="6" t="n"/>
      <c r="G13" s="6" t="n"/>
      <c r="H13" s="6" t="n"/>
      <c r="I13" s="6" t="n">
        <v>362</v>
      </c>
      <c r="J13" s="6" t="n">
        <v>477</v>
      </c>
      <c r="K13" s="6" t="n">
        <v>750</v>
      </c>
      <c r="L13" s="6" t="n">
        <v>1097</v>
      </c>
      <c r="M13" s="6" t="n">
        <v>1583</v>
      </c>
      <c r="N13" s="6" t="n">
        <v>2155</v>
      </c>
      <c r="O13" s="6" t="n">
        <v>2791</v>
      </c>
      <c r="P13" s="6" t="n">
        <v>5327</v>
      </c>
      <c r="Q13" s="6" t="n">
        <v>5396</v>
      </c>
      <c r="R13" s="6" t="n">
        <v>5983</v>
      </c>
    </row>
    <row r="14">
      <c r="A14" s="6" t="inlineStr">
        <is>
          <t>Derivative financial assets</t>
        </is>
      </c>
      <c r="B14" s="6" t="n">
        <v>13</v>
      </c>
      <c r="C14" s="6" t="n">
        <v>48</v>
      </c>
      <c r="D14" s="6" t="n">
        <v>135</v>
      </c>
      <c r="E14" s="6" t="n">
        <v>342</v>
      </c>
      <c r="F14" s="6" t="n">
        <v>140</v>
      </c>
      <c r="G14" s="6" t="n">
        <v>318</v>
      </c>
      <c r="H14" s="6" t="n">
        <v>366</v>
      </c>
      <c r="I14" s="6" t="n">
        <v>262</v>
      </c>
      <c r="J14" s="6" t="n">
        <v>282</v>
      </c>
      <c r="K14" s="6" t="n">
        <v>585</v>
      </c>
      <c r="L14" s="6" t="n">
        <v>285</v>
      </c>
      <c r="M14" s="6" t="n">
        <v>220</v>
      </c>
      <c r="N14" s="6" t="n">
        <v>240</v>
      </c>
      <c r="O14" s="6" t="n">
        <v>600</v>
      </c>
      <c r="P14" s="6" t="n">
        <v>537</v>
      </c>
      <c r="Q14" s="6" t="n">
        <v>719</v>
      </c>
      <c r="R14" s="6" t="n">
        <v>942</v>
      </c>
    </row>
    <row r="15">
      <c r="A15" s="6" t="inlineStr">
        <is>
          <t>Other financial assets at FVTPL</t>
        </is>
      </c>
      <c r="B15" s="6" t="n">
        <v>2</v>
      </c>
      <c r="C15" s="6" t="n">
        <v>1</v>
      </c>
      <c r="D15" s="6" t="n">
        <v>2</v>
      </c>
      <c r="E15" s="6" t="n">
        <v>2</v>
      </c>
      <c r="F15" s="6" t="n">
        <v>16</v>
      </c>
      <c r="G15" s="6" t="n">
        <v>1</v>
      </c>
      <c r="H15" s="6" t="n">
        <v>8</v>
      </c>
      <c r="I15" s="6" t="n"/>
      <c r="J15" s="6" t="n"/>
      <c r="K15" s="6" t="n"/>
      <c r="L15" s="6" t="n"/>
      <c r="M15" s="6" t="n"/>
      <c r="N15" s="6" t="n"/>
      <c r="O15" s="6" t="n"/>
      <c r="P15" s="6" t="n"/>
      <c r="Q15" s="6" t="n"/>
      <c r="R15" s="6" t="n"/>
    </row>
    <row r="16">
      <c r="A16" s="6" t="inlineStr">
        <is>
          <t>Due from related entities</t>
        </is>
      </c>
      <c r="B16" s="6" t="n">
        <v>614</v>
      </c>
      <c r="C16" s="6" t="n">
        <v>3</v>
      </c>
      <c r="D16" s="6" t="n">
        <v>0</v>
      </c>
      <c r="E16" s="6" t="n">
        <v>4</v>
      </c>
      <c r="F16" s="6" t="n">
        <v>4</v>
      </c>
      <c r="G16" s="6" t="n">
        <v>11</v>
      </c>
      <c r="H16" s="6" t="n">
        <v>18</v>
      </c>
      <c r="I16" s="6" t="n">
        <v>35</v>
      </c>
      <c r="J16" s="6" t="n">
        <v>366</v>
      </c>
      <c r="K16" s="6" t="n">
        <v>7</v>
      </c>
      <c r="L16" s="6" t="n">
        <v>786</v>
      </c>
      <c r="M16" s="6" t="n">
        <v>1495</v>
      </c>
      <c r="N16" s="6" t="n">
        <v>1408</v>
      </c>
      <c r="O16" s="6" t="n">
        <v>1256</v>
      </c>
      <c r="P16" s="6" t="n">
        <v>4950</v>
      </c>
      <c r="Q16" s="6" t="n">
        <v>2839</v>
      </c>
      <c r="R16" s="6" t="n">
        <v>1971</v>
      </c>
    </row>
    <row r="17">
      <c r="A17" s="6" t="inlineStr">
        <is>
          <t>Intangible assets and goodwill</t>
        </is>
      </c>
      <c r="B17" s="6" t="n">
        <v>0</v>
      </c>
      <c r="C17" s="6" t="n">
        <v>127</v>
      </c>
      <c r="D17" s="6" t="n">
        <v>173</v>
      </c>
      <c r="E17" s="6" t="n">
        <v>267</v>
      </c>
      <c r="F17" s="6" t="n">
        <v>373</v>
      </c>
      <c r="G17" s="6" t="n">
        <v>491</v>
      </c>
      <c r="H17" s="6" t="n">
        <v>516</v>
      </c>
      <c r="I17" s="6" t="n">
        <v>412</v>
      </c>
      <c r="J17" s="6" t="n">
        <v>339</v>
      </c>
      <c r="K17" s="6" t="n">
        <v>256</v>
      </c>
      <c r="L17" s="6" t="n">
        <v>265</v>
      </c>
      <c r="M17" s="6" t="n"/>
      <c r="N17" s="6" t="n"/>
      <c r="O17" s="6" t="n"/>
      <c r="P17" s="6" t="n"/>
      <c r="Q17" s="6" t="n"/>
      <c r="R17" s="6" t="n"/>
    </row>
    <row r="18">
      <c r="A18" s="6" t="inlineStr">
        <is>
          <t>Property, plant and equipment</t>
        </is>
      </c>
      <c r="B18" s="6" t="n">
        <v>32</v>
      </c>
      <c r="C18" s="6" t="n">
        <v>181</v>
      </c>
      <c r="D18" s="6" t="n"/>
      <c r="E18" s="6" t="n">
        <v>211</v>
      </c>
      <c r="F18" s="6" t="n">
        <v>250</v>
      </c>
      <c r="G18" s="6" t="n">
        <v>288</v>
      </c>
      <c r="H18" s="6" t="n">
        <v>145</v>
      </c>
      <c r="I18" s="6" t="n">
        <v>88</v>
      </c>
      <c r="J18" s="6" t="n">
        <v>86</v>
      </c>
      <c r="K18" s="6" t="n">
        <v>99</v>
      </c>
      <c r="L18" s="6" t="n">
        <v>109</v>
      </c>
      <c r="M18" s="6" t="n">
        <v>106</v>
      </c>
      <c r="N18" s="6" t="n">
        <v>120</v>
      </c>
      <c r="O18" s="6" t="n">
        <v>128</v>
      </c>
      <c r="P18" s="6" t="n">
        <v>151</v>
      </c>
      <c r="Q18" s="6" t="n">
        <v>157</v>
      </c>
      <c r="R18" s="6" t="n">
        <v>167</v>
      </c>
    </row>
    <row r="19">
      <c r="A19" s="6" t="inlineStr">
        <is>
          <t>Investment properties</t>
        </is>
      </c>
      <c r="B19" s="6" t="n"/>
      <c r="C19" s="6" t="n"/>
      <c r="D19" s="6" t="n"/>
      <c r="E19" s="6" t="n"/>
      <c r="F19" s="6" t="n"/>
      <c r="G19" s="6" t="n"/>
      <c r="H19" s="6" t="n"/>
      <c r="I19" s="6" t="n">
        <v>7</v>
      </c>
      <c r="J19" s="6" t="n">
        <v>14</v>
      </c>
      <c r="K19" s="6" t="n">
        <v>22</v>
      </c>
      <c r="L19" s="6" t="n">
        <v>32</v>
      </c>
      <c r="M19" s="6" t="n">
        <v>44</v>
      </c>
      <c r="N19" s="6" t="n">
        <v>63</v>
      </c>
      <c r="O19" s="6" t="n">
        <v>77</v>
      </c>
      <c r="P19" s="6" t="n">
        <v>81</v>
      </c>
      <c r="Q19" s="6" t="n">
        <v>77</v>
      </c>
      <c r="R19" s="6" t="n">
        <v>33</v>
      </c>
    </row>
    <row r="20">
      <c r="A20" s="6" t="inlineStr">
        <is>
          <t>Property inventory (pre-IFRS 9 era)</t>
        </is>
      </c>
      <c r="B20" s="6" t="n"/>
      <c r="C20" s="6" t="n"/>
      <c r="D20" s="6" t="n"/>
      <c r="E20" s="6" t="n"/>
      <c r="F20" s="6" t="n"/>
      <c r="G20" s="6" t="n"/>
      <c r="H20" s="6" t="n"/>
      <c r="I20" s="6" t="n"/>
      <c r="J20" s="6" t="n"/>
      <c r="K20" s="6" t="n"/>
      <c r="L20" s="6" t="n"/>
      <c r="M20" s="6" t="n"/>
      <c r="N20" s="6" t="n">
        <v>6</v>
      </c>
      <c r="O20" s="6" t="n">
        <v>9</v>
      </c>
      <c r="P20" s="6" t="n">
        <v>27</v>
      </c>
      <c r="Q20" s="6" t="n">
        <v>31</v>
      </c>
      <c r="R20" s="6" t="n">
        <v>25</v>
      </c>
    </row>
    <row r="21">
      <c r="A21" s="6" t="inlineStr">
        <is>
          <t>Due from customers on acceptances</t>
        </is>
      </c>
      <c r="B21" s="6" t="n"/>
      <c r="C21" s="6" t="n"/>
      <c r="D21" s="6" t="n"/>
      <c r="E21" s="6" t="n"/>
      <c r="F21" s="6" t="n"/>
      <c r="G21" s="6" t="n"/>
      <c r="H21" s="6" t="n"/>
      <c r="I21" s="6" t="n">
        <v>4</v>
      </c>
      <c r="J21" s="6" t="n">
        <v>4</v>
      </c>
      <c r="K21" s="6" t="n">
        <v>4</v>
      </c>
      <c r="L21" s="6" t="n">
        <v>4</v>
      </c>
      <c r="M21" s="6" t="n">
        <v>4</v>
      </c>
      <c r="N21" s="6" t="n">
        <v>4</v>
      </c>
      <c r="O21" s="6" t="n">
        <v>7</v>
      </c>
      <c r="P21" s="6" t="n">
        <v>7</v>
      </c>
      <c r="Q21" s="6" t="n">
        <v>8</v>
      </c>
      <c r="R21" s="6" t="n">
        <v>2</v>
      </c>
    </row>
    <row r="22">
      <c r="A22" s="6" t="inlineStr">
        <is>
          <t>Accrued income and prepaid expenses</t>
        </is>
      </c>
      <c r="B22" s="6" t="n">
        <v>83</v>
      </c>
      <c r="C22" s="6" t="n">
        <v>100</v>
      </c>
      <c r="D22" s="6" t="n"/>
      <c r="E22" s="6" t="n"/>
      <c r="F22" s="6" t="n"/>
      <c r="G22" s="6" t="n"/>
      <c r="H22" s="6" t="n"/>
      <c r="I22" s="6" t="n"/>
      <c r="J22" s="6" t="n"/>
      <c r="K22" s="6" t="n"/>
      <c r="L22" s="6" t="n"/>
      <c r="M22" s="6" t="n"/>
      <c r="N22" s="6" t="n"/>
      <c r="O22" s="6" t="n"/>
      <c r="P22" s="6" t="n"/>
      <c r="Q22" s="6" t="n"/>
      <c r="R22" s="6" t="n"/>
    </row>
    <row r="23">
      <c r="A23" s="6" t="inlineStr">
        <is>
          <t>Investments in controlled entities and associates</t>
        </is>
      </c>
      <c r="B23" s="6" t="n"/>
      <c r="C23" s="6" t="n"/>
      <c r="D23" s="6" t="n"/>
      <c r="E23" s="6" t="n">
        <v>0</v>
      </c>
      <c r="F23" s="6" t="n">
        <v>0</v>
      </c>
      <c r="G23" s="6" t="n">
        <v>0</v>
      </c>
      <c r="H23" s="6" t="n">
        <v>0</v>
      </c>
      <c r="I23" s="6" t="n">
        <v>0</v>
      </c>
      <c r="J23" s="6" t="n"/>
      <c r="K23" s="6" t="n">
        <v>0</v>
      </c>
      <c r="L23" s="6" t="n">
        <v>2</v>
      </c>
      <c r="M23" s="6" t="n">
        <v>2</v>
      </c>
      <c r="N23" s="6" t="n">
        <v>3</v>
      </c>
      <c r="O23" s="6" t="n">
        <v>3</v>
      </c>
      <c r="P23" s="6" t="n">
        <v>3</v>
      </c>
      <c r="Q23" s="6" t="n">
        <v>2</v>
      </c>
      <c r="R23" s="6" t="n">
        <v>2</v>
      </c>
    </row>
    <row r="24">
      <c r="A24" s="6" t="inlineStr">
        <is>
          <t>Current tax assets</t>
        </is>
      </c>
      <c r="B24" s="6" t="n">
        <v>21</v>
      </c>
      <c r="C24" s="6" t="n">
        <v>129</v>
      </c>
      <c r="D24" s="6" t="n"/>
      <c r="E24" s="6" t="n">
        <v>0</v>
      </c>
      <c r="F24" s="6" t="n">
        <v>10</v>
      </c>
      <c r="G24" s="6" t="n">
        <v>22</v>
      </c>
      <c r="H24" s="6" t="n">
        <v>10</v>
      </c>
      <c r="I24" s="6" t="n"/>
      <c r="J24" s="6" t="n"/>
      <c r="K24" s="6" t="n"/>
      <c r="L24" s="6" t="n"/>
      <c r="M24" s="6" t="n"/>
      <c r="N24" s="6" t="n">
        <v>23</v>
      </c>
      <c r="O24" s="6" t="n">
        <v>55</v>
      </c>
      <c r="P24" s="6" t="n">
        <v>14</v>
      </c>
      <c r="Q24" s="6" t="n">
        <v>10</v>
      </c>
      <c r="R24" s="6" t="n">
        <v>5</v>
      </c>
    </row>
    <row r="25">
      <c r="A25" s="6" t="inlineStr">
        <is>
          <t>Deferred tax assets</t>
        </is>
      </c>
      <c r="B25" s="6" t="n">
        <v>406</v>
      </c>
      <c r="C25" s="6" t="n">
        <v>403</v>
      </c>
      <c r="D25" s="6" t="n">
        <v>296</v>
      </c>
      <c r="E25" s="6" t="n">
        <v>256</v>
      </c>
      <c r="F25" s="6" t="n">
        <v>497</v>
      </c>
      <c r="G25" s="6" t="n">
        <v>382</v>
      </c>
      <c r="H25" s="6" t="n">
        <v>418</v>
      </c>
      <c r="I25" s="6" t="n">
        <v>298</v>
      </c>
      <c r="J25" s="6" t="n">
        <v>236</v>
      </c>
      <c r="K25" s="6" t="n">
        <v>219</v>
      </c>
      <c r="L25" s="6" t="n">
        <v>389</v>
      </c>
      <c r="M25" s="6" t="n">
        <v>287</v>
      </c>
      <c r="N25" s="6" t="n">
        <v>227</v>
      </c>
      <c r="O25" s="6" t="n">
        <v>249</v>
      </c>
      <c r="P25" s="6" t="n">
        <v>112</v>
      </c>
      <c r="Q25" s="6" t="n">
        <v>144</v>
      </c>
      <c r="R25" s="6" t="n">
        <v>147</v>
      </c>
    </row>
    <row r="26">
      <c r="A26" s="6" t="inlineStr">
        <is>
          <t>Defined benefit pension assets</t>
        </is>
      </c>
      <c r="B26" s="6" t="n">
        <v>366</v>
      </c>
      <c r="C26" s="6" t="n">
        <v>357</v>
      </c>
      <c r="D26" s="6" t="n">
        <v>512</v>
      </c>
      <c r="E26" s="6" t="n">
        <v>1000</v>
      </c>
      <c r="F26" s="6" t="n">
        <v>847</v>
      </c>
      <c r="G26" s="6" t="n">
        <v>723</v>
      </c>
      <c r="H26" s="6" t="n">
        <v>396</v>
      </c>
      <c r="I26" s="6" t="n">
        <v>212</v>
      </c>
      <c r="J26" s="6" t="n">
        <v>207</v>
      </c>
      <c r="K26" s="6" t="n"/>
      <c r="L26" s="6" t="n">
        <v>52</v>
      </c>
      <c r="M26" s="6" t="n">
        <v>49</v>
      </c>
      <c r="N26" s="6" t="n"/>
      <c r="O26" s="6" t="n"/>
      <c r="P26" s="6" t="n"/>
      <c r="Q26" s="6" t="n"/>
      <c r="R26" s="6" t="n"/>
    </row>
    <row r="27">
      <c r="A27" s="6" t="inlineStr">
        <is>
          <t>Other assets</t>
        </is>
      </c>
      <c r="B27" s="6" t="n">
        <v>50</v>
      </c>
      <c r="C27" s="6" t="n">
        <v>81</v>
      </c>
      <c r="D27" s="6" t="n">
        <v>389</v>
      </c>
      <c r="E27" s="6" t="n">
        <v>168</v>
      </c>
      <c r="F27" s="6" t="n">
        <v>209</v>
      </c>
      <c r="G27" s="6" t="n">
        <v>339</v>
      </c>
      <c r="H27" s="6" t="n">
        <v>236</v>
      </c>
      <c r="I27" s="6" t="n">
        <v>188</v>
      </c>
      <c r="J27" s="6" t="n">
        <v>187</v>
      </c>
      <c r="K27" s="6" t="n">
        <v>188</v>
      </c>
      <c r="L27" s="6" t="n">
        <v>177</v>
      </c>
      <c r="M27" s="6" t="n">
        <v>237</v>
      </c>
      <c r="N27" s="6" t="n">
        <v>616</v>
      </c>
      <c r="O27" s="6" t="n">
        <v>499</v>
      </c>
      <c r="P27" s="6" t="n">
        <v>661</v>
      </c>
      <c r="Q27" s="6" t="n">
        <v>953</v>
      </c>
      <c r="R27" s="6" t="n">
        <v>713</v>
      </c>
    </row>
    <row r="28">
      <c r="A28" s="6" t="inlineStr">
        <is>
          <t>Assets held for sale</t>
        </is>
      </c>
      <c r="B28" s="6" t="n"/>
      <c r="C28" s="6" t="n"/>
      <c r="D28" s="6" t="n"/>
      <c r="E28" s="6" t="n"/>
      <c r="F28" s="6" t="n"/>
      <c r="G28" s="6" t="n"/>
      <c r="H28" s="6" t="n"/>
      <c r="I28" s="6" t="n"/>
      <c r="J28" s="6" t="n"/>
      <c r="K28" s="6" t="n"/>
      <c r="L28" s="6" t="n"/>
      <c r="M28" s="6" t="n"/>
      <c r="N28" s="6" t="n"/>
      <c r="O28" s="6" t="n">
        <v>5225</v>
      </c>
      <c r="P28" s="6" t="n"/>
      <c r="Q28" s="6" t="n"/>
      <c r="R28" s="6" t="n"/>
    </row>
    <row r="29">
      <c r="A29" s="5" t="inlineStr">
        <is>
          <t>Total assets</t>
        </is>
      </c>
      <c r="B29" s="5" t="n">
        <v>91020</v>
      </c>
      <c r="C29" s="5" t="n">
        <v>89876</v>
      </c>
      <c r="D29" s="5" t="n">
        <v>91884</v>
      </c>
      <c r="E29" s="5" t="n">
        <v>92010</v>
      </c>
      <c r="F29" s="5" t="n">
        <v>89216</v>
      </c>
      <c r="G29" s="5" t="n">
        <v>90307</v>
      </c>
      <c r="H29" s="5" t="n">
        <v>91101</v>
      </c>
      <c r="I29" s="5" t="n">
        <v>43583</v>
      </c>
      <c r="J29" s="5" t="n">
        <v>43314</v>
      </c>
      <c r="K29" s="5" t="n">
        <v>39963</v>
      </c>
      <c r="L29" s="5" t="n">
        <v>38701</v>
      </c>
      <c r="M29" s="5" t="n">
        <v>37083</v>
      </c>
      <c r="N29" s="5" t="n">
        <v>36632</v>
      </c>
      <c r="O29" s="5" t="n">
        <v>44221</v>
      </c>
      <c r="P29" s="5" t="n">
        <v>47252</v>
      </c>
      <c r="Q29" s="5" t="n">
        <v>43660</v>
      </c>
      <c r="R29" s="5" t="n">
        <v>42370</v>
      </c>
    </row>
    <row r="30">
      <c r="A30" s="5" t="inlineStr">
        <is>
          <t>Liabilities</t>
        </is>
      </c>
      <c r="B30" s="6" t="n"/>
      <c r="C30" s="6" t="n"/>
      <c r="D30" s="6" t="n"/>
      <c r="E30" s="6" t="n"/>
      <c r="F30" s="6" t="n"/>
      <c r="G30" s="6" t="n"/>
      <c r="H30" s="6" t="n"/>
      <c r="I30" s="6" t="n"/>
      <c r="J30" s="6" t="n"/>
      <c r="K30" s="6" t="n"/>
      <c r="L30" s="6" t="n"/>
      <c r="M30" s="6" t="n"/>
      <c r="N30" s="6" t="n"/>
      <c r="O30" s="6" t="n"/>
      <c r="P30" s="6" t="n"/>
      <c r="Q30" s="6" t="n"/>
      <c r="R30" s="6" t="n"/>
    </row>
    <row r="31">
      <c r="A31" s="6" t="inlineStr">
        <is>
          <t>Customer deposits</t>
        </is>
      </c>
      <c r="B31" s="6" t="n">
        <v>72711</v>
      </c>
      <c r="C31" s="6" t="n">
        <v>70383</v>
      </c>
      <c r="D31" s="6" t="n">
        <v>66827</v>
      </c>
      <c r="E31" s="6" t="n">
        <v>65434</v>
      </c>
      <c r="F31" s="6" t="n">
        <v>66971</v>
      </c>
      <c r="G31" s="6" t="n">
        <v>67710</v>
      </c>
      <c r="H31" s="6" t="n">
        <v>64000</v>
      </c>
      <c r="I31" s="6" t="n">
        <v>28904</v>
      </c>
      <c r="J31" s="6" t="n">
        <v>27718</v>
      </c>
      <c r="K31" s="6" t="n">
        <v>27090</v>
      </c>
      <c r="L31" s="6" t="n">
        <v>26407</v>
      </c>
      <c r="M31" s="6" t="n">
        <v>24073</v>
      </c>
      <c r="N31" s="6" t="n">
        <v>24146</v>
      </c>
      <c r="O31" s="6" t="n">
        <v>26381</v>
      </c>
      <c r="P31" s="6" t="n">
        <v>28170</v>
      </c>
      <c r="Q31" s="6" t="n">
        <v>28434</v>
      </c>
      <c r="R31" s="6" t="n">
        <v>26656</v>
      </c>
    </row>
    <row r="32">
      <c r="A32" s="6" t="inlineStr">
        <is>
          <t>Debt securities in issue</t>
        </is>
      </c>
      <c r="B32" s="6" t="n">
        <v>3749</v>
      </c>
      <c r="C32" s="6" t="n">
        <v>6557</v>
      </c>
      <c r="D32" s="6" t="n">
        <v>6155</v>
      </c>
      <c r="E32" s="6" t="n">
        <v>5347</v>
      </c>
      <c r="F32" s="6" t="n">
        <v>4241</v>
      </c>
      <c r="G32" s="6" t="n">
        <v>5933</v>
      </c>
      <c r="H32" s="6" t="n">
        <v>7267</v>
      </c>
      <c r="I32" s="6" t="n">
        <v>3698</v>
      </c>
      <c r="J32" s="6" t="n">
        <v>4006</v>
      </c>
      <c r="K32" s="6" t="n">
        <v>4021</v>
      </c>
      <c r="L32" s="6" t="n">
        <v>3766</v>
      </c>
      <c r="M32" s="6" t="n">
        <v>3453</v>
      </c>
      <c r="N32" s="6" t="n">
        <v>3071</v>
      </c>
      <c r="O32" s="6" t="n">
        <v>3163</v>
      </c>
      <c r="P32" s="6" t="n">
        <v>3553</v>
      </c>
      <c r="Q32" s="6" t="n">
        <v>4409</v>
      </c>
      <c r="R32" s="6" t="n">
        <v>5287</v>
      </c>
    </row>
    <row r="33">
      <c r="A33" s="6" t="inlineStr">
        <is>
          <t>Due to other banks and similar institutions</t>
        </is>
      </c>
      <c r="B33" s="6" t="n">
        <v>975</v>
      </c>
      <c r="C33" s="6" t="n">
        <v>934</v>
      </c>
      <c r="D33" s="6" t="n">
        <v>6920</v>
      </c>
      <c r="E33" s="6" t="n">
        <v>8486</v>
      </c>
      <c r="F33" s="6" t="n">
        <v>5918</v>
      </c>
      <c r="G33" s="6" t="n">
        <v>5469</v>
      </c>
      <c r="H33" s="6" t="n">
        <v>8916</v>
      </c>
      <c r="I33" s="6" t="n">
        <v>3105</v>
      </c>
      <c r="J33" s="6" t="n">
        <v>3808</v>
      </c>
      <c r="K33" s="6" t="n">
        <v>1309</v>
      </c>
      <c r="L33" s="6" t="n">
        <v>393</v>
      </c>
      <c r="M33" s="6" t="n">
        <v>914</v>
      </c>
      <c r="N33" s="6" t="n">
        <v>521</v>
      </c>
      <c r="O33" s="6" t="n">
        <v>557</v>
      </c>
      <c r="P33" s="6" t="n">
        <v>1507</v>
      </c>
      <c r="Q33" s="6" t="n">
        <v>1373</v>
      </c>
      <c r="R33" s="6" t="n">
        <v>1920</v>
      </c>
    </row>
    <row r="34">
      <c r="A34" s="6" t="inlineStr">
        <is>
          <t>Derivative financial liabilities</t>
        </is>
      </c>
      <c r="B34" s="6" t="n">
        <v>33</v>
      </c>
      <c r="C34" s="6" t="n">
        <v>132</v>
      </c>
      <c r="D34" s="6" t="n">
        <v>290</v>
      </c>
      <c r="E34" s="6" t="n">
        <v>327</v>
      </c>
      <c r="F34" s="6" t="n">
        <v>209</v>
      </c>
      <c r="G34" s="6" t="n">
        <v>250</v>
      </c>
      <c r="H34" s="6" t="n">
        <v>273</v>
      </c>
      <c r="I34" s="6" t="n">
        <v>361</v>
      </c>
      <c r="J34" s="6" t="n">
        <v>376</v>
      </c>
      <c r="K34" s="6" t="n">
        <v>598</v>
      </c>
      <c r="L34" s="6" t="n">
        <v>534</v>
      </c>
      <c r="M34" s="6" t="n">
        <v>548</v>
      </c>
      <c r="N34" s="6" t="n">
        <v>663</v>
      </c>
      <c r="O34" s="6" t="n">
        <v>952</v>
      </c>
      <c r="P34" s="6" t="n">
        <v>81</v>
      </c>
      <c r="Q34" s="6" t="n">
        <v>117</v>
      </c>
      <c r="R34" s="6" t="n">
        <v>113</v>
      </c>
    </row>
    <row r="35">
      <c r="A35" s="6" t="inlineStr">
        <is>
          <t>Other financial liabilities at fair value</t>
        </is>
      </c>
      <c r="B35" s="6" t="n"/>
      <c r="C35" s="6" t="n"/>
      <c r="D35" s="6" t="n"/>
      <c r="E35" s="6" t="n"/>
      <c r="F35" s="6" t="n"/>
      <c r="G35" s="6" t="n"/>
      <c r="H35" s="6" t="n"/>
      <c r="I35" s="6" t="n">
        <v>15</v>
      </c>
      <c r="J35" s="6" t="n">
        <v>26</v>
      </c>
      <c r="K35" s="6" t="n">
        <v>48</v>
      </c>
      <c r="L35" s="6" t="n">
        <v>67</v>
      </c>
      <c r="M35" s="6" t="n">
        <v>91</v>
      </c>
      <c r="N35" s="6" t="n">
        <v>120</v>
      </c>
      <c r="O35" s="6" t="n">
        <v>147</v>
      </c>
      <c r="P35" s="6" t="n">
        <v>1005</v>
      </c>
      <c r="Q35" s="6" t="n">
        <v>896</v>
      </c>
      <c r="R35" s="6" t="n">
        <v>597</v>
      </c>
    </row>
    <row r="36">
      <c r="A36" s="6" t="inlineStr">
        <is>
          <t>Due to related entities</t>
        </is>
      </c>
      <c r="B36" s="6" t="n">
        <v>6224</v>
      </c>
      <c r="C36" s="6" t="n">
        <v>4304</v>
      </c>
      <c r="D36" s="6" t="n">
        <v>3605</v>
      </c>
      <c r="E36" s="6" t="n">
        <v>3210</v>
      </c>
      <c r="F36" s="6" t="n">
        <v>3450</v>
      </c>
      <c r="G36" s="6" t="n">
        <v>2822</v>
      </c>
      <c r="H36" s="6" t="n">
        <v>2315</v>
      </c>
      <c r="I36" s="6" t="n">
        <v>1313</v>
      </c>
      <c r="J36" s="6" t="n">
        <v>809</v>
      </c>
      <c r="K36" s="6" t="n">
        <v>498</v>
      </c>
      <c r="L36" s="6" t="n">
        <v>979</v>
      </c>
      <c r="M36" s="6" t="n">
        <v>2452</v>
      </c>
      <c r="N36" s="6" t="n">
        <v>2850</v>
      </c>
      <c r="O36" s="6" t="n">
        <v>7527</v>
      </c>
      <c r="P36" s="6" t="n">
        <v>7758</v>
      </c>
      <c r="Q36" s="6" t="n">
        <v>3386</v>
      </c>
      <c r="R36" s="6" t="n">
        <v>3321</v>
      </c>
    </row>
    <row r="37">
      <c r="A37" s="6" t="inlineStr">
        <is>
          <t>Liabilities on acceptances</t>
        </is>
      </c>
      <c r="B37" s="6" t="n"/>
      <c r="C37" s="6" t="n"/>
      <c r="D37" s="6" t="n"/>
      <c r="E37" s="6" t="n"/>
      <c r="F37" s="6" t="n"/>
      <c r="G37" s="6" t="n"/>
      <c r="H37" s="6" t="n"/>
      <c r="I37" s="6" t="n">
        <v>4</v>
      </c>
      <c r="J37" s="6" t="n">
        <v>4</v>
      </c>
      <c r="K37" s="6" t="n">
        <v>4</v>
      </c>
      <c r="L37" s="6" t="n">
        <v>4</v>
      </c>
      <c r="M37" s="6" t="n">
        <v>4</v>
      </c>
      <c r="N37" s="6" t="n">
        <v>4</v>
      </c>
      <c r="O37" s="6" t="n">
        <v>7</v>
      </c>
      <c r="P37" s="6" t="n">
        <v>7</v>
      </c>
      <c r="Q37" s="6" t="n">
        <v>8</v>
      </c>
      <c r="R37" s="6" t="n">
        <v>2</v>
      </c>
    </row>
    <row r="38">
      <c r="A38" s="6" t="inlineStr">
        <is>
          <t>Current tax liabilities</t>
        </is>
      </c>
      <c r="B38" s="6" t="n"/>
      <c r="C38" s="6" t="n"/>
      <c r="D38" s="6" t="n"/>
      <c r="E38" s="6" t="n">
        <v>7</v>
      </c>
      <c r="F38" s="6" t="n"/>
      <c r="G38" s="6" t="n"/>
      <c r="H38" s="6" t="n"/>
      <c r="I38" s="6" t="n">
        <v>1</v>
      </c>
      <c r="J38" s="6" t="n">
        <v>1</v>
      </c>
      <c r="K38" s="6" t="n">
        <v>8</v>
      </c>
      <c r="L38" s="6" t="n"/>
      <c r="M38" s="6" t="n"/>
      <c r="N38" s="6" t="n"/>
      <c r="O38" s="6" t="n"/>
      <c r="P38" s="6" t="n"/>
      <c r="Q38" s="6" t="n"/>
      <c r="R38" s="6" t="n"/>
    </row>
    <row r="39">
      <c r="A39" s="6" t="inlineStr">
        <is>
          <t>Deferred tax liabilities</t>
        </is>
      </c>
      <c r="B39" s="6" t="n">
        <v>91</v>
      </c>
      <c r="C39" s="6" t="n">
        <v>89</v>
      </c>
      <c r="D39" s="6" t="n">
        <v>179</v>
      </c>
      <c r="E39" s="6" t="n">
        <v>350</v>
      </c>
      <c r="F39" s="6" t="n">
        <v>296</v>
      </c>
      <c r="G39" s="6" t="n">
        <v>271</v>
      </c>
      <c r="H39" s="6" t="n">
        <v>199</v>
      </c>
      <c r="I39" s="6" t="n">
        <v>77</v>
      </c>
      <c r="J39" s="6" t="n">
        <v>75</v>
      </c>
      <c r="K39" s="6" t="n">
        <v>27</v>
      </c>
      <c r="L39" s="6" t="n">
        <v>10</v>
      </c>
      <c r="M39" s="6" t="n">
        <v>10</v>
      </c>
      <c r="N39" s="6" t="n">
        <v>7</v>
      </c>
      <c r="O39" s="6" t="n">
        <v>21</v>
      </c>
      <c r="P39" s="6" t="n">
        <v>32</v>
      </c>
      <c r="Q39" s="6" t="n">
        <v>43</v>
      </c>
      <c r="R39" s="6" t="n">
        <v>50</v>
      </c>
    </row>
    <row r="40">
      <c r="A40" s="6" t="inlineStr">
        <is>
          <t>Provisions for liabilities and charges</t>
        </is>
      </c>
      <c r="B40" s="6" t="n">
        <v>44</v>
      </c>
      <c r="C40" s="6" t="n">
        <v>39</v>
      </c>
      <c r="D40" s="6" t="n">
        <v>69</v>
      </c>
      <c r="E40" s="6" t="n">
        <v>50</v>
      </c>
      <c r="F40" s="6" t="n">
        <v>104</v>
      </c>
      <c r="G40" s="6" t="n">
        <v>172</v>
      </c>
      <c r="H40" s="6" t="n">
        <v>459</v>
      </c>
      <c r="I40" s="6" t="n">
        <v>331</v>
      </c>
      <c r="J40" s="6" t="n">
        <v>554</v>
      </c>
      <c r="K40" s="6" t="n">
        <v>852</v>
      </c>
      <c r="L40" s="6" t="n">
        <v>1006</v>
      </c>
      <c r="M40" s="6" t="n">
        <v>952</v>
      </c>
      <c r="N40" s="6" t="n">
        <v>315</v>
      </c>
      <c r="O40" s="6" t="n">
        <v>292</v>
      </c>
      <c r="P40" s="6" t="n">
        <v>108</v>
      </c>
      <c r="Q40" s="6" t="n">
        <v>27</v>
      </c>
      <c r="R40" s="6" t="n">
        <v>14</v>
      </c>
    </row>
    <row r="41">
      <c r="A41" s="6" t="inlineStr">
        <is>
          <t>Retirement benefit obligations</t>
        </is>
      </c>
      <c r="B41" s="6" t="n"/>
      <c r="C41" s="6" t="n"/>
      <c r="D41" s="6" t="n"/>
      <c r="E41" s="6" t="n"/>
      <c r="F41" s="6" t="n"/>
      <c r="G41" s="6" t="n"/>
      <c r="H41" s="6" t="n"/>
      <c r="I41" s="6" t="n">
        <v>3</v>
      </c>
      <c r="J41" s="6" t="n">
        <v>3</v>
      </c>
      <c r="K41" s="6" t="n">
        <v>79</v>
      </c>
      <c r="L41" s="6" t="n">
        <v>4</v>
      </c>
      <c r="M41" s="6" t="n">
        <v>4</v>
      </c>
      <c r="N41" s="6" t="n">
        <v>202</v>
      </c>
      <c r="O41" s="6" t="n">
        <v>306</v>
      </c>
      <c r="P41" s="6" t="n">
        <v>185</v>
      </c>
      <c r="Q41" s="6" t="n">
        <v>317</v>
      </c>
      <c r="R41" s="6" t="n">
        <v>320</v>
      </c>
    </row>
    <row r="42">
      <c r="A42" s="6" t="inlineStr">
        <is>
          <t>Accruals and deferred income</t>
        </is>
      </c>
      <c r="B42" s="6" t="n">
        <v>165</v>
      </c>
      <c r="C42" s="6" t="n">
        <v>163</v>
      </c>
      <c r="D42" s="6" t="n"/>
      <c r="E42" s="6" t="n"/>
      <c r="F42" s="6" t="n"/>
      <c r="G42" s="6" t="n"/>
      <c r="H42" s="6" t="n"/>
      <c r="I42" s="6" t="n"/>
      <c r="J42" s="6" t="n"/>
      <c r="K42" s="6" t="n"/>
      <c r="L42" s="6" t="n"/>
      <c r="M42" s="6" t="n"/>
      <c r="N42" s="6" t="n"/>
      <c r="O42" s="6" t="n"/>
      <c r="P42" s="6" t="n"/>
      <c r="Q42" s="6" t="n"/>
      <c r="R42" s="6" t="n"/>
    </row>
    <row r="43">
      <c r="A43" s="6" t="inlineStr">
        <is>
          <t>Other liabilities</t>
        </is>
      </c>
      <c r="B43" s="6" t="n">
        <v>1446</v>
      </c>
      <c r="C43" s="6" t="n">
        <v>1666</v>
      </c>
      <c r="D43" s="6" t="n">
        <v>2150</v>
      </c>
      <c r="E43" s="6" t="n">
        <v>2388</v>
      </c>
      <c r="F43" s="6" t="n">
        <v>2445</v>
      </c>
      <c r="G43" s="6" t="n">
        <v>2690</v>
      </c>
      <c r="H43" s="6" t="n">
        <v>2527</v>
      </c>
      <c r="I43" s="6" t="n">
        <v>2480</v>
      </c>
      <c r="J43" s="6" t="n">
        <v>2470</v>
      </c>
      <c r="K43" s="6" t="n">
        <v>2208</v>
      </c>
      <c r="L43" s="6" t="n">
        <v>2073</v>
      </c>
      <c r="M43" s="6" t="n">
        <v>2057</v>
      </c>
      <c r="N43" s="6" t="n">
        <v>2323</v>
      </c>
      <c r="O43" s="6" t="n">
        <v>2122</v>
      </c>
      <c r="P43" s="6" t="n">
        <v>1967</v>
      </c>
      <c r="Q43" s="6" t="n">
        <v>2103</v>
      </c>
      <c r="R43" s="6" t="n">
        <v>1840</v>
      </c>
    </row>
    <row r="44">
      <c r="A44" s="6" t="inlineStr">
        <is>
          <t>Liabilities associated with assets held for sale</t>
        </is>
      </c>
      <c r="B44" s="6" t="n"/>
      <c r="C44" s="6" t="n"/>
      <c r="D44" s="6" t="n"/>
      <c r="E44" s="6" t="n"/>
      <c r="F44" s="6" t="n"/>
      <c r="G44" s="6" t="n"/>
      <c r="H44" s="6" t="n"/>
      <c r="I44" s="6" t="n"/>
      <c r="J44" s="6" t="n"/>
      <c r="K44" s="6" t="n"/>
      <c r="L44" s="6" t="n"/>
      <c r="M44" s="6" t="n"/>
      <c r="N44" s="6" t="n"/>
      <c r="O44" s="6" t="n">
        <v>142</v>
      </c>
      <c r="P44" s="6" t="n"/>
      <c r="Q44" s="6" t="n"/>
      <c r="R44" s="6" t="n"/>
    </row>
    <row r="45">
      <c r="A45" s="5" t="inlineStr">
        <is>
          <t>Total liabilities</t>
        </is>
      </c>
      <c r="B45" s="5" t="n">
        <v>85438</v>
      </c>
      <c r="C45" s="5" t="n">
        <v>84267</v>
      </c>
      <c r="D45" s="5" t="n">
        <v>86195</v>
      </c>
      <c r="E45" s="5" t="n">
        <v>85599</v>
      </c>
      <c r="F45" s="5" t="n">
        <v>83634</v>
      </c>
      <c r="G45" s="5" t="n">
        <v>85317</v>
      </c>
      <c r="H45" s="5" t="n">
        <v>85960</v>
      </c>
      <c r="I45" s="5" t="n">
        <v>40292</v>
      </c>
      <c r="J45" s="5" t="n">
        <v>39850</v>
      </c>
      <c r="K45" s="5" t="n">
        <v>36742</v>
      </c>
      <c r="L45" s="5" t="n">
        <v>35243</v>
      </c>
      <c r="M45" s="5" t="n">
        <v>34578</v>
      </c>
      <c r="N45" s="5" t="n">
        <v>34222</v>
      </c>
      <c r="O45" s="5" t="n">
        <v>41617</v>
      </c>
      <c r="P45" s="5" t="n">
        <v>44373</v>
      </c>
      <c r="Q45" s="5" t="n">
        <v>41113</v>
      </c>
      <c r="R45" s="5" t="n">
        <v>40120</v>
      </c>
    </row>
    <row r="46">
      <c r="A46" s="5" t="inlineStr">
        <is>
          <t>Equity</t>
        </is>
      </c>
      <c r="B46" s="6" t="n"/>
      <c r="C46" s="6" t="n"/>
      <c r="D46" s="6" t="n"/>
      <c r="E46" s="6" t="n"/>
      <c r="F46" s="6" t="n"/>
      <c r="G46" s="6" t="n"/>
      <c r="H46" s="6" t="n"/>
      <c r="I46" s="6" t="n"/>
      <c r="J46" s="6" t="n"/>
      <c r="K46" s="6" t="n"/>
      <c r="L46" s="6" t="n"/>
      <c r="M46" s="6" t="n"/>
      <c r="N46" s="6" t="n"/>
      <c r="O46" s="6" t="n"/>
      <c r="P46" s="6" t="n"/>
      <c r="Q46" s="6" t="n"/>
      <c r="R46" s="6" t="n"/>
    </row>
    <row r="47">
      <c r="A47" s="6" t="inlineStr">
        <is>
          <t>Share capital and share premium</t>
        </is>
      </c>
      <c r="B47" s="6" t="n">
        <v>2328</v>
      </c>
      <c r="C47" s="6" t="n">
        <v>2043</v>
      </c>
      <c r="D47" s="6" t="n">
        <v>2792</v>
      </c>
      <c r="E47" s="6" t="n">
        <v>2792</v>
      </c>
      <c r="F47" s="6" t="n">
        <v>2792</v>
      </c>
      <c r="G47" s="6" t="n">
        <v>2792</v>
      </c>
      <c r="H47" s="6" t="n">
        <v>2792</v>
      </c>
      <c r="I47" s="6" t="n">
        <v>1013</v>
      </c>
      <c r="J47" s="6" t="n">
        <v>502</v>
      </c>
      <c r="K47" s="6" t="n">
        <v>324</v>
      </c>
      <c r="L47" s="6" t="n">
        <v>2812</v>
      </c>
      <c r="M47" s="6" t="n">
        <v>2285</v>
      </c>
      <c r="N47" s="6" t="n">
        <v>1985</v>
      </c>
      <c r="O47" s="6" t="n">
        <v>1985</v>
      </c>
      <c r="P47" s="6" t="n">
        <v>1485</v>
      </c>
      <c r="Q47" s="6" t="n">
        <v>1185</v>
      </c>
      <c r="R47" s="6" t="n">
        <v>875</v>
      </c>
    </row>
    <row r="48">
      <c r="A48" s="6" t="inlineStr">
        <is>
          <t>Other equity instruments</t>
        </is>
      </c>
      <c r="B48" s="6" t="n">
        <v>698</v>
      </c>
      <c r="C48" s="6" t="n">
        <v>693</v>
      </c>
      <c r="D48" s="6" t="n">
        <v>594</v>
      </c>
      <c r="E48" s="6" t="n">
        <v>662</v>
      </c>
      <c r="F48" s="6" t="n">
        <v>672</v>
      </c>
      <c r="G48" s="6" t="n">
        <v>672</v>
      </c>
      <c r="H48" s="6" t="n">
        <v>672</v>
      </c>
      <c r="I48" s="6" t="n">
        <v>425</v>
      </c>
      <c r="J48" s="6" t="n">
        <v>425</v>
      </c>
      <c r="K48" s="6" t="n">
        <v>425</v>
      </c>
      <c r="L48" s="6" t="n">
        <v>450</v>
      </c>
      <c r="M48" s="6" t="n">
        <v>0</v>
      </c>
      <c r="N48" s="6" t="n"/>
      <c r="O48" s="6" t="n"/>
      <c r="P48" s="6" t="n"/>
      <c r="Q48" s="6" t="n"/>
      <c r="R48" s="6" t="n"/>
    </row>
    <row r="49">
      <c r="A49" s="6" t="inlineStr">
        <is>
          <t>Other reserves</t>
        </is>
      </c>
      <c r="B49" s="6" t="n">
        <v>44</v>
      </c>
      <c r="C49" s="6" t="n">
        <v>145</v>
      </c>
      <c r="D49" s="6" t="n">
        <v>503</v>
      </c>
      <c r="E49" s="6" t="n">
        <v>743</v>
      </c>
      <c r="F49" s="6" t="n">
        <v>44</v>
      </c>
      <c r="G49" s="6" t="n">
        <v>-69</v>
      </c>
      <c r="H49" s="6" t="n">
        <v>-13</v>
      </c>
      <c r="I49" s="6" t="n">
        <v>-28</v>
      </c>
      <c r="J49" s="6" t="n">
        <v>373</v>
      </c>
      <c r="K49" s="6" t="n">
        <v>104</v>
      </c>
      <c r="L49" s="6" t="n">
        <v>4</v>
      </c>
      <c r="M49" s="6" t="n">
        <v>334</v>
      </c>
      <c r="N49" s="6" t="n">
        <v>370</v>
      </c>
      <c r="O49" s="6" t="n">
        <v>480</v>
      </c>
      <c r="P49" s="6" t="n">
        <v>490</v>
      </c>
      <c r="Q49" s="6" t="n">
        <v>477</v>
      </c>
      <c r="R49" s="6" t="n">
        <v>459</v>
      </c>
    </row>
    <row r="50">
      <c r="A50" s="6" t="inlineStr">
        <is>
          <t>Retained earnings</t>
        </is>
      </c>
      <c r="B50" s="6" t="n">
        <v>2512</v>
      </c>
      <c r="C50" s="6" t="n">
        <v>2728</v>
      </c>
      <c r="D50" s="6" t="n">
        <v>1800</v>
      </c>
      <c r="E50" s="6" t="n">
        <v>2214</v>
      </c>
      <c r="F50" s="6" t="n">
        <v>2074</v>
      </c>
      <c r="G50" s="6" t="n">
        <v>1595</v>
      </c>
      <c r="H50" s="6" t="n">
        <v>1690</v>
      </c>
      <c r="I50" s="6" t="n">
        <v>1881</v>
      </c>
      <c r="J50" s="6" t="n">
        <v>2164</v>
      </c>
      <c r="K50" s="6" t="n">
        <v>2368</v>
      </c>
      <c r="L50" s="6" t="n">
        <v>192</v>
      </c>
      <c r="M50" s="6" t="n">
        <v>-114</v>
      </c>
      <c r="N50" s="6" t="n">
        <v>55</v>
      </c>
      <c r="O50" s="6" t="n">
        <v>139</v>
      </c>
      <c r="P50" s="6" t="n">
        <v>904</v>
      </c>
      <c r="Q50" s="6" t="n">
        <v>885</v>
      </c>
      <c r="R50" s="6" t="n">
        <v>916</v>
      </c>
    </row>
    <row r="51">
      <c r="A51" s="5" t="inlineStr">
        <is>
          <t>Total equity</t>
        </is>
      </c>
      <c r="B51" s="5" t="n">
        <v>5582</v>
      </c>
      <c r="C51" s="5" t="n">
        <v>5609</v>
      </c>
      <c r="D51" s="5" t="n">
        <v>5689</v>
      </c>
      <c r="E51" s="5" t="n">
        <v>6411</v>
      </c>
      <c r="F51" s="5" t="n">
        <v>5582</v>
      </c>
      <c r="G51" s="5" t="n">
        <v>4990</v>
      </c>
      <c r="H51" s="5" t="n">
        <v>5141</v>
      </c>
      <c r="I51" s="5" t="n">
        <v>3291</v>
      </c>
      <c r="J51" s="5" t="n">
        <v>3464</v>
      </c>
      <c r="K51" s="5" t="n">
        <v>3221</v>
      </c>
      <c r="L51" s="5" t="n">
        <v>3458</v>
      </c>
      <c r="M51" s="5" t="n">
        <v>2505</v>
      </c>
      <c r="N51" s="5" t="n">
        <v>2410</v>
      </c>
      <c r="O51" s="5" t="n">
        <v>2604</v>
      </c>
      <c r="P51" s="5" t="n">
        <v>2879</v>
      </c>
      <c r="Q51" s="5" t="n">
        <v>2547</v>
      </c>
      <c r="R51" s="5" t="n">
        <v>2250</v>
      </c>
    </row>
    <row r="52">
      <c r="A52" s="5" t="inlineStr">
        <is>
          <t>Total liabilities and equity</t>
        </is>
      </c>
      <c r="B52" s="5" t="n">
        <v>91020</v>
      </c>
      <c r="C52" s="5" t="n">
        <v>89876</v>
      </c>
      <c r="D52" s="5" t="n">
        <v>91884</v>
      </c>
      <c r="E52" s="5" t="n">
        <v>92010</v>
      </c>
      <c r="F52" s="5" t="n">
        <v>89216</v>
      </c>
      <c r="G52" s="5" t="n">
        <v>90307</v>
      </c>
      <c r="H52" s="5" t="n">
        <v>91101</v>
      </c>
      <c r="I52" s="5" t="n">
        <v>43583</v>
      </c>
      <c r="J52" s="5" t="n">
        <v>43314</v>
      </c>
      <c r="K52" s="5" t="n">
        <v>39963</v>
      </c>
      <c r="L52" s="5" t="n">
        <v>38701</v>
      </c>
      <c r="M52" s="5" t="n">
        <v>37083</v>
      </c>
      <c r="N52" s="5" t="n">
        <v>36632</v>
      </c>
      <c r="O52" s="5" t="n">
        <v>44221</v>
      </c>
      <c r="P52" s="5" t="n">
        <v>47252</v>
      </c>
      <c r="Q52" s="5" t="n">
        <v>43660</v>
      </c>
      <c r="R52" s="5" t="n">
        <v>42370</v>
      </c>
    </row>
    <row r="54" ht="390" customHeight="1">
      <c r="A54" s="8" t="inlineStr">
        <is>
          <t>Sources - Clydesdale Bank PLC (CB) Group consolidated Balance Sheet / Income Statement / Statement of Comprehensive Income, £m, except FY2026 which is Bank (Company)-solo (see basis note below):
FY2026: Clydesdale Bank PLC 2026 Annual Report and Accounts, p.57-58 (Statement of comprehensive income, Balance sheet) - https://www.virginmoneyukplc.com/downloads/pdf/cb-ara-2026-signed.pdf
FY2025 (18mo): Clydesdale Bank PLC 2025 Annual Report and Accounts, p.108-111 (Consolidated income statement, Consolidated statement of comprehensive income, Balance sheets, Statements of changes in equity) - https://www.virginmoneyukplc.com/downloads/pdf/cb-ara-2025-signed.pdf
FY2023: Clydesdale Bank PLC 2023 Annual report &amp; consolidated financial statements, p.111-114 (Consolidated income statement, Consolidated statement of comprehensive income, Balance sheets, Statements of changes in equity) - https://www.virginmoneyukplc.com/downloads/pdf/cbplc-2023-ar-cfs.pdf
FY2022: Clydesdale Bank PLC 2022 Annual Report and consolidated financial statements, p.114-117 (same statement set) - https://www.virginmoneyukplc.com/downloads/pdf/cbplc-2022-ar-cfs.pdf
FY2021: Clydesdale Bank PLC 2021 Annual report &amp; consolidated financial statements, p.114-118 (same statement set) - https://www.virginmoneyukplc.com/downloads/pdf/cb-ara-2021.pdf
FY2020: Clydesdale Bank PLC 2020 Annual Report and Accounts, p.116-119 (Balance sheets, Statements of changes in equity) - https://www.virginmoneyukplc.com/downloads/pdf/cb-ara-2020.pdf
FY2019: Clydesdale Bank PLC 2019 Annual Report and Accounts, p.94-97 (Balance sheets, Statements of changes in equity) - https://www.virginmoneyukplc.com/downloads/pdf/cb-ara-2019.pdf
FY2018: Clydesdale Bank PLC 2018 Annual Report and Accounts, p.75-78 (Balance sheets, Statements of changes in equity) - https://www.virginmoneyukplc.com/downloads/pdf/cb-ara-2018.pdf
FY2017: Clydesdale Bank PLC 2017 Annual Report and Accounts' FY2017 comparative column, p.76-78 (Balance sheets, Statements of changes in equity, within the FY2018 AR) - https://www.virginmoneyukplc.com/downloads/pdf/cb-ara-2018.pdf
FY2016: Clydesdale Bank PLC 2016 Annual Report and Accounts, p.70-73 (Balance sheets, Statements of changes in equity) - https://www.virginmoneyukplc.com/downloads/pdf/cb-ara-2016.pdf
FY2015: Clydesdale Bank PLC 2016 Annual Report and Accounts' FY2015 comparative column, p.70-73 (within the FY2016 AR) - https://www.virginmoneyukplc.com/downloads/pdf/cb-ara-2016.pdf
FY2014: Clydesdale Bank PLC 2014 Annual Report and Accounts, p.30-33 (Balance sheet recovered via OCR - see historical sourcing note; income statement typeset) - https://www.virginmoneyukplc.com/downloads/pdf/cb-ara-2014.pdf
FY2013: Clydesdale Bank PLC Annual report and consolidated financial statements for the year ended 30 September 2013, p.27-31 (Consolidated income statement, Statements of comprehensive income, Balance sheets, Statements of changes in equity) - https://find-and-update.company-information.service.gov.uk/company/SC001111/filing-history/MzA4OTI2NzU1N2FkaXF6a2N4/document?format=pdf&amp;download=0
FY2012: same FY2013 filing's FY2012 comparative column, p.27-31 - https://find-and-update.company-information.service.gov.uk/company/SC001111/filing-history/MzA4OTI2NzU1N2FkaXF6a2N4/document?format=pdf&amp;download=0
FY2011: Clydesdale Bank PLC Annual Report &amp; Consolidated Financial Statements 30 September 2011, p.19-23 (Consolidated Income Statement, Statements of Comprehensive Income, Balance Sheets, Statement of Changes in Equity) - https://find-and-update.company-information.service.gov.uk/company/SC001111/filing-history/MzA0NzM2MDEyOWFkaXF6a2N4/document?format=pdf&amp;download=0
FY2010: same FY2011 filing's FY2010 comparative column, p.19-23 - https://find-and-update.company-information.service.gov.uk/company/SC001111/filing-history/MzA0NzM2MDEyOWFkaXF6a2N4/document?format=pdf&amp;download=0; cross-checked against FY2010's own Annual Report and Consolidated Financial Statements for the year ended 30 September 2010, p.21-24 (own-year figures used - see FY2010 RESTATEMENT NOTE below) - https://find-and-update.company-information.service.gov.uk/company/SC001111/filing-history/MzAyNzcxMTEzMGFkaXF6a2N4/document?format=pdf&amp;download=0
FY2009: FY2010 Annual Report's FY2009 comparative column, p.21-24 - https://find-and-update.company-information.service.gov.uk/company/SC001111/filing-history/MzAyNzcxMTEzMGFkaXF6a2N4/document?format=pdf&amp;download=0
FY2010 RESTATEMENT NOTE: the FY2010 Annual Report's own Consolidated Income Statement shows 'Other operating income' of £225m and 'Total operating income' of £1,136m for FY2010; the following year's FY2011 Annual Report's FY2010 comparative column instead shows £228m and £1,139m for the same lines (a £3m difference, unexplained in either document). This sheet uses FY2010's own as-originally-filed figures (£225m / £1,136m), consistent with this project's convention of using each year's own originally-published figures rather than a later restated comparative; the Balance Sheet and Cash Flow Statement for FY2010 are identical between both filings (no restatement affects those statements).
PRESENTATION NOTE: the income statement's line-item structure changed between vintages - FY2021-FY2023 report 'Gains less losses on financial instruments at fair value' + 'Other operating income' netted into a single 'Non-interest income' subtotal with no separate Fee and commission income/expense lines; FY2025-FY2026 introduce explicit Fee and commission income/expense and Gains/(losses) from derivatives and hedge accounting lines instead. Both are shown as reported, not forced onto one basis. FY2026's Statement of comprehensive income splits Continuing/Discontinued operations (following the Part VII transfer); this workbook uses the combined Total column throughout, consistent with earlier years which do not split operations. FY2026's Other comprehensive income is shown only as a single total (not split into reclassifiable/non-reclassifiable sub-totals as in other years) since the FY2026 accounts do not disclose that split. A genuine cross-statement inconsistency: the FY2025 Annual Report's own P&amp;L discloses FY2025's Total comprehensive loss as £(343)m, while its own Statement of changes in equity (Group basis) shows the same period's total comprehensive movement summing to £(331)m (a £12m difference not explained in the source document) - both figures are reproduced as disclosed on their respective sheets (P&amp;L and Statement of Changes in Equity), not reconciled.
BASIS NOTE: Balance Sheet/P&amp;L figures for FY2021-FY2025 are CB Group consolidated (matching the Cash Flow Statement's own basis); each year's own originally-published figures are used, not a later restated comparative (e.g. FY2023's own 2023 Annual Report column, not the restated FY2023 comparative shown in the FY2025 report). FY2026 is a genuine entity-basis change: following the Part VII transfer of substantially all of the Bank's business to Nationwide, the FY2026 Annual Report states the Bank 'has not prepared consolidated financial statements' (relying on the Section 400 Companies Act / IFRS 10.4 exemption, since results are now included in Nationwide's own consolidated accounts) - https://www.virginmoneyukplc.com/downloads/pdf/cb-ara-2026-signed.pdf. FY2026's Balance Sheet/P&amp;L/RWA figures are therefore Bank (Company)-solo, not Group consolidated - the last comparable Group figure is FY2025.</t>
        </is>
      </c>
    </row>
    <row r="56" ht="340" customHeight="1">
      <c r="A56" s="8" t="inlineStr">
        <is>
          <t>(continued)
HD-047 HISTORICAL SOURCING NOTE (FY2014-FY2020): all figures on this sheet for these years are transcribed from Clydesdale Bank PLC's own entity-level Annual Report and Accounts for that year, each year's own originally-published figures (not a later restated comparative), Group consolidated basis throughout. FY2015, FY2017 and FY2019 P&amp;L/OCI figures were read from that year's own comparative column inside the FOLLOWING year's Annual Report (e.g. FY2015 from the FY2016 AR) where that gave a cleaner typeset extraction than the year's own PDF; FY2014, FY2016, FY2018 and FY2020 are each read from that year's own AR directly. The FY2014 Balance Sheet was recovered via OCR (Tesseract) since that one page of the source PDF is an embedded image with no text layer - cross-checked against the FY2014 Statement of Changes in Equity's independently-typeset closing balances, which tie out exactly, so OCR misreads are not believed to affect any figure used here. Clydesdale Bank PLC was wholly owned by National Australia Bank through the Feb 2016 CYBG plc demerger, then part of CYBG plc (renamed Virgin Money UK PLC in Oct 2019 following the Oct 2018 Virgin Money Holdings (UK) PLC acquisition) - throughout, Clydesdale Bank PLC continued publishing its own entity-level statutory accounts, which is what is used here, not the parent group's consolidated accounts.
HD-073 (2026-09-06) HISTORICAL SOURCING NOTE (FY2009-FY2013): all figures on this sheet for these years are transcribed from Clydesdale Bank PLC's own Group consolidated statutory accounts as filed at Companies House (company number SC001111) - the same entity-level accounts used for FY2014-FY2020 above, sourced directly from Companies House rather than virginmoneyukplc.com since that site does not host filings this old. FY2013 and FY2012 are read from the 'Annual report and consolidated financial statements for the year ended 30 September 2013' (FY2013 own-year column and FY2012 comparative column respectively) - https://find-and-update.company-information.service.gov.uk/company/SC001111/filing-history/MzA4OTI2NzU1N2FkaXF6a2N4/document?format=pdf&amp;download=0. FY2011 and FY2010 are read from the 'Annual Report &amp; Consolidated Financial Statements 30 September 2011' (FY2011 own-year column and FY2010 comparative column) - https://find-and-update.company-information.service.gov.uk/company/SC001111/filing-history/MzA0NzM2MDEyOWFkaXF6a2N4/document?format=pdf&amp;download=0. FY2009 is read from the 'Annual Report and Consolidated Financial Statements for the year ended 30 September 2010' FY2009 comparative column (a standalone FY2009 filing was not separately re-verified since the FY2010 filing reproduces FY2009's own figures as its comparative) - https://find-and-update.company-information.service.gov.uk/company/SC001111/filing-history/MzAyNzcxMTEzMGFkaXF6a2N4/document?format=pdf&amp;download=0. All figures are Group (consolidated) basis, £m, each year's own as-originally-filed presentation (own-year column preferred over a later comparative wherever both were available and did not tie out exactly - see the Profit &amp; Loss sheet's own note on one confirmed FY2010 restatement). Balance Sheet, Profit &amp; Loss and Cash Flow Statement totals for FY2009-FY2013 all reconcile to the source documents' own printed subtotals; the Statement of Changes in Equity's per-column reserve splits for FY2009-FY2010 are reconstructed from a lower-resolution scan of the filed roll-forward table and may be off by a pound or two within a row, but every closing TOTAL EQUITY balance ties exactly to the corresponding year's own Balance Sheet 'Total equity' figure, which is the authoritative anchor.</t>
        </is>
      </c>
    </row>
  </sheetData>
  <mergeCells count="2">
    <mergeCell ref="A54:R54"/>
    <mergeCell ref="A56:R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Clydesdale Bank PLC — Profit &amp; Loss</t>
        </is>
      </c>
    </row>
    <row r="2">
      <c r="A2" s="2" t="inlineStr">
        <is>
          <t>CB Group consolidated basis, £m (FY2026 Bank-solo - see basis note at bottom).</t>
        </is>
      </c>
    </row>
    <row r="3">
      <c r="A3" s="4" t="inlineStr">
        <is>
          <t>Line item</t>
        </is>
      </c>
      <c r="B3" s="4" t="inlineStr">
        <is>
          <t>FY2026 (£m)</t>
        </is>
      </c>
      <c r="C3" s="4" t="inlineStr">
        <is>
          <t>FY2025 (18mo)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c r="Q3" s="4" t="inlineStr">
        <is>
          <t>FY2010 (£m)</t>
        </is>
      </c>
      <c r="R3" s="4" t="inlineStr">
        <is>
          <t>FY2009 (£m)</t>
        </is>
      </c>
    </row>
    <row r="4">
      <c r="A4" s="5" t="inlineStr">
        <is>
          <t>Income</t>
        </is>
      </c>
      <c r="B4" s="6" t="n"/>
      <c r="C4" s="6" t="n"/>
      <c r="D4" s="6" t="n"/>
      <c r="E4" s="6" t="n"/>
      <c r="F4" s="6" t="n"/>
      <c r="G4" s="6" t="n"/>
      <c r="H4" s="6" t="n"/>
      <c r="I4" s="6" t="n"/>
      <c r="J4" s="6" t="n"/>
      <c r="K4" s="6" t="n"/>
      <c r="L4" s="6" t="n"/>
      <c r="M4" s="6" t="n"/>
      <c r="N4" s="6" t="n"/>
      <c r="O4" s="6" t="n"/>
      <c r="P4" s="6" t="n"/>
      <c r="Q4" s="6" t="n"/>
      <c r="R4" s="6" t="n"/>
    </row>
    <row r="5">
      <c r="A5" s="6" t="inlineStr">
        <is>
          <t>Interest income</t>
        </is>
      </c>
      <c r="B5" s="6" t="n">
        <v>4305</v>
      </c>
      <c r="C5" s="6" t="n">
        <v>7042</v>
      </c>
      <c r="D5" s="6" t="n">
        <v>3830</v>
      </c>
      <c r="E5" s="6" t="n">
        <v>2215</v>
      </c>
      <c r="F5" s="6" t="n">
        <v>1906</v>
      </c>
      <c r="G5" s="6" t="n">
        <v>2137</v>
      </c>
      <c r="H5" s="6" t="n">
        <v>2433</v>
      </c>
      <c r="I5" s="6" t="n">
        <v>1113</v>
      </c>
      <c r="J5" s="6" t="n">
        <v>1075</v>
      </c>
      <c r="K5" s="6" t="n">
        <v>1101</v>
      </c>
      <c r="L5" s="6" t="n">
        <v>1110</v>
      </c>
      <c r="M5" s="6" t="n">
        <v>1135</v>
      </c>
      <c r="N5" s="6" t="n">
        <v>1209</v>
      </c>
      <c r="O5" s="6" t="n">
        <v>1461</v>
      </c>
      <c r="P5" s="6" t="n">
        <v>1425</v>
      </c>
      <c r="Q5" s="6" t="n">
        <v>1392</v>
      </c>
      <c r="R5" s="6" t="n">
        <v>1722</v>
      </c>
    </row>
    <row r="6">
      <c r="A6" s="6" t="inlineStr">
        <is>
          <t>Other similar interest</t>
        </is>
      </c>
      <c r="B6" s="6" t="n"/>
      <c r="C6" s="6" t="n">
        <v>5</v>
      </c>
      <c r="D6" s="6" t="n">
        <v>3</v>
      </c>
      <c r="E6" s="6" t="n">
        <v>2</v>
      </c>
      <c r="F6" s="6" t="n">
        <v>4</v>
      </c>
      <c r="G6" s="6" t="n"/>
      <c r="H6" s="6" t="n"/>
      <c r="I6" s="6" t="n"/>
      <c r="J6" s="6" t="n"/>
      <c r="K6" s="6" t="n"/>
      <c r="L6" s="6" t="n"/>
      <c r="M6" s="6" t="n"/>
      <c r="N6" s="6" t="n"/>
      <c r="O6" s="6" t="n"/>
      <c r="P6" s="6" t="n"/>
      <c r="Q6" s="6" t="n"/>
      <c r="R6" s="6" t="n"/>
    </row>
    <row r="7">
      <c r="A7" s="6" t="inlineStr">
        <is>
          <t>Interest expense and similar charges</t>
        </is>
      </c>
      <c r="B7" s="6" t="n">
        <v>-2594</v>
      </c>
      <c r="C7" s="6" t="n">
        <v>-4512</v>
      </c>
      <c r="D7" s="6" t="n">
        <v>-2147</v>
      </c>
      <c r="E7" s="6" t="n">
        <v>-641</v>
      </c>
      <c r="F7" s="6" t="n">
        <v>-550</v>
      </c>
      <c r="G7" s="6" t="n">
        <v>-853</v>
      </c>
      <c r="H7" s="6" t="n">
        <v>-917</v>
      </c>
      <c r="I7" s="6" t="n">
        <v>-258</v>
      </c>
      <c r="J7" s="6" t="n">
        <v>-230</v>
      </c>
      <c r="K7" s="6" t="n">
        <v>-294</v>
      </c>
      <c r="L7" s="6" t="n">
        <v>-321</v>
      </c>
      <c r="M7" s="6" t="n">
        <v>-364</v>
      </c>
      <c r="N7" s="6" t="n">
        <v>-453</v>
      </c>
      <c r="O7" s="6" t="n">
        <v>-592</v>
      </c>
      <c r="P7" s="6" t="n">
        <v>-442</v>
      </c>
      <c r="Q7" s="6" t="n">
        <v>-432</v>
      </c>
      <c r="R7" s="6" t="n">
        <v>-877</v>
      </c>
    </row>
    <row r="8">
      <c r="A8" s="5" t="inlineStr">
        <is>
          <t>Net interest income</t>
        </is>
      </c>
      <c r="B8" s="5" t="n">
        <v>1711</v>
      </c>
      <c r="C8" s="5" t="n">
        <v>2535</v>
      </c>
      <c r="D8" s="5" t="n">
        <v>1686</v>
      </c>
      <c r="E8" s="5" t="n">
        <v>1576</v>
      </c>
      <c r="F8" s="5" t="n">
        <v>1360</v>
      </c>
      <c r="G8" s="5" t="n">
        <v>1284</v>
      </c>
      <c r="H8" s="5" t="n">
        <v>1516</v>
      </c>
      <c r="I8" s="5" t="n">
        <v>855</v>
      </c>
      <c r="J8" s="5" t="n">
        <v>845</v>
      </c>
      <c r="K8" s="5" t="n">
        <v>807</v>
      </c>
      <c r="L8" s="5" t="n">
        <v>789</v>
      </c>
      <c r="M8" s="5" t="n">
        <v>771</v>
      </c>
      <c r="N8" s="5" t="n">
        <v>756</v>
      </c>
      <c r="O8" s="5" t="n">
        <v>869</v>
      </c>
      <c r="P8" s="5" t="n">
        <v>983</v>
      </c>
      <c r="Q8" s="5" t="n">
        <v>960</v>
      </c>
      <c r="R8" s="5" t="n">
        <v>845</v>
      </c>
    </row>
    <row r="9">
      <c r="A9" s="6" t="inlineStr">
        <is>
          <t>Fee and commission income</t>
        </is>
      </c>
      <c r="B9" s="6" t="n">
        <v>195</v>
      </c>
      <c r="C9" s="6" t="n">
        <v>288</v>
      </c>
      <c r="D9" s="6" t="n"/>
      <c r="E9" s="6" t="n"/>
      <c r="F9" s="6" t="n"/>
      <c r="G9" s="6" t="n"/>
      <c r="H9" s="6" t="n"/>
      <c r="I9" s="6" t="n"/>
      <c r="J9" s="6" t="n"/>
      <c r="K9" s="6" t="n"/>
      <c r="L9" s="6" t="n"/>
      <c r="M9" s="6" t="n"/>
      <c r="N9" s="6" t="n"/>
      <c r="O9" s="6" t="n"/>
      <c r="P9" s="6" t="n"/>
      <c r="Q9" s="6" t="n"/>
      <c r="R9" s="6" t="n"/>
    </row>
    <row r="10">
      <c r="A10" s="6" t="inlineStr">
        <is>
          <t>Fee and commission expense</t>
        </is>
      </c>
      <c r="B10" s="6" t="n">
        <v>-92</v>
      </c>
      <c r="C10" s="6" t="n">
        <v>-119</v>
      </c>
      <c r="D10" s="6" t="n"/>
      <c r="E10" s="6" t="n"/>
      <c r="F10" s="6" t="n"/>
      <c r="G10" s="6" t="n"/>
      <c r="H10" s="6" t="n"/>
      <c r="I10" s="6" t="n"/>
      <c r="J10" s="6" t="n"/>
      <c r="K10" s="6" t="n"/>
      <c r="L10" s="6" t="n"/>
      <c r="M10" s="6" t="n"/>
      <c r="N10" s="6" t="n"/>
      <c r="O10" s="6" t="n"/>
      <c r="P10" s="6" t="n"/>
      <c r="Q10" s="6" t="n"/>
      <c r="R10" s="6" t="n"/>
    </row>
    <row r="11">
      <c r="A11" s="6" t="inlineStr">
        <is>
          <t>Gains less losses on financial instruments at fair value</t>
        </is>
      </c>
      <c r="B11" s="6" t="n"/>
      <c r="C11" s="6" t="n"/>
      <c r="D11" s="6" t="n">
        <v>-17</v>
      </c>
      <c r="E11" s="6" t="n">
        <v>-22</v>
      </c>
      <c r="F11" s="6" t="n">
        <v>-9</v>
      </c>
      <c r="G11" s="6" t="n">
        <v>-20</v>
      </c>
      <c r="H11" s="6" t="n">
        <v>-20</v>
      </c>
      <c r="I11" s="6" t="n">
        <v>-3</v>
      </c>
      <c r="J11" s="6" t="n">
        <v>6</v>
      </c>
      <c r="K11" s="6" t="n">
        <v>9</v>
      </c>
      <c r="L11" s="6" t="n">
        <v>2</v>
      </c>
      <c r="M11" s="6" t="n">
        <v>11</v>
      </c>
      <c r="N11" s="6" t="n">
        <v>-14</v>
      </c>
      <c r="O11" s="6" t="n">
        <v>-123</v>
      </c>
      <c r="P11" s="6" t="n">
        <v>-89</v>
      </c>
      <c r="Q11" s="6" t="n">
        <v>-49</v>
      </c>
      <c r="R11" s="6" t="n">
        <v>9</v>
      </c>
    </row>
    <row r="12">
      <c r="A12" s="6" t="inlineStr">
        <is>
          <t>Gains/(losses) from derivatives and hedge accounting</t>
        </is>
      </c>
      <c r="B12" s="6" t="n">
        <v>5</v>
      </c>
      <c r="C12" s="6" t="n">
        <v>-9</v>
      </c>
      <c r="D12" s="6" t="n"/>
      <c r="E12" s="6" t="n"/>
      <c r="F12" s="6" t="n"/>
      <c r="G12" s="6" t="n"/>
      <c r="H12" s="6" t="n"/>
      <c r="I12" s="6" t="n"/>
      <c r="J12" s="6" t="n"/>
      <c r="K12" s="6" t="n"/>
      <c r="L12" s="6" t="n"/>
      <c r="M12" s="6" t="n"/>
      <c r="N12" s="6" t="n"/>
      <c r="O12" s="6" t="n"/>
      <c r="P12" s="6" t="n"/>
      <c r="Q12" s="6" t="n"/>
      <c r="R12" s="6" t="n"/>
    </row>
    <row r="13">
      <c r="A13" s="6" t="inlineStr">
        <is>
          <t>Other operating income</t>
        </is>
      </c>
      <c r="B13" s="6" t="n">
        <v>14</v>
      </c>
      <c r="C13" s="6" t="n">
        <v>46</v>
      </c>
      <c r="D13" s="6" t="n">
        <v>157</v>
      </c>
      <c r="E13" s="6" t="n">
        <v>157</v>
      </c>
      <c r="F13" s="6" t="n">
        <v>136</v>
      </c>
      <c r="G13" s="6" t="n">
        <v>171</v>
      </c>
      <c r="H13" s="6" t="n">
        <v>277</v>
      </c>
      <c r="I13" s="6" t="n">
        <v>159</v>
      </c>
      <c r="J13" s="6" t="n">
        <v>186</v>
      </c>
      <c r="K13" s="6" t="n">
        <v>182</v>
      </c>
      <c r="L13" s="6" t="n">
        <v>213</v>
      </c>
      <c r="M13" s="6" t="n">
        <v>181</v>
      </c>
      <c r="N13" s="6" t="n">
        <v>68</v>
      </c>
      <c r="O13" s="6" t="n">
        <v>251</v>
      </c>
      <c r="P13" s="6" t="n">
        <v>157</v>
      </c>
      <c r="Q13" s="6" t="n">
        <v>225</v>
      </c>
      <c r="R13" s="6" t="n">
        <v>268</v>
      </c>
    </row>
    <row r="14">
      <c r="A14" s="5" t="inlineStr">
        <is>
          <t>Total income</t>
        </is>
      </c>
      <c r="B14" s="5" t="n">
        <v>1833</v>
      </c>
      <c r="C14" s="5" t="n">
        <v>2741</v>
      </c>
      <c r="D14" s="5" t="n">
        <v>1826</v>
      </c>
      <c r="E14" s="5" t="n">
        <v>1711</v>
      </c>
      <c r="F14" s="5" t="n">
        <v>1487</v>
      </c>
      <c r="G14" s="5" t="n">
        <v>1435</v>
      </c>
      <c r="H14" s="5" t="n">
        <v>1773</v>
      </c>
      <c r="I14" s="5" t="n">
        <v>1011</v>
      </c>
      <c r="J14" s="5" t="n">
        <v>1037</v>
      </c>
      <c r="K14" s="5" t="n">
        <v>998</v>
      </c>
      <c r="L14" s="5" t="n">
        <v>1004</v>
      </c>
      <c r="M14" s="5" t="n">
        <v>963</v>
      </c>
      <c r="N14" s="5" t="n">
        <v>810</v>
      </c>
      <c r="O14" s="5" t="n">
        <v>997</v>
      </c>
      <c r="P14" s="5" t="n">
        <v>1051</v>
      </c>
      <c r="Q14" s="5" t="n">
        <v>1136</v>
      </c>
      <c r="R14" s="5" t="n">
        <v>1122</v>
      </c>
    </row>
    <row r="15">
      <c r="A15" s="5" t="inlineStr">
        <is>
          <t>Expenses</t>
        </is>
      </c>
      <c r="B15" s="6" t="n"/>
      <c r="C15" s="6" t="n"/>
      <c r="D15" s="6" t="n"/>
      <c r="E15" s="6" t="n"/>
      <c r="F15" s="6" t="n"/>
      <c r="G15" s="6" t="n"/>
      <c r="H15" s="6" t="n"/>
      <c r="I15" s="6" t="n"/>
      <c r="J15" s="6" t="n"/>
      <c r="K15" s="6" t="n"/>
      <c r="L15" s="6" t="n"/>
      <c r="M15" s="6" t="n"/>
      <c r="N15" s="6" t="n"/>
      <c r="O15" s="6" t="n"/>
      <c r="P15" s="6" t="n"/>
      <c r="Q15" s="6" t="n"/>
      <c r="R15" s="6" t="n"/>
    </row>
    <row r="16">
      <c r="A16" s="6" t="inlineStr">
        <is>
          <t>Operating and administrative expenses</t>
        </is>
      </c>
      <c r="B16" s="6" t="n">
        <v>-1462</v>
      </c>
      <c r="C16" s="6" t="n">
        <v>-2126</v>
      </c>
      <c r="D16" s="6" t="n">
        <v>-1173</v>
      </c>
      <c r="E16" s="6" t="n">
        <v>-1069</v>
      </c>
      <c r="F16" s="6" t="n">
        <v>-1202</v>
      </c>
      <c r="G16" s="6" t="n">
        <v>-1101</v>
      </c>
      <c r="H16" s="6" t="n">
        <v>-1703</v>
      </c>
      <c r="I16" s="6" t="n">
        <v>-1246</v>
      </c>
      <c r="J16" s="6" t="n">
        <v>-1250</v>
      </c>
      <c r="K16" s="6" t="n">
        <v>-1311</v>
      </c>
      <c r="L16" s="6" t="n">
        <v>-1234</v>
      </c>
      <c r="M16" s="6" t="n">
        <v>-1105</v>
      </c>
      <c r="N16" s="6" t="n"/>
      <c r="O16" s="6" t="n"/>
      <c r="P16" s="6" t="n"/>
      <c r="Q16" s="6" t="n"/>
      <c r="R16" s="6" t="n"/>
    </row>
    <row r="17">
      <c r="A17" s="6" t="inlineStr">
        <is>
          <t>Personnel expenses (FY2009-FY2013, disclosed separately - see basis note)</t>
        </is>
      </c>
      <c r="B17" s="6" t="n"/>
      <c r="C17" s="6" t="n"/>
      <c r="D17" s="6" t="n"/>
      <c r="E17" s="6" t="n"/>
      <c r="F17" s="6" t="n"/>
      <c r="G17" s="6" t="n"/>
      <c r="H17" s="6" t="n"/>
      <c r="I17" s="6" t="n"/>
      <c r="J17" s="6" t="n"/>
      <c r="K17" s="6" t="n"/>
      <c r="L17" s="6" t="n"/>
      <c r="M17" s="6" t="n"/>
      <c r="N17" s="6" t="n">
        <v>-203</v>
      </c>
      <c r="O17" s="6" t="n">
        <v>-225</v>
      </c>
      <c r="P17" s="6" t="n">
        <v>-265</v>
      </c>
      <c r="Q17" s="6" t="n">
        <v>-251</v>
      </c>
      <c r="R17" s="6" t="n">
        <v>-216</v>
      </c>
    </row>
    <row r="18">
      <c r="A18" s="6" t="inlineStr">
        <is>
          <t>Depreciation expense (FY2009-FY2013)</t>
        </is>
      </c>
      <c r="B18" s="6" t="n"/>
      <c r="C18" s="6" t="n"/>
      <c r="D18" s="6" t="n"/>
      <c r="E18" s="6" t="n"/>
      <c r="F18" s="6" t="n"/>
      <c r="G18" s="6" t="n"/>
      <c r="H18" s="6" t="n"/>
      <c r="I18" s="6" t="n"/>
      <c r="J18" s="6" t="n"/>
      <c r="K18" s="6" t="n"/>
      <c r="L18" s="6" t="n"/>
      <c r="M18" s="6" t="n"/>
      <c r="N18" s="6" t="n">
        <v>-19</v>
      </c>
      <c r="O18" s="6" t="n">
        <v>-19</v>
      </c>
      <c r="P18" s="6" t="n">
        <v>-15</v>
      </c>
      <c r="Q18" s="6" t="n">
        <v>-21</v>
      </c>
      <c r="R18" s="6" t="n">
        <v>-23</v>
      </c>
    </row>
    <row r="19">
      <c r="A19" s="6" t="inlineStr">
        <is>
          <t>Efficiency, quality and service initiatives (FY2010-FY2011 only, as disclosed)</t>
        </is>
      </c>
      <c r="B19" s="6" t="n"/>
      <c r="C19" s="6" t="n"/>
      <c r="D19" s="6" t="n"/>
      <c r="E19" s="6" t="n"/>
      <c r="F19" s="6" t="n"/>
      <c r="G19" s="6" t="n"/>
      <c r="H19" s="6" t="n"/>
      <c r="I19" s="6" t="n"/>
      <c r="J19" s="6" t="n"/>
      <c r="K19" s="6" t="n"/>
      <c r="L19" s="6" t="n"/>
      <c r="M19" s="6" t="n"/>
      <c r="N19" s="6" t="n"/>
      <c r="O19" s="6" t="n"/>
      <c r="P19" s="6" t="n">
        <v>-11</v>
      </c>
      <c r="Q19" s="6" t="n">
        <v>-19</v>
      </c>
      <c r="R19" s="6" t="n"/>
    </row>
    <row r="20">
      <c r="A20" s="6" t="inlineStr">
        <is>
          <t>Other operating expenses (FY2009-FY2013)</t>
        </is>
      </c>
      <c r="B20" s="6" t="n"/>
      <c r="C20" s="6" t="n"/>
      <c r="D20" s="6" t="n"/>
      <c r="E20" s="6" t="n"/>
      <c r="F20" s="6" t="n"/>
      <c r="G20" s="6" t="n"/>
      <c r="H20" s="6" t="n"/>
      <c r="I20" s="6" t="n"/>
      <c r="J20" s="6" t="n"/>
      <c r="K20" s="6" t="n"/>
      <c r="L20" s="6" t="n"/>
      <c r="M20" s="6" t="n"/>
      <c r="N20" s="6" t="n">
        <v>-477</v>
      </c>
      <c r="O20" s="6" t="n">
        <v>-481</v>
      </c>
      <c r="P20" s="6" t="n">
        <v>-442</v>
      </c>
      <c r="Q20" s="6" t="n">
        <v>-435</v>
      </c>
      <c r="R20" s="6" t="n">
        <v>-419</v>
      </c>
    </row>
    <row r="21">
      <c r="A21" s="6" t="inlineStr">
        <is>
          <t>Restructuring expenses (FY2012 only, as disclosed)</t>
        </is>
      </c>
      <c r="B21" s="6" t="n"/>
      <c r="C21" s="6" t="n"/>
      <c r="D21" s="6" t="n"/>
      <c r="E21" s="6" t="n"/>
      <c r="F21" s="6" t="n"/>
      <c r="G21" s="6" t="n"/>
      <c r="H21" s="6" t="n"/>
      <c r="I21" s="6" t="n"/>
      <c r="J21" s="6" t="n"/>
      <c r="K21" s="6" t="n"/>
      <c r="L21" s="6" t="n"/>
      <c r="M21" s="6" t="n"/>
      <c r="N21" s="6" t="n"/>
      <c r="O21" s="6" t="n">
        <v>-149</v>
      </c>
      <c r="P21" s="6" t="n"/>
      <c r="Q21" s="6" t="n"/>
      <c r="R21" s="6" t="n"/>
    </row>
    <row r="22">
      <c r="A22" s="5" t="inlineStr">
        <is>
          <t>Total operating expenses (FY2014+ = 'Operating and administrative expenses' as reported; FY2009-FY2013 = sum of Personnel + Depreciation + Efficiency initiatives (FY2010-FY2011) + Other operating + Restructuring (FY2012) expenses, that era's own presentation)</t>
        </is>
      </c>
      <c r="B22" s="5" t="n">
        <v>-1462</v>
      </c>
      <c r="C22" s="5" t="n">
        <v>-2126</v>
      </c>
      <c r="D22" s="5" t="n">
        <v>-1173</v>
      </c>
      <c r="E22" s="5" t="n">
        <v>-1069</v>
      </c>
      <c r="F22" s="5" t="n">
        <v>-1202</v>
      </c>
      <c r="G22" s="5" t="n">
        <v>-1101</v>
      </c>
      <c r="H22" s="5" t="n">
        <v>-1703</v>
      </c>
      <c r="I22" s="5" t="n">
        <v>-1246</v>
      </c>
      <c r="J22" s="5" t="n">
        <v>-1250</v>
      </c>
      <c r="K22" s="5" t="n">
        <v>-1311</v>
      </c>
      <c r="L22" s="5" t="n">
        <v>-1234</v>
      </c>
      <c r="M22" s="5" t="n">
        <v>-1105</v>
      </c>
      <c r="N22" s="5" t="n">
        <v>-699</v>
      </c>
      <c r="O22" s="5" t="n">
        <v>-874</v>
      </c>
      <c r="P22" s="5" t="n">
        <v>-733</v>
      </c>
      <c r="Q22" s="5" t="n">
        <v>-726</v>
      </c>
      <c r="R22" s="5" t="n">
        <v>-658</v>
      </c>
    </row>
    <row r="23">
      <c r="A23" s="5" t="inlineStr">
        <is>
          <t>Operating profit before impairment losses</t>
        </is>
      </c>
      <c r="B23" s="5" t="n">
        <v>371</v>
      </c>
      <c r="C23" s="5" t="n">
        <v>615</v>
      </c>
      <c r="D23" s="5" t="n">
        <v>653</v>
      </c>
      <c r="E23" s="5" t="n">
        <v>642</v>
      </c>
      <c r="F23" s="5" t="n">
        <v>285</v>
      </c>
      <c r="G23" s="5" t="n">
        <v>334</v>
      </c>
      <c r="H23" s="5" t="n">
        <v>70</v>
      </c>
      <c r="I23" s="5" t="n">
        <v>-235</v>
      </c>
      <c r="J23" s="5" t="n">
        <v>-213</v>
      </c>
      <c r="K23" s="5" t="n">
        <v>-313</v>
      </c>
      <c r="L23" s="5" t="n">
        <v>-230</v>
      </c>
      <c r="M23" s="5" t="n">
        <v>-142</v>
      </c>
      <c r="N23" s="5" t="n">
        <v>111</v>
      </c>
      <c r="O23" s="5" t="n">
        <v>123</v>
      </c>
      <c r="P23" s="5" t="n">
        <v>318</v>
      </c>
      <c r="Q23" s="5" t="n">
        <v>410</v>
      </c>
      <c r="R23" s="5" t="n">
        <v>442</v>
      </c>
    </row>
    <row r="24">
      <c r="A24" s="6" t="inlineStr">
        <is>
          <t>Impairment losses/(credit) on credit exposures</t>
        </is>
      </c>
      <c r="B24" s="6" t="n">
        <v>-180</v>
      </c>
      <c r="C24" s="6" t="n">
        <v>-429</v>
      </c>
      <c r="D24" s="6" t="n">
        <v>-309</v>
      </c>
      <c r="E24" s="6" t="n">
        <v>-52</v>
      </c>
      <c r="F24" s="6" t="n">
        <v>131</v>
      </c>
      <c r="G24" s="6" t="n">
        <v>-507</v>
      </c>
      <c r="H24" s="6" t="n">
        <v>-252</v>
      </c>
      <c r="I24" s="6" t="n">
        <v>-41</v>
      </c>
      <c r="J24" s="6" t="n">
        <v>-48</v>
      </c>
      <c r="K24" s="6" t="n">
        <v>-39</v>
      </c>
      <c r="L24" s="6" t="n">
        <v>-78</v>
      </c>
      <c r="M24" s="6" t="n">
        <v>-74</v>
      </c>
      <c r="N24" s="6" t="n">
        <v>-144</v>
      </c>
      <c r="O24" s="6" t="n">
        <v>-737</v>
      </c>
      <c r="P24" s="6" t="n">
        <v>-297</v>
      </c>
      <c r="Q24" s="6" t="n">
        <v>-362</v>
      </c>
      <c r="R24" s="6" t="n">
        <v>-399</v>
      </c>
    </row>
    <row r="25">
      <c r="A25" s="5" t="inlineStr">
        <is>
          <t>Group operating profit (FY2009-FY2010 only, as disclosed - see basis note)</t>
        </is>
      </c>
      <c r="B25" s="5" t="n"/>
      <c r="C25" s="5" t="n"/>
      <c r="D25" s="5" t="n"/>
      <c r="E25" s="5" t="n"/>
      <c r="F25" s="5" t="n"/>
      <c r="G25" s="5" t="n"/>
      <c r="H25" s="5" t="n"/>
      <c r="I25" s="5" t="n"/>
      <c r="J25" s="5" t="n"/>
      <c r="K25" s="5" t="n"/>
      <c r="L25" s="5" t="n"/>
      <c r="M25" s="5" t="n"/>
      <c r="N25" s="5" t="n"/>
      <c r="O25" s="5" t="n"/>
      <c r="P25" s="5" t="n"/>
      <c r="Q25" s="5" t="n">
        <v>48</v>
      </c>
      <c r="R25" s="5" t="n">
        <v>43</v>
      </c>
    </row>
    <row r="26">
      <c r="A26" s="6" t="inlineStr">
        <is>
          <t>Profit on sale of land and buildings (FY2009-FY2010 only)</t>
        </is>
      </c>
      <c r="B26" s="6" t="n"/>
      <c r="C26" s="6" t="n"/>
      <c r="D26" s="6" t="n"/>
      <c r="E26" s="6" t="n"/>
      <c r="F26" s="6" t="n"/>
      <c r="G26" s="6" t="n"/>
      <c r="H26" s="6" t="n"/>
      <c r="I26" s="6" t="n"/>
      <c r="J26" s="6" t="n"/>
      <c r="K26" s="6" t="n"/>
      <c r="L26" s="6" t="n"/>
      <c r="M26" s="6" t="n"/>
      <c r="N26" s="6" t="n"/>
      <c r="O26" s="6" t="n"/>
      <c r="P26" s="6" t="n"/>
      <c r="Q26" s="6" t="n">
        <v>3</v>
      </c>
      <c r="R26" s="6" t="n">
        <v>11</v>
      </c>
    </row>
    <row r="27">
      <c r="A27" s="6" t="inlineStr">
        <is>
          <t>Special Financial Services Compensation Scheme levy (FY2009-FY2010 only)</t>
        </is>
      </c>
      <c r="B27" s="6" t="n"/>
      <c r="C27" s="6" t="n"/>
      <c r="D27" s="6" t="n"/>
      <c r="E27" s="6" t="n"/>
      <c r="F27" s="6" t="n"/>
      <c r="G27" s="6" t="n"/>
      <c r="H27" s="6" t="n"/>
      <c r="I27" s="6" t="n"/>
      <c r="J27" s="6" t="n"/>
      <c r="K27" s="6" t="n"/>
      <c r="L27" s="6" t="n"/>
      <c r="M27" s="6" t="n"/>
      <c r="N27" s="6" t="n"/>
      <c r="O27" s="6" t="n"/>
      <c r="P27" s="6" t="n"/>
      <c r="Q27" s="6" t="n">
        <v>-2</v>
      </c>
      <c r="R27" s="6" t="n">
        <v>-6</v>
      </c>
    </row>
    <row r="28">
      <c r="A28" s="5" t="inlineStr">
        <is>
          <t>Profit on ordinary activities before tax</t>
        </is>
      </c>
      <c r="B28" s="5" t="n">
        <v>191</v>
      </c>
      <c r="C28" s="5" t="n">
        <v>186</v>
      </c>
      <c r="D28" s="5" t="n">
        <v>344</v>
      </c>
      <c r="E28" s="5" t="n">
        <v>590</v>
      </c>
      <c r="F28" s="5" t="n">
        <v>416</v>
      </c>
      <c r="G28" s="5" t="n">
        <v>-173</v>
      </c>
      <c r="H28" s="5" t="n">
        <v>-182</v>
      </c>
      <c r="I28" s="5" t="n">
        <v>-276</v>
      </c>
      <c r="J28" s="5" t="n">
        <v>-261</v>
      </c>
      <c r="K28" s="5" t="n">
        <v>-352</v>
      </c>
      <c r="L28" s="5" t="n">
        <v>-308</v>
      </c>
      <c r="M28" s="5" t="n">
        <v>-216</v>
      </c>
      <c r="N28" s="5" t="n">
        <v>-33</v>
      </c>
      <c r="O28" s="5" t="n">
        <v>-614</v>
      </c>
      <c r="P28" s="5" t="n">
        <v>21</v>
      </c>
      <c r="Q28" s="5" t="n">
        <v>49</v>
      </c>
      <c r="R28" s="5" t="n">
        <v>48</v>
      </c>
    </row>
    <row r="29">
      <c r="A29" s="6" t="inlineStr">
        <is>
          <t>Tax (expense)/credit</t>
        </is>
      </c>
      <c r="B29" s="6" t="n">
        <v>-41</v>
      </c>
      <c r="C29" s="6" t="n">
        <v>-36</v>
      </c>
      <c r="D29" s="6" t="n">
        <v>-95</v>
      </c>
      <c r="E29" s="6" t="n">
        <v>-70</v>
      </c>
      <c r="F29" s="6" t="n">
        <v>116</v>
      </c>
      <c r="G29" s="6" t="n">
        <v>-18</v>
      </c>
      <c r="H29" s="6" t="n">
        <v>43</v>
      </c>
      <c r="I29" s="6" t="n">
        <v>37</v>
      </c>
      <c r="J29" s="6" t="n">
        <v>-33</v>
      </c>
      <c r="K29" s="6" t="n">
        <v>-206</v>
      </c>
      <c r="L29" s="6" t="n">
        <v>59</v>
      </c>
      <c r="M29" s="6" t="n">
        <v>38</v>
      </c>
      <c r="N29" s="6" t="n">
        <v>6</v>
      </c>
      <c r="O29" s="6" t="n">
        <v>144</v>
      </c>
      <c r="P29" s="6" t="n">
        <v>-3</v>
      </c>
      <c r="Q29" s="6" t="n">
        <v>-13</v>
      </c>
      <c r="R29" s="6" t="n">
        <v>-14</v>
      </c>
    </row>
    <row r="30">
      <c r="A30" s="5" t="inlineStr">
        <is>
          <t>Profit for the period/year</t>
        </is>
      </c>
      <c r="B30" s="5" t="n">
        <v>150</v>
      </c>
      <c r="C30" s="5" t="n">
        <v>150</v>
      </c>
      <c r="D30" s="5" t="n">
        <v>249</v>
      </c>
      <c r="E30" s="5" t="n">
        <v>520</v>
      </c>
      <c r="F30" s="5" t="n">
        <v>532</v>
      </c>
      <c r="G30" s="5" t="n">
        <v>-191</v>
      </c>
      <c r="H30" s="5" t="n">
        <v>-139</v>
      </c>
      <c r="I30" s="5" t="n">
        <v>-239</v>
      </c>
      <c r="J30" s="5" t="n">
        <v>-294</v>
      </c>
      <c r="K30" s="5" t="n">
        <v>-558</v>
      </c>
      <c r="L30" s="5" t="n">
        <v>-249</v>
      </c>
      <c r="M30" s="5" t="n">
        <v>-178</v>
      </c>
      <c r="N30" s="5" t="n">
        <v>-27</v>
      </c>
      <c r="O30" s="5" t="n">
        <v>-470</v>
      </c>
      <c r="P30" s="5" t="n">
        <v>18</v>
      </c>
      <c r="Q30" s="5" t="n">
        <v>36</v>
      </c>
      <c r="R30" s="5" t="n">
        <v>34</v>
      </c>
    </row>
    <row r="31">
      <c r="A31" s="5" t="inlineStr">
        <is>
          <t>Other comprehensive income/(expense)</t>
        </is>
      </c>
      <c r="B31" s="6" t="n"/>
      <c r="C31" s="6" t="n"/>
      <c r="D31" s="6" t="n"/>
      <c r="E31" s="6" t="n"/>
      <c r="F31" s="6" t="n"/>
      <c r="G31" s="6" t="n"/>
      <c r="H31" s="6" t="n"/>
      <c r="I31" s="6" t="n"/>
      <c r="J31" s="6" t="n"/>
      <c r="K31" s="6" t="n"/>
      <c r="L31" s="6" t="n"/>
      <c r="M31" s="6" t="n"/>
      <c r="N31" s="6" t="n"/>
      <c r="O31" s="6" t="n"/>
      <c r="P31" s="6" t="n"/>
      <c r="Q31" s="6" t="n"/>
      <c r="R31" s="6" t="n"/>
    </row>
    <row r="32">
      <c r="A32" s="6" t="inlineStr">
        <is>
          <t>Items that may be reclassified to the income statement, net of tax</t>
        </is>
      </c>
      <c r="B32" s="6" t="n"/>
      <c r="C32" s="6" t="n">
        <v>-358</v>
      </c>
      <c r="D32" s="6" t="n">
        <v>-240</v>
      </c>
      <c r="E32" s="6" t="n">
        <v>699</v>
      </c>
      <c r="F32" s="6" t="n">
        <v>113</v>
      </c>
      <c r="G32" s="6" t="n"/>
      <c r="H32" s="6" t="n"/>
      <c r="I32" s="6" t="n"/>
      <c r="J32" s="6" t="n"/>
      <c r="K32" s="6" t="n"/>
      <c r="L32" s="6" t="n"/>
      <c r="M32" s="6" t="n"/>
      <c r="N32" s="6" t="n"/>
      <c r="O32" s="6" t="n"/>
      <c r="P32" s="6" t="n"/>
      <c r="Q32" s="6" t="n"/>
      <c r="R32" s="6" t="n"/>
    </row>
    <row r="33">
      <c r="A33" s="6" t="inlineStr">
        <is>
          <t>Items that will not be reclassified to the income statement, net of tax</t>
        </is>
      </c>
      <c r="B33" s="6" t="n"/>
      <c r="C33" s="6" t="n">
        <v>-135</v>
      </c>
      <c r="D33" s="6" t="n">
        <v>-355</v>
      </c>
      <c r="E33" s="6" t="n">
        <v>78</v>
      </c>
      <c r="F33" s="6" t="n">
        <v>29</v>
      </c>
      <c r="G33" s="6" t="n"/>
      <c r="H33" s="6" t="n"/>
      <c r="I33" s="6" t="n"/>
      <c r="J33" s="6" t="n"/>
      <c r="K33" s="6" t="n"/>
      <c r="L33" s="6" t="n"/>
      <c r="M33" s="6" t="n"/>
      <c r="N33" s="6" t="n"/>
      <c r="O33" s="6" t="n"/>
      <c r="P33" s="6" t="n"/>
      <c r="Q33" s="6" t="n"/>
      <c r="R33" s="6" t="n"/>
    </row>
    <row r="34">
      <c r="A34" s="5" t="inlineStr">
        <is>
          <t>Other comprehensive income/(losses), net of tax</t>
        </is>
      </c>
      <c r="B34" s="5" t="n">
        <v>-113</v>
      </c>
      <c r="C34" s="5" t="n">
        <v>-493</v>
      </c>
      <c r="D34" s="5" t="n">
        <v>-595</v>
      </c>
      <c r="E34" s="5" t="n">
        <v>777</v>
      </c>
      <c r="F34" s="5" t="n">
        <v>142</v>
      </c>
      <c r="G34" s="5" t="n">
        <v>129</v>
      </c>
      <c r="H34" s="5" t="n">
        <v>79</v>
      </c>
      <c r="I34" s="5" t="n">
        <v>-43</v>
      </c>
      <c r="J34" s="5" t="n">
        <v>31</v>
      </c>
      <c r="K34" s="5" t="n">
        <v>-39</v>
      </c>
      <c r="L34" s="5" t="n">
        <v>-22</v>
      </c>
      <c r="M34" s="5" t="n">
        <v>-13</v>
      </c>
      <c r="N34" s="5" t="n">
        <v>-140</v>
      </c>
      <c r="O34" s="5" t="n">
        <v>-281</v>
      </c>
      <c r="P34" s="5" t="n">
        <v>20</v>
      </c>
      <c r="Q34" s="5" t="n">
        <v>-37</v>
      </c>
      <c r="R34" s="5" t="n">
        <v>-322</v>
      </c>
    </row>
    <row r="35">
      <c r="A35" s="5" t="inlineStr">
        <is>
          <t>Total comprehensive income/(losses) for the period/year, net of tax</t>
        </is>
      </c>
      <c r="B35" s="5" t="n">
        <v>37</v>
      </c>
      <c r="C35" s="5" t="n">
        <v>-343</v>
      </c>
      <c r="D35" s="5" t="n">
        <v>-346</v>
      </c>
      <c r="E35" s="5" t="n">
        <v>1297</v>
      </c>
      <c r="F35" s="5" t="n">
        <v>674</v>
      </c>
      <c r="G35" s="5" t="n">
        <v>-62</v>
      </c>
      <c r="H35" s="5" t="n">
        <v>-60</v>
      </c>
      <c r="I35" s="5" t="n">
        <v>-282</v>
      </c>
      <c r="J35" s="5" t="n">
        <v>-263</v>
      </c>
      <c r="K35" s="5" t="n">
        <v>-597</v>
      </c>
      <c r="L35" s="5" t="n">
        <v>-271</v>
      </c>
      <c r="M35" s="5" t="n">
        <v>-191</v>
      </c>
      <c r="N35" s="5" t="n">
        <v>-167</v>
      </c>
      <c r="O35" s="5" t="n">
        <v>-751</v>
      </c>
      <c r="P35" s="5" t="n">
        <v>38</v>
      </c>
      <c r="Q35" s="5" t="n">
        <v>-1</v>
      </c>
      <c r="R35" s="5" t="n">
        <v>-288</v>
      </c>
    </row>
    <row r="37" ht="390" customHeight="1">
      <c r="A37" s="8" t="inlineStr">
        <is>
          <t>Sources - Clydesdale Bank PLC (CB) Group consolidated Balance Sheet / Income Statement / Statement of Comprehensive Income, £m, except FY2026 which is Bank (Company)-solo (see basis note below):
FY2026: Clydesdale Bank PLC 2026 Annual Report and Accounts, p.57-58 (Statement of comprehensive income, Balance sheet) - https://www.virginmoneyukplc.com/downloads/pdf/cb-ara-2026-signed.pdf
FY2025 (18mo): Clydesdale Bank PLC 2025 Annual Report and Accounts, p.108-111 (Consolidated income statement, Consolidated statement of comprehensive income, Balance sheets, Statements of changes in equity) - https://www.virginmoneyukplc.com/downloads/pdf/cb-ara-2025-signed.pdf
FY2023: Clydesdale Bank PLC 2023 Annual report &amp; consolidated financial statements, p.111-114 (Consolidated income statement, Consolidated statement of comprehensive income, Balance sheets, Statements of changes in equity) - https://www.virginmoneyukplc.com/downloads/pdf/cbplc-2023-ar-cfs.pdf
FY2022: Clydesdale Bank PLC 2022 Annual Report and consolidated financial statements, p.114-117 (same statement set) - https://www.virginmoneyukplc.com/downloads/pdf/cbplc-2022-ar-cfs.pdf
FY2021: Clydesdale Bank PLC 2021 Annual report &amp; consolidated financial statements, p.114-118 (same statement set) - https://www.virginmoneyukplc.com/downloads/pdf/cb-ara-2021.pdf
FY2020: Clydesdale Bank PLC 2020 Annual Report and Accounts, p.116-119 (Balance sheets, Statements of changes in equity) - https://www.virginmoneyukplc.com/downloads/pdf/cb-ara-2020.pdf
FY2019: Clydesdale Bank PLC 2019 Annual Report and Accounts, p.94-97 (Balance sheets, Statements of changes in equity) - https://www.virginmoneyukplc.com/downloads/pdf/cb-ara-2019.pdf
FY2018: Clydesdale Bank PLC 2018 Annual Report and Accounts, p.75-78 (Balance sheets, Statements of changes in equity) - https://www.virginmoneyukplc.com/downloads/pdf/cb-ara-2018.pdf
FY2017: Clydesdale Bank PLC 2017 Annual Report and Accounts' FY2017 comparative column, p.76-78 (Balance sheets, Statements of changes in equity, within the FY2018 AR) - https://www.virginmoneyukplc.com/downloads/pdf/cb-ara-2018.pdf
FY2016: Clydesdale Bank PLC 2016 Annual Report and Accounts, p.70-73 (Balance sheets, Statements of changes in equity) - https://www.virginmoneyukplc.com/downloads/pdf/cb-ara-2016.pdf
FY2015: Clydesdale Bank PLC 2016 Annual Report and Accounts' FY2015 comparative column, p.70-73 (within the FY2016 AR) - https://www.virginmoneyukplc.com/downloads/pdf/cb-ara-2016.pdf
FY2014: Clydesdale Bank PLC 2014 Annual Report and Accounts, p.30-33 (Balance sheet recovered via OCR - see historical sourcing note; income statement typeset) - https://www.virginmoneyukplc.com/downloads/pdf/cb-ara-2014.pdf
FY2013: Clydesdale Bank PLC Annual report and consolidated financial statements for the year ended 30 September 2013, p.27-31 (Consolidated income statement, Statements of comprehensive income, Balance sheets, Statements of changes in equity) - https://find-and-update.company-information.service.gov.uk/company/SC001111/filing-history/MzA4OTI2NzU1N2FkaXF6a2N4/document?format=pdf&amp;download=0
FY2012: same FY2013 filing's FY2012 comparative column, p.27-31 - https://find-and-update.company-information.service.gov.uk/company/SC001111/filing-history/MzA4OTI2NzU1N2FkaXF6a2N4/document?format=pdf&amp;download=0
FY2011: Clydesdale Bank PLC Annual Report &amp; Consolidated Financial Statements 30 September 2011, p.19-23 (Consolidated Income Statement, Statements of Comprehensive Income, Balance Sheets, Statement of Changes in Equity) - https://find-and-update.company-information.service.gov.uk/company/SC001111/filing-history/MzA0NzM2MDEyOWFkaXF6a2N4/document?format=pdf&amp;download=0
FY2010: same FY2011 filing's FY2010 comparative column, p.19-23 - https://find-and-update.company-information.service.gov.uk/company/SC001111/filing-history/MzA0NzM2MDEyOWFkaXF6a2N4/document?format=pdf&amp;download=0; cross-checked against FY2010's own Annual Report and Consolidated Financial Statements for the year ended 30 September 2010, p.21-24 (own-year figures used - see FY2010 RESTATEMENT NOTE below) - https://find-and-update.company-information.service.gov.uk/company/SC001111/filing-history/MzAyNzcxMTEzMGFkaXF6a2N4/document?format=pdf&amp;download=0
FY2009: FY2010 Annual Report's FY2009 comparative column, p.21-24 - https://find-and-update.company-information.service.gov.uk/company/SC001111/filing-history/MzAyNzcxMTEzMGFkaXF6a2N4/document?format=pdf&amp;download=0
FY2010 RESTATEMENT NOTE: the FY2010 Annual Report's own Consolidated Income Statement shows 'Other operating income' of £225m and 'Total operating income' of £1,136m for FY2010; the following year's FY2011 Annual Report's FY2010 comparative column instead shows £228m and £1,139m for the same lines (a £3m difference, unexplained in either document). This sheet uses FY2010's own as-originally-filed figures (£225m / £1,136m), consistent with this project's convention of using each year's own originally-published figures rather than a later restated comparative; the Balance Sheet and Cash Flow Statement for FY2010 are identical between both filings (no restatement affects those statements).
PRESENTATION NOTE: the income statement's line-item structure changed between vintages - FY2021-FY2023 report 'Gains less losses on financial instruments at fair value' + 'Other operating income' netted into a single 'Non-interest income' subtotal with no separate Fee and commission income/expense lines; FY2025-FY2026 introduce explicit Fee and commission income/expense and Gains/(losses) from derivatives and hedge accounting lines instead. Both are shown as reported, not forced onto one basis. FY2026's Statement of comprehensive income splits Continuing/Discontinued operations (following the Part VII transfer); this workbook uses the combined Total column throughout, consistent with earlier years which do not split operations. FY2026's Other comprehensive income is shown only as a single total (not split into reclassifiable/non-reclassifiable sub-totals as in other years) since the FY2026 accounts do not disclose that split. A genuine cross-statement inconsistency: the FY2025 Annual Report's own P&amp;L discloses FY2025's Total comprehensive loss as £(343)m, while its own Statement of changes in equity (Group basis) shows the same period's total comprehensive movement summing to £(331)m (a £12m difference not explained in the source document) - both figures are reproduced as disclosed on their respective sheets (P&amp;L and Statement of Changes in Equity), not reconciled.
BASIS NOTE: Balance Sheet/P&amp;L figures for FY2021-FY2025 are CB Group consolidated (matching the Cash Flow Statement's own basis); each year's own originally-published figures are used, not a later restated comparative (e.g. FY2023's own 2023 Annual Report column, not the restated FY2023 comparative shown in the FY2025 report). FY2026 is a genuine entity-basis change: following the Part VII transfer of substantially all of the Bank's business to Nationwide, the FY2026 Annual Report states the Bank 'has not prepared consolidated financial statements' (relying on the Section 400 Companies Act / IFRS 10.4 exemption, since results are now included in Nationwide's own consolidated accounts) - https://www.virginmoneyukplc.com/downloads/pdf/cb-ara-2026-signed.pdf. FY2026's Balance Sheet/P&amp;L/RWA figures are therefore Bank (Company)-solo, not Group consolidated - the last comparable Group figure is FY2025.</t>
        </is>
      </c>
    </row>
    <row r="39" ht="340" customHeight="1">
      <c r="A39" s="8" t="inlineStr">
        <is>
          <t>(continued)
HD-047 HISTORICAL SOURCING NOTE (FY2014-FY2020): all figures on this sheet for these years are transcribed from Clydesdale Bank PLC's own entity-level Annual Report and Accounts for that year, each year's own originally-published figures (not a later restated comparative), Group consolidated basis throughout. FY2015, FY2017 and FY2019 P&amp;L/OCI figures were read from that year's own comparative column inside the FOLLOWING year's Annual Report (e.g. FY2015 from the FY2016 AR) where that gave a cleaner typeset extraction than the year's own PDF; FY2014, FY2016, FY2018 and FY2020 are each read from that year's own AR directly. The FY2014 Balance Sheet was recovered via OCR (Tesseract) since that one page of the source PDF is an embedded image with no text layer - cross-checked against the FY2014 Statement of Changes in Equity's independently-typeset closing balances, which tie out exactly, so OCR misreads are not believed to affect any figure used here. Clydesdale Bank PLC was wholly owned by National Australia Bank through the Feb 2016 CYBG plc demerger, then part of CYBG plc (renamed Virgin Money UK PLC in Oct 2019 following the Oct 2018 Virgin Money Holdings (UK) PLC acquisition) - throughout, Clydesdale Bank PLC continued publishing its own entity-level statutory accounts, which is what is used here, not the parent group's consolidated accounts.
HD-073 (2026-09-06) HISTORICAL SOURCING NOTE (FY2009-FY2013): all figures on this sheet for these years are transcribed from Clydesdale Bank PLC's own Group consolidated statutory accounts as filed at Companies House (company number SC001111) - the same entity-level accounts used for FY2014-FY2020 above, sourced directly from Companies House rather than virginmoneyukplc.com since that site does not host filings this old. FY2013 and FY2012 are read from the 'Annual report and consolidated financial statements for the year ended 30 September 2013' (FY2013 own-year column and FY2012 comparative column respectively) - https://find-and-update.company-information.service.gov.uk/company/SC001111/filing-history/MzA4OTI2NzU1N2FkaXF6a2N4/document?format=pdf&amp;download=0. FY2011 and FY2010 are read from the 'Annual Report &amp; Consolidated Financial Statements 30 September 2011' (FY2011 own-year column and FY2010 comparative column) - https://find-and-update.company-information.service.gov.uk/company/SC001111/filing-history/MzA0NzM2MDEyOWFkaXF6a2N4/document?format=pdf&amp;download=0. FY2009 is read from the 'Annual Report and Consolidated Financial Statements for the year ended 30 September 2010' FY2009 comparative column (a standalone FY2009 filing was not separately re-verified since the FY2010 filing reproduces FY2009's own figures as its comparative) - https://find-and-update.company-information.service.gov.uk/company/SC001111/filing-history/MzAyNzcxMTEzMGFkaXF6a2N4/document?format=pdf&amp;download=0. All figures are Group (consolidated) basis, £m, each year's own as-originally-filed presentation (own-year column preferred over a later comparative wherever both were available and did not tie out exactly - see the Profit &amp; Loss sheet's own note on one confirmed FY2010 restatement). Balance Sheet, Profit &amp; Loss and Cash Flow Statement totals for FY2009-FY2013 all reconcile to the source documents' own printed subtotals; the Statement of Changes in Equity's per-column reserve splits for FY2009-FY2010 are reconstructed from a lower-resolution scan of the filed roll-forward table and may be off by a pound or two within a row, but every closing TOTAL EQUITY balance ties exactly to the corresponding year's own Balance Sheet 'Total equity' figure, which is the authoritative anchor.</t>
        </is>
      </c>
    </row>
  </sheetData>
  <mergeCells count="2">
    <mergeCell ref="A39:R39"/>
    <mergeCell ref="A37:R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4"/>
  <sheetViews>
    <sheetView workbookViewId="0">
      <pane ySplit="4" topLeftCell="A5"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Clydesdale Bank PLC — Statement of Changes in Equity</t>
        </is>
      </c>
    </row>
    <row r="2">
      <c r="A2" s="2" t="inlineStr">
        <is>
          <t>CB Group consolidated basis through 31 Mar 2025; Bank-solo basis from 31 Mar 2025 restated onward - see basis note at bottom.</t>
        </is>
      </c>
    </row>
    <row r="3">
      <c r="A3" s="4" t="inlineStr">
        <is>
          <t>Movement</t>
        </is>
      </c>
      <c r="B3" s="4" t="inlineStr">
        <is>
          <t>Share capital and share premium</t>
        </is>
      </c>
      <c r="C3" s="4" t="inlineStr">
        <is>
          <t>Other equity instruments</t>
        </is>
      </c>
      <c r="D3" s="4" t="inlineStr">
        <is>
          <t>FVOCI reserve</t>
        </is>
      </c>
      <c r="E3" s="4" t="inlineStr">
        <is>
          <t>Other reserves (asset revaluation / merger / capital contribution / NCI through FY2020; other hedging reserve from FY2025)</t>
        </is>
      </c>
      <c r="F3" s="4" t="inlineStr">
        <is>
          <t>Cash flow hedge reserve</t>
        </is>
      </c>
      <c r="G3" s="4" t="inlineStr">
        <is>
          <t>Retained earnings</t>
        </is>
      </c>
      <c r="H3" s="4" t="inlineStr">
        <is>
          <t>Total equity</t>
        </is>
      </c>
    </row>
    <row r="4">
      <c r="A4" s="5" t="inlineStr">
        <is>
          <t>At 1 October 2008</t>
        </is>
      </c>
      <c r="B4" s="5" t="n">
        <v>475</v>
      </c>
      <c r="C4" s="5" t="n">
        <v>0</v>
      </c>
      <c r="D4" s="5" t="n">
        <v>0</v>
      </c>
      <c r="E4" s="5" t="n">
        <v>365</v>
      </c>
      <c r="F4" s="5" t="n">
        <v>11</v>
      </c>
      <c r="G4" s="5" t="n">
        <v>1313</v>
      </c>
      <c r="H4" s="5" t="n">
        <v>2164</v>
      </c>
    </row>
    <row r="5">
      <c r="A5" s="6" t="inlineStr">
        <is>
          <t>Profit for the year</t>
        </is>
      </c>
      <c r="B5" s="6" t="n"/>
      <c r="C5" s="6" t="n"/>
      <c r="D5" s="6" t="n"/>
      <c r="E5" s="6" t="n"/>
      <c r="F5" s="6" t="n"/>
      <c r="G5" s="6" t="n">
        <v>34</v>
      </c>
      <c r="H5" s="6" t="n">
        <v>34</v>
      </c>
    </row>
    <row r="6">
      <c r="A6" s="6" t="inlineStr">
        <is>
          <t>Other equity movements, net (OCI, dividends, share issuances, share options - see basis note)</t>
        </is>
      </c>
      <c r="B6" s="6" t="n">
        <v>400</v>
      </c>
      <c r="C6" s="6" t="n"/>
      <c r="D6" s="6" t="n">
        <v>14</v>
      </c>
      <c r="E6" s="6" t="n">
        <v>-23</v>
      </c>
      <c r="F6" s="6" t="n">
        <v>92</v>
      </c>
      <c r="G6" s="6" t="n">
        <v>-431</v>
      </c>
      <c r="H6" s="6" t="n">
        <v>52</v>
      </c>
    </row>
    <row r="7">
      <c r="A7" s="5" t="inlineStr">
        <is>
          <t>At 30 September 2009</t>
        </is>
      </c>
      <c r="B7" s="5" t="n">
        <v>875</v>
      </c>
      <c r="C7" s="5" t="n">
        <v>0</v>
      </c>
      <c r="D7" s="5" t="n">
        <v>14</v>
      </c>
      <c r="E7" s="5" t="n">
        <v>342</v>
      </c>
      <c r="F7" s="5" t="n">
        <v>103</v>
      </c>
      <c r="G7" s="5" t="n">
        <v>916</v>
      </c>
      <c r="H7" s="5" t="n">
        <v>2250</v>
      </c>
    </row>
    <row r="8">
      <c r="A8" s="6" t="inlineStr">
        <is>
          <t>Profit for the year</t>
        </is>
      </c>
      <c r="B8" s="6" t="n"/>
      <c r="C8" s="6" t="n"/>
      <c r="D8" s="6" t="n"/>
      <c r="E8" s="6" t="n"/>
      <c r="F8" s="6" t="n"/>
      <c r="G8" s="6" t="n">
        <v>36</v>
      </c>
      <c r="H8" s="6" t="n">
        <v>36</v>
      </c>
    </row>
    <row r="9">
      <c r="A9" s="6" t="inlineStr">
        <is>
          <t>Other equity movements, net (OCI, dividends, share issuances, share options - see basis note)</t>
        </is>
      </c>
      <c r="B9" s="6" t="n">
        <v>310</v>
      </c>
      <c r="C9" s="6" t="n"/>
      <c r="D9" s="6" t="n">
        <v>-8</v>
      </c>
      <c r="E9" s="6" t="n">
        <v>-1</v>
      </c>
      <c r="F9" s="6" t="n">
        <v>27</v>
      </c>
      <c r="G9" s="6" t="n">
        <v>-67</v>
      </c>
      <c r="H9" s="6" t="n">
        <v>261</v>
      </c>
    </row>
    <row r="10">
      <c r="A10" s="5" t="inlineStr">
        <is>
          <t>At 30 September 2010</t>
        </is>
      </c>
      <c r="B10" s="5" t="n">
        <v>1185</v>
      </c>
      <c r="C10" s="5" t="n">
        <v>0</v>
      </c>
      <c r="D10" s="5" t="n">
        <v>6</v>
      </c>
      <c r="E10" s="5" t="n">
        <v>341</v>
      </c>
      <c r="F10" s="5" t="n">
        <v>130</v>
      </c>
      <c r="G10" s="5" t="n">
        <v>885</v>
      </c>
      <c r="H10" s="5" t="n">
        <v>2547</v>
      </c>
    </row>
    <row r="11">
      <c r="A11" s="6" t="inlineStr">
        <is>
          <t>Profit for the year</t>
        </is>
      </c>
      <c r="B11" s="6" t="n"/>
      <c r="C11" s="6" t="n"/>
      <c r="D11" s="6" t="n"/>
      <c r="E11" s="6" t="n"/>
      <c r="F11" s="6" t="n"/>
      <c r="G11" s="6" t="n">
        <v>18</v>
      </c>
      <c r="H11" s="6" t="n">
        <v>18</v>
      </c>
    </row>
    <row r="12">
      <c r="A12" s="6" t="inlineStr">
        <is>
          <t>Other equity movements, net (OCI, dividends, share issuances, share options - see basis note)</t>
        </is>
      </c>
      <c r="B12" s="6" t="n">
        <v>300</v>
      </c>
      <c r="C12" s="6" t="n"/>
      <c r="D12" s="6" t="n">
        <v>10</v>
      </c>
      <c r="E12" s="6" t="n">
        <v>13</v>
      </c>
      <c r="F12" s="6" t="n">
        <v>-10</v>
      </c>
      <c r="G12" s="6" t="n">
        <v>1</v>
      </c>
      <c r="H12" s="6" t="n">
        <v>314</v>
      </c>
    </row>
    <row r="13">
      <c r="A13" s="5" t="inlineStr">
        <is>
          <t>At 30 September 2011</t>
        </is>
      </c>
      <c r="B13" s="5" t="n">
        <v>1485</v>
      </c>
      <c r="C13" s="5" t="n">
        <v>0</v>
      </c>
      <c r="D13" s="5" t="n">
        <v>16</v>
      </c>
      <c r="E13" s="5" t="n">
        <v>354</v>
      </c>
      <c r="F13" s="5" t="n">
        <v>120</v>
      </c>
      <c r="G13" s="5" t="n">
        <v>904</v>
      </c>
      <c r="H13" s="5" t="n">
        <v>2879</v>
      </c>
    </row>
    <row r="14">
      <c r="A14" s="6" t="inlineStr">
        <is>
          <t>Loss for the year</t>
        </is>
      </c>
      <c r="B14" s="6" t="n"/>
      <c r="C14" s="6" t="n"/>
      <c r="D14" s="6" t="n"/>
      <c r="E14" s="6" t="n"/>
      <c r="F14" s="6" t="n"/>
      <c r="G14" s="6" t="n">
        <v>-470</v>
      </c>
      <c r="H14" s="6" t="n">
        <v>-470</v>
      </c>
    </row>
    <row r="15">
      <c r="A15" s="6" t="inlineStr">
        <is>
          <t>Other equity movements, net (OCI, dividends, share issuances, share options - see basis note)</t>
        </is>
      </c>
      <c r="B15" s="6" t="n">
        <v>500</v>
      </c>
      <c r="C15" s="6" t="n"/>
      <c r="D15" s="6" t="n">
        <v>-4</v>
      </c>
      <c r="E15" s="6" t="n">
        <v>-10</v>
      </c>
      <c r="F15" s="6" t="n">
        <v>4</v>
      </c>
      <c r="G15" s="6" t="n">
        <v>-295</v>
      </c>
      <c r="H15" s="6" t="n">
        <v>195</v>
      </c>
    </row>
    <row r="16">
      <c r="A16" s="5" t="inlineStr">
        <is>
          <t>At 30 September 2012</t>
        </is>
      </c>
      <c r="B16" s="5" t="n">
        <v>1985</v>
      </c>
      <c r="C16" s="5" t="n">
        <v>0</v>
      </c>
      <c r="D16" s="5" t="n">
        <v>12</v>
      </c>
      <c r="E16" s="5" t="n">
        <v>344</v>
      </c>
      <c r="F16" s="5" t="n">
        <v>124</v>
      </c>
      <c r="G16" s="5" t="n">
        <v>139</v>
      </c>
      <c r="H16" s="5" t="n">
        <v>2604</v>
      </c>
    </row>
    <row r="17">
      <c r="A17" s="6" t="inlineStr">
        <is>
          <t>Loss for the year</t>
        </is>
      </c>
      <c r="B17" s="6" t="n"/>
      <c r="C17" s="6" t="n"/>
      <c r="D17" s="6" t="n"/>
      <c r="E17" s="6" t="n"/>
      <c r="F17" s="6" t="n"/>
      <c r="G17" s="6" t="n">
        <v>-27</v>
      </c>
      <c r="H17" s="6" t="n">
        <v>-27</v>
      </c>
    </row>
    <row r="18">
      <c r="A18" s="6" t="inlineStr">
        <is>
          <t>Other equity movements, net (OCI, dividends, share issuances, share options - see basis note)</t>
        </is>
      </c>
      <c r="B18" s="6" t="n">
        <v>0</v>
      </c>
      <c r="C18" s="6" t="n"/>
      <c r="D18" s="6" t="n">
        <v>-7</v>
      </c>
      <c r="E18" s="6" t="n">
        <v>-2</v>
      </c>
      <c r="F18" s="6" t="n">
        <v>-101</v>
      </c>
      <c r="G18" s="6" t="n">
        <v>-57</v>
      </c>
      <c r="H18" s="6" t="n">
        <v>-167</v>
      </c>
    </row>
    <row r="19">
      <c r="A19" s="5" t="inlineStr">
        <is>
          <t>At 30 September 2013</t>
        </is>
      </c>
      <c r="B19" s="5" t="n">
        <v>1985</v>
      </c>
      <c r="C19" s="5" t="n">
        <v>0</v>
      </c>
      <c r="D19" s="5" t="n">
        <v>5</v>
      </c>
      <c r="E19" s="5" t="n">
        <v>342</v>
      </c>
      <c r="F19" s="5" t="n">
        <v>23</v>
      </c>
      <c r="G19" s="5" t="n">
        <v>55</v>
      </c>
      <c r="H19" s="5" t="n">
        <v>2410</v>
      </c>
    </row>
    <row r="20">
      <c r="A20" s="6" t="inlineStr">
        <is>
          <t>Loss for the year</t>
        </is>
      </c>
      <c r="B20" s="6" t="n"/>
      <c r="C20" s="6" t="n"/>
      <c r="D20" s="6" t="n"/>
      <c r="E20" s="6" t="n"/>
      <c r="F20" s="6" t="n"/>
      <c r="G20" s="6" t="n">
        <v>-178</v>
      </c>
      <c r="H20" s="6" t="n">
        <v>-178</v>
      </c>
    </row>
    <row r="21">
      <c r="A21" s="6" t="inlineStr">
        <is>
          <t>Other comprehensive income/(losses), net of tax</t>
        </is>
      </c>
      <c r="B21" s="6" t="n"/>
      <c r="C21" s="6" t="n"/>
      <c r="D21" s="6" t="n">
        <v>3</v>
      </c>
      <c r="E21" s="6" t="n">
        <v>0</v>
      </c>
      <c r="F21" s="6" t="n">
        <v>-39</v>
      </c>
      <c r="G21" s="6" t="n">
        <v>23</v>
      </c>
      <c r="H21" s="6" t="n">
        <v>-13</v>
      </c>
    </row>
    <row r="22">
      <c r="A22" s="6" t="inlineStr">
        <is>
          <t>Dividends paid to preference shareholders</t>
        </is>
      </c>
      <c r="B22" s="6" t="n"/>
      <c r="C22" s="6" t="n"/>
      <c r="D22" s="6" t="n"/>
      <c r="E22" s="6" t="n"/>
      <c r="F22" s="6" t="n"/>
      <c r="G22" s="6" t="n">
        <v>-14</v>
      </c>
      <c r="H22" s="6" t="n">
        <v>-14</v>
      </c>
    </row>
    <row r="23">
      <c r="A23" s="6" t="inlineStr">
        <is>
          <t>Ordinary shares issued / preference shares redeemed, net</t>
        </is>
      </c>
      <c r="B23" s="6" t="n">
        <v>300</v>
      </c>
      <c r="C23" s="6" t="n"/>
      <c r="D23" s="6" t="n"/>
      <c r="E23" s="6" t="n"/>
      <c r="F23" s="6" t="n"/>
      <c r="G23" s="6" t="n"/>
      <c r="H23" s="6" t="n">
        <v>300</v>
      </c>
    </row>
    <row r="24">
      <c r="A24" s="5" t="inlineStr">
        <is>
          <t>At 30 September 2014</t>
        </is>
      </c>
      <c r="B24" s="5" t="n">
        <v>2285</v>
      </c>
      <c r="C24" s="5" t="n">
        <v>0</v>
      </c>
      <c r="D24" s="5" t="n">
        <v>8</v>
      </c>
      <c r="E24" s="5" t="n">
        <v>342</v>
      </c>
      <c r="F24" s="5" t="n">
        <v>-16</v>
      </c>
      <c r="G24" s="5" t="n">
        <v>-114</v>
      </c>
      <c r="H24" s="5" t="n">
        <v>2505</v>
      </c>
    </row>
    <row r="25">
      <c r="A25" s="6" t="inlineStr">
        <is>
          <t>Loss for the year</t>
        </is>
      </c>
      <c r="B25" s="6" t="n"/>
      <c r="C25" s="6" t="n"/>
      <c r="D25" s="6" t="n"/>
      <c r="E25" s="6" t="n"/>
      <c r="F25" s="6" t="n"/>
      <c r="G25" s="6" t="n">
        <v>-249</v>
      </c>
      <c r="H25" s="6" t="n">
        <v>-249</v>
      </c>
    </row>
    <row r="26">
      <c r="A26" s="6" t="inlineStr">
        <is>
          <t>Other comprehensive income, net of tax</t>
        </is>
      </c>
      <c r="B26" s="6" t="n"/>
      <c r="C26" s="6" t="n"/>
      <c r="D26" s="6" t="n">
        <v>4</v>
      </c>
      <c r="E26" s="6" t="n">
        <v>0</v>
      </c>
      <c r="F26" s="6" t="n">
        <v>3</v>
      </c>
      <c r="G26" s="6" t="n">
        <v>-29</v>
      </c>
      <c r="H26" s="6" t="n">
        <v>-22</v>
      </c>
    </row>
    <row r="27">
      <c r="A27" s="6" t="inlineStr">
        <is>
          <t>Ordinary and B ordinary shares issued, share premium reallocation and B share cancellation, net</t>
        </is>
      </c>
      <c r="B27" s="6" t="n">
        <v>527</v>
      </c>
      <c r="C27" s="6" t="n"/>
      <c r="D27" s="6" t="n"/>
      <c r="E27" s="6" t="n"/>
      <c r="F27" s="6" t="n"/>
      <c r="G27" s="6" t="n">
        <v>585</v>
      </c>
      <c r="H27" s="6" t="n">
        <v>1112</v>
      </c>
    </row>
    <row r="28">
      <c r="A28" s="6" t="inlineStr">
        <is>
          <t>AT1 (Additional Tier 1) capital instruments issued</t>
        </is>
      </c>
      <c r="B28" s="6" t="n"/>
      <c r="C28" s="6" t="n">
        <v>450</v>
      </c>
      <c r="D28" s="6" t="n"/>
      <c r="E28" s="6" t="n"/>
      <c r="F28" s="6" t="n"/>
      <c r="G28" s="6" t="n"/>
      <c r="H28" s="6" t="n">
        <v>450</v>
      </c>
    </row>
    <row r="29">
      <c r="A29" s="6" t="inlineStr">
        <is>
          <t>Merger reserve capitalised</t>
        </is>
      </c>
      <c r="B29" s="6" t="n"/>
      <c r="C29" s="6" t="n"/>
      <c r="D29" s="6" t="n"/>
      <c r="E29" s="6" t="n">
        <v>-338</v>
      </c>
      <c r="F29" s="6" t="n"/>
      <c r="G29" s="6" t="n"/>
      <c r="H29" s="6" t="n">
        <v>-338</v>
      </c>
    </row>
    <row r="30">
      <c r="A30" s="5" t="inlineStr">
        <is>
          <t>At 30 September 2015</t>
        </is>
      </c>
      <c r="B30" s="5" t="n">
        <v>2812</v>
      </c>
      <c r="C30" s="5" t="n">
        <v>450</v>
      </c>
      <c r="D30" s="5" t="n">
        <v>12</v>
      </c>
      <c r="E30" s="5" t="n">
        <v>4</v>
      </c>
      <c r="F30" s="5" t="n">
        <v>-13</v>
      </c>
      <c r="G30" s="5" t="n">
        <v>192</v>
      </c>
      <c r="H30" s="5" t="n">
        <v>3458</v>
      </c>
    </row>
    <row r="31">
      <c r="A31" s="6" t="inlineStr">
        <is>
          <t>Loss for the year</t>
        </is>
      </c>
      <c r="B31" s="6" t="n"/>
      <c r="C31" s="6" t="n"/>
      <c r="D31" s="6" t="n"/>
      <c r="E31" s="6" t="n"/>
      <c r="F31" s="6" t="n"/>
      <c r="G31" s="6" t="n">
        <v>-558</v>
      </c>
      <c r="H31" s="6" t="n">
        <v>-558</v>
      </c>
    </row>
    <row r="32">
      <c r="A32" s="6" t="inlineStr">
        <is>
          <t>Other comprehensive income, net of tax</t>
        </is>
      </c>
      <c r="B32" s="6" t="n"/>
      <c r="C32" s="6" t="n"/>
      <c r="D32" s="6" t="n">
        <v>15</v>
      </c>
      <c r="E32" s="6" t="n">
        <v>0</v>
      </c>
      <c r="F32" s="6" t="n">
        <v>82</v>
      </c>
      <c r="G32" s="6" t="n">
        <v>-136</v>
      </c>
      <c r="H32" s="6" t="n">
        <v>-39</v>
      </c>
    </row>
    <row r="33">
      <c r="A33" s="6" t="inlineStr">
        <is>
          <t>AT1 distributions and ordinary dividends paid</t>
        </is>
      </c>
      <c r="B33" s="6" t="n"/>
      <c r="C33" s="6" t="n"/>
      <c r="D33" s="6" t="n"/>
      <c r="E33" s="6" t="n"/>
      <c r="F33" s="6" t="n"/>
      <c r="G33" s="6" t="n">
        <v>-66</v>
      </c>
      <c r="H33" s="6" t="n">
        <v>-66</v>
      </c>
    </row>
    <row r="34">
      <c r="A34" s="6" t="inlineStr">
        <is>
          <t>Ordinary shares issued and share capital reduction, net</t>
        </is>
      </c>
      <c r="B34" s="6" t="n">
        <v>-2488</v>
      </c>
      <c r="C34" s="6" t="n"/>
      <c r="D34" s="6" t="n"/>
      <c r="E34" s="6" t="n"/>
      <c r="F34" s="6" t="n"/>
      <c r="G34" s="6" t="n">
        <v>2914</v>
      </c>
      <c r="H34" s="6" t="n">
        <v>426</v>
      </c>
    </row>
    <row r="35">
      <c r="A35" s="6" t="inlineStr">
        <is>
          <t>AT1 issuance and capital note repurchase, net</t>
        </is>
      </c>
      <c r="B35" s="6" t="n"/>
      <c r="C35" s="6" t="n">
        <v>-25</v>
      </c>
      <c r="D35" s="6" t="n"/>
      <c r="E35" s="6" t="n"/>
      <c r="F35" s="6" t="n"/>
      <c r="G35" s="6" t="n">
        <v>21</v>
      </c>
      <c r="H35" s="6" t="n">
        <v>-4</v>
      </c>
    </row>
    <row r="36">
      <c r="A36" s="6" t="inlineStr">
        <is>
          <t>Other equity movements, net (share-based compensation, capital contribution, asset revaluation transfer)</t>
        </is>
      </c>
      <c r="B36" s="6" t="n"/>
      <c r="C36" s="6" t="n"/>
      <c r="D36" s="6" t="n"/>
      <c r="E36" s="6" t="n">
        <v>3</v>
      </c>
      <c r="F36" s="6" t="n"/>
      <c r="G36" s="6" t="n">
        <v>1</v>
      </c>
      <c r="H36" s="6" t="n">
        <v>4</v>
      </c>
    </row>
    <row r="37">
      <c r="A37" s="5" t="inlineStr">
        <is>
          <t>At 30 September 2016</t>
        </is>
      </c>
      <c r="B37" s="5" t="n">
        <v>324</v>
      </c>
      <c r="C37" s="5" t="n">
        <v>425</v>
      </c>
      <c r="D37" s="5" t="n">
        <v>27</v>
      </c>
      <c r="E37" s="5" t="n">
        <v>8</v>
      </c>
      <c r="F37" s="5" t="n">
        <v>69</v>
      </c>
      <c r="G37" s="5" t="n">
        <v>2368</v>
      </c>
      <c r="H37" s="5" t="n">
        <v>3221</v>
      </c>
    </row>
    <row r="38">
      <c r="A38" s="6" t="inlineStr">
        <is>
          <t>Loss for the year</t>
        </is>
      </c>
      <c r="B38" s="6" t="n"/>
      <c r="C38" s="6" t="n"/>
      <c r="D38" s="6" t="n"/>
      <c r="E38" s="6" t="n"/>
      <c r="F38" s="6" t="n"/>
      <c r="G38" s="6" t="n">
        <v>-294</v>
      </c>
      <c r="H38" s="6" t="n">
        <v>-294</v>
      </c>
    </row>
    <row r="39">
      <c r="A39" s="6" t="inlineStr">
        <is>
          <t>Other comprehensive income, net of tax</t>
        </is>
      </c>
      <c r="B39" s="6" t="n"/>
      <c r="C39" s="6" t="n"/>
      <c r="D39" s="6" t="n">
        <v>-20</v>
      </c>
      <c r="E39" s="6" t="n">
        <v>0</v>
      </c>
      <c r="F39" s="6" t="n">
        <v>-68</v>
      </c>
      <c r="G39" s="6" t="n">
        <v>119</v>
      </c>
      <c r="H39" s="6" t="n">
        <v>31</v>
      </c>
    </row>
    <row r="40">
      <c r="A40" s="6" t="inlineStr">
        <is>
          <t>AT1 distribution paid</t>
        </is>
      </c>
      <c r="B40" s="6" t="n"/>
      <c r="C40" s="6" t="n"/>
      <c r="D40" s="6" t="n"/>
      <c r="E40" s="6" t="n"/>
      <c r="F40" s="6" t="n"/>
      <c r="G40" s="6" t="n">
        <v>-29</v>
      </c>
      <c r="H40" s="6" t="n">
        <v>-29</v>
      </c>
    </row>
    <row r="41">
      <c r="A41" s="6" t="inlineStr">
        <is>
          <t>Ordinary shares issued</t>
        </is>
      </c>
      <c r="B41" s="6" t="n">
        <v>178</v>
      </c>
      <c r="C41" s="6" t="n"/>
      <c r="D41" s="6" t="n"/>
      <c r="E41" s="6" t="n"/>
      <c r="F41" s="6" t="n"/>
      <c r="G41" s="6" t="n"/>
      <c r="H41" s="6" t="n">
        <v>178</v>
      </c>
    </row>
    <row r="42">
      <c r="A42" s="6" t="inlineStr">
        <is>
          <t>Capital contribution</t>
        </is>
      </c>
      <c r="B42" s="6" t="n"/>
      <c r="C42" s="6" t="n"/>
      <c r="D42" s="6" t="n"/>
      <c r="E42" s="6" t="n">
        <v>357</v>
      </c>
      <c r="F42" s="6" t="n"/>
      <c r="G42" s="6" t="n"/>
      <c r="H42" s="6" t="n">
        <v>357</v>
      </c>
    </row>
    <row r="43">
      <c r="A43" s="5" t="inlineStr">
        <is>
          <t>At 30 September 2017</t>
        </is>
      </c>
      <c r="B43" s="5" t="n">
        <v>502</v>
      </c>
      <c r="C43" s="5" t="n">
        <v>425</v>
      </c>
      <c r="D43" s="5" t="n">
        <v>7</v>
      </c>
      <c r="E43" s="5" t="n">
        <v>365</v>
      </c>
      <c r="F43" s="5" t="n">
        <v>1</v>
      </c>
      <c r="G43" s="5" t="n">
        <v>2164</v>
      </c>
      <c r="H43" s="5" t="n">
        <v>3464</v>
      </c>
    </row>
    <row r="44">
      <c r="A44" s="6" t="inlineStr">
        <is>
          <t>Loss for the year</t>
        </is>
      </c>
      <c r="B44" s="6" t="n"/>
      <c r="C44" s="6" t="n"/>
      <c r="D44" s="6" t="n"/>
      <c r="E44" s="6" t="n"/>
      <c r="F44" s="6" t="n"/>
      <c r="G44" s="6" t="n">
        <v>-239</v>
      </c>
      <c r="H44" s="6" t="n">
        <v>-239</v>
      </c>
    </row>
    <row r="45">
      <c r="A45" s="6" t="inlineStr">
        <is>
          <t>Other comprehensive income/(losses), net of tax</t>
        </is>
      </c>
      <c r="B45" s="6" t="n"/>
      <c r="C45" s="6" t="n"/>
      <c r="D45" s="6" t="n">
        <v>0</v>
      </c>
      <c r="E45" s="6" t="n">
        <v>1</v>
      </c>
      <c r="F45" s="6" t="n">
        <v>-38</v>
      </c>
      <c r="G45" s="6" t="n">
        <v>-6</v>
      </c>
      <c r="H45" s="6" t="n">
        <v>-43</v>
      </c>
    </row>
    <row r="46">
      <c r="A46" s="6" t="inlineStr">
        <is>
          <t>AT1 distribution paid</t>
        </is>
      </c>
      <c r="B46" s="6" t="n"/>
      <c r="C46" s="6" t="n"/>
      <c r="D46" s="6" t="n"/>
      <c r="E46" s="6" t="n"/>
      <c r="F46" s="6" t="n"/>
      <c r="G46" s="6" t="n">
        <v>-29</v>
      </c>
      <c r="H46" s="6" t="n">
        <v>-29</v>
      </c>
    </row>
    <row r="47">
      <c r="A47" s="6" t="inlineStr">
        <is>
          <t>Dividend paid</t>
        </is>
      </c>
      <c r="B47" s="6" t="n"/>
      <c r="C47" s="6" t="n"/>
      <c r="D47" s="6" t="n"/>
      <c r="E47" s="6" t="n"/>
      <c r="F47" s="6" t="n"/>
      <c r="G47" s="6" t="n">
        <v>-9</v>
      </c>
      <c r="H47" s="6" t="n">
        <v>-9</v>
      </c>
    </row>
    <row r="48">
      <c r="A48" s="6" t="inlineStr">
        <is>
          <t>Ordinary shares issued</t>
        </is>
      </c>
      <c r="B48" s="6" t="n">
        <v>511</v>
      </c>
      <c r="C48" s="6" t="n"/>
      <c r="D48" s="6" t="n"/>
      <c r="E48" s="6" t="n"/>
      <c r="F48" s="6" t="n"/>
      <c r="G48" s="6" t="n"/>
      <c r="H48" s="6" t="n">
        <v>511</v>
      </c>
    </row>
    <row r="49">
      <c r="A49" s="6" t="inlineStr">
        <is>
          <t>Capital contribution</t>
        </is>
      </c>
      <c r="B49" s="6" t="n"/>
      <c r="C49" s="6" t="n"/>
      <c r="D49" s="6" t="n"/>
      <c r="E49" s="6" t="n">
        <v>-364</v>
      </c>
      <c r="F49" s="6" t="n"/>
      <c r="G49" s="6" t="n"/>
      <c r="H49" s="6" t="n">
        <v>-364</v>
      </c>
    </row>
    <row r="50">
      <c r="A50" s="5" t="inlineStr">
        <is>
          <t>At 30 September 2018</t>
        </is>
      </c>
      <c r="B50" s="5" t="n">
        <v>1013</v>
      </c>
      <c r="C50" s="5" t="n">
        <v>425</v>
      </c>
      <c r="D50" s="5" t="n">
        <v>7</v>
      </c>
      <c r="E50" s="5" t="n">
        <v>2</v>
      </c>
      <c r="F50" s="5" t="n">
        <v>-37</v>
      </c>
      <c r="G50" s="5" t="n">
        <v>1881</v>
      </c>
      <c r="H50" s="5" t="n">
        <v>3291</v>
      </c>
    </row>
    <row r="51">
      <c r="A51" s="6" t="inlineStr">
        <is>
          <t>Changes on adoption of IFRS 9 and IFRS 15 (net)</t>
        </is>
      </c>
      <c r="B51" s="6" t="n"/>
      <c r="C51" s="6" t="n"/>
      <c r="D51" s="6" t="n">
        <v>-3</v>
      </c>
      <c r="E51" s="6" t="n"/>
      <c r="F51" s="6" t="n"/>
      <c r="G51" s="6" t="n">
        <v>-18</v>
      </c>
      <c r="H51" s="6" t="n">
        <v>-21</v>
      </c>
    </row>
    <row r="52">
      <c r="A52" s="6" t="inlineStr">
        <is>
          <t>Loss for the year</t>
        </is>
      </c>
      <c r="B52" s="6" t="n"/>
      <c r="C52" s="6" t="n"/>
      <c r="D52" s="6" t="n"/>
      <c r="E52" s="6" t="n"/>
      <c r="F52" s="6" t="n"/>
      <c r="G52" s="6" t="n">
        <v>-139</v>
      </c>
      <c r="H52" s="6" t="n">
        <v>-139</v>
      </c>
    </row>
    <row r="53">
      <c r="A53" s="6" t="inlineStr">
        <is>
          <t>Other comprehensive income/(losses), net of tax</t>
        </is>
      </c>
      <c r="B53" s="6" t="n"/>
      <c r="C53" s="6" t="n"/>
      <c r="D53" s="6" t="n">
        <v>7</v>
      </c>
      <c r="E53" s="6" t="n">
        <v>-1</v>
      </c>
      <c r="F53" s="6" t="n">
        <v>12</v>
      </c>
      <c r="G53" s="6" t="n">
        <v>61</v>
      </c>
      <c r="H53" s="6" t="n">
        <v>79</v>
      </c>
    </row>
    <row r="54">
      <c r="A54" s="6" t="inlineStr">
        <is>
          <t>Acquisition of Virgin Money Holdings (UK) PLC (incl. non-controlling interest)</t>
        </is>
      </c>
      <c r="B54" s="6" t="n">
        <v>1549</v>
      </c>
      <c r="C54" s="6" t="n"/>
      <c r="D54" s="6" t="n"/>
      <c r="E54" s="6" t="n">
        <v>422</v>
      </c>
      <c r="F54" s="6" t="n"/>
      <c r="G54" s="6" t="n">
        <v>-17</v>
      </c>
      <c r="H54" s="6" t="n">
        <v>1954</v>
      </c>
    </row>
    <row r="55">
      <c r="A55" s="6" t="inlineStr">
        <is>
          <t>Dividends, AT1 distributions, NCI distributions and share award settlements, net</t>
        </is>
      </c>
      <c r="B55" s="6" t="n"/>
      <c r="C55" s="6" t="n"/>
      <c r="D55" s="6" t="n"/>
      <c r="E55" s="6" t="n"/>
      <c r="F55" s="6" t="n"/>
      <c r="G55" s="6" t="n">
        <v>-107</v>
      </c>
      <c r="H55" s="6" t="n">
        <v>-107</v>
      </c>
    </row>
    <row r="56">
      <c r="A56" s="6" t="inlineStr">
        <is>
          <t>Ordinary shares issued</t>
        </is>
      </c>
      <c r="B56" s="6" t="n">
        <v>230</v>
      </c>
      <c r="C56" s="6" t="n"/>
      <c r="D56" s="6" t="n"/>
      <c r="E56" s="6" t="n"/>
      <c r="F56" s="6" t="n"/>
      <c r="G56" s="6" t="n"/>
      <c r="H56" s="6" t="n">
        <v>230</v>
      </c>
    </row>
    <row r="57">
      <c r="A57" s="6" t="inlineStr">
        <is>
          <t>Capital note redemption (non-controlling interest)</t>
        </is>
      </c>
      <c r="B57" s="6" t="n"/>
      <c r="C57" s="6" t="n"/>
      <c r="D57" s="6" t="n"/>
      <c r="E57" s="6" t="n">
        <v>-422</v>
      </c>
      <c r="F57" s="6" t="n"/>
      <c r="G57" s="6" t="n">
        <v>29</v>
      </c>
      <c r="H57" s="6" t="n">
        <v>-393</v>
      </c>
    </row>
    <row r="58">
      <c r="A58" s="6" t="inlineStr">
        <is>
          <t>AT1 issuance</t>
        </is>
      </c>
      <c r="B58" s="6" t="n"/>
      <c r="C58" s="6" t="n">
        <v>247</v>
      </c>
      <c r="D58" s="6" t="n"/>
      <c r="E58" s="6" t="n"/>
      <c r="F58" s="6" t="n"/>
      <c r="G58" s="6" t="n"/>
      <c r="H58" s="6" t="n">
        <v>247</v>
      </c>
    </row>
    <row r="59">
      <c r="A59" s="5" t="inlineStr">
        <is>
          <t>At 30 September 2019</t>
        </is>
      </c>
      <c r="B59" s="5" t="n">
        <v>2792</v>
      </c>
      <c r="C59" s="5" t="n">
        <v>672</v>
      </c>
      <c r="D59" s="5" t="n">
        <v>11</v>
      </c>
      <c r="E59" s="5" t="n">
        <v>1</v>
      </c>
      <c r="F59" s="5" t="n">
        <v>-25</v>
      </c>
      <c r="G59" s="5" t="n">
        <v>1690</v>
      </c>
      <c r="H59" s="5" t="n">
        <v>5141</v>
      </c>
    </row>
    <row r="60">
      <c r="A60" s="6" t="inlineStr">
        <is>
          <t>Adjustment on adoption of IFRS 16 (net of tax)</t>
        </is>
      </c>
      <c r="B60" s="6" t="n"/>
      <c r="C60" s="6" t="n"/>
      <c r="D60" s="6" t="n"/>
      <c r="E60" s="6" t="n"/>
      <c r="F60" s="6" t="n"/>
      <c r="G60" s="6" t="n">
        <v>1</v>
      </c>
      <c r="H60" s="6" t="n">
        <v>1</v>
      </c>
    </row>
    <row r="61">
      <c r="A61" s="6" t="inlineStr">
        <is>
          <t>Loss for the year</t>
        </is>
      </c>
      <c r="B61" s="6" t="n"/>
      <c r="C61" s="6" t="n"/>
      <c r="D61" s="6" t="n"/>
      <c r="E61" s="6" t="n"/>
      <c r="F61" s="6" t="n"/>
      <c r="G61" s="6" t="n">
        <v>-191</v>
      </c>
      <c r="H61" s="6" t="n">
        <v>-191</v>
      </c>
    </row>
    <row r="62">
      <c r="A62" s="6" t="inlineStr">
        <is>
          <t>Other comprehensive losses/(income), net of tax</t>
        </is>
      </c>
      <c r="B62" s="6" t="n"/>
      <c r="C62" s="6" t="n"/>
      <c r="D62" s="6" t="n"/>
      <c r="E62" s="6" t="n">
        <v>0</v>
      </c>
      <c r="F62" s="6" t="n">
        <v>-55</v>
      </c>
      <c r="G62" s="6" t="n">
        <v>184</v>
      </c>
      <c r="H62" s="6" t="n">
        <v>129</v>
      </c>
    </row>
    <row r="63">
      <c r="A63" s="6" t="inlineStr">
        <is>
          <t>AT1 distribution paid, dividends paid, share award settlements and FSMA Part VII transfer, net</t>
        </is>
      </c>
      <c r="B63" s="6" t="n"/>
      <c r="C63" s="6" t="n"/>
      <c r="D63" s="6" t="n"/>
      <c r="E63" s="6" t="n"/>
      <c r="F63" s="6" t="n"/>
      <c r="G63" s="6" t="n">
        <v>-89</v>
      </c>
      <c r="H63" s="6" t="n">
        <v>-89</v>
      </c>
    </row>
    <row r="64">
      <c r="A64" s="6" t="inlineStr">
        <is>
          <t>Release of asset revaluation reserve</t>
        </is>
      </c>
      <c r="B64" s="6" t="n"/>
      <c r="C64" s="6" t="n"/>
      <c r="D64" s="6" t="n"/>
      <c r="E64" s="6" t="n">
        <v>-1</v>
      </c>
      <c r="F64" s="6" t="n"/>
      <c r="G64" s="6" t="n"/>
      <c r="H64" s="6" t="n">
        <v>-1</v>
      </c>
    </row>
    <row r="65">
      <c r="A65" s="5" t="inlineStr">
        <is>
          <t>As at 1 October 2020 (=30 Sep 2020)</t>
        </is>
      </c>
      <c r="B65" s="5" t="n">
        <v>2792</v>
      </c>
      <c r="C65" s="5" t="n">
        <v>672</v>
      </c>
      <c r="D65" s="5" t="n">
        <v>11</v>
      </c>
      <c r="E65" s="5" t="n"/>
      <c r="F65" s="5" t="n">
        <v>-80</v>
      </c>
      <c r="G65" s="5" t="n">
        <v>1595</v>
      </c>
      <c r="H65" s="5" t="n">
        <v>4990</v>
      </c>
    </row>
    <row r="66">
      <c r="A66" s="6" t="inlineStr">
        <is>
          <t>Profit for the year</t>
        </is>
      </c>
      <c r="B66" s="6" t="n"/>
      <c r="C66" s="6" t="n"/>
      <c r="D66" s="6" t="n"/>
      <c r="E66" s="6" t="n"/>
      <c r="F66" s="6" t="n"/>
      <c r="G66" s="6" t="n">
        <v>532</v>
      </c>
      <c r="H66" s="6" t="n">
        <v>532</v>
      </c>
    </row>
    <row r="67">
      <c r="A67" s="6" t="inlineStr">
        <is>
          <t>Other comprehensive income, net of tax</t>
        </is>
      </c>
      <c r="B67" s="6" t="n"/>
      <c r="C67" s="6" t="n"/>
      <c r="D67" s="6" t="n">
        <v>23</v>
      </c>
      <c r="E67" s="6" t="n"/>
      <c r="F67" s="6" t="n">
        <v>90</v>
      </c>
      <c r="G67" s="6" t="n">
        <v>29</v>
      </c>
      <c r="H67" s="6" t="n">
        <v>142</v>
      </c>
    </row>
    <row r="68">
      <c r="A68" s="6" t="inlineStr">
        <is>
          <t>AT1 distributions paid</t>
        </is>
      </c>
      <c r="B68" s="6" t="n"/>
      <c r="C68" s="6" t="n"/>
      <c r="D68" s="6" t="n"/>
      <c r="E68" s="6" t="n"/>
      <c r="F68" s="6" t="n"/>
      <c r="G68" s="6" t="n">
        <v>-59</v>
      </c>
      <c r="H68" s="6" t="n">
        <v>-59</v>
      </c>
    </row>
    <row r="69">
      <c r="A69" s="6" t="inlineStr">
        <is>
          <t>Dividends paid to ordinary shareholders</t>
        </is>
      </c>
      <c r="B69" s="6" t="n"/>
      <c r="C69" s="6" t="n"/>
      <c r="D69" s="6" t="n"/>
      <c r="E69" s="6" t="n"/>
      <c r="F69" s="6" t="n"/>
      <c r="G69" s="6" t="n">
        <v>-20</v>
      </c>
      <c r="H69" s="6" t="n">
        <v>-20</v>
      </c>
    </row>
    <row r="70">
      <c r="A70" s="6" t="inlineStr">
        <is>
          <t>Settlement of Virgin Money Holdings (UK) Limited share awards</t>
        </is>
      </c>
      <c r="B70" s="6" t="n"/>
      <c r="C70" s="6" t="n"/>
      <c r="D70" s="6" t="n"/>
      <c r="E70" s="6" t="n"/>
      <c r="F70" s="6" t="n"/>
      <c r="G70" s="6" t="n">
        <v>-3</v>
      </c>
      <c r="H70" s="6" t="n">
        <v>-3</v>
      </c>
    </row>
    <row r="71">
      <c r="A71" s="5" t="inlineStr">
        <is>
          <t>At 30 September 2021</t>
        </is>
      </c>
      <c r="B71" s="5" t="n">
        <v>2792</v>
      </c>
      <c r="C71" s="5" t="n">
        <v>672</v>
      </c>
      <c r="D71" s="5" t="n">
        <v>34</v>
      </c>
      <c r="E71" s="5" t="n"/>
      <c r="F71" s="5" t="n">
        <v>10</v>
      </c>
      <c r="G71" s="5" t="n">
        <v>2074</v>
      </c>
      <c r="H71" s="5" t="n">
        <v>5582</v>
      </c>
    </row>
    <row r="72">
      <c r="A72" s="6" t="inlineStr">
        <is>
          <t>Profit for the year</t>
        </is>
      </c>
      <c r="B72" s="6" t="n"/>
      <c r="C72" s="6" t="n"/>
      <c r="D72" s="6" t="n"/>
      <c r="E72" s="6" t="n"/>
      <c r="F72" s="6" t="n"/>
      <c r="G72" s="6" t="n">
        <v>520</v>
      </c>
      <c r="H72" s="6" t="n">
        <v>520</v>
      </c>
    </row>
    <row r="73">
      <c r="A73" s="6" t="inlineStr">
        <is>
          <t>Other comprehensive income, net of tax</t>
        </is>
      </c>
      <c r="B73" s="6" t="n"/>
      <c r="C73" s="6" t="n"/>
      <c r="D73" s="6" t="n">
        <v>10</v>
      </c>
      <c r="E73" s="6" t="n"/>
      <c r="F73" s="6" t="n">
        <v>689</v>
      </c>
      <c r="G73" s="6" t="n">
        <v>78</v>
      </c>
      <c r="H73" s="6" t="n">
        <v>777</v>
      </c>
    </row>
    <row r="74">
      <c r="A74" s="6" t="inlineStr">
        <is>
          <t>AT1 distributions paid</t>
        </is>
      </c>
      <c r="B74" s="6" t="n"/>
      <c r="C74" s="6" t="n"/>
      <c r="D74" s="6" t="n"/>
      <c r="E74" s="6" t="n"/>
      <c r="F74" s="6" t="n"/>
      <c r="G74" s="6" t="n">
        <v>-60</v>
      </c>
      <c r="H74" s="6" t="n">
        <v>-60</v>
      </c>
    </row>
    <row r="75">
      <c r="A75" s="6" t="inlineStr">
        <is>
          <t>Dividends paid to ordinary shareholders</t>
        </is>
      </c>
      <c r="B75" s="6" t="n"/>
      <c r="C75" s="6" t="n"/>
      <c r="D75" s="6" t="n"/>
      <c r="E75" s="6" t="n"/>
      <c r="F75" s="6" t="n"/>
      <c r="G75" s="6" t="n">
        <v>-367</v>
      </c>
      <c r="H75" s="6" t="n">
        <v>-367</v>
      </c>
    </row>
    <row r="76">
      <c r="A76" s="6" t="inlineStr">
        <is>
          <t>Settlement of Virgin Money Holdings (UK) Limited share awards</t>
        </is>
      </c>
      <c r="B76" s="6" t="n"/>
      <c r="C76" s="6" t="n"/>
      <c r="D76" s="6" t="n"/>
      <c r="E76" s="6" t="n"/>
      <c r="F76" s="6" t="n"/>
      <c r="G76" s="6" t="n">
        <v>-3</v>
      </c>
      <c r="H76" s="6" t="n">
        <v>-3</v>
      </c>
    </row>
    <row r="77">
      <c r="A77" s="6" t="inlineStr">
        <is>
          <t>AT1 issuance</t>
        </is>
      </c>
      <c r="B77" s="6" t="n"/>
      <c r="C77" s="6" t="n">
        <v>346</v>
      </c>
      <c r="D77" s="6" t="n"/>
      <c r="E77" s="6" t="n"/>
      <c r="F77" s="6" t="n"/>
      <c r="G77" s="6" t="n"/>
      <c r="H77" s="6" t="n">
        <v>346</v>
      </c>
    </row>
    <row r="78">
      <c r="A78" s="6" t="inlineStr">
        <is>
          <t>AT1 redemption</t>
        </is>
      </c>
      <c r="B78" s="6" t="n"/>
      <c r="C78" s="6" t="n">
        <v>-356</v>
      </c>
      <c r="D78" s="6" t="n"/>
      <c r="E78" s="6" t="n"/>
      <c r="F78" s="6" t="n"/>
      <c r="G78" s="6" t="n">
        <v>-28</v>
      </c>
      <c r="H78" s="6" t="n">
        <v>-384</v>
      </c>
    </row>
    <row r="79">
      <c r="A79" s="5" t="inlineStr">
        <is>
          <t>At 30 September 2022</t>
        </is>
      </c>
      <c r="B79" s="5" t="n">
        <v>2792</v>
      </c>
      <c r="C79" s="5" t="n">
        <v>662</v>
      </c>
      <c r="D79" s="5" t="n">
        <v>44</v>
      </c>
      <c r="E79" s="5" t="n"/>
      <c r="F79" s="5" t="n">
        <v>699</v>
      </c>
      <c r="G79" s="5" t="n">
        <v>2214</v>
      </c>
      <c r="H79" s="5" t="n">
        <v>6411</v>
      </c>
    </row>
    <row r="80">
      <c r="A80" s="6" t="inlineStr">
        <is>
          <t>Profit for the year</t>
        </is>
      </c>
      <c r="B80" s="6" t="n"/>
      <c r="C80" s="6" t="n"/>
      <c r="D80" s="6" t="n"/>
      <c r="E80" s="6" t="n"/>
      <c r="F80" s="6" t="n"/>
      <c r="G80" s="6" t="n">
        <v>249</v>
      </c>
      <c r="H80" s="6" t="n">
        <v>249</v>
      </c>
    </row>
    <row r="81">
      <c r="A81" s="6" t="inlineStr">
        <is>
          <t>Other comprehensive losses, net of tax</t>
        </is>
      </c>
      <c r="B81" s="6" t="n"/>
      <c r="C81" s="6" t="n"/>
      <c r="D81" s="6" t="n">
        <v>-37</v>
      </c>
      <c r="E81" s="6" t="n"/>
      <c r="F81" s="6" t="n">
        <v>-203</v>
      </c>
      <c r="G81" s="6" t="n">
        <v>-355</v>
      </c>
      <c r="H81" s="6" t="n">
        <v>-595</v>
      </c>
    </row>
    <row r="82">
      <c r="A82" s="6" t="inlineStr">
        <is>
          <t>AT1 distributions paid</t>
        </is>
      </c>
      <c r="B82" s="6" t="n"/>
      <c r="C82" s="6" t="n"/>
      <c r="D82" s="6" t="n"/>
      <c r="E82" s="6" t="n"/>
      <c r="F82" s="6" t="n"/>
      <c r="G82" s="6" t="n">
        <v>-54</v>
      </c>
      <c r="H82" s="6" t="n">
        <v>-54</v>
      </c>
    </row>
    <row r="83">
      <c r="A83" s="6" t="inlineStr">
        <is>
          <t>Dividends paid to ordinary shareholders</t>
        </is>
      </c>
      <c r="B83" s="6" t="n"/>
      <c r="C83" s="6" t="n"/>
      <c r="D83" s="6" t="n"/>
      <c r="E83" s="6" t="n"/>
      <c r="F83" s="6" t="n"/>
      <c r="G83" s="6" t="n">
        <v>-248</v>
      </c>
      <c r="H83" s="6" t="n">
        <v>-248</v>
      </c>
    </row>
    <row r="84">
      <c r="A84" s="6" t="inlineStr">
        <is>
          <t>Settlement of Virgin Money Holdings (UK) Limited share awards</t>
        </is>
      </c>
      <c r="B84" s="6" t="n"/>
      <c r="C84" s="6" t="n"/>
      <c r="D84" s="6" t="n"/>
      <c r="E84" s="6" t="n"/>
      <c r="F84" s="6" t="n"/>
      <c r="G84" s="6" t="n">
        <v>-2</v>
      </c>
      <c r="H84" s="6" t="n">
        <v>-2</v>
      </c>
    </row>
    <row r="85">
      <c r="A85" s="6" t="inlineStr">
        <is>
          <t>AT1 redemption</t>
        </is>
      </c>
      <c r="B85" s="6" t="n"/>
      <c r="C85" s="6" t="n">
        <v>-68</v>
      </c>
      <c r="D85" s="6" t="n"/>
      <c r="E85" s="6" t="n"/>
      <c r="F85" s="6" t="n"/>
      <c r="G85" s="6" t="n">
        <v>-4</v>
      </c>
      <c r="H85" s="6" t="n">
        <v>-72</v>
      </c>
    </row>
    <row r="86">
      <c r="A86" s="5" t="inlineStr">
        <is>
          <t>At 30 September 2023 (as originally reported)</t>
        </is>
      </c>
      <c r="B86" s="5" t="n">
        <v>2792</v>
      </c>
      <c r="C86" s="5" t="n">
        <v>594</v>
      </c>
      <c r="D86" s="5" t="n">
        <v>7</v>
      </c>
      <c r="E86" s="5" t="n"/>
      <c r="F86" s="5" t="n">
        <v>496</v>
      </c>
      <c r="G86" s="5" t="n">
        <v>1800</v>
      </c>
      <c r="H86" s="5" t="n">
        <v>5689</v>
      </c>
    </row>
    <row r="87">
      <c r="A87" s="6" t="inlineStr">
        <is>
          <t>Restatement to align Group accounting policies with Nationwide, net (per FY2025 Annual Report note 1.7)</t>
        </is>
      </c>
      <c r="B87" s="6" t="n"/>
      <c r="C87" s="6" t="n"/>
      <c r="D87" s="6" t="n"/>
      <c r="E87" s="6" t="n"/>
      <c r="F87" s="6" t="n"/>
      <c r="G87" s="6" t="n">
        <v>-355</v>
      </c>
      <c r="H87" s="6" t="n">
        <v>-355</v>
      </c>
    </row>
    <row r="88">
      <c r="A88" s="5" t="inlineStr">
        <is>
          <t>At 1 October 2023 (restated, per FY2025 Annual Report)</t>
        </is>
      </c>
      <c r="B88" s="5" t="n">
        <v>2792</v>
      </c>
      <c r="C88" s="5" t="n">
        <v>594</v>
      </c>
      <c r="D88" s="5" t="n">
        <v>7</v>
      </c>
      <c r="E88" s="5" t="n"/>
      <c r="F88" s="5" t="n">
        <v>496</v>
      </c>
      <c r="G88" s="5" t="n">
        <v>1445</v>
      </c>
      <c r="H88" s="5" t="n">
        <v>5334</v>
      </c>
    </row>
    <row r="89">
      <c r="A89" s="6" t="inlineStr">
        <is>
          <t>Profit for the period</t>
        </is>
      </c>
      <c r="B89" s="6" t="n"/>
      <c r="C89" s="6" t="n"/>
      <c r="D89" s="6" t="n"/>
      <c r="E89" s="6" t="n"/>
      <c r="F89" s="6" t="n"/>
      <c r="G89" s="6" t="n">
        <v>150</v>
      </c>
      <c r="H89" s="6" t="n">
        <v>150</v>
      </c>
    </row>
    <row r="90">
      <c r="A90" s="6" t="inlineStr">
        <is>
          <t>Other comprehensive losses, net of tax</t>
        </is>
      </c>
      <c r="B90" s="6" t="n"/>
      <c r="C90" s="6" t="n"/>
      <c r="D90" s="6" t="n">
        <v>-29</v>
      </c>
      <c r="E90" s="6" t="n">
        <v>-3</v>
      </c>
      <c r="F90" s="6" t="n">
        <v>-326</v>
      </c>
      <c r="G90" s="6" t="n">
        <v>-135</v>
      </c>
      <c r="H90" s="6" t="n">
        <v>-493</v>
      </c>
    </row>
    <row r="91">
      <c r="A91" s="6" t="inlineStr">
        <is>
          <t>AT1 distributions paid</t>
        </is>
      </c>
      <c r="B91" s="6" t="n"/>
      <c r="C91" s="6" t="n"/>
      <c r="D91" s="6" t="n"/>
      <c r="E91" s="6" t="n"/>
      <c r="F91" s="6" t="n"/>
      <c r="G91" s="6" t="n">
        <v>-100</v>
      </c>
      <c r="H91" s="6" t="n">
        <v>-100</v>
      </c>
    </row>
    <row r="92">
      <c r="A92" s="6" t="inlineStr">
        <is>
          <t>Dividends paid to ordinary shareholders</t>
        </is>
      </c>
      <c r="B92" s="6" t="n"/>
      <c r="C92" s="6" t="n"/>
      <c r="D92" s="6" t="n"/>
      <c r="E92" s="6" t="n"/>
      <c r="F92" s="6" t="n"/>
      <c r="G92" s="6" t="n">
        <v>-177</v>
      </c>
      <c r="H92" s="6" t="n">
        <v>-177</v>
      </c>
    </row>
    <row r="93">
      <c r="A93" s="6" t="inlineStr">
        <is>
          <t>Ordinary shares issued</t>
        </is>
      </c>
      <c r="B93" s="6" t="n">
        <v>800</v>
      </c>
      <c r="C93" s="6" t="n"/>
      <c r="D93" s="6" t="n"/>
      <c r="E93" s="6" t="n"/>
      <c r="F93" s="6" t="n"/>
      <c r="G93" s="6" t="n"/>
      <c r="H93" s="6" t="n">
        <v>800</v>
      </c>
    </row>
    <row r="94">
      <c r="A94" s="6" t="inlineStr">
        <is>
          <t>Release of share premium to retained earnings</t>
        </is>
      </c>
      <c r="B94" s="6" t="n">
        <v>-1549</v>
      </c>
      <c r="C94" s="6" t="n"/>
      <c r="D94" s="6" t="n"/>
      <c r="E94" s="6" t="n"/>
      <c r="F94" s="6" t="n"/>
      <c r="G94" s="6" t="n">
        <v>1549</v>
      </c>
      <c r="H94" s="6" t="n">
        <v>0</v>
      </c>
    </row>
    <row r="95">
      <c r="A95" s="6" t="inlineStr">
        <is>
          <t>Impact of share schemes moving from equity settled to cash settled</t>
        </is>
      </c>
      <c r="B95" s="6" t="n"/>
      <c r="C95" s="6" t="n"/>
      <c r="D95" s="6" t="n"/>
      <c r="E95" s="6" t="n"/>
      <c r="F95" s="6" t="n"/>
      <c r="G95" s="6" t="n">
        <v>-1</v>
      </c>
      <c r="H95" s="6" t="n">
        <v>-1</v>
      </c>
    </row>
    <row r="96">
      <c r="A96" s="6" t="inlineStr">
        <is>
          <t>AT1 issuance</t>
        </is>
      </c>
      <c r="B96" s="6" t="n"/>
      <c r="C96" s="6" t="n">
        <v>346</v>
      </c>
      <c r="D96" s="6" t="n"/>
      <c r="E96" s="6" t="n"/>
      <c r="F96" s="6" t="n"/>
      <c r="G96" s="6" t="n"/>
      <c r="H96" s="6" t="n">
        <v>346</v>
      </c>
    </row>
    <row r="97">
      <c r="A97" s="6" t="inlineStr">
        <is>
          <t>AT1 redemption</t>
        </is>
      </c>
      <c r="B97" s="6" t="n"/>
      <c r="C97" s="6" t="n">
        <v>-247</v>
      </c>
      <c r="D97" s="6" t="n"/>
      <c r="E97" s="6" t="n"/>
      <c r="F97" s="6" t="n"/>
      <c r="G97" s="6" t="n">
        <v>-3</v>
      </c>
      <c r="H97" s="6" t="n">
        <v>-250</v>
      </c>
    </row>
    <row r="98">
      <c r="A98" s="5" t="inlineStr">
        <is>
          <t>At 31 March 2025 (Group basis)</t>
        </is>
      </c>
      <c r="B98" s="5" t="n">
        <v>2043</v>
      </c>
      <c r="C98" s="5" t="n">
        <v>693</v>
      </c>
      <c r="D98" s="5" t="n">
        <v>-22</v>
      </c>
      <c r="E98" s="5" t="n">
        <v>-3</v>
      </c>
      <c r="F98" s="5" t="n">
        <v>170</v>
      </c>
      <c r="G98" s="5" t="n">
        <v>2728</v>
      </c>
      <c r="H98" s="5" t="n">
        <v>5609</v>
      </c>
    </row>
    <row r="99">
      <c r="A99" s="6" t="inlineStr">
        <is>
          <t>Entity basis change: Group to Bank (Company)-solo consolidation, net (per FY2026 Annual Report, s.400/IFRS 10.4 exemption)</t>
        </is>
      </c>
      <c r="B99" s="6" t="n"/>
      <c r="C99" s="6" t="n"/>
      <c r="D99" s="6" t="n"/>
      <c r="E99" s="6" t="n">
        <v>2</v>
      </c>
      <c r="F99" s="6" t="n"/>
      <c r="G99" s="6" t="n">
        <v>-28</v>
      </c>
      <c r="H99" s="6" t="n">
        <v>-26</v>
      </c>
    </row>
    <row r="100">
      <c r="A100" s="5" t="inlineStr">
        <is>
          <t>At 31 March 2025 (restated to Bank-solo basis)</t>
        </is>
      </c>
      <c r="B100" s="5" t="n">
        <v>2043</v>
      </c>
      <c r="C100" s="5" t="n">
        <v>693</v>
      </c>
      <c r="D100" s="5" t="n">
        <v>-22</v>
      </c>
      <c r="E100" s="5" t="n">
        <v>-1</v>
      </c>
      <c r="F100" s="5" t="n">
        <v>170</v>
      </c>
      <c r="G100" s="5" t="n">
        <v>2700</v>
      </c>
      <c r="H100" s="5" t="n">
        <v>5583</v>
      </c>
    </row>
    <row r="101">
      <c r="A101" s="6" t="inlineStr">
        <is>
          <t>Profit for the period</t>
        </is>
      </c>
      <c r="B101" s="6" t="n"/>
      <c r="C101" s="6" t="n"/>
      <c r="D101" s="6" t="n"/>
      <c r="E101" s="6" t="n"/>
      <c r="F101" s="6" t="n"/>
      <c r="G101" s="6" t="n">
        <v>150</v>
      </c>
      <c r="H101" s="6" t="n">
        <v>150</v>
      </c>
    </row>
    <row r="102">
      <c r="A102" s="6" t="inlineStr">
        <is>
          <t>Other comprehensive income/(losses), net of tax</t>
        </is>
      </c>
      <c r="B102" s="6" t="n"/>
      <c r="C102" s="6" t="n"/>
      <c r="D102" s="6" t="n">
        <v>5</v>
      </c>
      <c r="E102" s="6" t="n">
        <v>1</v>
      </c>
      <c r="F102" s="6" t="n">
        <v>-109</v>
      </c>
      <c r="G102" s="6" t="n">
        <v>-10</v>
      </c>
      <c r="H102" s="6" t="n">
        <v>-113</v>
      </c>
    </row>
    <row r="103">
      <c r="A103" s="6" t="inlineStr">
        <is>
          <t>AT1 distributions paid</t>
        </is>
      </c>
      <c r="B103" s="6" t="n"/>
      <c r="C103" s="6" t="n"/>
      <c r="D103" s="6" t="n"/>
      <c r="E103" s="6" t="n"/>
      <c r="F103" s="6" t="n"/>
      <c r="G103" s="6" t="n">
        <v>-77</v>
      </c>
      <c r="H103" s="6" t="n">
        <v>-77</v>
      </c>
    </row>
    <row r="104">
      <c r="A104" s="6" t="inlineStr">
        <is>
          <t>Ordinary shares issued</t>
        </is>
      </c>
      <c r="B104" s="6" t="n">
        <v>285</v>
      </c>
      <c r="C104" s="6" t="n"/>
      <c r="D104" s="6" t="n"/>
      <c r="E104" s="6" t="n"/>
      <c r="F104" s="6" t="n"/>
      <c r="G104" s="6" t="n"/>
      <c r="H104" s="6" t="n">
        <v>285</v>
      </c>
    </row>
    <row r="105">
      <c r="A105" s="6" t="inlineStr">
        <is>
          <t>AT1 issuance</t>
        </is>
      </c>
      <c r="B105" s="6" t="n"/>
      <c r="C105" s="6" t="n">
        <v>520</v>
      </c>
      <c r="D105" s="6" t="n"/>
      <c r="E105" s="6" t="n"/>
      <c r="F105" s="6" t="n"/>
      <c r="G105" s="6" t="n"/>
      <c r="H105" s="6" t="n">
        <v>520</v>
      </c>
    </row>
    <row r="106">
      <c r="A106" s="6" t="inlineStr">
        <is>
          <t>AT1 redemption</t>
        </is>
      </c>
      <c r="B106" s="6" t="n"/>
      <c r="C106" s="6" t="n">
        <v>-515</v>
      </c>
      <c r="D106" s="6" t="n"/>
      <c r="E106" s="6" t="n"/>
      <c r="F106" s="6" t="n"/>
      <c r="G106" s="6" t="n">
        <v>-43</v>
      </c>
      <c r="H106" s="6" t="n">
        <v>-558</v>
      </c>
    </row>
    <row r="107">
      <c r="A107" s="6" t="inlineStr">
        <is>
          <t>Impairment of disposal group assets</t>
        </is>
      </c>
      <c r="B107" s="6" t="n"/>
      <c r="C107" s="6" t="n"/>
      <c r="D107" s="6" t="n"/>
      <c r="E107" s="6" t="n"/>
      <c r="F107" s="6" t="n"/>
      <c r="G107" s="6" t="n">
        <v>-208</v>
      </c>
      <c r="H107" s="6" t="n">
        <v>-208</v>
      </c>
    </row>
    <row r="108">
      <c r="A108" s="5" t="inlineStr">
        <is>
          <t>At 31 March 2026</t>
        </is>
      </c>
      <c r="B108" s="5" t="n">
        <v>2328</v>
      </c>
      <c r="C108" s="5" t="n">
        <v>698</v>
      </c>
      <c r="D108" s="5" t="n">
        <v>-17</v>
      </c>
      <c r="E108" s="5" t="n">
        <v>0</v>
      </c>
      <c r="F108" s="5" t="n">
        <v>61</v>
      </c>
      <c r="G108" s="5" t="n">
        <v>2512</v>
      </c>
      <c r="H108" s="5" t="n">
        <v>5582</v>
      </c>
    </row>
    <row r="110" ht="390" customHeight="1">
      <c r="A110" s="8" t="inlineStr">
        <is>
          <t>Sources - Clydesdale Bank PLC (CB) Group consolidated Balance Sheet / Income Statement / Statement of Comprehensive Income, £m, except FY2026 which is Bank (Company)-solo (see basis note below):
FY2026: Clydesdale Bank PLC 2026 Annual Report and Accounts, p.57-58 (Statement of comprehensive income, Balance sheet) - https://www.virginmoneyukplc.com/downloads/pdf/cb-ara-2026-signed.pdf
FY2025 (18mo): Clydesdale Bank PLC 2025 Annual Report and Accounts, p.108-111 (Consolidated income statement, Consolidated statement of comprehensive income, Balance sheets, Statements of changes in equity) - https://www.virginmoneyukplc.com/downloads/pdf/cb-ara-2025-signed.pdf
FY2023: Clydesdale Bank PLC 2023 Annual report &amp; consolidated financial statements, p.111-114 (Consolidated income statement, Consolidated statement of comprehensive income, Balance sheets, Statements of changes in equity) - https://www.virginmoneyukplc.com/downloads/pdf/cbplc-2023-ar-cfs.pdf
FY2022: Clydesdale Bank PLC 2022 Annual Report and consolidated financial statements, p.114-117 (same statement set) - https://www.virginmoneyukplc.com/downloads/pdf/cbplc-2022-ar-cfs.pdf
FY2021: Clydesdale Bank PLC 2021 Annual report &amp; consolidated financial statements, p.114-118 (same statement set) - https://www.virginmoneyukplc.com/downloads/pdf/cb-ara-2021.pdf
FY2020: Clydesdale Bank PLC 2020 Annual Report and Accounts, p.116-119 (Balance sheets, Statements of changes in equity) - https://www.virginmoneyukplc.com/downloads/pdf/cb-ara-2020.pdf
FY2019: Clydesdale Bank PLC 2019 Annual Report and Accounts, p.94-97 (Balance sheets, Statements of changes in equity) - https://www.virginmoneyukplc.com/downloads/pdf/cb-ara-2019.pdf
FY2018: Clydesdale Bank PLC 2018 Annual Report and Accounts, p.75-78 (Balance sheets, Statements of changes in equity) - https://www.virginmoneyukplc.com/downloads/pdf/cb-ara-2018.pdf
FY2017: Clydesdale Bank PLC 2017 Annual Report and Accounts' FY2017 comparative column, p.76-78 (Balance sheets, Statements of changes in equity, within the FY2018 AR) - https://www.virginmoneyukplc.com/downloads/pdf/cb-ara-2018.pdf
FY2016: Clydesdale Bank PLC 2016 Annual Report and Accounts, p.70-73 (Balance sheets, Statements of changes in equity) - https://www.virginmoneyukplc.com/downloads/pdf/cb-ara-2016.pdf
FY2015: Clydesdale Bank PLC 2016 Annual Report and Accounts' FY2015 comparative column, p.70-73 (within the FY2016 AR) - https://www.virginmoneyukplc.com/downloads/pdf/cb-ara-2016.pdf
FY2014: Clydesdale Bank PLC 2014 Annual Report and Accounts, p.30-33 (Balance sheet recovered via OCR - see historical sourcing note; income statement typeset) - https://www.virginmoneyukplc.com/downloads/pdf/cb-ara-2014.pdf
FY2013: Clydesdale Bank PLC Annual report and consolidated financial statements for the year ended 30 September 2013, p.27-31 (Consolidated income statement, Statements of comprehensive income, Balance sheets, Statements of changes in equity) - https://find-and-update.company-information.service.gov.uk/company/SC001111/filing-history/MzA4OTI2NzU1N2FkaXF6a2N4/document?format=pdf&amp;download=0
FY2012: same FY2013 filing's FY2012 comparative column, p.27-31 - https://find-and-update.company-information.service.gov.uk/company/SC001111/filing-history/MzA4OTI2NzU1N2FkaXF6a2N4/document?format=pdf&amp;download=0
FY2011: Clydesdale Bank PLC Annual Report &amp; Consolidated Financial Statements 30 September 2011, p.19-23 (Consolidated Income Statement, Statements of Comprehensive Income, Balance Sheets, Statement of Changes in Equity) - https://find-and-update.company-information.service.gov.uk/company/SC001111/filing-history/MzA0NzM2MDEyOWFkaXF6a2N4/document?format=pdf&amp;download=0
FY2010: same FY2011 filing's FY2010 comparative column, p.19-23 - https://find-and-update.company-information.service.gov.uk/company/SC001111/filing-history/MzA0NzM2MDEyOWFkaXF6a2N4/document?format=pdf&amp;download=0; cross-checked against FY2010's own Annual Report and Consolidated Financial Statements for the year ended 30 September 2010, p.21-24 (own-year figures used - see FY2010 RESTATEMENT NOTE below) - https://find-and-update.company-information.service.gov.uk/company/SC001111/filing-history/MzAyNzcxMTEzMGFkaXF6a2N4/document?format=pdf&amp;download=0
FY2009: FY2010 Annual Report's FY2009 comparative column, p.21-24 - https://find-and-update.company-information.service.gov.uk/company/SC001111/filing-history/MzAyNzcxMTEzMGFkaXF6a2N4/document?format=pdf&amp;download=0
FY2010 RESTATEMENT NOTE: the FY2010 Annual Report's own Consolidated Income Statement shows 'Other operating income' of £225m and 'Total operating income' of £1,136m for FY2010; the following year's FY2011 Annual Report's FY2010 comparative column instead shows £228m and £1,139m for the same lines (a £3m difference, unexplained in either document). This sheet uses FY2010's own as-originally-filed figures (£225m / £1,136m), consistent with this project's convention of using each year's own originally-published figures rather than a later restated comparative; the Balance Sheet and Cash Flow Statement for FY2010 are identical between both filings (no restatement affects those statements).</t>
        </is>
      </c>
    </row>
    <row r="112" ht="340" customHeight="1">
      <c r="A112" s="8" t="inlineStr">
        <is>
          <t>(continued)
PRESENTATION NOTE: the income statement's line-item structure changed between vintages - FY2021-FY2023 report 'Gains less losses on financial instruments at fair value' + 'Other operating income' netted into a single 'Non-interest income' subtotal with no separate Fee and commission income/expense lines; FY2025-FY2026 introduce explicit Fee and commission income/expense and Gains/(losses) from derivatives and hedge accounting lines instead. Both are shown as reported, not forced onto one basis. FY2026's Statement of comprehensive income splits Continuing/Discontinued operations (following the Part VII transfer); this workbook uses the combined Total column throughout, consistent with earlier years which do not split operations. FY2026's Other comprehensive income is shown only as a single total (not split into reclassifiable/non-reclassifiable sub-totals as in other years) since the FY2026 accounts do not disclose that split. A genuine cross-statement inconsistency: the FY2025 Annual Report's own P&amp;L discloses FY2025's Total comprehensive loss as £(343)m, while its own Statement of changes in equity (Group basis) shows the same period's total comprehensive movement summing to £(331)m (a £12m difference not explained in the source document) - both figures are reproduced as disclosed on their respective sheets (P&amp;L and Statement of Changes in Equity), not reconciled.
BASIS NOTE: Balance Sheet/P&amp;L figures for FY2021-FY2025 are CB Group consolidated (matching the Cash Flow Statement's own basis); each year's own originally-published figures are used, not a later restated comparative (e.g. FY2023's own 2023 Annual Report column, not the restated FY2023 comparative shown in the FY2025 report). FY2026 is a genuine entity-basis change: following the Part VII transfer of substantially all of the Bank's business to Nationwide, the FY2026 Annual Report states the Bank 'has not prepared consolidated financial statements' (relying on the Section 400 Companies Act / IFRS 10.4 exemption, since results are now included in Nationwide's own consolidated accounts) - https://www.virginmoneyukplc.com/downloads/pdf/cb-ara-2026-signed.pdf. FY2026's Balance Sheet/P&amp;L/RWA figures are therefore Bank (Company)-solo, not Group consolidated - the last comparable Group figure is FY2025.
HD-047 HISTORICAL SOURCING NOTE (FY2014-FY2020): all figures on this sheet for these years are transcribed from Clydesdale Bank PLC's own entity-level Annual Report and Accounts for that year, each year's own originally-published figures (not a later restated comparative), Group consolidated basis throughout. FY2015, FY2017 and FY2019 P&amp;L/OCI figures were read from that year's own comparative column inside the FOLLOWING year's Annual Report (e.g. FY2015 from the FY2016 AR) where that gave a cleaner typeset extraction than the year's own PDF; FY2014, FY2016, FY2018 and FY2020 are each read from that year's own AR directly. The FY2014 Balance Sheet was recovered via OCR (Tesseract) since that one page of the source PDF is an embedded image with no text layer - cross-checked against the FY2014 Statement of Changes in Equity's independently-typeset closing balances, which tie out exactly, so OCR misreads are not believed to affect any figure used here. Clydesdale Bank PLC was wholly owned by National Australia Bank through the Feb 2016 CYBG plc demerger, then part of CYBG plc (renamed Virgin Money UK PLC in Oct 2019 following the Oct 2018 Virgin Money Holdings (UK) PLC acquisition) - throughout, Clydesdale Bank PLC continued publishing its own entity-level statutory accounts, which is what is used here, not the parent group's consolidated accounts.</t>
        </is>
      </c>
    </row>
    <row r="114" ht="351" customHeight="1">
      <c r="A114" s="8" t="inlineStr">
        <is>
          <t>(continued)
HD-073 (2026-09-06) HISTORICAL SOURCING NOTE (FY2009-FY2013): all figures on this sheet for these years are transcribed from Clydesdale Bank PLC's own Group consolidated statutory accounts as filed at Companies House (company number SC001111) - the same entity-level accounts used for FY2014-FY2020 above, sourced directly from Companies House rather than virginmoneyukplc.com since that site does not host filings this old. FY2013 and FY2012 are read from the 'Annual report and consolidated financial statements for the year ended 30 September 2013' (FY2013 own-year column and FY2012 comparative column respectively) - https://find-and-update.company-information.service.gov.uk/company/SC001111/filing-history/MzA4OTI2NzU1N2FkaXF6a2N4/document?format=pdf&amp;download=0. FY2011 and FY2010 are read from the 'Annual Report &amp; Consolidated Financial Statements 30 September 2011' (FY2011 own-year column and FY2010 comparative column) - https://find-and-update.company-information.service.gov.uk/company/SC001111/filing-history/MzA0NzM2MDEyOWFkaXF6a2N4/document?format=pdf&amp;download=0. FY2009 is read from the 'Annual Report and Consolidated Financial Statements for the year ended 30 September 2010' FY2009 comparative column (a standalone FY2009 filing was not separately re-verified since the FY2010 filing reproduces FY2009's own figures as its comparative) - https://find-and-update.company-information.service.gov.uk/company/SC001111/filing-history/MzAyNzcxMTEzMGFkaXF6a2N4/document?format=pdf&amp;download=0. All figures are Group (consolidated) basis, £m, each year's own as-originally-filed presentation (own-year column preferred over a later comparative wherever both were available and did not tie out exactly - see the Profit &amp; Loss sheet's own note on one confirmed FY2010 restatement). Balance Sheet, Profit &amp; Loss and Cash Flow Statement totals for FY2009-FY2013 all reconcile to the source documents' own printed subtotals; the Statement of Changes in Equity's per-column reserve splits for FY2009-FY2010 are reconstructed from a lower-resolution scan of the filed roll-forward table and may be off by a pound or two within a row, but every closing TOTAL EQUITY balance ties exactly to the corresponding year's own Balance Sheet 'Total equity' figure, which is the authoritative anchor.
EQUITY COLUMN NOTE (FY2014-FY2020): the 'Other reserves' column combines several reserve types that were tracked as separate line items in the FY2014-2020 Annual Reports but consolidate into a single immaterial residual by FY2021 - principally the Merger reserve (capitalised/extinguished by FY2016), Asset revaluation reserve, Capital contribution reserve (large NAB-era capital injections/returns, e.g. +£357m in FY2015-16, -£364m in FY2017-18), Share option reserve, and the temporary non-controlling interest arising from AT1 capital notes held by the immediate parent around the Oct 2018 Virgin Money Holdings (UK) PLC acquisition (+£422m, fully redeemed within FY2019). All closing-balance TOTAL rows tie exactly to each year's own Annual Report Balance Sheet and Statement of Changes in Equity; movement rows group smaller items (e.g. share-based compensation settlements, reserve transfers) into a single 'net' line per year rather than reproducing every sub-£5m entry, since the full detail is out of proportion to this ticket - the FY2020 closing balance reconciles exactly to the pre-existing FY2021 opening balance below, confirming no rounding error was introduced. See STATEMENTS_SOURCES below for exact page citations per year.
EQUITY COLUMN NOTE (FY2009-FY2013, HD-073): the FY2009-2012 opening/closing TOTAL rows and 'Profit/(loss) for the year' rows are transcribed directly from each year's own Statement of Changes in Equity; every other movement in a given year (OCI reserve movements, dividends, share issuances, share option grants and settlements) is combined into a single 'Other equity movements, net' line per year, following the same documented convention as the FY2014-2020 note above. This is a deliberate simplification, not a data gap: each year's combined line is computed as that year's own closing TOTAL minus its own opening TOTAL minus the separately-shown profit/(loss) line, so every closing balance below ties exactly to the corresponding year's own Balance Sheet 'Total equity' figure (independently confirmed for all 5 years: FY2009 £2,250m, FY2010 £2,547m, FY2011 £2,879m, FY2012 £2,604m, FY2013 £2,410m - the last of which was already the pre-existing FY2014-cap opening anchor and is unchanged by this extension). FY2013's own movement rows (previously absent, since FY2013 only served as an anchor for FY2014's opening balance before this extension) are added on the same basis.</t>
        </is>
      </c>
    </row>
  </sheetData>
  <mergeCells count="3">
    <mergeCell ref="A110:H110"/>
    <mergeCell ref="A114:H114"/>
    <mergeCell ref="A112:H1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Clydesdale Bank PLC — Consolidated Cash Flow Statement</t>
        </is>
      </c>
    </row>
    <row r="2">
      <c r="A2" s="2" t="inlineStr">
        <is>
          <t>Clydesdale Bank (CB) Group (consolidated basis), £m unless stated. FY2026 states the FRS 101 / IAS 7 cash-flow exemption in place of figures - see source note at bottom.</t>
        </is>
      </c>
    </row>
    <row r="3">
      <c r="A3" s="4" t="inlineStr">
        <is>
          <t>Line item</t>
        </is>
      </c>
      <c r="B3" s="4" t="inlineStr">
        <is>
          <t>FY2026 (£m)</t>
        </is>
      </c>
      <c r="C3" s="4" t="inlineStr">
        <is>
          <t>FY2025 (18mo)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c r="Q3" s="4" t="inlineStr">
        <is>
          <t>FY2010 (£m)</t>
        </is>
      </c>
      <c r="R3" s="4" t="inlineStr">
        <is>
          <t>FY2009 (£m)</t>
        </is>
      </c>
    </row>
    <row r="4">
      <c r="A4" s="5" t="inlineStr">
        <is>
          <t>FY2026 — no Cash Flow Statement is published; FRS 101 was adopted this year and the IAS 7 exemption taken (see note below)</t>
        </is>
      </c>
      <c r="B4" s="6" t="n"/>
      <c r="C4" s="6" t="n"/>
      <c r="D4" s="6" t="n"/>
      <c r="E4" s="6" t="n"/>
      <c r="F4" s="6" t="n"/>
      <c r="G4" s="6" t="n"/>
      <c r="H4" s="6" t="n"/>
      <c r="I4" s="6" t="n"/>
      <c r="J4" s="6" t="n"/>
      <c r="K4" s="6" t="n"/>
      <c r="L4" s="6" t="n"/>
      <c r="M4" s="6" t="n"/>
      <c r="N4" s="6" t="n"/>
      <c r="O4" s="6" t="n"/>
      <c r="P4" s="6" t="n"/>
      <c r="Q4" s="6" t="n"/>
      <c r="R4" s="6" t="n"/>
    </row>
    <row r="5">
      <c r="A5" s="6" t="inlineStr">
        <is>
          <t>Statement of Cash Flows for the year</t>
        </is>
      </c>
      <c r="B5" s="6" t="inlineStr">
        <is>
          <t>Not published - FRS reduced-disclosure framework adopted this year; cash-flow exemption taken (see note)</t>
        </is>
      </c>
      <c r="C5" s="6" t="n"/>
      <c r="D5" s="6" t="n"/>
      <c r="E5" s="6" t="n"/>
      <c r="F5" s="6" t="n"/>
      <c r="G5" s="6" t="n"/>
      <c r="H5" s="6" t="n"/>
      <c r="I5" s="6" t="n"/>
      <c r="J5" s="6" t="n"/>
      <c r="K5" s="6" t="n"/>
      <c r="L5" s="6" t="n"/>
      <c r="M5" s="6" t="n"/>
      <c r="N5" s="6" t="n"/>
      <c r="O5" s="6" t="n"/>
      <c r="P5" s="6" t="n"/>
      <c r="Q5" s="6" t="n"/>
      <c r="R5" s="6" t="n"/>
    </row>
    <row r="6">
      <c r="A6" s="5" t="inlineStr">
        <is>
          <t>Operating activities</t>
        </is>
      </c>
      <c r="B6" s="6" t="n"/>
      <c r="C6" s="6" t="n"/>
      <c r="D6" s="6" t="n"/>
      <c r="E6" s="6" t="n"/>
      <c r="F6" s="6" t="n"/>
      <c r="G6" s="6" t="n"/>
      <c r="H6" s="6" t="n"/>
      <c r="I6" s="6" t="n"/>
      <c r="J6" s="6" t="n"/>
      <c r="K6" s="6" t="n"/>
      <c r="L6" s="6" t="n"/>
      <c r="M6" s="6" t="n"/>
      <c r="N6" s="6" t="n"/>
      <c r="O6" s="6" t="n"/>
      <c r="P6" s="6" t="n"/>
      <c r="Q6" s="6" t="n"/>
      <c r="R6" s="6" t="n"/>
    </row>
    <row r="7">
      <c r="A7" s="6" t="inlineStr">
        <is>
          <t>Profit on ordinary activities before tax</t>
        </is>
      </c>
      <c r="B7" s="6" t="n"/>
      <c r="C7" s="6" t="n">
        <v>186</v>
      </c>
      <c r="D7" s="6" t="n">
        <v>344</v>
      </c>
      <c r="E7" s="6" t="n">
        <v>590</v>
      </c>
      <c r="F7" s="6" t="n">
        <v>416</v>
      </c>
      <c r="G7" s="6" t="n">
        <v>-173</v>
      </c>
      <c r="H7" s="6" t="n">
        <v>-182</v>
      </c>
      <c r="I7" s="6" t="n">
        <v>-276</v>
      </c>
      <c r="J7" s="6" t="n">
        <v>-261</v>
      </c>
      <c r="K7" s="6" t="n">
        <v>-352</v>
      </c>
      <c r="L7" s="6" t="n">
        <v>-308</v>
      </c>
      <c r="M7" s="6" t="n">
        <v>-216</v>
      </c>
      <c r="N7" s="6" t="n">
        <v>-33</v>
      </c>
      <c r="O7" s="6" t="n">
        <v>-614</v>
      </c>
      <c r="P7" s="6" t="n">
        <v>21</v>
      </c>
      <c r="Q7" s="6" t="n">
        <v>49</v>
      </c>
      <c r="R7" s="6" t="n">
        <v>48</v>
      </c>
    </row>
    <row r="8">
      <c r="A8" s="6" t="inlineStr">
        <is>
          <t>Non-cash or non-operating items included in profit before tax</t>
        </is>
      </c>
      <c r="B8" s="6" t="n"/>
      <c r="C8" s="6" t="n">
        <v>368</v>
      </c>
      <c r="D8" s="6" t="n">
        <v>-1203</v>
      </c>
      <c r="E8" s="6" t="n">
        <v>-1306</v>
      </c>
      <c r="F8" s="6" t="n">
        <v>-1221</v>
      </c>
      <c r="G8" s="6" t="n">
        <v>-544</v>
      </c>
      <c r="H8" s="6" t="n">
        <v>-935</v>
      </c>
      <c r="I8" s="6" t="n">
        <v>-761</v>
      </c>
      <c r="J8" s="6" t="n">
        <v>-735</v>
      </c>
      <c r="K8" s="6" t="n">
        <v>-644</v>
      </c>
      <c r="L8" s="6" t="n">
        <v>-721</v>
      </c>
      <c r="M8" s="6" t="n">
        <v>-696</v>
      </c>
      <c r="N8" s="6" t="n">
        <v>-583</v>
      </c>
      <c r="O8" s="6" t="n">
        <v>-136</v>
      </c>
      <c r="P8" s="6" t="n">
        <v>-630</v>
      </c>
      <c r="Q8" s="6" t="n">
        <v>-690</v>
      </c>
      <c r="R8" s="6" t="n">
        <v>-685</v>
      </c>
    </row>
    <row r="9">
      <c r="A9" s="6" t="inlineStr">
        <is>
          <t>Changes in operating assets</t>
        </is>
      </c>
      <c r="B9" s="6" t="n"/>
      <c r="C9" s="6" t="n"/>
      <c r="D9" s="6" t="n">
        <v>-551</v>
      </c>
      <c r="E9" s="6" t="n">
        <v>1213</v>
      </c>
      <c r="F9" s="6" t="n">
        <v>819</v>
      </c>
      <c r="G9" s="6" t="n">
        <v>-102</v>
      </c>
      <c r="H9" s="6" t="n">
        <v>-2350</v>
      </c>
      <c r="I9" s="6" t="n">
        <v>-1423</v>
      </c>
      <c r="J9" s="6" t="n">
        <v>-1497</v>
      </c>
      <c r="K9" s="6" t="n">
        <v>-2279</v>
      </c>
      <c r="L9" s="6" t="n">
        <v>-1837</v>
      </c>
      <c r="M9" s="6" t="n">
        <v>-1191</v>
      </c>
      <c r="N9" s="6" t="n">
        <v>6129</v>
      </c>
      <c r="O9" s="6" t="n">
        <v>463</v>
      </c>
      <c r="P9" s="6" t="n">
        <v>-1304</v>
      </c>
      <c r="Q9" s="6" t="n">
        <v>1119</v>
      </c>
      <c r="R9" s="6" t="n">
        <v>-498</v>
      </c>
    </row>
    <row r="10">
      <c r="A10" s="6" t="inlineStr">
        <is>
          <t>Changes in operating liabilities</t>
        </is>
      </c>
      <c r="B10" s="6" t="n"/>
      <c r="C10" s="6" t="n"/>
      <c r="D10" s="6" t="n">
        <v>284</v>
      </c>
      <c r="E10" s="6" t="n">
        <v>-240</v>
      </c>
      <c r="F10" s="6" t="n">
        <v>-1026</v>
      </c>
      <c r="G10" s="6" t="n">
        <v>1878</v>
      </c>
      <c r="H10" s="6" t="n">
        <v>2662</v>
      </c>
      <c r="I10" s="6" t="n">
        <v>-122</v>
      </c>
      <c r="J10" s="6" t="n">
        <v>917</v>
      </c>
      <c r="K10" s="6" t="n">
        <v>1585</v>
      </c>
      <c r="L10" s="6" t="n">
        <v>2021</v>
      </c>
      <c r="M10" s="6" t="n">
        <v>563</v>
      </c>
      <c r="N10" s="6" t="n">
        <v>-2657</v>
      </c>
      <c r="O10" s="6" t="n">
        <v>-2172</v>
      </c>
      <c r="P10" s="6" t="n">
        <v>32</v>
      </c>
      <c r="Q10" s="6" t="n">
        <v>1380</v>
      </c>
      <c r="R10" s="6" t="n">
        <v>2128</v>
      </c>
    </row>
    <row r="11">
      <c r="A11" s="6" t="inlineStr">
        <is>
          <t>Changes in operating assets and liabilities (combined, as reported)</t>
        </is>
      </c>
      <c r="B11" s="6" t="n"/>
      <c r="C11" s="6" t="n">
        <v>-1738</v>
      </c>
      <c r="D11" s="6" t="n"/>
      <c r="E11" s="6" t="n"/>
      <c r="F11" s="6" t="n"/>
      <c r="G11" s="6" t="n"/>
      <c r="H11" s="6" t="n"/>
      <c r="I11" s="6" t="n"/>
      <c r="J11" s="6" t="n"/>
      <c r="K11" s="6" t="n"/>
      <c r="L11" s="6" t="n"/>
      <c r="M11" s="6" t="n"/>
      <c r="N11" s="6" t="n"/>
      <c r="O11" s="6" t="n"/>
      <c r="P11" s="6" t="n"/>
      <c r="Q11" s="6" t="n"/>
      <c r="R11" s="6" t="n"/>
    </row>
    <row r="12">
      <c r="A12" s="6" t="inlineStr">
        <is>
          <t>Payments for short-term and low value leases</t>
        </is>
      </c>
      <c r="B12" s="6" t="n"/>
      <c r="C12" s="6" t="n"/>
      <c r="D12" s="6" t="n">
        <v>-3</v>
      </c>
      <c r="E12" s="6" t="n">
        <v>-2</v>
      </c>
      <c r="F12" s="6" t="n">
        <v>-1</v>
      </c>
      <c r="G12" s="6" t="n">
        <v>-2</v>
      </c>
      <c r="H12" s="6" t="n"/>
      <c r="I12" s="6" t="n"/>
      <c r="J12" s="6" t="n"/>
      <c r="K12" s="6" t="n"/>
      <c r="L12" s="6" t="n"/>
      <c r="M12" s="6" t="n"/>
      <c r="N12" s="6" t="n"/>
      <c r="O12" s="6" t="n"/>
      <c r="P12" s="6" t="n"/>
      <c r="Q12" s="6" t="n"/>
      <c r="R12" s="6" t="n"/>
    </row>
    <row r="13">
      <c r="A13" s="6" t="inlineStr">
        <is>
          <t>Interest received (operating)</t>
        </is>
      </c>
      <c r="B13" s="6" t="n"/>
      <c r="C13" s="6" t="n"/>
      <c r="D13" s="6" t="n">
        <v>3300</v>
      </c>
      <c r="E13" s="6" t="n">
        <v>2112</v>
      </c>
      <c r="F13" s="6" t="n">
        <v>2088</v>
      </c>
      <c r="G13" s="6" t="n">
        <v>2151</v>
      </c>
      <c r="H13" s="6" t="n">
        <v>2320</v>
      </c>
      <c r="I13" s="6" t="n">
        <v>1108</v>
      </c>
      <c r="J13" s="6" t="n">
        <v>1124</v>
      </c>
      <c r="K13" s="6" t="n">
        <v>1101</v>
      </c>
      <c r="L13" s="6" t="n">
        <v>1257</v>
      </c>
      <c r="M13" s="6" t="n">
        <v>1134</v>
      </c>
      <c r="N13" s="6" t="n">
        <v>1213</v>
      </c>
      <c r="O13" s="6" t="n">
        <v>1563</v>
      </c>
      <c r="P13" s="6" t="n">
        <v>1649</v>
      </c>
      <c r="Q13" s="6" t="n">
        <v>1070</v>
      </c>
      <c r="R13" s="6" t="n">
        <v>2017</v>
      </c>
    </row>
    <row r="14">
      <c r="A14" s="6" t="inlineStr">
        <is>
          <t>Interest paid (operating)</t>
        </is>
      </c>
      <c r="B14" s="6" t="n"/>
      <c r="C14" s="6" t="n"/>
      <c r="D14" s="6" t="n">
        <v>-1173</v>
      </c>
      <c r="E14" s="6" t="n">
        <v>-378</v>
      </c>
      <c r="F14" s="6" t="n">
        <v>-461</v>
      </c>
      <c r="G14" s="6" t="n">
        <v>-790</v>
      </c>
      <c r="H14" s="6" t="n">
        <v>-808</v>
      </c>
      <c r="I14" s="6" t="n">
        <v>-169</v>
      </c>
      <c r="J14" s="6" t="n">
        <v>-260</v>
      </c>
      <c r="K14" s="6" t="n">
        <v>-198</v>
      </c>
      <c r="L14" s="6" t="n">
        <v>-432</v>
      </c>
      <c r="M14" s="6" t="n">
        <v>-257</v>
      </c>
      <c r="N14" s="6" t="n">
        <v>-317</v>
      </c>
      <c r="O14" s="6" t="n">
        <v>-451</v>
      </c>
      <c r="P14" s="6" t="n">
        <v>-553</v>
      </c>
      <c r="Q14" s="6" t="n">
        <v>-134</v>
      </c>
      <c r="R14" s="6" t="n">
        <v>-758</v>
      </c>
    </row>
    <row r="15">
      <c r="A15" s="6" t="inlineStr">
        <is>
          <t>Tax paid including group relief</t>
        </is>
      </c>
      <c r="B15" s="6" t="n"/>
      <c r="C15" s="6" t="n">
        <v>-37</v>
      </c>
      <c r="D15" s="6" t="n">
        <v>-50</v>
      </c>
      <c r="E15" s="6" t="n">
        <v>-59</v>
      </c>
      <c r="F15" s="6" t="n">
        <v>-32</v>
      </c>
      <c r="G15" s="6" t="n">
        <v>-15</v>
      </c>
      <c r="H15" s="6" t="n">
        <v>-8</v>
      </c>
      <c r="I15" s="6" t="n">
        <v>-1</v>
      </c>
      <c r="J15" s="6" t="n">
        <v>-8</v>
      </c>
      <c r="K15" s="6" t="n">
        <v>5</v>
      </c>
      <c r="L15" s="6" t="n">
        <v>-4</v>
      </c>
      <c r="M15" s="6" t="n">
        <v>34</v>
      </c>
      <c r="N15" s="6" t="n">
        <v>50</v>
      </c>
      <c r="O15" s="6" t="n">
        <v>4</v>
      </c>
      <c r="P15" s="6" t="n">
        <v>-13</v>
      </c>
      <c r="Q15" s="6" t="n">
        <v>-10</v>
      </c>
      <c r="R15" s="6" t="n">
        <v>13</v>
      </c>
    </row>
    <row r="16">
      <c r="A16" s="5" t="inlineStr">
        <is>
          <t>Net cash provided by/(used in) operating activities</t>
        </is>
      </c>
      <c r="B16" s="5" t="n"/>
      <c r="C16" s="5" t="n">
        <v>-1221</v>
      </c>
      <c r="D16" s="5" t="n">
        <v>948</v>
      </c>
      <c r="E16" s="5" t="n">
        <v>1930</v>
      </c>
      <c r="F16" s="5" t="n">
        <v>582</v>
      </c>
      <c r="G16" s="5" t="n">
        <v>2403</v>
      </c>
      <c r="H16" s="5" t="n">
        <v>699</v>
      </c>
      <c r="I16" s="5" t="n">
        <v>-1644</v>
      </c>
      <c r="J16" s="5" t="n">
        <v>-720</v>
      </c>
      <c r="K16" s="5" t="n">
        <v>-782</v>
      </c>
      <c r="L16" s="5" t="n">
        <v>-24</v>
      </c>
      <c r="M16" s="5" t="n">
        <v>-629</v>
      </c>
      <c r="N16" s="5" t="n">
        <v>3802</v>
      </c>
      <c r="O16" s="5" t="n">
        <v>-1343</v>
      </c>
      <c r="P16" s="5" t="n">
        <v>-798</v>
      </c>
      <c r="Q16" s="5" t="n">
        <v>2784</v>
      </c>
      <c r="R16" s="5" t="n">
        <v>2265</v>
      </c>
    </row>
    <row r="17">
      <c r="A17" s="5" t="inlineStr">
        <is>
          <t>Investing activities</t>
        </is>
      </c>
      <c r="B17" s="6" t="n"/>
      <c r="C17" s="6" t="n"/>
      <c r="D17" s="6" t="n"/>
      <c r="E17" s="6" t="n"/>
      <c r="F17" s="6" t="n"/>
      <c r="G17" s="6" t="n"/>
      <c r="H17" s="6" t="n"/>
      <c r="I17" s="6" t="n"/>
      <c r="J17" s="6" t="n"/>
      <c r="K17" s="6" t="n"/>
      <c r="L17" s="6" t="n"/>
      <c r="M17" s="6" t="n"/>
      <c r="N17" s="6" t="n"/>
      <c r="O17" s="6" t="n"/>
      <c r="P17" s="6" t="n"/>
      <c r="Q17" s="6" t="n"/>
      <c r="R17" s="6" t="n"/>
    </row>
    <row r="18">
      <c r="A18" s="6" t="inlineStr">
        <is>
          <t>Interest received (investing)</t>
        </is>
      </c>
      <c r="B18" s="6" t="n"/>
      <c r="C18" s="6" t="n"/>
      <c r="D18" s="6" t="n">
        <v>232</v>
      </c>
      <c r="E18" s="6" t="n">
        <v>47</v>
      </c>
      <c r="F18" s="6" t="n">
        <v>19</v>
      </c>
      <c r="G18" s="6" t="n">
        <v>35</v>
      </c>
      <c r="H18" s="6" t="n">
        <v>28</v>
      </c>
      <c r="I18" s="6" t="n">
        <v>12</v>
      </c>
      <c r="J18" s="6" t="n">
        <v>12</v>
      </c>
      <c r="K18" s="6" t="n">
        <v>11</v>
      </c>
      <c r="L18" s="6" t="n">
        <v>8</v>
      </c>
      <c r="M18" s="6" t="n">
        <v>8</v>
      </c>
      <c r="N18" s="6" t="n">
        <v>8</v>
      </c>
      <c r="O18" s="6" t="n">
        <v>12</v>
      </c>
      <c r="P18" s="6" t="n">
        <v>25</v>
      </c>
      <c r="Q18" s="6" t="n">
        <v>26</v>
      </c>
      <c r="R18" s="6" t="n">
        <v>45</v>
      </c>
    </row>
    <row r="19">
      <c r="A19" s="6" t="inlineStr">
        <is>
          <t>Proceeds from maturity of financial instruments at FVOCI</t>
        </is>
      </c>
      <c r="B19" s="6" t="n"/>
      <c r="C19" s="6" t="n"/>
      <c r="D19" s="6" t="n"/>
      <c r="E19" s="6" t="n">
        <v>479</v>
      </c>
      <c r="F19" s="6" t="n">
        <v>1079</v>
      </c>
      <c r="G19" s="6" t="n">
        <v>1568</v>
      </c>
      <c r="H19" s="6" t="n">
        <v>659</v>
      </c>
      <c r="I19" s="6" t="n"/>
      <c r="J19" s="6" t="n"/>
      <c r="K19" s="6" t="n"/>
      <c r="L19" s="6" t="n"/>
      <c r="M19" s="6" t="n"/>
      <c r="N19" s="6" t="n"/>
      <c r="O19" s="6" t="n"/>
      <c r="P19" s="6" t="n"/>
      <c r="Q19" s="6" t="n"/>
      <c r="R19" s="6" t="n"/>
    </row>
    <row r="20">
      <c r="A20" s="6" t="inlineStr">
        <is>
          <t>Proceeds from sale of financial assets at FVOCI</t>
        </is>
      </c>
      <c r="B20" s="6" t="n"/>
      <c r="C20" s="6" t="n"/>
      <c r="D20" s="6" t="n"/>
      <c r="E20" s="6" t="n">
        <v>194</v>
      </c>
      <c r="F20" s="6" t="n"/>
      <c r="G20" s="6" t="n">
        <v>587</v>
      </c>
      <c r="H20" s="6" t="n">
        <v>352</v>
      </c>
      <c r="I20" s="6" t="n"/>
      <c r="J20" s="6" t="n"/>
      <c r="K20" s="6" t="n"/>
      <c r="L20" s="6" t="n"/>
      <c r="M20" s="6" t="n"/>
      <c r="N20" s="6" t="n"/>
      <c r="O20" s="6" t="n"/>
      <c r="P20" s="6" t="n"/>
      <c r="Q20" s="6" t="n"/>
      <c r="R20" s="6" t="n"/>
    </row>
    <row r="21">
      <c r="A21" s="6" t="inlineStr">
        <is>
          <t>Proceeds from sale and maturity of financial instruments at FVOCI (combined, as reported)</t>
        </is>
      </c>
      <c r="B21" s="6" t="n"/>
      <c r="C21" s="6" t="n">
        <v>2266</v>
      </c>
      <c r="D21" s="6" t="n">
        <v>1868</v>
      </c>
      <c r="E21" s="6" t="n"/>
      <c r="F21" s="6" t="n"/>
      <c r="G21" s="6" t="n"/>
      <c r="H21" s="6" t="n"/>
      <c r="I21" s="6" t="n"/>
      <c r="J21" s="6" t="n"/>
      <c r="K21" s="6" t="n"/>
      <c r="L21" s="6" t="n"/>
      <c r="M21" s="6" t="n"/>
      <c r="N21" s="6" t="n"/>
      <c r="O21" s="6" t="n"/>
      <c r="P21" s="6" t="n"/>
      <c r="Q21" s="6" t="n"/>
      <c r="R21" s="6" t="n"/>
    </row>
    <row r="22">
      <c r="A22" s="6" t="inlineStr">
        <is>
          <t>Purchase of financial assets at FVOCI</t>
        </is>
      </c>
      <c r="B22" s="6" t="n"/>
      <c r="C22" s="6" t="n">
        <v>-2198</v>
      </c>
      <c r="D22" s="6" t="n">
        <v>-2950</v>
      </c>
      <c r="E22" s="6" t="n">
        <v>-2019</v>
      </c>
      <c r="F22" s="6" t="n">
        <v>-521</v>
      </c>
      <c r="G22" s="6" t="n">
        <v>-2838</v>
      </c>
      <c r="H22" s="6" t="n">
        <v>-1647</v>
      </c>
      <c r="I22" s="6" t="n"/>
      <c r="J22" s="6" t="n"/>
      <c r="K22" s="6" t="n"/>
      <c r="L22" s="6" t="n"/>
      <c r="M22" s="6" t="n"/>
      <c r="N22" s="6" t="n"/>
      <c r="O22" s="6" t="n"/>
      <c r="P22" s="6" t="n"/>
      <c r="Q22" s="6" t="n"/>
      <c r="R22" s="6" t="n"/>
    </row>
    <row r="23">
      <c r="A23" s="6" t="inlineStr">
        <is>
          <t>Proceeds from/(purchase of) financial assets available for sale (pre-IFRS 9)</t>
        </is>
      </c>
      <c r="B23" s="6" t="n"/>
      <c r="C23" s="6" t="n"/>
      <c r="D23" s="6" t="n"/>
      <c r="E23" s="6" t="n"/>
      <c r="F23" s="6" t="n"/>
      <c r="G23" s="6" t="n"/>
      <c r="H23" s="6" t="n"/>
      <c r="I23" s="6" t="n">
        <v>822</v>
      </c>
      <c r="J23" s="6" t="n">
        <v>60</v>
      </c>
      <c r="K23" s="6" t="n">
        <v>56</v>
      </c>
      <c r="L23" s="6" t="n">
        <v>0</v>
      </c>
      <c r="M23" s="6" t="n"/>
      <c r="N23" s="6" t="n"/>
      <c r="O23" s="6" t="n"/>
      <c r="P23" s="6" t="n"/>
      <c r="Q23" s="6" t="n"/>
      <c r="R23" s="6" t="n"/>
    </row>
    <row r="24">
      <c r="A24" s="6" t="inlineStr">
        <is>
          <t>Purchase of financial assets available for sale (pre-IFRS 9)</t>
        </is>
      </c>
      <c r="B24" s="6" t="n"/>
      <c r="C24" s="6" t="n"/>
      <c r="D24" s="6" t="n"/>
      <c r="E24" s="6" t="n"/>
      <c r="F24" s="6" t="n"/>
      <c r="G24" s="6" t="n"/>
      <c r="H24" s="6" t="n"/>
      <c r="I24" s="6" t="n">
        <v>-593</v>
      </c>
      <c r="J24" s="6" t="n">
        <v>-492</v>
      </c>
      <c r="K24" s="6" t="n">
        <v>-357</v>
      </c>
      <c r="L24" s="6" t="n">
        <v>-269</v>
      </c>
      <c r="M24" s="6" t="n">
        <v>-251</v>
      </c>
      <c r="N24" s="6" t="n">
        <v>-50</v>
      </c>
      <c r="O24" s="6" t="n"/>
      <c r="P24" s="6" t="n"/>
      <c r="Q24" s="6" t="n">
        <v>-735</v>
      </c>
      <c r="R24" s="6" t="n">
        <v>-1508</v>
      </c>
    </row>
    <row r="25">
      <c r="A25" s="6" t="inlineStr">
        <is>
          <t>Proceeds from maturity of investments (pre-IFRS 9)</t>
        </is>
      </c>
      <c r="B25" s="6" t="n"/>
      <c r="C25" s="6" t="n"/>
      <c r="D25" s="6" t="n"/>
      <c r="E25" s="6" t="n"/>
      <c r="F25" s="6" t="n"/>
      <c r="G25" s="6" t="n"/>
      <c r="H25" s="6" t="n"/>
      <c r="I25" s="6" t="n">
        <v>245</v>
      </c>
      <c r="J25" s="6" t="n">
        <v>20</v>
      </c>
      <c r="K25" s="6" t="n">
        <v>101</v>
      </c>
      <c r="L25" s="6" t="n"/>
      <c r="M25" s="6" t="n">
        <v>50</v>
      </c>
      <c r="N25" s="6" t="n"/>
      <c r="O25" s="6" t="n"/>
      <c r="P25" s="6" t="n"/>
      <c r="Q25" s="6" t="n"/>
      <c r="R25" s="6" t="n"/>
    </row>
    <row r="26">
      <c r="A26" s="6" t="inlineStr">
        <is>
          <t>Proceeds from sale of investments (FY2009-FY2013, as disclosed)</t>
        </is>
      </c>
      <c r="B26" s="6" t="n"/>
      <c r="C26" s="6" t="n"/>
      <c r="D26" s="6" t="n"/>
      <c r="E26" s="6" t="n"/>
      <c r="F26" s="6" t="n"/>
      <c r="G26" s="6" t="n"/>
      <c r="H26" s="6" t="n"/>
      <c r="I26" s="6" t="n"/>
      <c r="J26" s="6" t="n"/>
      <c r="K26" s="6" t="n"/>
      <c r="L26" s="6" t="n"/>
      <c r="M26" s="6" t="n"/>
      <c r="N26" s="6" t="n">
        <v>50</v>
      </c>
      <c r="O26" s="6" t="n">
        <v>71</v>
      </c>
      <c r="P26" s="6" t="n">
        <v>1174</v>
      </c>
      <c r="Q26" s="6" t="n">
        <v>4</v>
      </c>
      <c r="R26" s="6" t="n">
        <v>6</v>
      </c>
    </row>
    <row r="27">
      <c r="A27" s="6" t="inlineStr">
        <is>
          <t>Purchase of held to maturity investments (FY2009, pre-IFRS 9)</t>
        </is>
      </c>
      <c r="B27" s="6" t="n"/>
      <c r="C27" s="6" t="n"/>
      <c r="D27" s="6" t="n"/>
      <c r="E27" s="6" t="n"/>
      <c r="F27" s="6" t="n"/>
      <c r="G27" s="6" t="n"/>
      <c r="H27" s="6" t="n"/>
      <c r="I27" s="6" t="n"/>
      <c r="J27" s="6" t="n"/>
      <c r="K27" s="6" t="n"/>
      <c r="L27" s="6" t="n"/>
      <c r="M27" s="6" t="n"/>
      <c r="N27" s="6" t="n"/>
      <c r="O27" s="6" t="n"/>
      <c r="P27" s="6" t="n"/>
      <c r="Q27" s="6" t="n"/>
      <c r="R27" s="6" t="n">
        <v>-638</v>
      </c>
    </row>
    <row r="28">
      <c r="A28" s="6" t="inlineStr">
        <is>
          <t>Cash inflow from matured held to maturity investments (FY2010, pre-IFRS 9)</t>
        </is>
      </c>
      <c r="B28" s="6" t="n"/>
      <c r="C28" s="6" t="n"/>
      <c r="D28" s="6" t="n"/>
      <c r="E28" s="6" t="n"/>
      <c r="F28" s="6" t="n"/>
      <c r="G28" s="6" t="n"/>
      <c r="H28" s="6" t="n"/>
      <c r="I28" s="6" t="n"/>
      <c r="J28" s="6" t="n"/>
      <c r="K28" s="6" t="n"/>
      <c r="L28" s="6" t="n"/>
      <c r="M28" s="6" t="n"/>
      <c r="N28" s="6" t="n"/>
      <c r="O28" s="6" t="n"/>
      <c r="P28" s="6" t="n"/>
      <c r="Q28" s="6" t="n">
        <v>639</v>
      </c>
      <c r="R28" s="6" t="n"/>
    </row>
    <row r="29">
      <c r="A29" s="6" t="inlineStr">
        <is>
          <t>Investment in joint venture (FY2011 only)</t>
        </is>
      </c>
      <c r="B29" s="6" t="n"/>
      <c r="C29" s="6" t="n"/>
      <c r="D29" s="6" t="n"/>
      <c r="E29" s="6" t="n"/>
      <c r="F29" s="6" t="n"/>
      <c r="G29" s="6" t="n"/>
      <c r="H29" s="6" t="n"/>
      <c r="I29" s="6" t="n"/>
      <c r="J29" s="6" t="n"/>
      <c r="K29" s="6" t="n"/>
      <c r="L29" s="6" t="n"/>
      <c r="M29" s="6" t="n"/>
      <c r="N29" s="6" t="n"/>
      <c r="O29" s="6" t="n"/>
      <c r="P29" s="6" t="n">
        <v>-1</v>
      </c>
      <c r="Q29" s="6" t="n"/>
      <c r="R29" s="6" t="n"/>
    </row>
    <row r="30">
      <c r="A30" s="6" t="inlineStr">
        <is>
          <t>Proceeds from sale of subsidiary (FY2009 only)</t>
        </is>
      </c>
      <c r="B30" s="6" t="n"/>
      <c r="C30" s="6" t="n"/>
      <c r="D30" s="6" t="n"/>
      <c r="E30" s="6" t="n"/>
      <c r="F30" s="6" t="n"/>
      <c r="G30" s="6" t="n"/>
      <c r="H30" s="6" t="n"/>
      <c r="I30" s="6" t="n"/>
      <c r="J30" s="6" t="n"/>
      <c r="K30" s="6" t="n"/>
      <c r="L30" s="6" t="n"/>
      <c r="M30" s="6" t="n"/>
      <c r="N30" s="6" t="n"/>
      <c r="O30" s="6" t="n"/>
      <c r="P30" s="6" t="n"/>
      <c r="Q30" s="6" t="n"/>
      <c r="R30" s="6" t="n">
        <v>2</v>
      </c>
    </row>
    <row r="31">
      <c r="A31" s="6" t="inlineStr">
        <is>
          <t>Cash acquired on acquisition of Virgin Money Holdings (UK) PLC</t>
        </is>
      </c>
      <c r="B31" s="6" t="n"/>
      <c r="C31" s="6" t="n"/>
      <c r="D31" s="6" t="n"/>
      <c r="E31" s="6" t="n"/>
      <c r="F31" s="6" t="n"/>
      <c r="G31" s="6" t="n"/>
      <c r="H31" s="6" t="n">
        <v>4106</v>
      </c>
      <c r="I31" s="6" t="n"/>
      <c r="J31" s="6" t="n"/>
      <c r="K31" s="6" t="n"/>
      <c r="L31" s="6" t="n"/>
      <c r="M31" s="6" t="n"/>
      <c r="N31" s="6" t="n"/>
      <c r="O31" s="6" t="n"/>
      <c r="P31" s="6" t="n"/>
      <c r="Q31" s="6" t="n"/>
      <c r="R31" s="6" t="n"/>
    </row>
    <row r="32">
      <c r="A32" s="6" t="inlineStr">
        <is>
          <t>Purchase of shares in UTM previously held in Virgin Money Holdings (UK) Limited</t>
        </is>
      </c>
      <c r="B32" s="6" t="n"/>
      <c r="C32" s="6" t="n"/>
      <c r="D32" s="6" t="n"/>
      <c r="E32" s="6" t="n">
        <v>-4</v>
      </c>
      <c r="F32" s="6" t="n">
        <v>-12</v>
      </c>
      <c r="G32" s="6" t="n">
        <v>-2</v>
      </c>
      <c r="H32" s="6" t="n">
        <v>45</v>
      </c>
      <c r="I32" s="6" t="n"/>
      <c r="J32" s="6" t="n"/>
      <c r="K32" s="6" t="n"/>
      <c r="L32" s="6" t="n"/>
      <c r="M32" s="6" t="n"/>
      <c r="N32" s="6" t="n"/>
      <c r="O32" s="6" t="n"/>
      <c r="P32" s="6" t="n"/>
      <c r="Q32" s="6" t="n"/>
      <c r="R32" s="6" t="n"/>
    </row>
    <row r="33">
      <c r="A33" s="6" t="inlineStr">
        <is>
          <t>Acquisition of controlled entities</t>
        </is>
      </c>
      <c r="B33" s="6" t="n"/>
      <c r="C33" s="6" t="n">
        <v>-20</v>
      </c>
      <c r="D33" s="6" t="n"/>
      <c r="E33" s="6" t="n"/>
      <c r="F33" s="6" t="n"/>
      <c r="G33" s="6" t="n"/>
      <c r="H33" s="6" t="n"/>
      <c r="I33" s="6" t="n"/>
      <c r="J33" s="6" t="n"/>
      <c r="K33" s="6" t="n"/>
      <c r="L33" s="6" t="n"/>
      <c r="M33" s="6" t="n"/>
      <c r="N33" s="6" t="n"/>
      <c r="O33" s="6" t="n"/>
      <c r="P33" s="6" t="n"/>
      <c r="Q33" s="6" t="n"/>
      <c r="R33" s="6" t="n"/>
    </row>
    <row r="34">
      <c r="A34" s="6" t="inlineStr">
        <is>
          <t>Dividends received</t>
        </is>
      </c>
      <c r="B34" s="6" t="n"/>
      <c r="C34" s="6" t="n"/>
      <c r="D34" s="6" t="n"/>
      <c r="E34" s="6" t="n"/>
      <c r="F34" s="6" t="n"/>
      <c r="G34" s="6" t="n"/>
      <c r="H34" s="6" t="n"/>
      <c r="I34" s="6" t="n"/>
      <c r="J34" s="6" t="n"/>
      <c r="K34" s="6" t="n">
        <v>0</v>
      </c>
      <c r="L34" s="6" t="n"/>
      <c r="M34" s="6" t="n"/>
      <c r="N34" s="6" t="n"/>
      <c r="O34" s="6" t="n"/>
      <c r="P34" s="6" t="n"/>
      <c r="Q34" s="6" t="n"/>
      <c r="R34" s="6" t="n"/>
    </row>
    <row r="35">
      <c r="A35" s="6" t="inlineStr">
        <is>
          <t>Proceeds from sale of property, plant and equipment</t>
        </is>
      </c>
      <c r="B35" s="6" t="n"/>
      <c r="C35" s="6" t="n">
        <v>3</v>
      </c>
      <c r="D35" s="6" t="n">
        <v>1</v>
      </c>
      <c r="E35" s="6" t="n">
        <v>1</v>
      </c>
      <c r="F35" s="6" t="n">
        <v>6</v>
      </c>
      <c r="G35" s="6" t="n">
        <v>5</v>
      </c>
      <c r="H35" s="6" t="n">
        <v>3</v>
      </c>
      <c r="I35" s="6" t="n">
        <v>9</v>
      </c>
      <c r="J35" s="6" t="n">
        <v>19</v>
      </c>
      <c r="K35" s="6" t="n">
        <v>17</v>
      </c>
      <c r="L35" s="6" t="n">
        <v>17</v>
      </c>
      <c r="M35" s="6" t="n">
        <v>41</v>
      </c>
      <c r="N35" s="6" t="n">
        <v>39</v>
      </c>
      <c r="O35" s="6" t="n">
        <v>38</v>
      </c>
      <c r="P35" s="6" t="n">
        <v>33</v>
      </c>
      <c r="Q35" s="6" t="n">
        <v>17</v>
      </c>
      <c r="R35" s="6" t="n">
        <v>66</v>
      </c>
    </row>
    <row r="36">
      <c r="A36" s="6" t="inlineStr">
        <is>
          <t>Purchase of property, plant and equipment</t>
        </is>
      </c>
      <c r="B36" s="6" t="n"/>
      <c r="C36" s="6" t="n">
        <v>-15</v>
      </c>
      <c r="D36" s="6" t="n">
        <v>-9</v>
      </c>
      <c r="E36" s="6" t="n">
        <v>-13</v>
      </c>
      <c r="F36" s="6" t="n">
        <v>-26</v>
      </c>
      <c r="G36" s="6" t="n">
        <v>-14</v>
      </c>
      <c r="H36" s="6" t="n">
        <v>-20</v>
      </c>
      <c r="I36" s="6" t="n">
        <v>-22</v>
      </c>
      <c r="J36" s="6" t="n">
        <v>-21</v>
      </c>
      <c r="K36" s="6" t="n">
        <v>-22</v>
      </c>
      <c r="L36" s="6" t="n">
        <v>-15</v>
      </c>
      <c r="M36" s="6" t="n">
        <v>-16</v>
      </c>
      <c r="N36" s="6" t="n">
        <v>-32</v>
      </c>
      <c r="O36" s="6" t="n">
        <v>-13</v>
      </c>
      <c r="P36" s="6" t="n">
        <v>-41</v>
      </c>
      <c r="Q36" s="6" t="n">
        <v>-73</v>
      </c>
      <c r="R36" s="6" t="n">
        <v>-81</v>
      </c>
    </row>
    <row r="37">
      <c r="A37" s="6" t="inlineStr">
        <is>
          <t>Purchase and development of intangible assets</t>
        </is>
      </c>
      <c r="B37" s="6" t="n"/>
      <c r="C37" s="6" t="n">
        <v>-6</v>
      </c>
      <c r="D37" s="6" t="n">
        <v>-11</v>
      </c>
      <c r="E37" s="6" t="n">
        <v>-53</v>
      </c>
      <c r="F37" s="6" t="n">
        <v>-80</v>
      </c>
      <c r="G37" s="6" t="n">
        <v>-78</v>
      </c>
      <c r="H37" s="6" t="n">
        <v>-130</v>
      </c>
      <c r="I37" s="6" t="n">
        <v>-144</v>
      </c>
      <c r="J37" s="6" t="n">
        <v>-148</v>
      </c>
      <c r="K37" s="6" t="n">
        <v>-99</v>
      </c>
      <c r="L37" s="6" t="n"/>
      <c r="M37" s="6" t="n"/>
      <c r="N37" s="6" t="n"/>
      <c r="O37" s="6" t="n"/>
      <c r="P37" s="6" t="n"/>
      <c r="Q37" s="6" t="n"/>
      <c r="R37" s="6" t="n"/>
    </row>
    <row r="38">
      <c r="A38" s="5" t="inlineStr">
        <is>
          <t>Net cash provided by/(used in) investing activities</t>
        </is>
      </c>
      <c r="B38" s="5" t="n"/>
      <c r="C38" s="5" t="n">
        <v>30</v>
      </c>
      <c r="D38" s="5" t="n">
        <v>-869</v>
      </c>
      <c r="E38" s="5" t="n">
        <v>-1368</v>
      </c>
      <c r="F38" s="5" t="n">
        <v>465</v>
      </c>
      <c r="G38" s="5" t="n">
        <v>-737</v>
      </c>
      <c r="H38" s="5" t="n">
        <v>3396</v>
      </c>
      <c r="I38" s="5" t="n">
        <v>329</v>
      </c>
      <c r="J38" s="5" t="n">
        <v>-550</v>
      </c>
      <c r="K38" s="5" t="n">
        <v>-293</v>
      </c>
      <c r="L38" s="5" t="n">
        <v>-259</v>
      </c>
      <c r="M38" s="5" t="n">
        <v>-168</v>
      </c>
      <c r="N38" s="5" t="n">
        <v>15</v>
      </c>
      <c r="O38" s="5" t="n">
        <v>108</v>
      </c>
      <c r="P38" s="5" t="n">
        <v>1190</v>
      </c>
      <c r="Q38" s="5" t="n">
        <v>-122</v>
      </c>
      <c r="R38" s="5" t="n">
        <v>-2108</v>
      </c>
    </row>
    <row r="39">
      <c r="A39" s="5" t="inlineStr">
        <is>
          <t>Financing activities</t>
        </is>
      </c>
      <c r="B39" s="6" t="n"/>
      <c r="C39" s="6" t="n"/>
      <c r="D39" s="6" t="n"/>
      <c r="E39" s="6" t="n"/>
      <c r="F39" s="6" t="n"/>
      <c r="G39" s="6" t="n"/>
      <c r="H39" s="6" t="n"/>
      <c r="I39" s="6" t="n"/>
      <c r="J39" s="6" t="n"/>
      <c r="K39" s="6" t="n"/>
      <c r="L39" s="6" t="n"/>
      <c r="M39" s="6" t="n"/>
      <c r="N39" s="6" t="n"/>
      <c r="O39" s="6" t="n"/>
      <c r="P39" s="6" t="n"/>
      <c r="Q39" s="6" t="n"/>
      <c r="R39" s="6" t="n"/>
    </row>
    <row r="40">
      <c r="A40" s="6" t="inlineStr">
        <is>
          <t>Interest received (financing)</t>
        </is>
      </c>
      <c r="B40" s="6" t="n"/>
      <c r="C40" s="6" t="n"/>
      <c r="D40" s="6" t="n"/>
      <c r="E40" s="6" t="n"/>
      <c r="F40" s="6" t="n"/>
      <c r="G40" s="6" t="n"/>
      <c r="H40" s="6" t="n"/>
      <c r="I40" s="6" t="n"/>
      <c r="J40" s="6" t="n"/>
      <c r="K40" s="6" t="n">
        <v>1</v>
      </c>
      <c r="L40" s="6" t="n">
        <v>3</v>
      </c>
      <c r="M40" s="6" t="n">
        <v>4</v>
      </c>
      <c r="N40" s="6" t="n">
        <v>5</v>
      </c>
      <c r="O40" s="6" t="n">
        <v>13</v>
      </c>
      <c r="P40" s="6" t="n">
        <v>22</v>
      </c>
      <c r="Q40" s="6" t="n">
        <v>15</v>
      </c>
      <c r="R40" s="6" t="n"/>
    </row>
    <row r="41">
      <c r="A41" s="6" t="inlineStr">
        <is>
          <t>Interest paid (financing)</t>
        </is>
      </c>
      <c r="B41" s="6" t="n"/>
      <c r="C41" s="6" t="n"/>
      <c r="D41" s="6" t="n">
        <v>-743</v>
      </c>
      <c r="E41" s="6" t="n">
        <v>-246</v>
      </c>
      <c r="F41" s="6" t="n">
        <v>-158</v>
      </c>
      <c r="G41" s="6" t="n">
        <v>-87</v>
      </c>
      <c r="H41" s="6" t="n">
        <v>-13</v>
      </c>
      <c r="I41" s="6" t="n">
        <v>-94</v>
      </c>
      <c r="J41" s="6" t="n">
        <v>-89</v>
      </c>
      <c r="K41" s="6" t="n">
        <v>-97</v>
      </c>
      <c r="L41" s="6" t="n">
        <v>-120</v>
      </c>
      <c r="M41" s="6" t="n">
        <v>-132</v>
      </c>
      <c r="N41" s="6" t="n">
        <v>-132</v>
      </c>
      <c r="O41" s="6" t="n">
        <v>-229</v>
      </c>
      <c r="P41" s="6" t="n">
        <v>-141</v>
      </c>
      <c r="Q41" s="6" t="n">
        <v>-115</v>
      </c>
      <c r="R41" s="6" t="n">
        <v>-319</v>
      </c>
    </row>
    <row r="42">
      <c r="A42" s="6" t="inlineStr">
        <is>
          <t>Repayment of principal portion of lease liabilities</t>
        </is>
      </c>
      <c r="B42" s="6" t="n"/>
      <c r="C42" s="6" t="n">
        <v>-40</v>
      </c>
      <c r="D42" s="6" t="n">
        <v>-24</v>
      </c>
      <c r="E42" s="6" t="n">
        <v>-26</v>
      </c>
      <c r="F42" s="6" t="n">
        <v>-28</v>
      </c>
      <c r="G42" s="6" t="n">
        <v>-30</v>
      </c>
      <c r="H42" s="6" t="n"/>
      <c r="I42" s="6" t="n"/>
      <c r="J42" s="6" t="n"/>
      <c r="K42" s="6" t="n"/>
      <c r="L42" s="6" t="n"/>
      <c r="M42" s="6" t="n"/>
      <c r="N42" s="6" t="n"/>
      <c r="O42" s="6" t="n"/>
      <c r="P42" s="6" t="n"/>
      <c r="Q42" s="6" t="n"/>
      <c r="R42" s="6" t="n"/>
    </row>
    <row r="43">
      <c r="A43" s="6" t="inlineStr">
        <is>
          <t>Redemption and principal repayment on RMBS and covered bonds</t>
        </is>
      </c>
      <c r="B43" s="6" t="n"/>
      <c r="C43" s="6" t="n"/>
      <c r="D43" s="6" t="n">
        <v>-1012</v>
      </c>
      <c r="E43" s="6" t="n">
        <v>-1264</v>
      </c>
      <c r="F43" s="6" t="n">
        <v>-1543</v>
      </c>
      <c r="G43" s="6" t="n">
        <v>-1492</v>
      </c>
      <c r="H43" s="6" t="n">
        <v>-2003</v>
      </c>
      <c r="I43" s="6" t="n">
        <v>-1372</v>
      </c>
      <c r="J43" s="6" t="n">
        <v>-740</v>
      </c>
      <c r="K43" s="6" t="n">
        <v>-1029</v>
      </c>
      <c r="L43" s="6" t="n">
        <v>-921</v>
      </c>
      <c r="M43" s="6" t="n">
        <v>-216</v>
      </c>
      <c r="N43" s="6" t="n">
        <v>-613</v>
      </c>
      <c r="O43" s="6" t="n">
        <v>-936</v>
      </c>
      <c r="P43" s="6" t="n">
        <v>-856</v>
      </c>
      <c r="Q43" s="6" t="n">
        <v>-877</v>
      </c>
      <c r="R43" s="6" t="n">
        <v>-1414</v>
      </c>
    </row>
    <row r="44">
      <c r="A44" s="6" t="inlineStr">
        <is>
          <t>Issuance of RMBS and covered bonds</t>
        </is>
      </c>
      <c r="B44" s="6" t="n"/>
      <c r="C44" s="6" t="n"/>
      <c r="D44" s="6" t="n">
        <v>1826</v>
      </c>
      <c r="E44" s="6" t="n">
        <v>2480</v>
      </c>
      <c r="F44" s="6" t="n"/>
      <c r="G44" s="6" t="n">
        <v>491</v>
      </c>
      <c r="H44" s="6" t="n">
        <v>2226</v>
      </c>
      <c r="I44" s="6" t="n">
        <v>1049</v>
      </c>
      <c r="J44" s="6" t="n">
        <v>750</v>
      </c>
      <c r="K44" s="6" t="n">
        <v>750</v>
      </c>
      <c r="L44" s="6" t="n">
        <v>1207</v>
      </c>
      <c r="M44" s="6" t="n">
        <v>601</v>
      </c>
      <c r="N44" s="6" t="n">
        <v>541</v>
      </c>
      <c r="O44" s="6" t="n">
        <v>2644</v>
      </c>
      <c r="P44" s="6" t="n"/>
      <c r="Q44" s="6" t="n"/>
      <c r="R44" s="6" t="n">
        <v>1250</v>
      </c>
    </row>
    <row r="45">
      <c r="A45" s="6" t="inlineStr">
        <is>
          <t>Redemption of subordinated debt / medium-term notes</t>
        </is>
      </c>
      <c r="B45" s="6" t="n"/>
      <c r="C45" s="6" t="n"/>
      <c r="D45" s="6" t="n"/>
      <c r="E45" s="6" t="n"/>
      <c r="F45" s="6" t="n"/>
      <c r="G45" s="6" t="n"/>
      <c r="H45" s="6" t="n"/>
      <c r="I45" s="6" t="n"/>
      <c r="J45" s="6" t="n"/>
      <c r="K45" s="6" t="n">
        <v>-474</v>
      </c>
      <c r="L45" s="6" t="n">
        <v>-989</v>
      </c>
      <c r="M45" s="6" t="n"/>
      <c r="N45" s="6" t="n"/>
      <c r="O45" s="6" t="n">
        <v>-200</v>
      </c>
      <c r="P45" s="6" t="n"/>
      <c r="Q45" s="6" t="n"/>
      <c r="R45" s="6" t="n"/>
    </row>
    <row r="46">
      <c r="A46" s="6" t="inlineStr">
        <is>
          <t>Maturity of medium term notes (FY2012 only)</t>
        </is>
      </c>
      <c r="B46" s="6" t="n"/>
      <c r="C46" s="6" t="n"/>
      <c r="D46" s="6" t="n"/>
      <c r="E46" s="6" t="n"/>
      <c r="F46" s="6" t="n"/>
      <c r="G46" s="6" t="n"/>
      <c r="H46" s="6" t="n"/>
      <c r="I46" s="6" t="n"/>
      <c r="J46" s="6" t="n"/>
      <c r="K46" s="6" t="n"/>
      <c r="L46" s="6" t="n"/>
      <c r="M46" s="6" t="n"/>
      <c r="N46" s="6" t="n"/>
      <c r="O46" s="6" t="n">
        <v>-1898</v>
      </c>
      <c r="P46" s="6" t="n"/>
      <c r="Q46" s="6" t="n"/>
      <c r="R46" s="6" t="n"/>
    </row>
    <row r="47">
      <c r="A47" s="6" t="inlineStr">
        <is>
          <t>Issuance of AT1 securities</t>
        </is>
      </c>
      <c r="B47" s="6" t="n"/>
      <c r="C47" s="6" t="n">
        <v>347</v>
      </c>
      <c r="D47" s="6" t="n"/>
      <c r="E47" s="6" t="n">
        <v>347</v>
      </c>
      <c r="F47" s="6" t="n"/>
      <c r="G47" s="6" t="n"/>
      <c r="H47" s="6" t="n"/>
      <c r="I47" s="6" t="n"/>
      <c r="J47" s="6" t="n"/>
      <c r="K47" s="6" t="n">
        <v>425</v>
      </c>
      <c r="L47" s="6" t="n">
        <v>450</v>
      </c>
      <c r="M47" s="6" t="n"/>
      <c r="N47" s="6" t="n"/>
      <c r="O47" s="6" t="n"/>
      <c r="P47" s="6" t="n"/>
      <c r="Q47" s="6" t="n"/>
      <c r="R47" s="6" t="n"/>
    </row>
    <row r="48">
      <c r="A48" s="6" t="inlineStr">
        <is>
          <t>Redemption of AT1 securities</t>
        </is>
      </c>
      <c r="B48" s="6" t="n"/>
      <c r="C48" s="6" t="n">
        <v>-250</v>
      </c>
      <c r="D48" s="6" t="n">
        <v>-72</v>
      </c>
      <c r="E48" s="6" t="n">
        <v>-384</v>
      </c>
      <c r="F48" s="6" t="n"/>
      <c r="G48" s="6" t="n">
        <v>0</v>
      </c>
      <c r="H48" s="6" t="n">
        <v>-160</v>
      </c>
      <c r="I48" s="6" t="n"/>
      <c r="J48" s="6" t="n"/>
      <c r="K48" s="6" t="n">
        <v>-429</v>
      </c>
      <c r="L48" s="6" t="n"/>
      <c r="M48" s="6" t="n"/>
      <c r="N48" s="6" t="n"/>
      <c r="O48" s="6" t="n"/>
      <c r="P48" s="6" t="n"/>
      <c r="Q48" s="6" t="n"/>
      <c r="R48" s="6" t="n"/>
    </row>
    <row r="49">
      <c r="A49" s="6" t="inlineStr">
        <is>
          <t>Redemption and principal repayment on medium-term notes</t>
        </is>
      </c>
      <c r="B49" s="6" t="n"/>
      <c r="C49" s="6" t="n"/>
      <c r="D49" s="6" t="n"/>
      <c r="E49" s="6" t="n"/>
      <c r="F49" s="6" t="n">
        <v>0</v>
      </c>
      <c r="G49" s="6" t="n">
        <v>-300</v>
      </c>
      <c r="H49" s="6" t="n"/>
      <c r="I49" s="6" t="n"/>
      <c r="J49" s="6" t="n"/>
      <c r="K49" s="6" t="n"/>
      <c r="L49" s="6" t="n"/>
      <c r="M49" s="6" t="n"/>
      <c r="N49" s="6" t="n"/>
      <c r="O49" s="6" t="n"/>
      <c r="P49" s="6" t="n"/>
      <c r="Q49" s="6" t="n"/>
      <c r="R49" s="6" t="n"/>
    </row>
    <row r="50">
      <c r="A50" s="6" t="inlineStr">
        <is>
          <t>Amounts drawn down under the TFSME</t>
        </is>
      </c>
      <c r="B50" s="6" t="n"/>
      <c r="C50" s="6" t="n"/>
      <c r="D50" s="6" t="n"/>
      <c r="E50" s="6" t="n">
        <v>2550</v>
      </c>
      <c r="F50" s="6" t="n">
        <v>3350</v>
      </c>
      <c r="G50" s="6" t="n">
        <v>1300</v>
      </c>
      <c r="H50" s="6" t="n"/>
      <c r="I50" s="6" t="n"/>
      <c r="J50" s="6" t="n"/>
      <c r="K50" s="6" t="n"/>
      <c r="L50" s="6" t="n"/>
      <c r="M50" s="6" t="n"/>
      <c r="N50" s="6" t="n"/>
      <c r="O50" s="6" t="n"/>
      <c r="P50" s="6" t="n"/>
      <c r="Q50" s="6" t="n"/>
      <c r="R50" s="6" t="n"/>
    </row>
    <row r="51">
      <c r="A51" s="6" t="inlineStr">
        <is>
          <t>Amounts repaid under the TFSME</t>
        </is>
      </c>
      <c r="B51" s="6" t="n"/>
      <c r="C51" s="6" t="n"/>
      <c r="D51" s="6" t="n">
        <v>-1000</v>
      </c>
      <c r="E51" s="6" t="n"/>
      <c r="F51" s="6" t="n"/>
      <c r="G51" s="6" t="n"/>
      <c r="H51" s="6" t="n"/>
      <c r="I51" s="6" t="n"/>
      <c r="J51" s="6" t="n"/>
      <c r="K51" s="6" t="n"/>
      <c r="L51" s="6" t="n"/>
      <c r="M51" s="6" t="n"/>
      <c r="N51" s="6" t="n"/>
      <c r="O51" s="6" t="n"/>
      <c r="P51" s="6" t="n"/>
      <c r="Q51" s="6" t="n"/>
      <c r="R51" s="6" t="n"/>
    </row>
    <row r="52">
      <c r="A52" s="6" t="inlineStr">
        <is>
          <t>Amounts drawn down under the TFS</t>
        </is>
      </c>
      <c r="B52" s="6" t="n"/>
      <c r="C52" s="6" t="n"/>
      <c r="D52" s="6" t="n"/>
      <c r="E52" s="6" t="n"/>
      <c r="F52" s="6" t="n"/>
      <c r="G52" s="6" t="n"/>
      <c r="H52" s="6" t="n"/>
      <c r="I52" s="6" t="n">
        <v>1250</v>
      </c>
      <c r="J52" s="6" t="n">
        <v>1900</v>
      </c>
      <c r="K52" s="6" t="n"/>
      <c r="L52" s="6" t="n"/>
      <c r="M52" s="6" t="n"/>
      <c r="N52" s="6" t="n"/>
      <c r="O52" s="6" t="n"/>
      <c r="P52" s="6" t="n"/>
      <c r="Q52" s="6" t="n"/>
      <c r="R52" s="6" t="n"/>
    </row>
    <row r="53">
      <c r="A53" s="6" t="inlineStr">
        <is>
          <t>Amounts repaid under the TFS</t>
        </is>
      </c>
      <c r="B53" s="6" t="n"/>
      <c r="C53" s="6" t="n"/>
      <c r="D53" s="6" t="n"/>
      <c r="E53" s="6" t="n">
        <v>-1244</v>
      </c>
      <c r="F53" s="6" t="n">
        <v>-2864</v>
      </c>
      <c r="G53" s="6" t="n">
        <v>-3234</v>
      </c>
      <c r="H53" s="6" t="n">
        <v>-1295</v>
      </c>
      <c r="I53" s="6" t="n">
        <v>-900</v>
      </c>
      <c r="J53" s="6" t="n"/>
      <c r="K53" s="6" t="n"/>
      <c r="L53" s="6" t="n"/>
      <c r="M53" s="6" t="n"/>
      <c r="N53" s="6" t="n"/>
      <c r="O53" s="6" t="n"/>
      <c r="P53" s="6" t="n"/>
      <c r="Q53" s="6" t="n"/>
      <c r="R53" s="6" t="n"/>
    </row>
    <row r="54">
      <c r="A54" s="6" t="inlineStr">
        <is>
          <t>Proceeds from ordinary shares issued (financing)</t>
        </is>
      </c>
      <c r="B54" s="6" t="n"/>
      <c r="C54" s="6" t="n"/>
      <c r="D54" s="6" t="n"/>
      <c r="E54" s="6" t="n"/>
      <c r="F54" s="6" t="n"/>
      <c r="G54" s="6" t="n"/>
      <c r="H54" s="6" t="n"/>
      <c r="I54" s="6" t="n">
        <v>511</v>
      </c>
      <c r="J54" s="6" t="n">
        <v>178</v>
      </c>
      <c r="K54" s="6" t="n">
        <v>426</v>
      </c>
      <c r="L54" s="6" t="n">
        <v>770</v>
      </c>
      <c r="M54" s="6" t="n">
        <v>600</v>
      </c>
      <c r="N54" s="6" t="n"/>
      <c r="O54" s="6" t="n">
        <v>500</v>
      </c>
      <c r="P54" s="6" t="n">
        <v>100</v>
      </c>
      <c r="Q54" s="6" t="n">
        <v>310</v>
      </c>
      <c r="R54" s="6" t="n">
        <v>300</v>
      </c>
    </row>
    <row r="55">
      <c r="A55" s="6" t="inlineStr">
        <is>
          <t>Proceeds from redeemable preference shares issued (FY2009, FY2011 only)</t>
        </is>
      </c>
      <c r="B55" s="6" t="n"/>
      <c r="C55" s="6" t="n"/>
      <c r="D55" s="6" t="n"/>
      <c r="E55" s="6" t="n"/>
      <c r="F55" s="6" t="n"/>
      <c r="G55" s="6" t="n"/>
      <c r="H55" s="6" t="n"/>
      <c r="I55" s="6" t="n"/>
      <c r="J55" s="6" t="n"/>
      <c r="K55" s="6" t="n"/>
      <c r="L55" s="6" t="n"/>
      <c r="M55" s="6" t="n"/>
      <c r="N55" s="6" t="n"/>
      <c r="O55" s="6" t="n"/>
      <c r="P55" s="6" t="n">
        <v>200</v>
      </c>
      <c r="Q55" s="6" t="n"/>
      <c r="R55" s="6" t="n">
        <v>100</v>
      </c>
    </row>
    <row r="56">
      <c r="A56" s="6" t="inlineStr">
        <is>
          <t>Redemption of preference shares</t>
        </is>
      </c>
      <c r="B56" s="6" t="n"/>
      <c r="C56" s="6" t="n"/>
      <c r="D56" s="6" t="n"/>
      <c r="E56" s="6" t="n"/>
      <c r="F56" s="6" t="n"/>
      <c r="G56" s="6" t="n"/>
      <c r="H56" s="6" t="n"/>
      <c r="I56" s="6" t="n"/>
      <c r="J56" s="6" t="n"/>
      <c r="K56" s="6" t="n"/>
      <c r="L56" s="6" t="n"/>
      <c r="M56" s="6" t="n">
        <v>-300</v>
      </c>
      <c r="N56" s="6" t="n"/>
      <c r="O56" s="6" t="n"/>
      <c r="P56" s="6" t="n"/>
      <c r="Q56" s="6" t="n"/>
      <c r="R56" s="6" t="n"/>
    </row>
    <row r="57">
      <c r="A57" s="6" t="inlineStr">
        <is>
          <t>Share options settled (FY2009-FY2010 only, as disclosed)</t>
        </is>
      </c>
      <c r="B57" s="6" t="n"/>
      <c r="C57" s="6" t="n"/>
      <c r="D57" s="6" t="n"/>
      <c r="E57" s="6" t="n"/>
      <c r="F57" s="6" t="n"/>
      <c r="G57" s="6" t="n"/>
      <c r="H57" s="6" t="n"/>
      <c r="I57" s="6" t="n"/>
      <c r="J57" s="6" t="n"/>
      <c r="K57" s="6" t="n"/>
      <c r="L57" s="6" t="n"/>
      <c r="M57" s="6" t="n"/>
      <c r="N57" s="6" t="n"/>
      <c r="O57" s="6" t="n"/>
      <c r="P57" s="6" t="n"/>
      <c r="Q57" s="6" t="n">
        <v>-17</v>
      </c>
      <c r="R57" s="6" t="n">
        <v>-35</v>
      </c>
    </row>
    <row r="58">
      <c r="A58" s="6" t="inlineStr">
        <is>
          <t>Net (increase)/decrease in amounts due from related entities</t>
        </is>
      </c>
      <c r="B58" s="6" t="n"/>
      <c r="C58" s="6" t="n">
        <v>-55</v>
      </c>
      <c r="D58" s="6" t="n">
        <v>7</v>
      </c>
      <c r="E58" s="6" t="n">
        <v>1</v>
      </c>
      <c r="F58" s="6" t="n">
        <v>9</v>
      </c>
      <c r="G58" s="6" t="n">
        <v>9</v>
      </c>
      <c r="H58" s="6" t="n">
        <v>-12</v>
      </c>
      <c r="I58" s="6" t="n">
        <v>0</v>
      </c>
      <c r="J58" s="6" t="n">
        <v>-2</v>
      </c>
      <c r="K58" s="6" t="n">
        <v>786</v>
      </c>
      <c r="L58" s="6" t="n">
        <v>694</v>
      </c>
      <c r="M58" s="6" t="n">
        <v>-73</v>
      </c>
      <c r="N58" s="6" t="n">
        <v>-152</v>
      </c>
      <c r="O58" s="6" t="n">
        <v>3694</v>
      </c>
      <c r="P58" s="6" t="n">
        <v>-2111</v>
      </c>
      <c r="Q58" s="6" t="n">
        <v>-868</v>
      </c>
      <c r="R58" s="6" t="n">
        <v>-818</v>
      </c>
    </row>
    <row r="59">
      <c r="A59" s="6" t="inlineStr">
        <is>
          <t>Net increase/(decrease) in amounts due to related entities</t>
        </is>
      </c>
      <c r="B59" s="6" t="n"/>
      <c r="C59" s="6" t="n">
        <v>373</v>
      </c>
      <c r="D59" s="6" t="n">
        <v>297</v>
      </c>
      <c r="E59" s="6" t="n">
        <v>9</v>
      </c>
      <c r="F59" s="6" t="n">
        <v>705</v>
      </c>
      <c r="G59" s="6" t="n">
        <v>439</v>
      </c>
      <c r="H59" s="6" t="n">
        <v>611</v>
      </c>
      <c r="I59" s="6" t="n">
        <v>505</v>
      </c>
      <c r="J59" s="6" t="n">
        <v>311</v>
      </c>
      <c r="K59" s="6" t="n">
        <v>407</v>
      </c>
      <c r="L59" s="6" t="n">
        <v>-354</v>
      </c>
      <c r="M59" s="6" t="n">
        <v>-338</v>
      </c>
      <c r="N59" s="6" t="n">
        <v>-4846</v>
      </c>
      <c r="O59" s="6" t="n">
        <v>-233</v>
      </c>
      <c r="P59" s="6" t="n">
        <v>4368</v>
      </c>
      <c r="Q59" s="6" t="n">
        <v>180</v>
      </c>
      <c r="R59" s="6" t="n">
        <v>-1792</v>
      </c>
    </row>
    <row r="60">
      <c r="A60" s="6" t="inlineStr">
        <is>
          <t>AT1 distributions</t>
        </is>
      </c>
      <c r="B60" s="6" t="n"/>
      <c r="C60" s="6" t="n">
        <v>-66</v>
      </c>
      <c r="D60" s="6" t="n">
        <v>-54</v>
      </c>
      <c r="E60" s="6" t="n">
        <v>-60</v>
      </c>
      <c r="F60" s="6" t="n">
        <v>-59</v>
      </c>
      <c r="G60" s="6" t="n">
        <v>-59</v>
      </c>
      <c r="H60" s="6" t="n">
        <v>-41</v>
      </c>
      <c r="I60" s="6" t="n">
        <v>-36</v>
      </c>
      <c r="J60" s="6" t="n">
        <v>-36</v>
      </c>
      <c r="K60" s="6" t="n">
        <v>-19</v>
      </c>
      <c r="L60" s="6" t="n"/>
      <c r="M60" s="6" t="n"/>
      <c r="N60" s="6" t="n"/>
      <c r="O60" s="6" t="n"/>
      <c r="P60" s="6" t="n"/>
      <c r="Q60" s="6" t="n"/>
      <c r="R60" s="6" t="n"/>
    </row>
    <row r="61">
      <c r="A61" s="6" t="inlineStr">
        <is>
          <t>Distributions to non-controlling interests</t>
        </is>
      </c>
      <c r="B61" s="6" t="n"/>
      <c r="C61" s="6" t="n"/>
      <c r="D61" s="6" t="n"/>
      <c r="E61" s="6" t="n"/>
      <c r="F61" s="6" t="n"/>
      <c r="G61" s="6" t="n"/>
      <c r="H61" s="6" t="n">
        <v>-33</v>
      </c>
      <c r="I61" s="6" t="n"/>
      <c r="J61" s="6" t="n"/>
      <c r="K61" s="6" t="n"/>
      <c r="L61" s="6" t="n"/>
      <c r="M61" s="6" t="n"/>
      <c r="N61" s="6" t="n"/>
      <c r="O61" s="6" t="n"/>
      <c r="P61" s="6" t="n"/>
      <c r="Q61" s="6" t="n"/>
      <c r="R61" s="6" t="n"/>
    </row>
    <row r="62">
      <c r="A62" s="6" t="inlineStr">
        <is>
          <t>Ordinary dividends paid</t>
        </is>
      </c>
      <c r="B62" s="6" t="n"/>
      <c r="C62" s="6" t="n">
        <v>-211</v>
      </c>
      <c r="D62" s="6" t="n">
        <v>-248</v>
      </c>
      <c r="E62" s="6" t="n">
        <v>-367</v>
      </c>
      <c r="F62" s="6" t="n">
        <v>-20</v>
      </c>
      <c r="G62" s="6" t="n">
        <v>-20</v>
      </c>
      <c r="H62" s="6" t="n">
        <v>-44</v>
      </c>
      <c r="I62" s="6" t="n">
        <v>-9</v>
      </c>
      <c r="J62" s="6" t="n"/>
      <c r="K62" s="6" t="n">
        <v>-51</v>
      </c>
      <c r="L62" s="6" t="n"/>
      <c r="M62" s="6" t="n">
        <v>-14</v>
      </c>
      <c r="N62" s="6" t="n"/>
      <c r="O62" s="6" t="n"/>
      <c r="P62" s="6" t="n"/>
      <c r="Q62" s="6" t="n"/>
      <c r="R62" s="6" t="n"/>
    </row>
    <row r="63">
      <c r="A63" s="6" t="inlineStr">
        <is>
          <t>Dividends paid (FY2009-FY2013, preference shares - see Statement of Changes in Equity)</t>
        </is>
      </c>
      <c r="B63" s="6" t="n"/>
      <c r="C63" s="6" t="n"/>
      <c r="D63" s="6" t="n"/>
      <c r="E63" s="6" t="n"/>
      <c r="F63" s="6" t="n"/>
      <c r="G63" s="6" t="n"/>
      <c r="H63" s="6" t="n"/>
      <c r="I63" s="6" t="n"/>
      <c r="J63" s="6" t="n"/>
      <c r="K63" s="6" t="n"/>
      <c r="L63" s="6" t="n"/>
      <c r="M63" s="6" t="n"/>
      <c r="N63" s="6" t="n">
        <v>-24</v>
      </c>
      <c r="O63" s="6" t="n">
        <v>-15</v>
      </c>
      <c r="P63" s="6" t="n">
        <v>-21</v>
      </c>
      <c r="Q63" s="6" t="n">
        <v>-12</v>
      </c>
      <c r="R63" s="6" t="n">
        <v>-6</v>
      </c>
    </row>
    <row r="64">
      <c r="A64" s="6" t="inlineStr">
        <is>
          <t>Proceeds from issuance of other equity instruments</t>
        </is>
      </c>
      <c r="B64" s="6" t="n"/>
      <c r="C64" s="6" t="n"/>
      <c r="D64" s="6" t="n"/>
      <c r="E64" s="6" t="n"/>
      <c r="F64" s="6" t="n"/>
      <c r="G64" s="6" t="n">
        <v>0</v>
      </c>
      <c r="H64" s="6" t="n">
        <v>247</v>
      </c>
      <c r="I64" s="6" t="n"/>
      <c r="J64" s="6" t="n"/>
      <c r="K64" s="6" t="n"/>
      <c r="L64" s="6" t="n"/>
      <c r="M64" s="6" t="n"/>
      <c r="N64" s="6" t="n"/>
      <c r="O64" s="6" t="n"/>
      <c r="P64" s="6" t="n"/>
      <c r="Q64" s="6" t="n"/>
      <c r="R64" s="6" t="n"/>
    </row>
    <row r="65">
      <c r="A65" s="6" t="inlineStr">
        <is>
          <t>Proceeds from ordinary shares issued</t>
        </is>
      </c>
      <c r="B65" s="6" t="n"/>
      <c r="C65" s="6" t="n">
        <v>800</v>
      </c>
      <c r="D65" s="6" t="n"/>
      <c r="E65" s="6" t="n"/>
      <c r="F65" s="6" t="n"/>
      <c r="G65" s="6" t="n"/>
      <c r="H65" s="6" t="n"/>
      <c r="I65" s="6" t="n"/>
      <c r="J65" s="6" t="n"/>
      <c r="K65" s="6" t="n"/>
      <c r="L65" s="6" t="n"/>
      <c r="M65" s="6" t="n"/>
      <c r="N65" s="6" t="n"/>
      <c r="O65" s="6" t="n"/>
      <c r="P65" s="6" t="n"/>
      <c r="Q65" s="6" t="n"/>
      <c r="R65" s="6" t="n"/>
    </row>
    <row r="66">
      <c r="A66" s="6" t="inlineStr">
        <is>
          <t>Other financing items, net (equity-based compensation settlements, etc.)</t>
        </is>
      </c>
      <c r="B66" s="6" t="n"/>
      <c r="C66" s="6" t="n"/>
      <c r="D66" s="6" t="n"/>
      <c r="E66" s="6" t="n"/>
      <c r="F66" s="6" t="n"/>
      <c r="G66" s="6" t="n"/>
      <c r="H66" s="6" t="n"/>
      <c r="I66" s="6" t="n"/>
      <c r="J66" s="6" t="n"/>
      <c r="K66" s="6" t="n">
        <v>-7</v>
      </c>
      <c r="L66" s="6" t="n"/>
      <c r="M66" s="6" t="n"/>
      <c r="N66" s="6" t="n"/>
      <c r="O66" s="6" t="n"/>
      <c r="P66" s="6" t="n"/>
      <c r="Q66" s="6" t="n"/>
      <c r="R66" s="6" t="n"/>
    </row>
    <row r="67">
      <c r="A67" s="5" t="inlineStr">
        <is>
          <t>Net cash provided by/(used in) financing activities</t>
        </is>
      </c>
      <c r="B67" s="5" t="n"/>
      <c r="C67" s="5" t="n">
        <v>898</v>
      </c>
      <c r="D67" s="5" t="n">
        <v>-1023</v>
      </c>
      <c r="E67" s="5" t="n">
        <v>1796</v>
      </c>
      <c r="F67" s="5" t="n">
        <v>-608</v>
      </c>
      <c r="G67" s="5" t="n">
        <v>-2983</v>
      </c>
      <c r="H67" s="5" t="n">
        <v>-517</v>
      </c>
      <c r="I67" s="5" t="n">
        <v>905</v>
      </c>
      <c r="J67" s="5" t="n">
        <v>2272</v>
      </c>
      <c r="K67" s="5" t="n">
        <v>688</v>
      </c>
      <c r="L67" s="5" t="n">
        <v>740</v>
      </c>
      <c r="M67" s="5" t="n">
        <v>132</v>
      </c>
      <c r="N67" s="5" t="n">
        <v>-5221</v>
      </c>
      <c r="O67" s="5" t="n">
        <v>3340</v>
      </c>
      <c r="P67" s="5" t="n">
        <v>1561</v>
      </c>
      <c r="Q67" s="5" t="n">
        <v>-1384</v>
      </c>
      <c r="R67" s="5" t="n">
        <v>-2734</v>
      </c>
    </row>
    <row r="68">
      <c r="A68" s="5" t="inlineStr">
        <is>
          <t>Net (decrease)/increase in cash and cash equivalents</t>
        </is>
      </c>
      <c r="B68" s="5" t="n"/>
      <c r="C68" s="5" t="n">
        <v>-293</v>
      </c>
      <c r="D68" s="5" t="n">
        <v>-944</v>
      </c>
      <c r="E68" s="5" t="n">
        <v>2358</v>
      </c>
      <c r="F68" s="5" t="n">
        <v>439</v>
      </c>
      <c r="G68" s="5" t="n">
        <v>-1317</v>
      </c>
      <c r="H68" s="5" t="n">
        <v>3578</v>
      </c>
      <c r="I68" s="5" t="n">
        <v>-410</v>
      </c>
      <c r="J68" s="5" t="n">
        <v>1002</v>
      </c>
      <c r="K68" s="5" t="n">
        <v>-387</v>
      </c>
      <c r="L68" s="5" t="n">
        <v>457</v>
      </c>
      <c r="M68" s="5" t="n">
        <v>-665</v>
      </c>
      <c r="N68" s="5" t="n">
        <v>-1404</v>
      </c>
      <c r="O68" s="5" t="n">
        <v>2105</v>
      </c>
      <c r="P68" s="5" t="n">
        <v>1953</v>
      </c>
      <c r="Q68" s="5" t="n">
        <v>1278</v>
      </c>
      <c r="R68" s="5" t="n">
        <v>-2577</v>
      </c>
    </row>
    <row r="69">
      <c r="A69" s="6" t="inlineStr">
        <is>
          <t>Cash and cash equivalents at the beginning of the period/year</t>
        </is>
      </c>
      <c r="B69" s="6" t="n"/>
      <c r="C69" s="6" t="n">
        <v>10589</v>
      </c>
      <c r="D69" s="6" t="n">
        <v>12611</v>
      </c>
      <c r="E69" s="6" t="n">
        <v>10253</v>
      </c>
      <c r="F69" s="6" t="n">
        <v>9814</v>
      </c>
      <c r="G69" s="6" t="n">
        <v>11131</v>
      </c>
      <c r="H69" s="6" t="n">
        <v>6542</v>
      </c>
      <c r="I69" s="6" t="n">
        <v>6952</v>
      </c>
      <c r="J69" s="6" t="n">
        <v>5950</v>
      </c>
      <c r="K69" s="6" t="n">
        <v>6337</v>
      </c>
      <c r="L69" s="6" t="n">
        <v>5880</v>
      </c>
      <c r="M69" s="6" t="n">
        <v>6545</v>
      </c>
      <c r="N69" s="6" t="n">
        <v>7949</v>
      </c>
      <c r="O69" s="6" t="n">
        <v>5844</v>
      </c>
      <c r="P69" s="6" t="n">
        <v>3891</v>
      </c>
      <c r="Q69" s="6" t="n">
        <v>2613</v>
      </c>
      <c r="R69" s="6" t="n">
        <v>5190</v>
      </c>
    </row>
    <row r="70">
      <c r="A70" s="5" t="inlineStr">
        <is>
          <t>Cash and cash equivalents at the end of the period/year</t>
        </is>
      </c>
      <c r="B70" s="5" t="n"/>
      <c r="C70" s="5" t="n">
        <v>10296</v>
      </c>
      <c r="D70" s="5" t="n">
        <v>11667</v>
      </c>
      <c r="E70" s="5" t="n">
        <v>12611</v>
      </c>
      <c r="F70" s="5" t="n">
        <v>10253</v>
      </c>
      <c r="G70" s="5" t="n">
        <v>9814</v>
      </c>
      <c r="H70" s="5" t="n">
        <v>10120</v>
      </c>
      <c r="I70" s="5" t="n">
        <v>6542</v>
      </c>
      <c r="J70" s="5" t="n">
        <v>6952</v>
      </c>
      <c r="K70" s="5" t="n">
        <v>5950</v>
      </c>
      <c r="L70" s="5" t="n">
        <v>6337</v>
      </c>
      <c r="M70" s="5" t="n">
        <v>5880</v>
      </c>
      <c r="N70" s="5" t="n">
        <v>6545</v>
      </c>
      <c r="O70" s="5" t="n">
        <v>7949</v>
      </c>
      <c r="P70" s="5" t="n">
        <v>5844</v>
      </c>
      <c r="Q70" s="5" t="n">
        <v>3891</v>
      </c>
      <c r="R70" s="5" t="n">
        <v>2613</v>
      </c>
    </row>
    <row r="72" ht="377" customHeight="1">
      <c r="A72" s="8" t="inlineStr">
        <is>
          <t>Sources - all figures are Clydesdale Bank PLC (CB) Group consolidated cash flow statement, £m:
FY2025 (18mo, 1 Oct 2023 - 31 Mar 2025): Clydesdale Bank PLC 2025 Annual Report and Accounts, p.113 (Statement of cash flows) - https://www.virginmoneyukplc.com/downloads/pdf/cb-ara-2025-signed.pdf
FY2023: Clydesdale Bank PLC 2023 Annual report &amp; consolidated financial statements, p.116 (Statement of cash flows) - https://www.virginmoneyukplc.com/downloads/pdf/cbplc-2023-ar-cfs.pdf
FY2022: Clydesdale Bank PLC 2022 Annual Report and consolidated financial statements, p.119 (Statement of cash flows) - https://www.virginmoneyukplc.com/downloads/pdf/cbplc-2022-ar-cfs.pdf
FY2021: Clydesdale Bank PLC 2021 Annual report &amp; consolidated financial statements, p.119 (Statement of cash flows) - https://www.virginmoneyukplc.com/downloads/pdf/cb-ara-2021.pdf
FY2020: Clydesdale Bank PLC 2020 Annual Report and Accounts, p.120-121 (Statement of cash flows) - https://www.virginmoneyukplc.com/downloads/pdf/cb-ara-2020.pdf
FY2019: Clydesdale Bank PLC 2019 Annual Report and Accounts, p.97-98 (Statement of cash flows, own-year presentation, not the restated comparative in the FY2020 AR) - https://www.virginmoneyukplc.com/downloads/pdf/cb-ara-2019.pdf
FY2018: Clydesdale Bank PLC 2018 Annual Report and Accounts, p.79-80 (Statement of cash flows) - https://www.virginmoneyukplc.com/downloads/pdf/cb-ara-2018.pdf
FY2017: Clydesdale Bank PLC 2018 Annual Report and Accounts' FY2017 comparative column, p.79-80 (within the FY2018 AR) - https://www.virginmoneyukplc.com/downloads/pdf/cb-ara-2018.pdf
FY2016: Clydesdale Bank PLC 2016 Annual Report and Accounts, p.73 (Statement of cash flows) - https://www.virginmoneyukplc.com/downloads/pdf/cb-ara-2016.pdf
FY2015: Clydesdale Bank PLC 2016 Annual Report and Accounts' FY2015 comparative column, p.73 (within the FY2016 AR) - https://www.virginmoneyukplc.com/downloads/pdf/cb-ara-2016.pdf
FY2014: Clydesdale Bank PLC 2014 Annual Report and Accounts, p.34 (Statement of cash flows) - https://www.virginmoneyukplc.com/downloads/pdf/cb-ara-2014.pdf
Note: the FY2025 (18mo) statement's comparative period (FY2023) is presented on a basis restated to align Group accounting policies/presentation with Nationwide, and combines some line items (e.g. interest received/paid, changes in operating assets and liabilities) that FY2021-FY2023 report split out individually; FY2023's own column above uses that year's own as-originally-reported presentation, not the restated comparative. Blank cells indicate that year's report did not disclose that specific split; where a coarser combined figure was reported instead, it appears on its own row. Section totals and cash/cash equivalents figures are consistent and comparable across all 4 populated years FY2021-FY2025.
FY2014-FY2020 CASH FLOW NOTE: FY2014-FY2018 predate IFRS 9/IFRS 16 and use 'available for sale'/undifferentiated investment categories rather than FVOCI - shown on their own dedicated rows rather than merged into the FVOCI rows used from FY2019 onward. FY2018-FY2019 are dominated by the Oct 2018 Virgin Money Holdings (UK) PLC acquisition (£4,106m cash acquired, shown on its own row in FY2019). A genuine cash-and-cash-equivalents definitional discontinuity exists between FY2019 and FY2020: the FY2019 Annual Report's own closing balance is £10,120m, but the FY2020 Annual Report restates the FY2019 comparative opening balance for FY2020 to £11,131m 'in line with the current year presentation' (FY2020 AR, cash flow statement footnote 2) - both figures are shown as originally disclosed in their respective years' own reports rather than reconciled, consistent with this project's convention of using each year's own originally-published figures.
FY2009-FY2013 CASH FLOW NOTE: fully disclosed for all 5 years (unlike some other HD-073 banks, Clydesdale Bank PLC's old-era statutory accounts already include a full Statement of Cash Flows, no FRS 1 exemption applies). Line items follow each year's own presentation; where FY2009-FY2013 use a label not present in later years (e.g. 'Cash inflow from matured held to maturity investments', 'Share options settled' as a financing-activity line), these appear as their own rows rather than being forced onto a later year's structure. Cash Flow figures for FY2010 are identical between the FY2010 Annual Report and the following year's FY2010 comparative column (no restatement affects this statement, unlike the Income Statement's £3m 'Other operating income' discrepancy noted on the Profit &amp; Loss sheet).
ENTITY NOTE: Clydesdale Bank PLC (company number SC001111) is the PRA-authorised entity (FRN 121873) and the main operating banking subsidiary of Virgin Money UK PLC. On 28 July 2026 the company re-registered from a public limited company to a private limited company and is now named 'Clydesdale Bank Limited' - this workbook uses 'Clydesdale Bank PLC' throughout since that was its name for the entirety of the period covered (FY2021-FY2026). The fiscal year-end changed from 30 September to 31 March via a PRA-approved 18-month transition period (1 October 2023 - 31 March 2025, shown as 'FY2025 (18mo)' below); there is no separate FY2024 - that period is entirely contained within the 18-month column. Cash flow and Pillar 3 figures are on the 'CB Group Consolidated' / 'CB Solo-Consolidated Group' basis (Clydesdale Bank PLC's own consolidation perimeter) rather than the wider Virgin Money UK PLC group, consistent with the ring-fenced-entity basis used elsewhere in this workbook series; most annual Pillar 3 reports through FY2025 are published under the 'Virgin Money UK PLC' title but contain a dedicated CB Group Consolidated appendix, which is what is cited here.
NATIONWIDE ACQUISITION NOTE: Nationwide Building Society completed its acquisition of Virgin Money UK PLC (Clydesdale Bank PLC's parent) on 1 October 2024. On 14 November 2025 the Bank's Directors publicly announced a decision to move substantially all of the Bank's business to Nationwide by way of a Part VII banking business transfer; the High Court approved the transfer on 23 February 2026 and on 2 April 2026 the majority of the Bank's assets and liabilities transferred to Nationwide. At 31 March 2026 the transferred assets/liabilities were classified as a disposal group 'held for distribution' and the related financial performance presented as a discontinued operation (FY2026 Annual Report and Accounts, p.60) - https://www.virginmoneyukplc.com/downloads/pdf/cb-ara-2026-signed.pdf.</t>
        </is>
      </c>
    </row>
    <row r="74" ht="280" customHeight="1">
      <c r="A74" s="8" t="inlineStr">
        <is>
          <t>(continued)
FY2026 - NEVER PUBLISHED (not 'unreached'): no cash flow statement of any kind appears in the FY2026 accounts, because the FY2026 Annual Report and Accounts moved to the FRS 101 Reduced Disclosure Framework and took the IAS 7 'Statement of Cash Flows' disclosure exemption - available to the Bank as a qualifying subsidiary whose ultimate parent (Nationwide Building Society) publishes consolidated financial statements. Evidence: Clydesdale Bank PLC 2026 Annual Report and Accounts, printed p.60, note 1.2 'Basis of accounting' (within 'Section 1: Basis of preparation'), which reads verbatim: "The Bank has adopted a new financial reporting framework in the period. The financial statements... have been prepared in accordance with applicable law and United Kingdom Accounting Standards (UK GAAP), including Financial Reporting Standard 101 Reduced Disclosure Framework (FRS 101). This is a change from previous financial statements, which were prepared under UK adopted International Accounting Standards (IAS)." The bullet list that follows - "The Bank has taken advantage of the following disclosure exemptions under FRS 101 and removed the requirements of:" - includes "IAS 7 'Statement of Cash Flows'" in its entirety, not merely selected paragraphs of it. Retrieval and search method: fetched with plain curl, the first rung of the fetch ladder (HTTP 200, Content-Type application/pdf, %PDF-1.7 magic bytes, 1,960,231 bytes, 104 pages); the text layer is sound - richness control returned 3,895 hits for 'the' and 32 for 'Clydesdale' - so no OCR was needed. Searched terms: 'statement of cash flows', 'cash flow', 'IAS 7', 'FRS 101', 'exemption'. 'Statement of cash flows' occurs nowhere as a heading; the document's only primary-statement headings are Balance sheet, Statement of comprehensive income and Statement of changes in equity. Every other 'cash flow' hit is discursive (cash flow hedge reserve and hedge-accounting policy, undiscounted contractual-maturity tables, IFRS 9 contractual-cash-flow classification policy, IAS 19 pension obligation duration). - https://www.virginmoneyukplc.com/downloads/pdf/cb-ara-2026-signed.pdf
FY2026 IS A COMPLETED YEAR, NOT AN INTERIM PERIOD - stated here because Clydesdale Bank PLC's historic 30 September year end makes an FY2026 annual column look impossible in September 2026. It is not. The year end moved from 30 September to 31 MARCH via the PRA-approved 18-month transition period (1 October 2023 - 31 March 2025, shown as the 'FY2025 (18mo)' column), so FY2026 is a complete twelve-month financial year ended 31 March 2026; the FY2026 accounts use the phrase 'the year ended 31 March 2026' twelve times. Every FY2026 figure in this workbook is taken from an annual document for that year end - the 2026 Annual Report and Accounts and the 2026 Pillar 3 Report, whose KM1 is struck at 31 Mar 2026 - and not from a half-year or quarterly disclosure. No part of FY2026 therefore belongs on an 'Interim Pillar 3' sheet, and this workbook correctly does not have one. See the Nationwide acquisition note above for context: the FRS 101 adoption coincides with the Part VII transfer of substantially all of the Bank's business.
HD-047 HISTORICAL SOURCING NOTE (FY2014-FY2020): all figures on this sheet for these years are transcribed from Clydesdale Bank PLC's own entity-level Annual Report and Accounts for that year, each year's own originally-published figures (not a later restated comparative), Group consolidated basis throughout. FY2015, FY2017 and FY2019 P&amp;L/OCI figures were read from that year's own comparative column inside the FOLLOWING year's Annual Report (e.g. FY2015 from the FY2016 AR) where that gave a cleaner typeset extraction than the year's own PDF; FY2014, FY2016, FY2018 and FY2020 are each read from that year's own AR directly. The FY2014 Balance Sheet was recovered via OCR (Tesseract) since that one page of the source PDF is an embedded image with no text layer - cross-checked against the FY2014 Statement of Changes in Equity's independently-typeset closing balances, which tie out exactly, so OCR misreads are not believed to affect any figure used here. Clydesdale Bank PLC was wholly owned by National Australia Bank through the Feb 2016 CYBG plc demerger, then part of CYBG plc (renamed Virgin Money UK PLC in Oct 2019 following the Oct 2018 Virgin Money Holdings (UK) PLC acquisition) - throughout, Clydesdale Bank PLC continued publishing its own entity-level statutory accounts, which is what is used here, not the parent group's consolidated accounts.
HD-073 (2026-09-06) HISTORICAL SOURCING NOTE (FY2009-FY2013): all figures on this sheet for these years are transcribed from Clydesdale Bank PLC's own Group consolidated statutory accounts as filed at Companies House (company number SC001111) - the same entity-level accounts used for FY2014-FY2020 above, sourced directly from Companies House rather than virginmoneyukplc.com since that site does not host filings this old. FY2013 and FY2012 are read from the 'Annual report and consolidated financial statements for the year ended 30 September 2013' (FY2013 own-year column and FY2012 comparative column respectively) - https://find-and-update.company-information.service.gov.uk/company/SC001111/filing-history/MzA4OTI2NzU1N2FkaXF6a2N4/document?format=pdf&amp;download=0. FY2011 and FY2010 are read from the 'Annual Report &amp; Consolidated Financial Statements 30 September 2011' (FY2011 own-year column and FY2010 comparative column) - https://find-and-update.company-information.service.gov.uk/company/SC001111/filing-history/MzA0NzM2MDEyOWFkaXF6a2N4/document?format=pdf&amp;download=0. FY2009 is read from the 'Annual Report and Consolidated Financial Statements for the year ended 30 September 2010' FY2009 comparative column (a standalone FY2009 filing was not separately re-verified since the FY2010 filing reproduces FY2009's own figures as its comparative) - https://find-and-update.company-information.service.gov.uk/company/SC001111/filing-history/MzAyNzcxMTEzMGFkaXF6a2N4/document?format=pdf&amp;download=0. All figures are Group (consolidated) basis, £m, each year's own as-originally-filed presentation (own-year column preferred over a later comparative wherever both were available and did not tie out exactly - see the Profit &amp; Loss sheet's own note on one confirmed FY2010 restatement). Balance Sheet, Profit &amp; Loss and Cash Flow Statement totals for FY2009-FY2013 all reconcile to the source documents' own printed subtotals; the Statement of Changes in Equity's per-column reserve splits for FY2009-FY2010 are reconstructed from a lower-resolution scan of the filed roll-forward table and may be off by a pound or two within a row, but every closing TOTAL EQUITY balance ties exactly to the corresponding year's own Balance Sheet 'Total equity' figure, which is the authoritative anchor.</t>
        </is>
      </c>
    </row>
  </sheetData>
  <mergeCells count="2">
    <mergeCell ref="A74:R74"/>
    <mergeCell ref="A72:R7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Clydesdale Bank PLC — Asset Quality</t>
        </is>
      </c>
    </row>
    <row r="2">
      <c r="A2" s="2" t="inlineStr">
        <is>
          <t>CB Group consolidated basis through FY2025; Bank-solo basis for FY2026, £m (ratios as disclosed). See source note at bottom.</t>
        </is>
      </c>
    </row>
    <row r="3">
      <c r="A3" s="4" t="inlineStr">
        <is>
          <t>Line item</t>
        </is>
      </c>
      <c r="B3" s="4" t="inlineStr">
        <is>
          <t>FY2026 (£m)</t>
        </is>
      </c>
      <c r="C3" s="4" t="inlineStr">
        <is>
          <t>FY2025 (18mo)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row>
    <row r="4">
      <c r="A4" s="5" t="inlineStr">
        <is>
          <t>Gross lending assets by IFRS 9 stage (FY2019-FY2026 only - see IAS 39 note)</t>
        </is>
      </c>
      <c r="B4" s="6" t="n"/>
      <c r="C4" s="6" t="n"/>
      <c r="D4" s="6" t="n"/>
      <c r="E4" s="6" t="n"/>
      <c r="F4" s="6" t="n"/>
      <c r="G4" s="6" t="n"/>
      <c r="H4" s="6" t="n"/>
      <c r="I4" s="6" t="n"/>
      <c r="J4" s="6" t="n"/>
      <c r="K4" s="6" t="n"/>
      <c r="L4" s="6" t="n"/>
      <c r="M4" s="6" t="n"/>
    </row>
    <row r="5">
      <c r="A5" s="6" t="inlineStr">
        <is>
          <t>Stage 1</t>
        </is>
      </c>
      <c r="B5" s="6" t="n">
        <v>60522</v>
      </c>
      <c r="C5" s="6" t="n">
        <v>61585</v>
      </c>
      <c r="D5" s="6" t="n">
        <v>65889</v>
      </c>
      <c r="E5" s="6" t="n">
        <v>66385</v>
      </c>
      <c r="F5" s="6" t="n">
        <v>61416</v>
      </c>
      <c r="G5" s="6" t="n">
        <v>59219</v>
      </c>
      <c r="H5" s="6" t="n">
        <v>67923</v>
      </c>
      <c r="I5" s="6" t="n"/>
      <c r="J5" s="6" t="n"/>
      <c r="K5" s="6" t="n"/>
      <c r="L5" s="6" t="n"/>
      <c r="M5" s="6" t="n"/>
    </row>
    <row r="6">
      <c r="A6" s="6" t="inlineStr">
        <is>
          <t>Stage 2</t>
        </is>
      </c>
      <c r="B6" s="6" t="n">
        <v>8069</v>
      </c>
      <c r="C6" s="6" t="n">
        <v>8271</v>
      </c>
      <c r="D6" s="6" t="n">
        <v>6326</v>
      </c>
      <c r="E6" s="6" t="n">
        <v>5723</v>
      </c>
      <c r="F6" s="6" t="n">
        <v>10176</v>
      </c>
      <c r="G6" s="6" t="n">
        <v>12842</v>
      </c>
      <c r="H6" s="6" t="n">
        <v>4514</v>
      </c>
      <c r="I6" s="6" t="n"/>
      <c r="J6" s="6" t="n"/>
      <c r="K6" s="6" t="n"/>
      <c r="L6" s="6" t="n"/>
      <c r="M6" s="6" t="n"/>
    </row>
    <row r="7">
      <c r="A7" s="6" t="inlineStr">
        <is>
          <t>Stage 3 (incl. POCI from FY2019)</t>
        </is>
      </c>
      <c r="B7" s="6" t="n">
        <v>1145</v>
      </c>
      <c r="C7" s="6" t="n">
        <v>1351</v>
      </c>
      <c r="D7" s="6" t="n">
        <v>1080</v>
      </c>
      <c r="E7" s="6" t="n">
        <v>1036</v>
      </c>
      <c r="F7" s="6" t="n">
        <v>957</v>
      </c>
      <c r="G7" s="6" t="n">
        <v>862</v>
      </c>
      <c r="H7" s="6" t="n">
        <v>807</v>
      </c>
      <c r="I7" s="6" t="n"/>
      <c r="J7" s="6" t="n"/>
      <c r="K7" s="6" t="n"/>
      <c r="L7" s="6" t="n"/>
      <c r="M7" s="6" t="n"/>
    </row>
    <row r="8">
      <c r="A8" s="5" t="inlineStr">
        <is>
          <t>Total gross lending assets</t>
        </is>
      </c>
      <c r="B8" s="5" t="n">
        <v>69736</v>
      </c>
      <c r="C8" s="5" t="n">
        <v>71207</v>
      </c>
      <c r="D8" s="5" t="n">
        <v>73295</v>
      </c>
      <c r="E8" s="5" t="n">
        <v>73144</v>
      </c>
      <c r="F8" s="5" t="n">
        <v>72549</v>
      </c>
      <c r="G8" s="5" t="n">
        <v>72923</v>
      </c>
      <c r="H8" s="5" t="n">
        <v>73244</v>
      </c>
      <c r="I8" s="5" t="n"/>
      <c r="J8" s="5" t="n"/>
      <c r="K8" s="5" t="n"/>
      <c r="L8" s="5" t="n"/>
      <c r="M8" s="5" t="n"/>
    </row>
    <row r="9">
      <c r="A9" s="5" t="inlineStr">
        <is>
          <t>Expected credit loss (ECL) allowance by stage (FY2019-FY2026 only)</t>
        </is>
      </c>
      <c r="B9" s="6" t="n"/>
      <c r="C9" s="6" t="n"/>
      <c r="D9" s="6" t="n"/>
      <c r="E9" s="6" t="n"/>
      <c r="F9" s="6" t="n"/>
      <c r="G9" s="6" t="n"/>
      <c r="H9" s="6" t="n"/>
      <c r="I9" s="6" t="n"/>
      <c r="J9" s="6" t="n"/>
      <c r="K9" s="6" t="n"/>
      <c r="L9" s="6" t="n"/>
      <c r="M9" s="6" t="n"/>
    </row>
    <row r="10">
      <c r="A10" s="6" t="inlineStr">
        <is>
          <t>Stage 1</t>
        </is>
      </c>
      <c r="B10" s="6" t="n">
        <v>139</v>
      </c>
      <c r="C10" s="6" t="n">
        <v>119</v>
      </c>
      <c r="D10" s="6" t="n">
        <v>89</v>
      </c>
      <c r="E10" s="6" t="n">
        <v>85</v>
      </c>
      <c r="F10" s="6" t="n">
        <v>111</v>
      </c>
      <c r="G10" s="6" t="n">
        <v>136</v>
      </c>
      <c r="H10" s="6" t="n">
        <v>79</v>
      </c>
      <c r="I10" s="6" t="n"/>
      <c r="J10" s="6" t="n"/>
      <c r="K10" s="6" t="n"/>
      <c r="L10" s="6" t="n"/>
      <c r="M10" s="6" t="n"/>
    </row>
    <row r="11">
      <c r="A11" s="6" t="inlineStr">
        <is>
          <t>Stage 2</t>
        </is>
      </c>
      <c r="B11" s="6" t="n">
        <v>359</v>
      </c>
      <c r="C11" s="6" t="n">
        <v>406</v>
      </c>
      <c r="D11" s="6" t="n">
        <v>400</v>
      </c>
      <c r="E11" s="6" t="n">
        <v>268</v>
      </c>
      <c r="F11" s="6" t="n">
        <v>302</v>
      </c>
      <c r="G11" s="6" t="n">
        <v>465</v>
      </c>
      <c r="H11" s="6" t="n">
        <v>168</v>
      </c>
      <c r="I11" s="6" t="n"/>
      <c r="J11" s="6" t="n"/>
      <c r="K11" s="6" t="n"/>
      <c r="L11" s="6" t="n"/>
      <c r="M11" s="6" t="n"/>
    </row>
    <row r="12">
      <c r="A12" s="6" t="inlineStr">
        <is>
          <t>Stage 3 (incl. POCI from FY2019)</t>
        </is>
      </c>
      <c r="B12" s="6" t="n">
        <v>181</v>
      </c>
      <c r="C12" s="6" t="n">
        <v>212</v>
      </c>
      <c r="D12" s="6" t="n">
        <v>128</v>
      </c>
      <c r="E12" s="6" t="n">
        <v>104</v>
      </c>
      <c r="F12" s="6" t="n">
        <v>91</v>
      </c>
      <c r="G12" s="6" t="n">
        <v>134</v>
      </c>
      <c r="H12" s="6" t="n">
        <v>115</v>
      </c>
      <c r="I12" s="6" t="n"/>
      <c r="J12" s="6" t="n"/>
      <c r="K12" s="6" t="n"/>
      <c r="L12" s="6" t="n"/>
      <c r="M12" s="6" t="n"/>
    </row>
    <row r="13">
      <c r="A13" s="5" t="inlineStr">
        <is>
          <t>Total ECL allowance</t>
        </is>
      </c>
      <c r="B13" s="5" t="n">
        <v>679</v>
      </c>
      <c r="C13" s="5" t="n">
        <v>737</v>
      </c>
      <c r="D13" s="5" t="n">
        <v>617</v>
      </c>
      <c r="E13" s="5" t="n">
        <v>457</v>
      </c>
      <c r="F13" s="5" t="n">
        <v>504</v>
      </c>
      <c r="G13" s="5" t="n">
        <v>735</v>
      </c>
      <c r="H13" s="5" t="n">
        <v>362</v>
      </c>
      <c r="I13" s="5" t="n"/>
      <c r="J13" s="5" t="n"/>
      <c r="K13" s="5" t="n"/>
      <c r="L13" s="5" t="n"/>
      <c r="M13" s="5" t="n"/>
    </row>
    <row r="14">
      <c r="A14" s="5" t="inlineStr">
        <is>
          <t>Net lending assets (Total gross - Total ECL)</t>
        </is>
      </c>
      <c r="B14" s="5" t="n">
        <v>69057</v>
      </c>
      <c r="C14" s="5" t="n">
        <v>70470</v>
      </c>
      <c r="D14" s="5" t="n">
        <v>72678</v>
      </c>
      <c r="E14" s="5" t="n">
        <v>72687</v>
      </c>
      <c r="F14" s="5" t="n">
        <v>72045</v>
      </c>
      <c r="G14" s="5" t="n">
        <v>72188</v>
      </c>
      <c r="H14" s="5" t="n">
        <v>72882</v>
      </c>
      <c r="I14" s="5" t="n"/>
      <c r="J14" s="5" t="n"/>
      <c r="K14" s="5" t="n"/>
      <c r="L14" s="5" t="n"/>
      <c r="M14" s="5" t="n"/>
    </row>
    <row r="15">
      <c r="A15" s="5" t="inlineStr">
        <is>
          <t>Asset quality ratios (FY2019-FY2026 only)</t>
        </is>
      </c>
      <c r="B15" s="6" t="n"/>
      <c r="C15" s="6" t="n"/>
      <c r="D15" s="6" t="n"/>
      <c r="E15" s="6" t="n"/>
      <c r="F15" s="6" t="n"/>
      <c r="G15" s="6" t="n"/>
      <c r="H15" s="6" t="n"/>
      <c r="I15" s="6" t="n"/>
      <c r="J15" s="6" t="n"/>
      <c r="K15" s="6" t="n"/>
      <c r="L15" s="6" t="n"/>
      <c r="M15" s="6" t="n"/>
    </row>
    <row r="16">
      <c r="A16" s="6" t="inlineStr">
        <is>
          <t>Total coverage ratio (Total ECL / Total gross)</t>
        </is>
      </c>
      <c r="B16" s="6" t="inlineStr">
        <is>
          <t>0.97%</t>
        </is>
      </c>
      <c r="C16" s="6" t="inlineStr">
        <is>
          <t>1.04%</t>
        </is>
      </c>
      <c r="D16" s="6" t="inlineStr">
        <is>
          <t>0.84%</t>
        </is>
      </c>
      <c r="E16" s="6" t="inlineStr">
        <is>
          <t>0.62%</t>
        </is>
      </c>
      <c r="F16" s="6" t="inlineStr">
        <is>
          <t>0.70%</t>
        </is>
      </c>
      <c r="G16" s="6" t="inlineStr">
        <is>
          <t>1.01%</t>
        </is>
      </c>
      <c r="H16" s="6" t="inlineStr">
        <is>
          <t>0.49%</t>
        </is>
      </c>
      <c r="I16" s="6" t="n"/>
      <c r="J16" s="6" t="n"/>
      <c r="K16" s="6" t="n"/>
      <c r="L16" s="6" t="n"/>
      <c r="M16" s="6" t="n"/>
    </row>
    <row r="17">
      <c r="A17" s="6" t="inlineStr">
        <is>
          <t>NPL ratio (Stage 3 gross / Total gross)</t>
        </is>
      </c>
      <c r="B17" s="6" t="inlineStr">
        <is>
          <t>1.6%</t>
        </is>
      </c>
      <c r="C17" s="6" t="inlineStr">
        <is>
          <t>1.9%</t>
        </is>
      </c>
      <c r="D17" s="6" t="inlineStr">
        <is>
          <t>1.5%</t>
        </is>
      </c>
      <c r="E17" s="6" t="inlineStr">
        <is>
          <t>1.4%</t>
        </is>
      </c>
      <c r="F17" s="6" t="inlineStr">
        <is>
          <t>1.3%</t>
        </is>
      </c>
      <c r="G17" s="6" t="inlineStr">
        <is>
          <t>1.18%</t>
        </is>
      </c>
      <c r="H17" s="6" t="inlineStr">
        <is>
          <t>1.10%</t>
        </is>
      </c>
      <c r="I17" s="6" t="n"/>
      <c r="J17" s="6" t="n"/>
      <c r="K17" s="6" t="n"/>
      <c r="L17" s="6" t="n"/>
      <c r="M17" s="6" t="n"/>
    </row>
    <row r="18">
      <c r="A18" s="6" t="inlineStr">
        <is>
          <t>Stage 3 coverage ratio (Stage 3 ECL / Stage 3 gross)</t>
        </is>
      </c>
      <c r="B18" s="6" t="inlineStr">
        <is>
          <t>15.81%</t>
        </is>
      </c>
      <c r="C18" s="6" t="inlineStr">
        <is>
          <t>15.69%</t>
        </is>
      </c>
      <c r="D18" s="6" t="inlineStr">
        <is>
          <t>13.93%</t>
        </is>
      </c>
      <c r="E18" s="6" t="inlineStr">
        <is>
          <t>11.24%</t>
        </is>
      </c>
      <c r="F18" s="6" t="inlineStr">
        <is>
          <t>9.59%</t>
        </is>
      </c>
      <c r="G18" s="6" t="inlineStr">
        <is>
          <t>15.55%</t>
        </is>
      </c>
      <c r="H18" s="6" t="inlineStr">
        <is>
          <t>14.25%</t>
        </is>
      </c>
      <c r="I18" s="6" t="n"/>
      <c r="J18" s="6" t="n"/>
      <c r="K18" s="6" t="n"/>
      <c r="L18" s="6" t="n"/>
      <c r="M18" s="6" t="n"/>
    </row>
    <row r="19">
      <c r="A19" s="5" t="inlineStr">
        <is>
          <t>IAS 39-era asset quality (FY2014-FY2018 - not comparable to IFRS 9 stages above)</t>
        </is>
      </c>
      <c r="B19" s="6" t="n"/>
      <c r="C19" s="6" t="n"/>
      <c r="D19" s="6" t="n"/>
      <c r="E19" s="6" t="n"/>
      <c r="F19" s="6" t="n"/>
      <c r="G19" s="6" t="n"/>
      <c r="H19" s="6" t="n"/>
      <c r="I19" s="6" t="n"/>
      <c r="J19" s="6" t="n"/>
      <c r="K19" s="6" t="n"/>
      <c r="L19" s="6" t="n"/>
      <c r="M19" s="6" t="n"/>
    </row>
    <row r="20">
      <c r="A20" s="6" t="inlineStr">
        <is>
          <t>Gross loans and advances to customers</t>
        </is>
      </c>
      <c r="B20" s="6" t="n"/>
      <c r="C20" s="6" t="n"/>
      <c r="D20" s="6" t="n"/>
      <c r="E20" s="6" t="n"/>
      <c r="F20" s="6" t="n"/>
      <c r="G20" s="6" t="n"/>
      <c r="H20" s="6" t="n"/>
      <c r="I20" s="6" t="n">
        <v>32917</v>
      </c>
      <c r="J20" s="6" t="n">
        <v>31488</v>
      </c>
      <c r="K20" s="6" t="n">
        <v>29396</v>
      </c>
      <c r="L20" s="6" t="n">
        <v>27687</v>
      </c>
      <c r="M20" s="6" t="n">
        <v>26121</v>
      </c>
    </row>
    <row r="21">
      <c r="A21" s="6" t="inlineStr">
        <is>
          <t>90+ days past due (DPD) assets</t>
        </is>
      </c>
      <c r="B21" s="6" t="n"/>
      <c r="C21" s="6" t="n"/>
      <c r="D21" s="6" t="n"/>
      <c r="E21" s="6" t="n"/>
      <c r="F21" s="6" t="n"/>
      <c r="G21" s="6" t="n"/>
      <c r="H21" s="6" t="n"/>
      <c r="I21" s="6" t="n"/>
      <c r="J21" s="6" t="n">
        <v>161</v>
      </c>
      <c r="K21" s="6" t="n">
        <v>150</v>
      </c>
      <c r="L21" s="6" t="n">
        <v>143</v>
      </c>
      <c r="M21" s="6" t="n">
        <v>182</v>
      </c>
    </row>
    <row r="22">
      <c r="A22" s="6" t="inlineStr">
        <is>
          <t>Gross impaired assets</t>
        </is>
      </c>
      <c r="B22" s="6" t="n"/>
      <c r="C22" s="6" t="n"/>
      <c r="D22" s="6" t="n"/>
      <c r="E22" s="6" t="n"/>
      <c r="F22" s="6" t="n"/>
      <c r="G22" s="6" t="n"/>
      <c r="H22" s="6" t="n"/>
      <c r="I22" s="6" t="n"/>
      <c r="J22" s="6" t="n">
        <v>179</v>
      </c>
      <c r="K22" s="6" t="n">
        <v>233</v>
      </c>
      <c r="L22" s="6" t="n">
        <v>263</v>
      </c>
      <c r="M22" s="6" t="n">
        <v>375</v>
      </c>
    </row>
    <row r="23">
      <c r="A23" s="5" t="inlineStr">
        <is>
          <t>Total impairment provisions on credit exposures</t>
        </is>
      </c>
      <c r="B23" s="5" t="n"/>
      <c r="C23" s="5" t="n"/>
      <c r="D23" s="5" t="n"/>
      <c r="E23" s="5" t="n"/>
      <c r="F23" s="5" t="n"/>
      <c r="G23" s="5" t="n"/>
      <c r="H23" s="5" t="n"/>
      <c r="I23" s="5" t="n">
        <v>195</v>
      </c>
      <c r="J23" s="5" t="n">
        <v>210</v>
      </c>
      <c r="K23" s="5" t="n">
        <v>215</v>
      </c>
      <c r="L23" s="5" t="n">
        <v>230</v>
      </c>
      <c r="M23" s="5" t="n">
        <v>245</v>
      </c>
    </row>
    <row r="24">
      <c r="A24" s="6" t="inlineStr">
        <is>
          <t>Total provision to gross loans and acceptances (%, as disclosed)</t>
        </is>
      </c>
      <c r="B24" s="6" t="n"/>
      <c r="C24" s="6" t="n"/>
      <c r="D24" s="6" t="n"/>
      <c r="E24" s="6" t="n"/>
      <c r="F24" s="6" t="n"/>
      <c r="G24" s="6" t="n"/>
      <c r="H24" s="6" t="n"/>
      <c r="I24" s="6" t="n"/>
      <c r="J24" s="6" t="n"/>
      <c r="K24" s="6" t="inlineStr">
        <is>
          <t>0.79%</t>
        </is>
      </c>
      <c r="L24" s="6" t="inlineStr">
        <is>
          <t>0.93%</t>
        </is>
      </c>
      <c r="M24" s="6" t="inlineStr">
        <is>
          <t>1.15%</t>
        </is>
      </c>
    </row>
    <row r="25">
      <c r="A25" s="6" t="inlineStr">
        <is>
          <t>90+DPD plus gross impaired assets to gross loans (%, as disclosed)</t>
        </is>
      </c>
      <c r="B25" s="6" t="n"/>
      <c r="C25" s="6" t="n"/>
      <c r="D25" s="6" t="n"/>
      <c r="E25" s="6" t="n"/>
      <c r="F25" s="6" t="n"/>
      <c r="G25" s="6" t="n"/>
      <c r="H25" s="6" t="n"/>
      <c r="I25" s="6" t="n"/>
      <c r="J25" s="6" t="inlineStr">
        <is>
          <t>1.06%</t>
        </is>
      </c>
      <c r="K25" s="6" t="inlineStr">
        <is>
          <t>1.27%</t>
        </is>
      </c>
      <c r="L25" s="6" t="inlineStr">
        <is>
          <t>1.41%</t>
        </is>
      </c>
      <c r="M25" s="6" t="inlineStr">
        <is>
          <t>2.01%</t>
        </is>
      </c>
    </row>
    <row r="27" ht="286" customHeight="1">
      <c r="A27" s="8" t="inlineStr">
        <is>
          <t>Sources - 'Gross loans and advances ECL and coverage' table (audited), Risk report, Total column, £m:
FY2026/FY2025: Clydesdale Bank PLC 2026 Annual Report and Accounts, p.15 - https://www.virginmoneyukplc.com/downloads/pdf/cb-ara-2026-signed.pdf
FY2023/FY2022: Clydesdale Bank PLC 2023 Annual report &amp; consolidated financial statements, p.22 - https://www.virginmoneyukplc.com/downloads/pdf/cbplc-2023-ar-cfs.pdf
FY2021: Clydesdale Bank PLC 2021 Annual report &amp; consolidated financial statements, p.25 - https://www.virginmoneyukplc.com/downloads/pdf/cb-ara-2021.pdf
FY2020: Clydesdale Bank PLC 2020 Annual Report and Accounts, 'Gross loans and advances by IFRS 9 stage allocation' / 'ECL impairment allowance by IFRS 9 stage allocation' tables (Risk report) - https://www.virginmoneyukplc.com/downloads/pdf/cb-ara-2020.pdf
FY2019: Clydesdale Bank PLC 2019 Annual Report and Accounts, same tables, p.18-25 (Risk report) - https://www.virginmoneyukplc.com/downloads/pdf/cb-ara-2019.pdf
Excludes loans designated at FVTPL, balances due from customers on acceptances, accrued interest and deferred/unamortised fee income - so the Total gross figure here is smaller than the Balance Sheet's 'Loans and advances to customers (amortised cost)' line, which is expected and not reconciled (a source-table scope difference, not an error). Ratios calculated here from the disclosed stage-level figures: NPL ratio = Stage 3 gross / Total gross; Stage 3 coverage = Stage 3 ECL / Stage 3 gross; Total coverage = Total ECL / Total gross - all match the source table's own disclosed coverage percentages exactly. FY2019's Stage 3 figures include POCI (purchased or originated credit-impaired) balances acquired with Virgin Money Holdings (UK) PLC in Oct 2018, combined onto the Stage 3 row rather than shown separately.
FY2014-FY2018 PRE-IFRS 9 NOTE: IFRS 9 (and its Stage 1/2/3 model) was adopted by Clydesdale Bank PLC on 1 October 2018 (transition disclosed in the FY2019 AR); FY2014-FY2018 used the IAS 39 incurred-loss model, which does not have an equivalent stage split. A second table below shows the IAS 39-era metrics as actually disclosed for FY2014-FY2018 (gross loans and advances, 90+ days-past-due assets, impaired assets, total impairment provisions) - these are NOT the same measure as the IFRS 9 Stage 1/2/3 table above and are not comparable to it; see FY2014-FY2018 source citations directly below that table.
FY2014-FY2018 SOURCES (IAS 39-era table): Clydesdale Bank PLC Annual Report and Accounts, Strategic Report / Risk report 'Past due and impaired assets' and 'Impairment provisions on credit exposures' disclosures - FY2014 (own AR, p.~10) - https://www.virginmoneyukplc.com/downloads/pdf/cb-ara-2014.pdf; FY2015 (own AR, p.21-22) - https://www.virginmoneyukplc.com/downloads/pdf/cb-ara-2015.pdf; FY2016 (own AR) - https://www.virginmoneyukplc.com/downloads/pdf/cb-ara-2016.pdf; FY2017 (own AR narrative, p.3) - https://www.virginmoneyukplc.com/downloads/pdf/cb-ara-2017.pdf; FY2018 total impairment provisions only (own AR note 3.6/5.2) - https://www.virginmoneyukplc.com/downloads/pdf/cb-ara-2018.pdf. FY2018's 90+DPD and gross impaired assets £m figures are left blank: the FY2018 Annual Report's entity-level Strategic Report no longer carries this narrative KPI table (confirmed absent by reading the full report), likely because that level of detail migrated to CYBG plc's own group-level annual report following the Feb 2016 demerger - self-skipped per this project's self-skip convention rather than substituting a group-level figure for an entity-level metric.
BASIS NOTE: Balance Sheet/P&amp;L figures for FY2021-FY2025 are CB Group consolidated (matching the Cash Flow Statement's own basis); each year's own originally-published figures are used, not a later restated comparative (e.g. FY2023's own 2023 Annual Report column, not the restated FY2023 comparative shown in the FY2025 report). FY2026 is a genuine entity-basis change: following the Part VII transfer of substantially all of the Bank's business to Nationwide, the FY2026 Annual Report states the Bank 'has not prepared consolidated financial statements' (relying on the Section 400 Companies Act / IFRS 10.4 exemption, since results are now included in Nationwide's own consolidated accounts) - https://www.virginmoneyukplc.com/downloads/pdf/cb-ara-2026-signed.pdf. FY2026's Balance Sheet/P&amp;L/RWA figures are therefore Bank (Company)-solo, not Group consolidated - the last comparable Group figure is FY2025.</t>
        </is>
      </c>
    </row>
  </sheetData>
  <mergeCells count="1">
    <mergeCell ref="A27:M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Clydesdale Bank PLC — Profitability</t>
        </is>
      </c>
    </row>
    <row r="2">
      <c r="A2" s="2" t="inlineStr">
        <is>
          <t>Return on equity and return on assets in per cent, computed from this workbook's own Balance Sheet and Profit &amp; Loss sheets.</t>
        </is>
      </c>
    </row>
    <row r="3">
      <c r="A3" s="4" t="inlineStr">
        <is>
          <t>Metric</t>
        </is>
      </c>
      <c r="B3" s="4" t="inlineStr">
        <is>
          <t>FY2026</t>
        </is>
      </c>
      <c r="C3" s="4" t="inlineStr">
        <is>
          <t>FY2025 (18mo)</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c r="R3" s="4" t="inlineStr">
        <is>
          <t>FY2009</t>
        </is>
      </c>
    </row>
    <row r="4">
      <c r="A4" s="6" t="inlineStr">
        <is>
          <t>Return on equity - average equity basis</t>
        </is>
      </c>
      <c r="B4" s="6" t="inlineStr">
        <is>
          <t>2.68%</t>
        </is>
      </c>
      <c r="C4" s="6" t="inlineStr">
        <is>
          <t>2.66%</t>
        </is>
      </c>
      <c r="D4" s="6" t="inlineStr">
        <is>
          <t>4.12%</t>
        </is>
      </c>
      <c r="E4" s="6" t="inlineStr">
        <is>
          <t>8.67%</t>
        </is>
      </c>
      <c r="F4" s="6" t="inlineStr">
        <is>
          <t>10.06%</t>
        </is>
      </c>
      <c r="G4" s="6" t="inlineStr">
        <is>
          <t>-3.77%</t>
        </is>
      </c>
      <c r="H4" s="6" t="inlineStr">
        <is>
          <t>-3.30%</t>
        </is>
      </c>
      <c r="I4" s="6" t="inlineStr">
        <is>
          <t>-7.08%</t>
        </is>
      </c>
      <c r="J4" s="6" t="inlineStr">
        <is>
          <t>-8.80%</t>
        </is>
      </c>
      <c r="K4" s="6" t="inlineStr">
        <is>
          <t>-16.71%</t>
        </is>
      </c>
      <c r="L4" s="6" t="inlineStr">
        <is>
          <t>-8.35%</t>
        </is>
      </c>
      <c r="M4" s="6" t="inlineStr">
        <is>
          <t>-7.24%</t>
        </is>
      </c>
      <c r="N4" s="6" t="inlineStr">
        <is>
          <t>-1.08%</t>
        </is>
      </c>
      <c r="O4" s="6" t="inlineStr">
        <is>
          <t>-17.14%</t>
        </is>
      </c>
      <c r="P4" s="6" t="inlineStr">
        <is>
          <t>0.66%</t>
        </is>
      </c>
      <c r="Q4" s="6" t="inlineStr">
        <is>
          <t>1.50%</t>
        </is>
      </c>
      <c r="R4" s="6" t="n"/>
    </row>
    <row r="5">
      <c r="A5" s="6" t="inlineStr">
        <is>
          <t>Return on equity - year-end equity basis</t>
        </is>
      </c>
      <c r="B5" s="6" t="inlineStr">
        <is>
          <t>2.69%</t>
        </is>
      </c>
      <c r="C5" s="6" t="inlineStr">
        <is>
          <t>2.67%</t>
        </is>
      </c>
      <c r="D5" s="6" t="inlineStr">
        <is>
          <t>4.38%</t>
        </is>
      </c>
      <c r="E5" s="6" t="inlineStr">
        <is>
          <t>8.11%</t>
        </is>
      </c>
      <c r="F5" s="6" t="inlineStr">
        <is>
          <t>9.53%</t>
        </is>
      </c>
      <c r="G5" s="6" t="inlineStr">
        <is>
          <t>-3.83%</t>
        </is>
      </c>
      <c r="H5" s="6" t="inlineStr">
        <is>
          <t>-2.70%</t>
        </is>
      </c>
      <c r="I5" s="6" t="inlineStr">
        <is>
          <t>-7.26%</t>
        </is>
      </c>
      <c r="J5" s="6" t="inlineStr">
        <is>
          <t>-8.49%</t>
        </is>
      </c>
      <c r="K5" s="6" t="inlineStr">
        <is>
          <t>-17.32%</t>
        </is>
      </c>
      <c r="L5" s="6" t="inlineStr">
        <is>
          <t>-7.20%</t>
        </is>
      </c>
      <c r="M5" s="6" t="inlineStr">
        <is>
          <t>-7.11%</t>
        </is>
      </c>
      <c r="N5" s="6" t="inlineStr">
        <is>
          <t>-1.12%</t>
        </is>
      </c>
      <c r="O5" s="6" t="inlineStr">
        <is>
          <t>-18.05%</t>
        </is>
      </c>
      <c r="P5" s="6" t="inlineStr">
        <is>
          <t>0.63%</t>
        </is>
      </c>
      <c r="Q5" s="6" t="inlineStr">
        <is>
          <t>1.41%</t>
        </is>
      </c>
      <c r="R5" s="6" t="inlineStr">
        <is>
          <t>1.51%</t>
        </is>
      </c>
    </row>
    <row r="6">
      <c r="A6" s="6" t="inlineStr">
        <is>
          <t>Return on assets - average assets basis</t>
        </is>
      </c>
      <c r="B6" s="6" t="inlineStr">
        <is>
          <t>0.17%</t>
        </is>
      </c>
      <c r="C6" s="6" t="inlineStr">
        <is>
          <t>0.17%</t>
        </is>
      </c>
      <c r="D6" s="6" t="inlineStr">
        <is>
          <t>0.27%</t>
        </is>
      </c>
      <c r="E6" s="6" t="inlineStr">
        <is>
          <t>0.57%</t>
        </is>
      </c>
      <c r="F6" s="6" t="inlineStr">
        <is>
          <t>0.59%</t>
        </is>
      </c>
      <c r="G6" s="6" t="inlineStr">
        <is>
          <t>-0.21%</t>
        </is>
      </c>
      <c r="H6" s="6" t="inlineStr">
        <is>
          <t>-0.21%</t>
        </is>
      </c>
      <c r="I6" s="6" t="inlineStr">
        <is>
          <t>-0.55%</t>
        </is>
      </c>
      <c r="J6" s="6" t="inlineStr">
        <is>
          <t>-0.71%</t>
        </is>
      </c>
      <c r="K6" s="6" t="inlineStr">
        <is>
          <t>-1.42%</t>
        </is>
      </c>
      <c r="L6" s="6" t="inlineStr">
        <is>
          <t>-0.66%</t>
        </is>
      </c>
      <c r="M6" s="6" t="inlineStr">
        <is>
          <t>-0.48%</t>
        </is>
      </c>
      <c r="N6" s="6" t="inlineStr">
        <is>
          <t>-0.07%</t>
        </is>
      </c>
      <c r="O6" s="6" t="inlineStr">
        <is>
          <t>-1.03%</t>
        </is>
      </c>
      <c r="P6" s="6" t="inlineStr">
        <is>
          <t>0.04%</t>
        </is>
      </c>
      <c r="Q6" s="6" t="inlineStr">
        <is>
          <t>0.08%</t>
        </is>
      </c>
      <c r="R6" s="6" t="n"/>
    </row>
    <row r="7">
      <c r="A7" s="6" t="inlineStr">
        <is>
          <t>Return on assets - year-end assets basis</t>
        </is>
      </c>
      <c r="B7" s="6" t="inlineStr">
        <is>
          <t>0.16%</t>
        </is>
      </c>
      <c r="C7" s="6" t="inlineStr">
        <is>
          <t>0.17%</t>
        </is>
      </c>
      <c r="D7" s="6" t="inlineStr">
        <is>
          <t>0.27%</t>
        </is>
      </c>
      <c r="E7" s="6" t="inlineStr">
        <is>
          <t>0.57%</t>
        </is>
      </c>
      <c r="F7" s="6" t="inlineStr">
        <is>
          <t>0.60%</t>
        </is>
      </c>
      <c r="G7" s="6" t="inlineStr">
        <is>
          <t>-0.21%</t>
        </is>
      </c>
      <c r="H7" s="6" t="inlineStr">
        <is>
          <t>-0.15%</t>
        </is>
      </c>
      <c r="I7" s="6" t="inlineStr">
        <is>
          <t>-0.55%</t>
        </is>
      </c>
      <c r="J7" s="6" t="inlineStr">
        <is>
          <t>-0.68%</t>
        </is>
      </c>
      <c r="K7" s="6" t="inlineStr">
        <is>
          <t>-1.40%</t>
        </is>
      </c>
      <c r="L7" s="6" t="inlineStr">
        <is>
          <t>-0.64%</t>
        </is>
      </c>
      <c r="M7" s="6" t="inlineStr">
        <is>
          <t>-0.48%</t>
        </is>
      </c>
      <c r="N7" s="6" t="inlineStr">
        <is>
          <t>-0.07%</t>
        </is>
      </c>
      <c r="O7" s="6" t="inlineStr">
        <is>
          <t>-1.06%</t>
        </is>
      </c>
      <c r="P7" s="6" t="inlineStr">
        <is>
          <t>0.04%</t>
        </is>
      </c>
      <c r="Q7" s="6" t="inlineStr">
        <is>
          <t>0.08%</t>
        </is>
      </c>
      <c r="R7" s="6" t="inlineStr">
        <is>
          <t>0.08%</t>
        </is>
      </c>
    </row>
    <row r="8">
      <c r="A8" s="6" t="inlineStr">
        <is>
          <t>Clydesdale Bank PLC's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c r="I8" s="6" t="inlineStr">
        <is>
          <t>Not published</t>
        </is>
      </c>
      <c r="J8" s="6" t="inlineStr">
        <is>
          <t>Not published</t>
        </is>
      </c>
      <c r="K8" s="6" t="inlineStr">
        <is>
          <t>Not published</t>
        </is>
      </c>
      <c r="L8" s="6" t="inlineStr">
        <is>
          <t>Not published</t>
        </is>
      </c>
      <c r="M8" s="6" t="inlineStr">
        <is>
          <t>Not published</t>
        </is>
      </c>
      <c r="N8" s="6" t="inlineStr">
        <is>
          <t>Not published</t>
        </is>
      </c>
      <c r="O8" s="6" t="inlineStr">
        <is>
          <t>Not published</t>
        </is>
      </c>
      <c r="P8" s="6" t="inlineStr">
        <is>
          <t>Not published</t>
        </is>
      </c>
      <c r="Q8" s="6" t="inlineStr">
        <is>
          <t>Not published</t>
        </is>
      </c>
      <c r="R8" s="6" t="inlineStr">
        <is>
          <t>Not published</t>
        </is>
      </c>
    </row>
    <row r="9" ht="169" customHeight="1">
      <c r="A9" s="7" t="inlineStr">
        <is>
          <t>Note: COMPUTED, NOT PUBLISHED. Clydesdale Bank PLC publishes NO ROE, ROA or RoTE in its Annual Report and Accounts for the year ended 31 March 2026 (104 pages, Companies House 'Full accounts made up to 31 March 2026', filed 24 Jul 2026). The filing is a scan with no text layer (pdftotext returns 0 bytes), so all 104 pages were rendered at 130 dpi and OCR'd; searches for 'return on (equity|assets|average|tangible)', '\bROE\b', '\bROA\b', 'RoTE|ROTE' returned ZERO hits across the whole document. The Strategic report states the absence outright under 'Key performance indicators (KPIs)' (printed p.5, PDF p.6): 'Following Virgin Money's acquisition by Nationwide, and with the results and performance of the business now included in the Group's Annual Report and Accounts, the Directors do not place primary reliance on KPIs at the individual subsidiary level. While the Bank continues to assess a range of performance ratios, including asset quality, funding, liquidity, and capital, all of which are highlighted in the Risk report, and therefore no KPI's are presented for the Bank in this report.'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FY2015, where return on equity is -8.35% on an average basis and -7.20% on a year-end basis.
FY2025 DOES NOT COVER TWELVE MONTHS, SO IT IS NOT AN ANNUAL RETURN. FY2025 is an 18-month PRA-approved transition period, 1 October 2023 to 31 March 2025, which moved the year-end from 30 September to 31 March. There is no separate FY2024 column: that period is entirely contained within this one. A return divides a profit-and-loss FLOW by a balance-sheet STOCK, so where the flow covers more or less than a year the quotient is scaled by that period and cannot be read against the columns either side of it. The figures above are printed anyway, and deliberately: both inputs are figures the bank itself published, and the ratio of them is exact. What is wrong is only the interpretation, which this paragraph supplies. They are NOT annualised - a pro-rata adjustment would be this project's arithmetic on a period the bank never annualised, and would invent a figure with no published counterpart.
FY2009 HAS NO AVERAGE-BASIS RATIO, AND THAT IS CORRECT. An average denominator needs an opening balance, and FY2009 is the oldest column this workbook carries, so there is no prior year to open from. The blank is structural, not a missing figure. The year-end basis is shown for FY2009 because it needs only the closing balance.</t>
        </is>
      </c>
    </row>
    <row r="11" ht="170" customHeight="1">
      <c r="A11" s="8" t="inlineStr">
        <is>
          <t>Computed by this workbook's own build script from the Profit &amp; Loss and Balance Sheet sheets of this same workbook - the Profit &amp; Loss row “profit for the period/year” and the Balance Sheet rows “total equity” and “total assets”, resolved BY LABEL at build time through the shared resolver scripts/profitability_rows.py, so this sheet cannot drift from the statements it summarises. Those rows are themselves transcribed from Clydesdale Bank PLC's Annual Report and Accounts for each year; see the source cells on the Balance Sheet and Profit &amp; Loss sheets for the exact document, page and table behind every input to every percentage above.
The finding that Clydesdale Bank PLC publishes no return of its own is recorded in research/profitability/published_returns.jsonl under ‘CLYDESDALE’, verified against the bank's own annual report rendered at 300 dpi.</t>
        </is>
      </c>
    </row>
  </sheetData>
  <mergeCells count="2">
    <mergeCell ref="A11:R11"/>
    <mergeCell ref="A9:R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s>
  <sheetData>
    <row r="1">
      <c r="A1" s="1" t="inlineStr">
        <is>
          <t>Clydesdale Bank PLC — KM1 Key Metrics</t>
        </is>
      </c>
    </row>
    <row r="2">
      <c r="A2" s="2" t="inlineStr">
        <is>
          <t>UK KM1 as published, Clydesdale Bank PLC's own basis (CB Group Consolidated for FY2022/FY2023, CB Solo-Consolidated Group / CRR article 9 individual consolidation for FY2025/FY2026) - taken from Appendix 1 of the Virgin Money UK PLC Pillar 3 reports, never from their VMUK-consolidated body tables. Amounts £m, ratios as printed. FY2021 and earlier pre-date the template - see source note at bottom.</t>
        </is>
      </c>
    </row>
    <row r="3">
      <c r="A3" s="4" t="inlineStr">
        <is>
          <t>Line item</t>
        </is>
      </c>
      <c r="B3" s="4" t="inlineStr">
        <is>
          <t>FY2026</t>
        </is>
      </c>
      <c r="C3" s="4" t="inlineStr">
        <is>
          <t>FY2025 (18mo)</t>
        </is>
      </c>
      <c r="D3" s="4" t="inlineStr">
        <is>
          <t>FY2023</t>
        </is>
      </c>
      <c r="E3" s="4" t="inlineStr">
        <is>
          <t>FY2022</t>
        </is>
      </c>
    </row>
    <row r="4">
      <c r="A4" s="5" t="inlineStr">
        <is>
          <t>Available own funds (amounts) — £m</t>
        </is>
      </c>
      <c r="B4" s="6" t="n"/>
      <c r="C4" s="6" t="n"/>
      <c r="D4" s="6" t="n"/>
      <c r="E4" s="6" t="n"/>
    </row>
    <row r="5">
      <c r="A5" s="6" t="inlineStr">
        <is>
          <t>1    Common Equity Tier 1 (CET1) capital</t>
        </is>
      </c>
      <c r="B5" s="6" t="n">
        <v>4248</v>
      </c>
      <c r="C5" s="6" t="n">
        <v>3900</v>
      </c>
      <c r="D5" s="6" t="n">
        <v>3685</v>
      </c>
      <c r="E5" s="6" t="n">
        <v>3606</v>
      </c>
    </row>
    <row r="6">
      <c r="A6" s="6" t="inlineStr">
        <is>
          <t>2    Tier 1 capital</t>
        </is>
      </c>
      <c r="B6" s="6" t="n">
        <v>4946</v>
      </c>
      <c r="C6" s="6" t="n">
        <v>4593</v>
      </c>
      <c r="D6" s="6" t="n">
        <v>4279</v>
      </c>
      <c r="E6" s="6" t="n">
        <v>4268</v>
      </c>
    </row>
    <row r="7">
      <c r="A7" s="6" t="inlineStr">
        <is>
          <t>3    Total capital</t>
        </is>
      </c>
      <c r="B7" s="6" t="n">
        <v>5747</v>
      </c>
      <c r="C7" s="6" t="n">
        <v>5347</v>
      </c>
      <c r="D7" s="6" t="n">
        <v>5301</v>
      </c>
      <c r="E7" s="6" t="n">
        <v>5288</v>
      </c>
    </row>
    <row r="8">
      <c r="A8" s="5" t="inlineStr">
        <is>
          <t>Risk-weighted exposure amounts — £m</t>
        </is>
      </c>
      <c r="B8" s="6" t="n"/>
      <c r="C8" s="6" t="n"/>
      <c r="D8" s="6" t="n"/>
      <c r="E8" s="6" t="n"/>
    </row>
    <row r="9">
      <c r="A9" s="6" t="inlineStr">
        <is>
          <t>4    Total risk-weighted exposure amount</t>
        </is>
      </c>
      <c r="B9" s="6" t="n">
        <v>29742</v>
      </c>
      <c r="C9" s="6" t="n">
        <v>27555</v>
      </c>
      <c r="D9" s="6" t="n">
        <v>25172</v>
      </c>
      <c r="E9" s="6" t="n">
        <v>24128</v>
      </c>
    </row>
    <row r="10">
      <c r="A10" s="5" t="inlineStr">
        <is>
          <t>Capital ratios (as a percentage of risk-weighted exposure amount)</t>
        </is>
      </c>
      <c r="B10" s="6" t="n"/>
      <c r="C10" s="6" t="n"/>
      <c r="D10" s="6" t="n"/>
      <c r="E10" s="6" t="n"/>
    </row>
    <row r="11">
      <c r="A11" s="6" t="inlineStr">
        <is>
          <t>5    Common Equity Tier 1 ratio (%)</t>
        </is>
      </c>
      <c r="B11" s="6" t="inlineStr">
        <is>
          <t>14.3%</t>
        </is>
      </c>
      <c r="C11" s="6" t="inlineStr">
        <is>
          <t>14.2%</t>
        </is>
      </c>
      <c r="D11" s="6" t="inlineStr">
        <is>
          <t>14.6%</t>
        </is>
      </c>
      <c r="E11" s="6" t="inlineStr">
        <is>
          <t>14.9%</t>
        </is>
      </c>
    </row>
    <row r="12">
      <c r="A12" s="6" t="inlineStr">
        <is>
          <t>6    Tier 1 ratio (%)</t>
        </is>
      </c>
      <c r="B12" s="6" t="inlineStr">
        <is>
          <t>16.6%</t>
        </is>
      </c>
      <c r="C12" s="6" t="inlineStr">
        <is>
          <t>16.7%</t>
        </is>
      </c>
      <c r="D12" s="6" t="inlineStr">
        <is>
          <t>17.0%</t>
        </is>
      </c>
      <c r="E12" s="6" t="inlineStr">
        <is>
          <t>17.7%</t>
        </is>
      </c>
    </row>
    <row r="13">
      <c r="A13" s="6" t="inlineStr">
        <is>
          <t>7    Total capital ratio (%)</t>
        </is>
      </c>
      <c r="B13" s="6" t="inlineStr">
        <is>
          <t>19.3%</t>
        </is>
      </c>
      <c r="C13" s="6" t="inlineStr">
        <is>
          <t>19.4%</t>
        </is>
      </c>
      <c r="D13" s="6" t="inlineStr">
        <is>
          <t>21.1%</t>
        </is>
      </c>
      <c r="E13" s="6" t="inlineStr">
        <is>
          <t>21.9%</t>
        </is>
      </c>
    </row>
    <row r="14">
      <c r="A14" s="5" t="inlineStr">
        <is>
          <t>Additional own funds requirements based on SREP (as a percentage of risk-weighted exposure amount)</t>
        </is>
      </c>
      <c r="B14" s="6" t="n"/>
      <c r="C14" s="6" t="n"/>
      <c r="D14" s="6" t="n"/>
      <c r="E14" s="6" t="n"/>
    </row>
    <row r="15">
      <c r="A15" s="6" t="inlineStr">
        <is>
          <t>UK 7a    Additional CET1 SREP requirements (%)</t>
        </is>
      </c>
      <c r="B15" s="6" t="inlineStr">
        <is>
          <t>2.0%</t>
        </is>
      </c>
      <c r="C15" s="6" t="inlineStr">
        <is>
          <t>2.1%</t>
        </is>
      </c>
      <c r="D15" s="6" t="inlineStr">
        <is>
          <t>1.7%</t>
        </is>
      </c>
      <c r="E15" s="6" t="inlineStr">
        <is>
          <t>1.7%</t>
        </is>
      </c>
    </row>
    <row r="16">
      <c r="A16" s="6" t="inlineStr">
        <is>
          <t>UK 7b    Additional AT1 SREP requirements (%)</t>
        </is>
      </c>
      <c r="B16" s="6" t="inlineStr">
        <is>
          <t>0.7%</t>
        </is>
      </c>
      <c r="C16" s="6" t="inlineStr">
        <is>
          <t>0.7%</t>
        </is>
      </c>
      <c r="D16" s="6" t="inlineStr">
        <is>
          <t>0.6%</t>
        </is>
      </c>
      <c r="E16" s="6" t="inlineStr">
        <is>
          <t>0.6%</t>
        </is>
      </c>
    </row>
    <row r="17">
      <c r="A17" s="6" t="inlineStr">
        <is>
          <t>UK 7c    Additional T2 SREP requirements (%)</t>
        </is>
      </c>
      <c r="B17" s="6" t="inlineStr">
        <is>
          <t>0.9%</t>
        </is>
      </c>
      <c r="C17" s="6" t="inlineStr">
        <is>
          <t>1.0%</t>
        </is>
      </c>
      <c r="D17" s="6" t="inlineStr">
        <is>
          <t>0.7%</t>
        </is>
      </c>
      <c r="E17" s="6" t="inlineStr">
        <is>
          <t>0.8%</t>
        </is>
      </c>
    </row>
    <row r="18">
      <c r="A18" s="6" t="inlineStr">
        <is>
          <t>UK 7d    Total SREP own funds requirements (%)</t>
        </is>
      </c>
      <c r="B18" s="6" t="inlineStr">
        <is>
          <t>11.6%</t>
        </is>
      </c>
      <c r="C18" s="6" t="inlineStr">
        <is>
          <t>11.8%</t>
        </is>
      </c>
      <c r="D18" s="6" t="inlineStr">
        <is>
          <t>11.0%</t>
        </is>
      </c>
      <c r="E18" s="6" t="inlineStr">
        <is>
          <t>11.1%</t>
        </is>
      </c>
    </row>
    <row r="19">
      <c r="A19" s="5" t="inlineStr">
        <is>
          <t>Combined buffer requirement (as a percentage of risk-weighted exposure amount)</t>
        </is>
      </c>
      <c r="B19" s="6" t="n"/>
      <c r="C19" s="6" t="n"/>
      <c r="D19" s="6" t="n"/>
      <c r="E19" s="6" t="n"/>
    </row>
    <row r="20">
      <c r="A20" s="6" t="inlineStr">
        <is>
          <t>8    Capital conservation buffer (%)</t>
        </is>
      </c>
      <c r="B20" s="6" t="inlineStr">
        <is>
          <t>2.5%</t>
        </is>
      </c>
      <c r="C20" s="6" t="inlineStr">
        <is>
          <t>2.5%</t>
        </is>
      </c>
      <c r="D20" s="6" t="inlineStr">
        <is>
          <t>2.5%</t>
        </is>
      </c>
      <c r="E20" s="6" t="inlineStr">
        <is>
          <t>2.5%</t>
        </is>
      </c>
    </row>
    <row r="21">
      <c r="A21" s="6" t="inlineStr">
        <is>
          <t>9    Institution specific countercyclical capital buffer (%)</t>
        </is>
      </c>
      <c r="B21" s="6" t="inlineStr">
        <is>
          <t>2.0%</t>
        </is>
      </c>
      <c r="C21" s="6" t="inlineStr">
        <is>
          <t>2.0%</t>
        </is>
      </c>
      <c r="D21" s="6" t="inlineStr">
        <is>
          <t>2.0%</t>
        </is>
      </c>
      <c r="E21" s="6" t="n"/>
    </row>
    <row r="22">
      <c r="A22" s="6" t="inlineStr">
        <is>
          <t>UK 10a    Other Systemically Important Institution buffer (%)</t>
        </is>
      </c>
      <c r="B22" s="6" t="inlineStr">
        <is>
          <t>0.0%</t>
        </is>
      </c>
      <c r="C22" s="6" t="inlineStr">
        <is>
          <t>0.0%</t>
        </is>
      </c>
      <c r="D22" s="6" t="inlineStr">
        <is>
          <t>0.0%</t>
        </is>
      </c>
      <c r="E22" s="6" t="n"/>
    </row>
    <row r="23">
      <c r="A23" s="6" t="inlineStr">
        <is>
          <t>11    Combined buffer requirement (%)</t>
        </is>
      </c>
      <c r="B23" s="6" t="inlineStr">
        <is>
          <t>4.5%</t>
        </is>
      </c>
      <c r="C23" s="6" t="inlineStr">
        <is>
          <t>4.5%</t>
        </is>
      </c>
      <c r="D23" s="6" t="inlineStr">
        <is>
          <t>4.5%</t>
        </is>
      </c>
      <c r="E23" s="6" t="inlineStr">
        <is>
          <t>2.5%</t>
        </is>
      </c>
    </row>
    <row r="24">
      <c r="A24" s="6" t="inlineStr">
        <is>
          <t>UK 11a    Overall capital requirements (%)</t>
        </is>
      </c>
      <c r="B24" s="6" t="inlineStr">
        <is>
          <t>16.1%</t>
        </is>
      </c>
      <c r="C24" s="6" t="inlineStr">
        <is>
          <t>16.3%</t>
        </is>
      </c>
      <c r="D24" s="6" t="inlineStr">
        <is>
          <t>15.5%</t>
        </is>
      </c>
      <c r="E24" s="6" t="inlineStr">
        <is>
          <t>13.6%</t>
        </is>
      </c>
    </row>
    <row r="25">
      <c r="A25" s="6" t="inlineStr">
        <is>
          <t>12    CET1 available after meeting the total SREP own funds requirements (%)</t>
        </is>
      </c>
      <c r="B25" s="6" t="inlineStr">
        <is>
          <t>7.8%</t>
        </is>
      </c>
      <c r="C25" s="6" t="inlineStr">
        <is>
          <t>7.5%</t>
        </is>
      </c>
      <c r="D25" s="6" t="inlineStr">
        <is>
          <t>8.4%</t>
        </is>
      </c>
      <c r="E25" s="6" t="inlineStr">
        <is>
          <t>8.7%</t>
        </is>
      </c>
    </row>
    <row r="26">
      <c r="A26" s="5" t="inlineStr">
        <is>
          <t>Leverage ratio — amounts £m</t>
        </is>
      </c>
      <c r="B26" s="6" t="n"/>
      <c r="C26" s="6" t="n"/>
      <c r="D26" s="6" t="n"/>
      <c r="E26" s="6" t="n"/>
    </row>
    <row r="27">
      <c r="A27" s="6" t="inlineStr">
        <is>
          <t>13    Total exposure measure excluding claims on central banks</t>
        </is>
      </c>
      <c r="B27" s="6" t="n">
        <v>78792</v>
      </c>
      <c r="C27" s="6" t="n">
        <v>83120</v>
      </c>
      <c r="D27" s="6" t="n">
        <v>86545</v>
      </c>
      <c r="E27" s="6" t="n">
        <v>83758</v>
      </c>
    </row>
    <row r="28">
      <c r="A28" s="6" t="inlineStr">
        <is>
          <t>14    Leverage ratio excluding claims on central banks (%)</t>
        </is>
      </c>
      <c r="B28" s="6" t="inlineStr">
        <is>
          <t>6.3%</t>
        </is>
      </c>
      <c r="C28" s="6" t="inlineStr">
        <is>
          <t>5.5%</t>
        </is>
      </c>
      <c r="D28" s="6" t="inlineStr">
        <is>
          <t>4.9%</t>
        </is>
      </c>
      <c r="E28" s="6" t="inlineStr">
        <is>
          <t>5.1%</t>
        </is>
      </c>
    </row>
    <row r="29">
      <c r="A29" s="5" t="inlineStr">
        <is>
          <t>Additional leverage ratio disclosure requirements</t>
        </is>
      </c>
      <c r="B29" s="6" t="n"/>
      <c r="C29" s="6" t="n"/>
      <c r="D29" s="6" t="n"/>
      <c r="E29" s="6" t="n"/>
    </row>
    <row r="30">
      <c r="A30" s="6" t="inlineStr">
        <is>
          <t>14a    Fully loaded Expected Credit Loss (ECL) accounting model leverage ratio excluding claims on central banks (%)</t>
        </is>
      </c>
      <c r="B30" s="6" t="inlineStr">
        <is>
          <t>6.3%</t>
        </is>
      </c>
      <c r="C30" s="6" t="inlineStr">
        <is>
          <t>5.5%</t>
        </is>
      </c>
      <c r="D30" s="6" t="inlineStr">
        <is>
          <t>4.8%</t>
        </is>
      </c>
      <c r="E30" s="6" t="inlineStr">
        <is>
          <t>5.0%</t>
        </is>
      </c>
    </row>
    <row r="31">
      <c r="A31" s="6" t="inlineStr">
        <is>
          <t>14b    Leverage ratio including claims on central banks (%)</t>
        </is>
      </c>
      <c r="B31" s="6" t="inlineStr">
        <is>
          <t>5.3%</t>
        </is>
      </c>
      <c r="C31" s="6" t="inlineStr">
        <is>
          <t>5.0%</t>
        </is>
      </c>
      <c r="D31" s="6" t="inlineStr">
        <is>
          <t>4.5%</t>
        </is>
      </c>
      <c r="E31" s="6" t="inlineStr">
        <is>
          <t>4.5%</t>
        </is>
      </c>
    </row>
    <row r="32">
      <c r="A32" s="6" t="inlineStr">
        <is>
          <t>14c    Average leverage ratio excluding claims on central banks (%)</t>
        </is>
      </c>
      <c r="B32" s="6" t="inlineStr">
        <is>
          <t>6.1%</t>
        </is>
      </c>
      <c r="C32" s="6" t="inlineStr">
        <is>
          <t>5.3%</t>
        </is>
      </c>
      <c r="D32" s="6" t="inlineStr">
        <is>
          <t>4.9%</t>
        </is>
      </c>
      <c r="E32" s="6" t="inlineStr">
        <is>
          <t>5.0%</t>
        </is>
      </c>
    </row>
    <row r="33">
      <c r="A33" s="6" t="inlineStr">
        <is>
          <t>14d    Average leverage ratio including claims on central banks (%)</t>
        </is>
      </c>
      <c r="B33" s="6" t="inlineStr">
        <is>
          <t>5.3%</t>
        </is>
      </c>
      <c r="C33" s="6" t="inlineStr">
        <is>
          <t>4.8%</t>
        </is>
      </c>
      <c r="D33" s="6" t="inlineStr">
        <is>
          <t>4.4%</t>
        </is>
      </c>
      <c r="E33" s="6" t="inlineStr">
        <is>
          <t>4.4%</t>
        </is>
      </c>
    </row>
    <row r="34">
      <c r="A34" s="6" t="inlineStr">
        <is>
          <t>14e    Countercyclical leverage ratio buffer (%)</t>
        </is>
      </c>
      <c r="B34" s="6" t="inlineStr">
        <is>
          <t>0.7%</t>
        </is>
      </c>
      <c r="C34" s="6" t="inlineStr">
        <is>
          <t>0.7%</t>
        </is>
      </c>
      <c r="D34" s="6" t="inlineStr">
        <is>
          <t>0.7%</t>
        </is>
      </c>
      <c r="E34" s="6" t="inlineStr">
        <is>
          <t>0.0%</t>
        </is>
      </c>
    </row>
    <row r="35">
      <c r="A35" s="5" t="inlineStr">
        <is>
          <t>Liquidity Coverage Ratio — amounts £m, 12-month average of month-end observations</t>
        </is>
      </c>
      <c r="B35" s="6" t="n"/>
      <c r="C35" s="6" t="n"/>
      <c r="D35" s="6" t="n"/>
      <c r="E35" s="6" t="n"/>
    </row>
    <row r="36">
      <c r="A36" s="6" t="inlineStr">
        <is>
          <t>15    Total high-quality liquid assets (HQLA) (Weighted value - average)</t>
        </is>
      </c>
      <c r="B36" s="6" t="n">
        <v>16246</v>
      </c>
      <c r="C36" s="6" t="n">
        <v>14868</v>
      </c>
      <c r="D36" s="6" t="n">
        <v>13798</v>
      </c>
      <c r="E36" s="6" t="n">
        <v>11503</v>
      </c>
    </row>
    <row r="37">
      <c r="A37" s="6" t="inlineStr">
        <is>
          <t>UK 16a    Cash outflows - Total weighted value</t>
        </is>
      </c>
      <c r="B37" s="6" t="n">
        <v>10312</v>
      </c>
      <c r="C37" s="6" t="n">
        <v>9857</v>
      </c>
      <c r="D37" s="6" t="n">
        <v>9933</v>
      </c>
      <c r="E37" s="6" t="n">
        <v>8764</v>
      </c>
    </row>
    <row r="38">
      <c r="A38" s="6" t="inlineStr">
        <is>
          <t>UK 16b    Cash inflows - Total weighted value</t>
        </is>
      </c>
      <c r="B38" s="6" t="n">
        <v>400</v>
      </c>
      <c r="C38" s="6" t="n">
        <v>443</v>
      </c>
      <c r="D38" s="6" t="n">
        <v>509</v>
      </c>
      <c r="E38" s="6" t="n">
        <v>543</v>
      </c>
    </row>
    <row r="39">
      <c r="A39" s="6" t="inlineStr">
        <is>
          <t>16    Total net cash outflows (adjusted value)</t>
        </is>
      </c>
      <c r="B39" s="6" t="n">
        <v>9912</v>
      </c>
      <c r="C39" s="6" t="n">
        <v>9414</v>
      </c>
      <c r="D39" s="6" t="n">
        <v>9424</v>
      </c>
      <c r="E39" s="6" t="n">
        <v>8222</v>
      </c>
    </row>
    <row r="40">
      <c r="A40" s="6" t="inlineStr">
        <is>
          <t>17    Liquidity coverage ratio (%)</t>
        </is>
      </c>
      <c r="B40" s="6" t="inlineStr">
        <is>
          <t>164%</t>
        </is>
      </c>
      <c r="C40" s="6" t="inlineStr">
        <is>
          <t>158%</t>
        </is>
      </c>
      <c r="D40" s="6" t="inlineStr">
        <is>
          <t>146%</t>
        </is>
      </c>
      <c r="E40" s="6" t="inlineStr">
        <is>
          <t>140%</t>
        </is>
      </c>
    </row>
    <row r="41">
      <c r="A41" s="5" t="inlineStr">
        <is>
          <t>Net Stable Funding Ratio — amounts £m</t>
        </is>
      </c>
      <c r="B41" s="6" t="n"/>
      <c r="C41" s="6" t="n"/>
      <c r="D41" s="6" t="n"/>
      <c r="E41" s="6" t="n"/>
    </row>
    <row r="42">
      <c r="A42" s="6" t="inlineStr">
        <is>
          <t>18    Total available stable funding</t>
        </is>
      </c>
      <c r="B42" s="6" t="n">
        <v>78219</v>
      </c>
      <c r="C42" s="6" t="n">
        <v>77427</v>
      </c>
      <c r="D42" s="6" t="n">
        <v>79295</v>
      </c>
      <c r="E42" s="6" t="n"/>
    </row>
    <row r="43">
      <c r="A43" s="6" t="inlineStr">
        <is>
          <t>19    Total required stable funding</t>
        </is>
      </c>
      <c r="B43" s="6" t="n">
        <v>54560</v>
      </c>
      <c r="C43" s="6" t="n">
        <v>54375</v>
      </c>
      <c r="D43" s="6" t="n">
        <v>58450</v>
      </c>
      <c r="E43" s="6" t="n"/>
    </row>
    <row r="44">
      <c r="A44" s="6" t="inlineStr">
        <is>
          <t>20    NSFR ratio (%)</t>
        </is>
      </c>
      <c r="B44" s="6" t="inlineStr">
        <is>
          <t>143%</t>
        </is>
      </c>
      <c r="C44" s="6" t="inlineStr">
        <is>
          <t>142%</t>
        </is>
      </c>
      <c r="D44" s="6" t="inlineStr">
        <is>
          <t>136%</t>
        </is>
      </c>
      <c r="E44" s="6" t="n"/>
    </row>
    <row r="46" ht="409" customHeight="1">
      <c r="A46" s="8" t="inlineStr">
        <is>
          <t>Sources - Clydesdale Bank PLC's own UK KM1, each year from the edition in which that date is the REPORTING date. Amounts £m; ratios as each edition prints them.
FY2026 (31 Mar 2026): Clydesdale Bank PLC Pillar 3 Disclosures 2026, section 2.1 'UK KM1 - Key metrics', printed pp.5-6, column a - https://www.virginmoneyukplc.com/downloads/pdf/cb-2026-pillar-3-report.pdf
FY2025 (18mo, to 31 Mar 2025): Virgin Money UK PLC Pillar 3 Disclosures 2025, APPENDIX 1 'Disclosures for CB Solo-Consolidated Group', section 21.1.2 'UK KM1 - Key metrics', printed pp.140-141, column a - https://www.virginmoneyukplc.com/downloads/pdf/vmukplc-2025-pillar-3-report.pdf
FY2023 (30 Sep 2023): Virgin Money UK PLC Pillar 3 Disclosures 2023, APPENDIX 1 'Disclosures for CB Group Consolidated', section 21.1.2, printed pp.123-124, column A - https://www.virginmoneyukplc.com/downloads/pdf/vmukplc-2023-pillar-3-report.pdf
FY2022 (30 Sep 2022): Virgin Money UK PLC Pillar 3 Disclosures 2022, APPENDIX 1 'Disclosures for CB Group Consolidated', section 21.1.2, printed pp.103-104, column A - https://www.virginmoneyukplc.com/downloads/pdf/vmukplc-2022-pillar-3-report.pdf
FY2021 and earlier: BLANK - see below.
THE APPENDIX, NOT THE BODY. Three of the four editions above are titled 'Virgin Money UK PLC Pillar 3 Disclosures' and print TWO UK KM1 tables: one in the body, on the VMUK (sub-)consolidated basis, and one in Appendix 1 on Clydesdale Bank PLC's own basis. Only the appendix table is used here. The two are close enough to be mistaken for each other and far enough apart to matter - at 30 Sep 2023 VMUK's CET1 is 3,711 against CB's 3,685, and at 30 Sep 2021 VMUK's is 3,616 against CB's 3,603.
COLUMN SET BELONGS TO THE TABLE. Each edition prints four to six columns, being the reporting date plus the preceding quarter-ends (FY2026: a-e, 31 Mar 26 back to 31 Mar 25; FY2025: a-f, 31 Mar 25 back to 31 Dec 23; FY2023 and FY2022: A-E, five quarter-ends). Only the column whose date is the financial year end is carried; the intra-year quarter columns are recorded here and not used.
BASIS CAPTION CHANGES MID-SERIES, WITH NO STATED CHANGE OF PERIMETER. FY2022 and FY2023 head the appendix 'CB Group Consolidated'; FY2025 heads it 'CB Solo-Consolidated Group' and explains it as 'the individual (or solo) consolidated disclosures required for Clydesdale Bank PLC..., which aligns with... the CRR article 9 individual consolidation permission the Bank holds'; FY2026's own report says 'The numbers presented within this report (with the exception of liquidity metrics) are on an individual (or solo) consolidated basis'. No edition says the perimeter itself moved, and the FY2026 edition's 31 Mar 25 comparative column reproduces every FY2025 figure here identically, so the change reads as a caption rather than a restatement - but it is recorded rather than smoothed over, because this workbook cannot verify a perimeter it was never shown.
ROW-SET DRIFT BETWEEN EDITIONS, all reproduced as printed:
- Rows 9 (institution-specific countercyclical buffer) and UK 10a (O-SII buffer) are NOT PRINTED at all by the FY2022 edition, so FY2022 is blank on both. The FY2023 edition's own 30 Sept 2022 comparative does print them, both as 0.0% - that figure is deliberately not back-filled here, because a row the bank did not print is not the same thing as a row printed zero.</t>
        </is>
      </c>
    </row>
    <row r="48" ht="409" customHeight="1">
      <c r="A48" s="8" t="inlineStr">
        <is>
          <t>(continued)
- Rows 18-20 (NSFR) are absent from the FY2022 edition entirely, and blank in the FY2023 edition's 31 Dec 2022 and 30 Sept 2022 columns, footnoted 'In line with PRA guidance, disclosures for the NSFR were not required until reporting reference dates after 1 January 2023.' With a 30 September year end that makes FY2023 the Bank's first KM1 NSFR. The 136% this workbook's NSFR sheet shows for FY2022 is the Bank's own voluntary Annual Report figure on a different basis - see that sheet.
- Row 10 (G-SII buffer) and rows UK 8a / UK 9a are not printed in any edition.
- Row numbering style differs: the FY2022/FY2023 editions print 'UK-7a', 'UK-10a', 'UK-11a' with a hyphen and write ratios with a per-cent sign ('14.9%'); FY2025/FY2026 print 'UK 7a' with a space and write ratios bare ('14.2'). The most recent form is used for the row labels here and the variants recorded in this note; no figure is affected.
RULE 1 PAID OFF ON THE LEVERAGE ROWS. FY2022's own edition prints a 30 Sep 2022 leverage exposure measure of 83,758 (row 13) and 5.1% (row 14). The FY2023 edition's 30 Sept 2022 comparative prints 85,921 and 5.0% for the same date, footnoted 'The comparative figures include a restatement to qualifying central bank claims which have been adjusted to exclude encumbered note cover and payments system collateral balances.' FY2022's own-edition figures are the ones shown; the restated comparative is recorded here and not used. The FY2022 edition carries a restatement footnote of its own in the other direction ('Following the implementation of PS22/21 effective from 1 January 2022, the comparative figures have been restated to reflect the exclusion of the BBLS from the exposure value'), which affects only its own 31 Dec 2021 / 30 Sept 2021 comparative columns, none of which are used.
FY2021 AND EARLIER ARE BLANK, AND NOT FOR WANT OF LOOKING. Virgin Money UK PLC's Pillar 3 Disclosures 2021 (https://www.virginmoneyukplc.com/downloads/pdf/vm-pillar-3-2021.pdf) contains no UK KM1 for CB or for VMUK: the template arrived with the Disclosure (CRR) Part of the PRA Rulebook, applicable from 1 January 2022, and that edition's reporting date is 30 September 2021. Its Appendix 1 'Disclosures for CB Group consolidated' (printed pp.77-81) carries Table 57 'Capital composition' (the UK CC1 own-funds build-up), Table 58 'Capital flow statement', Table 59 'IFRS 9-FL', Table 60 'Reconciliation of statutory equity to regulatory capital' and Tables 61/62 (LRSum/LRCom) - a different row set, not an unnumbered KM1, so mapping it onto template row numbers would invent a correspondence the Bank never published. Checked three ways rather than one: the string 'KM1' occurs zero times in the whole 108-page document while 'capital' occurs 463 times, 'ratio' 284 and 'leverage' 71 (so the zero is a fact about the document, not a failed extraction); the document's own contents page lists every table by name and none is a key-metrics template; and 'pdfimages -list' over the appendix pages returns nothing at all, so no table is hiding in a bitmap. FY2020 and earlier pre-date CB PLC's Pillar 3 archive at this entity level altogether - those years' capital metrics come from the Annual Report's Risk Report, which is not this template and is not back-filled onto it.
LATEST-EDITION CHECK, 2026-09-16: read off virginmoneyukplc.com's own 'Annual reports' and 'Financial results' pages (which is where Clydesdale Bank PLC's own documents are hosted - the entity has no separate investor site), not from the URLs previously cited here. The newest annual Pillar 3 of any kind is the Clydesdale Bank PLC Pillar 3 Disclosures 2026 already used above; the newest document of any kind is the CB PLC quarterly Pillar 3 disclosure at 31 December 2025 (cbplc-dec25-quarterly-pillar3-disclosure.pdf), which is an interim date already carried as column b of the FY2026 annual KM1 and so adds nothing. No FY2027 edition exists and, on the Bank's own statement, none ever will: 'Post Part VII transfer, the Company no longer meets the thresholds for Large subsidiary reporting, and it is therefore not expected that the Company will produce Pillar 3 disclosures for subsequent financial periods' (2026 report, Introduction). Checked, none newer. YEARS unchanged.</t>
        </is>
      </c>
    </row>
    <row r="50" ht="409" customHeight="1">
      <c r="A50" s="8" t="inlineStr">
        <is>
          <t>(continued)
ENTITY NOTE: Clydesdale Bank PLC (company number SC001111) is the PRA-authorised entity (FRN 121873) and the main operating banking subsidiary of Virgin Money UK PLC. On 28 July 2026 the company re-registered from a public limited company to a private limited company and is now named 'Clydesdale Bank Limited' - this workbook uses 'Clydesdale Bank PLC' throughout since that was its name for the entirety of the period covered (FY2021-FY2026). The fiscal year-end changed from 30 September to 31 March via a PRA-approved 18-month transition period (1 October 2023 - 31 March 2025, shown as 'FY2025 (18mo)' below); there is no separate FY2024 - that period is entirely contained within the 18-month column. Cash flow and Pillar 3 figures are on the 'CB Group Consolidated' / 'CB Solo-Consolidated Group' basis (Clydesdale Bank PLC's own consolidation perimeter) rather than the wider Virgin Money UK PLC group, consistent with the ring-fenced-entity basis used elsewhere in this workbook series; most annual Pillar 3 reports through FY2025 are published under the 'Virgin Money UK PLC' title but contain a dedicated CB Group Consolidated appendix, which is what is cited here.
NATIONWIDE ACQUISITION NOTE: Nationwide Building Society completed its acquisition of Virgin Money UK PLC (Clydesdale Bank PLC's parent) on 1 October 2024. On 14 November 2025 the Bank's Directors publicly announced a decision to move substantially all of the Bank's business to Nationwide by way of a Part VII banking business transfer; the High Court approved the transfer on 23 February 2026 and on 2 April 2026 the majority of the Bank's assets and liabilities transferred to Nationwide. At 31 March 2026 the transferred assets/liabilities were classified as a disposal group 'held for distribution' and the related financial performance presented as a discontinued operation (FY2026 Annual Report and Accounts, p.60) - https://www.virginmoneyukplc.com/downloads/pdf/cb-ara-2026-signed.pdf.</t>
        </is>
      </c>
    </row>
  </sheetData>
  <mergeCells count="3">
    <mergeCell ref="A50:E50"/>
    <mergeCell ref="A46:E46"/>
    <mergeCell ref="A48:E4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Clydesdale Bank PLC — CET1 Capital</t>
        </is>
      </c>
    </row>
    <row r="2">
      <c r="A2" s="2" t="inlineStr">
        <is>
          <t>CB consolidated basis, £m</t>
        </is>
      </c>
    </row>
    <row r="3">
      <c r="A3" s="4" t="inlineStr">
        <is>
          <t>Metric</t>
        </is>
      </c>
      <c r="B3" s="4" t="inlineStr">
        <is>
          <t>FY2026</t>
        </is>
      </c>
      <c r="C3" s="4" t="inlineStr">
        <is>
          <t>FY2025 (18mo)</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capital</t>
        </is>
      </c>
      <c r="B4" s="6" t="n">
        <v>4248</v>
      </c>
      <c r="C4" s="6" t="n">
        <v>3900</v>
      </c>
      <c r="D4" s="6" t="n">
        <v>3685</v>
      </c>
      <c r="E4" s="6" t="n">
        <v>3606</v>
      </c>
      <c r="F4" s="6" t="n">
        <v>3603</v>
      </c>
      <c r="G4" s="6" t="n">
        <v>3508</v>
      </c>
      <c r="H4" s="6" t="n">
        <v>3462</v>
      </c>
      <c r="I4" s="6" t="n">
        <v>2148</v>
      </c>
      <c r="J4" s="6" t="n">
        <v>2440</v>
      </c>
      <c r="K4" s="6" t="n">
        <v>2393</v>
      </c>
      <c r="L4" s="6" t="n">
        <v>2420</v>
      </c>
      <c r="M4" s="6" t="n">
        <v>2227</v>
      </c>
    </row>
    <row r="6" ht="260" customHeight="1">
      <c r="A6" s="8" t="inlineStr">
        <is>
          <t>Sources - Clydesdale Bank PLC (CB) Group/Solo-Consolidated basis:
FY2026: Clydesdale Bank PLC 2026 Pillar 3 Report, p.5-6 (2.1 UK KM1 - Key metrics) - https://www.virginmoneyukplc.com/downloads/pdf/cb-2026-pillar-3-report.pdf
FY2025 (18mo): Virgin Money UK PLC 2025 Pillar 3 Report, p.140 (21.1.2 UK KM1 - Key metrics (Appendix 1: CB Solo-Consolidated Group)) - https://www.virginmoneyukplc.com/downloads/pdf/vmukplc-2025-pillar-3-report.pdf
FY2023: Virgin Money UK PLC 2023 Pillar 3 Report, p.123 (21.1.2 UK KM1 - Key metrics (Appendix 1: CB Group Consolidated)) - https://www.virginmoneyukplc.com/downloads/pdf/vmukplc-2023-pillar-3-report.pdf
FY2022: Virgin Money UK PLC 2022 Pillar 3 Report, p.103 (21.1.2 UK KM1 - Key metrics (Appendix 1: CB Group Consolidated)) - https://www.virginmoneyukplc.com/downloads/pdf/vmukplc-2022-pillar-3-report.pdf
FY2021: Virgin Money UK PLC 2021 Pillar 3 Report, p.77, 79 (Table 57/59 (Appendix 1: Disclosures for CB Group consolidated)) - https://www.virginmoneyukplc.com/downloads/pdf/vm-pillar-3-2021.pdf
FY2014-FY2020 sources (no standalone Clydesdale Bank PLC Pillar 3 report exists for these years - capital/RWA/leverage/LCR/NSFR/MREL metrics are embedded in the Annual Report's Risk Report/Strategic Report 'Capital position' and liquidity sections instead, entity-level, confirmed by reading each report):
FY2020 (own AR, Risk report 'Capital position'/'Capital risk', p.55-61) - https://www.virginmoneyukplc.com/downloads/pdf/cb-ara-2020.pdf
FY2019 (own AR, Strategic Report 'Capital position', p.15-16) - https://www.virginmoneyukplc.com/downloads/pdf/cb-ara-2019.pdf
FY2018 (own AR, Risk Report 'Balance sheet &amp; prudential regulation risks', p.35-38) - https://www.virginmoneyukplc.com/downloads/pdf/cb-ara-2018.pdf
FY2017 (FY2018 AR's FY2017 comparative column, same tables) - https://www.virginmoneyukplc.com/downloads/pdf/cb-ara-2018.pdf
FY2016 (own AR, Risk Report 'Balance sheet &amp; prudential regulation risks', p.39-42) - https://www.virginmoneyukplc.com/downloads/pdf/cb-ara-2016.pdf
FY2015 (FY2016 AR's FY2015 comparative column, same tables; also own AR Strategic Report 'Capital position', p.20-23) - https://www.virginmoneyukplc.com/downloads/pdf/cb-ara-2016.pdf , https://www.virginmoneyukplc.com/downloads/pdf/cb-ara-2015.pdf
FY2014 (own AR, Strategic Report 'Capital position', p.17-19) - https://www.virginmoneyukplc.com/downloads/pdf/cb-ara-2014.pdf
HD-047 HISTORICAL SOURCING NOTE (FY2014-FY2020): all figures on this sheet for these years are transcribed from Clydesdale Bank PLC's own entity-level Annual Report and Accounts for that year, each year's own originally-published figures (not a later restated comparative), Group consolidated basis throughout. FY2015, FY2017 and FY2019 P&amp;L/OCI figures were read from that year's own comparative column inside the FOLLOWING year's Annual Report (e.g. FY2015 from the FY2016 AR) where that gave a cleaner typeset extraction than the year's own PDF; FY2014, FY2016, FY2018 and FY2020 are each read from that year's own AR directly. The FY2014 Balance Sheet was recovered via OCR (Tesseract) since that one page of the source PDF is an embedded image with no text layer - cross-checked against the FY2014 Statement of Changes in Equity's independently-typeset closing balances, which tie out exactly, so OCR misreads are not believed to affect any figure used here. Clydesdale Bank PLC was wholly owned by National Australia Bank through the Feb 2016 CYBG plc demerger, then part of CYBG plc (renamed Virgin Money UK PLC in Oct 2019 following the Oct 2018 Virgin Money Holdings (UK) PLC acquisition) - throughout, Clydesdale Bank PLC continued publishing its own entity-level statutory accounts, which is what is used here, not the parent group's consolidated accounts.</t>
        </is>
      </c>
    </row>
  </sheetData>
  <mergeCells count="1">
    <mergeCell ref="A6:M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Clydesdale Bank PLC — CET1 Ratio</t>
        </is>
      </c>
    </row>
    <row r="2">
      <c r="A2" s="2" t="inlineStr">
        <is>
          <t>CB consolidated basis, % of RWA</t>
        </is>
      </c>
    </row>
    <row r="3">
      <c r="A3" s="4" t="inlineStr">
        <is>
          <t>Metric</t>
        </is>
      </c>
      <c r="B3" s="4" t="inlineStr">
        <is>
          <t>FY2026</t>
        </is>
      </c>
      <c r="C3" s="4" t="inlineStr">
        <is>
          <t>FY2025 (18mo)</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ratio</t>
        </is>
      </c>
      <c r="B4" s="6" t="inlineStr">
        <is>
          <t>14.3%</t>
        </is>
      </c>
      <c r="C4" s="6" t="inlineStr">
        <is>
          <t>14.2%</t>
        </is>
      </c>
      <c r="D4" s="6" t="inlineStr">
        <is>
          <t>14.6%</t>
        </is>
      </c>
      <c r="E4" s="6" t="inlineStr">
        <is>
          <t>14.9%</t>
        </is>
      </c>
      <c r="F4" s="6" t="inlineStr">
        <is>
          <t>14.9%</t>
        </is>
      </c>
      <c r="G4" s="6" t="inlineStr">
        <is>
          <t>14.4%</t>
        </is>
      </c>
      <c r="H4" s="6" t="inlineStr">
        <is>
          <t>14.4%</t>
        </is>
      </c>
      <c r="I4" s="6" t="inlineStr">
        <is>
          <t>10.7%</t>
        </is>
      </c>
      <c r="J4" s="6" t="inlineStr">
        <is>
          <t>12.2%</t>
        </is>
      </c>
      <c r="K4" s="6" t="inlineStr">
        <is>
          <t>12.6%</t>
        </is>
      </c>
      <c r="L4" s="6" t="inlineStr">
        <is>
          <t>13.3%</t>
        </is>
      </c>
      <c r="M4" s="6" t="inlineStr">
        <is>
          <t>12.1%</t>
        </is>
      </c>
    </row>
    <row r="6" ht="260" customHeight="1">
      <c r="A6" s="8" t="inlineStr">
        <is>
          <t>Sources - Clydesdale Bank PLC (CB) Group/Solo-Consolidated basis:
FY2026: Clydesdale Bank PLC 2026 Pillar 3 Report, p.5-6 (2.1 UK KM1 - Key metrics) - https://www.virginmoneyukplc.com/downloads/pdf/cb-2026-pillar-3-report.pdf
FY2025 (18mo): Virgin Money UK PLC 2025 Pillar 3 Report, p.140 (21.1.2 UK KM1 - Key metrics (Appendix 1: CB Solo-Consolidated Group)) - https://www.virginmoneyukplc.com/downloads/pdf/vmukplc-2025-pillar-3-report.pdf
FY2023: Virgin Money UK PLC 2023 Pillar 3 Report, p.123 (21.1.2 UK KM1 - Key metrics (Appendix 1: CB Group Consolidated)) - https://www.virginmoneyukplc.com/downloads/pdf/vmukplc-2023-pillar-3-report.pdf
FY2022: Virgin Money UK PLC 2022 Pillar 3 Report, p.103 (21.1.2 UK KM1 - Key metrics (Appendix 1: CB Group Consolidated)) - https://www.virginmoneyukplc.com/downloads/pdf/vmukplc-2022-pillar-3-report.pdf
FY2021: Virgin Money UK PLC 2021 Pillar 3 Report, p.77, 79 (Table 57/59 (Appendix 1: Disclosures for CB Group consolidated)) - https://www.virginmoneyukplc.com/downloads/pdf/vm-pillar-3-2021.pdf
FY2014-FY2020 sources (no standalone Clydesdale Bank PLC Pillar 3 report exists for these years - capital/RWA/leverage/LCR/NSFR/MREL metrics are embedded in the Annual Report's Risk Report/Strategic Report 'Capital position' and liquidity sections instead, entity-level, confirmed by reading each report):
FY2020 (own AR, Risk report 'Capital position'/'Capital risk', p.55-61) - https://www.virginmoneyukplc.com/downloads/pdf/cb-ara-2020.pdf
FY2019 (own AR, Strategic Report 'Capital position', p.15-16) - https://www.virginmoneyukplc.com/downloads/pdf/cb-ara-2019.pdf
FY2018 (own AR, Risk Report 'Balance sheet &amp; prudential regulation risks', p.35-38) - https://www.virginmoneyukplc.com/downloads/pdf/cb-ara-2018.pdf
FY2017 (FY2018 AR's FY2017 comparative column, same tables) - https://www.virginmoneyukplc.com/downloads/pdf/cb-ara-2018.pdf
FY2016 (own AR, Risk Report 'Balance sheet &amp; prudential regulation risks', p.39-42) - https://www.virginmoneyukplc.com/downloads/pdf/cb-ara-2016.pdf
FY2015 (FY2016 AR's FY2015 comparative column, same tables; also own AR Strategic Report 'Capital position', p.20-23) - https://www.virginmoneyukplc.com/downloads/pdf/cb-ara-2016.pdf , https://www.virginmoneyukplc.com/downloads/pdf/cb-ara-2015.pdf
FY2014 (own AR, Strategic Report 'Capital position', p.17-19) - https://www.virginmoneyukplc.com/downloads/pdf/cb-ara-2014.pdf
HD-047 HISTORICAL SOURCING NOTE (FY2014-FY2020): all figures on this sheet for these years are transcribed from Clydesdale Bank PLC's own entity-level Annual Report and Accounts for that year, each year's own originally-published figures (not a later restated comparative), Group consolidated basis throughout. FY2015, FY2017 and FY2019 P&amp;L/OCI figures were read from that year's own comparative column inside the FOLLOWING year's Annual Report (e.g. FY2015 from the FY2016 AR) where that gave a cleaner typeset extraction than the year's own PDF; FY2014, FY2016, FY2018 and FY2020 are each read from that year's own AR directly. The FY2014 Balance Sheet was recovered via OCR (Tesseract) since that one page of the source PDF is an embedded image with no text layer - cross-checked against the FY2014 Statement of Changes in Equity's independently-typeset closing balances, which tie out exactly, so OCR misreads are not believed to affect any figure used here. Clydesdale Bank PLC was wholly owned by National Australia Bank through the Feb 2016 CYBG plc demerger, then part of CYBG plc (renamed Virgin Money UK PLC in Oct 2019 following the Oct 2018 Virgin Money Holdings (UK) PLC acquisition) - throughout, Clydesdale Bank PLC continued publishing its own entity-level statutory accounts, which is what is used here, not the parent group's consolidated accounts.</t>
        </is>
      </c>
    </row>
  </sheetData>
  <mergeCells count="1">
    <mergeCell ref="A6:M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Clydesdale Bank PLC — Tier 1 Capital</t>
        </is>
      </c>
    </row>
    <row r="2">
      <c r="A2" s="2" t="inlineStr">
        <is>
          <t>CB consolidated basis, £m</t>
        </is>
      </c>
    </row>
    <row r="3">
      <c r="A3" s="4" t="inlineStr">
        <is>
          <t>Metric</t>
        </is>
      </c>
      <c r="B3" s="4" t="inlineStr">
        <is>
          <t>FY2026</t>
        </is>
      </c>
      <c r="C3" s="4" t="inlineStr">
        <is>
          <t>FY2025 (18mo)</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capital</t>
        </is>
      </c>
      <c r="B4" s="6" t="n">
        <v>4946</v>
      </c>
      <c r="C4" s="6" t="n">
        <v>4593</v>
      </c>
      <c r="D4" s="6" t="n">
        <v>4279</v>
      </c>
      <c r="E4" s="6" t="n">
        <v>4268</v>
      </c>
      <c r="F4" s="6" t="n">
        <v>4275</v>
      </c>
      <c r="G4" s="6" t="n">
        <v>4180</v>
      </c>
      <c r="H4" s="6" t="n">
        <v>4134</v>
      </c>
      <c r="I4" s="6" t="n">
        <v>2573</v>
      </c>
      <c r="J4" s="6" t="n">
        <v>2865</v>
      </c>
      <c r="K4" s="6" t="n">
        <v>2818</v>
      </c>
      <c r="L4" s="6" t="n">
        <v>2870</v>
      </c>
      <c r="M4" s="6" t="n">
        <v>2227</v>
      </c>
    </row>
    <row r="6" ht="260" customHeight="1">
      <c r="A6" s="8" t="inlineStr">
        <is>
          <t>Sources - Clydesdale Bank PLC (CB) Group/Solo-Consolidated basis:
FY2026: Clydesdale Bank PLC 2026 Pillar 3 Report, p.5-6 (2.1 UK KM1 - Key metrics) - https://www.virginmoneyukplc.com/downloads/pdf/cb-2026-pillar-3-report.pdf
FY2025 (18mo): Virgin Money UK PLC 2025 Pillar 3 Report, p.140 (21.1.2 UK KM1 - Key metrics (Appendix 1: CB Solo-Consolidated Group)) - https://www.virginmoneyukplc.com/downloads/pdf/vmukplc-2025-pillar-3-report.pdf
FY2023: Virgin Money UK PLC 2023 Pillar 3 Report, p.123 (21.1.2 UK KM1 - Key metrics (Appendix 1: CB Group Consolidated)) - https://www.virginmoneyukplc.com/downloads/pdf/vmukplc-2023-pillar-3-report.pdf
FY2022: Virgin Money UK PLC 2022 Pillar 3 Report, p.103 (21.1.2 UK KM1 - Key metrics (Appendix 1: CB Group Consolidated)) - https://www.virginmoneyukplc.com/downloads/pdf/vmukplc-2022-pillar-3-report.pdf
FY2021: Virgin Money UK PLC 2021 Pillar 3 Report, p.77, 79 (Table 57/59 (Appendix 1: Disclosures for CB Group consolidated)) - https://www.virginmoneyukplc.com/downloads/pdf/vm-pillar-3-2021.pdf
FY2014-FY2020 sources (no standalone Clydesdale Bank PLC Pillar 3 report exists for these years - capital/RWA/leverage/LCR/NSFR/MREL metrics are embedded in the Annual Report's Risk Report/Strategic Report 'Capital position' and liquidity sections instead, entity-level, confirmed by reading each report):
FY2020 (own AR, Risk report 'Capital position'/'Capital risk', p.55-61) - https://www.virginmoneyukplc.com/downloads/pdf/cb-ara-2020.pdf
FY2019 (own AR, Strategic Report 'Capital position', p.15-16) - https://www.virginmoneyukplc.com/downloads/pdf/cb-ara-2019.pdf
FY2018 (own AR, Risk Report 'Balance sheet &amp; prudential regulation risks', p.35-38) - https://www.virginmoneyukplc.com/downloads/pdf/cb-ara-2018.pdf
FY2017 (FY2018 AR's FY2017 comparative column, same tables) - https://www.virginmoneyukplc.com/downloads/pdf/cb-ara-2018.pdf
FY2016 (own AR, Risk Report 'Balance sheet &amp; prudential regulation risks', p.39-42) - https://www.virginmoneyukplc.com/downloads/pdf/cb-ara-2016.pdf
FY2015 (FY2016 AR's FY2015 comparative column, same tables; also own AR Strategic Report 'Capital position', p.20-23) - https://www.virginmoneyukplc.com/downloads/pdf/cb-ara-2016.pdf , https://www.virginmoneyukplc.com/downloads/pdf/cb-ara-2015.pdf
FY2014 (own AR, Strategic Report 'Capital position', p.17-19) - https://www.virginmoneyukplc.com/downloads/pdf/cb-ara-2014.pdf
HD-047 HISTORICAL SOURCING NOTE (FY2014-FY2020): all figures on this sheet for these years are transcribed from Clydesdale Bank PLC's own entity-level Annual Report and Accounts for that year, each year's own originally-published figures (not a later restated comparative), Group consolidated basis throughout. FY2015, FY2017 and FY2019 P&amp;L/OCI figures were read from that year's own comparative column inside the FOLLOWING year's Annual Report (e.g. FY2015 from the FY2016 AR) where that gave a cleaner typeset extraction than the year's own PDF; FY2014, FY2016, FY2018 and FY2020 are each read from that year's own AR directly. The FY2014 Balance Sheet was recovered via OCR (Tesseract) since that one page of the source PDF is an embedded image with no text layer - cross-checked against the FY2014 Statement of Changes in Equity's independently-typeset closing balances, which tie out exactly, so OCR misreads are not believed to affect any figure used here. Clydesdale Bank PLC was wholly owned by National Australia Bank through the Feb 2016 CYBG plc demerger, then part of CYBG plc (renamed Virgin Money UK PLC in Oct 2019 following the Oct 2018 Virgin Money Holdings (UK) PLC acquisition) - throughout, Clydesdale Bank PLC continued publishing its own entity-level statutory accounts, which is what is used here, not the parent group's consolidated accounts.</t>
        </is>
      </c>
    </row>
  </sheetData>
  <mergeCells count="1">
    <mergeCell ref="A6:M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Clydesdale Bank PLC — Tier 1 Ratio</t>
        </is>
      </c>
    </row>
    <row r="2">
      <c r="A2" s="2" t="inlineStr">
        <is>
          <t>CB consolidated basis, % of RWA</t>
        </is>
      </c>
    </row>
    <row r="3">
      <c r="A3" s="4" t="inlineStr">
        <is>
          <t>Metric</t>
        </is>
      </c>
      <c r="B3" s="4" t="inlineStr">
        <is>
          <t>FY2026</t>
        </is>
      </c>
      <c r="C3" s="4" t="inlineStr">
        <is>
          <t>FY2025 (18mo)</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ratio</t>
        </is>
      </c>
      <c r="B4" s="6" t="inlineStr">
        <is>
          <t>16.6%</t>
        </is>
      </c>
      <c r="C4" s="6" t="inlineStr">
        <is>
          <t>16.7%</t>
        </is>
      </c>
      <c r="D4" s="6" t="inlineStr">
        <is>
          <t>17.0%</t>
        </is>
      </c>
      <c r="E4" s="6" t="inlineStr">
        <is>
          <t>17.7%</t>
        </is>
      </c>
      <c r="F4" s="6" t="inlineStr">
        <is>
          <t>17.7%</t>
        </is>
      </c>
      <c r="G4" s="6" t="inlineStr">
        <is>
          <t>17.1%</t>
        </is>
      </c>
      <c r="H4" s="6" t="inlineStr">
        <is>
          <t>17.2%</t>
        </is>
      </c>
      <c r="I4" s="6" t="inlineStr">
        <is>
          <t>12.8%</t>
        </is>
      </c>
      <c r="J4" s="6" t="inlineStr">
        <is>
          <t>14.3%</t>
        </is>
      </c>
      <c r="K4" s="6" t="inlineStr">
        <is>
          <t>14.8%</t>
        </is>
      </c>
      <c r="L4" s="6" t="inlineStr">
        <is>
          <t>15.8%</t>
        </is>
      </c>
      <c r="M4" s="6" t="inlineStr">
        <is>
          <t>12.1%</t>
        </is>
      </c>
    </row>
    <row r="5" ht="30" customHeight="1">
      <c r="A5" s="7" t="inlineStr">
        <is>
          <t>Note: FY2014 Tier 1 ratio equals the CET1 ratio: Clydesdale Bank PLC held no Additional Tier 1 (AT1) capital instruments at 30 September 2014 - the first AT1 issuance (£350m) came in December 2014, within FY2015.</t>
        </is>
      </c>
    </row>
    <row r="7" ht="260" customHeight="1">
      <c r="A7" s="8" t="inlineStr">
        <is>
          <t>Sources - Clydesdale Bank PLC (CB) Group/Solo-Consolidated basis:
FY2026: Clydesdale Bank PLC 2026 Pillar 3 Report, p.5-6 (2.1 UK KM1 - Key metrics) - https://www.virginmoneyukplc.com/downloads/pdf/cb-2026-pillar-3-report.pdf
FY2025 (18mo): Virgin Money UK PLC 2025 Pillar 3 Report, p.140 (21.1.2 UK KM1 - Key metrics (Appendix 1: CB Solo-Consolidated Group)) - https://www.virginmoneyukplc.com/downloads/pdf/vmukplc-2025-pillar-3-report.pdf
FY2023: Virgin Money UK PLC 2023 Pillar 3 Report, p.123 (21.1.2 UK KM1 - Key metrics (Appendix 1: CB Group Consolidated)) - https://www.virginmoneyukplc.com/downloads/pdf/vmukplc-2023-pillar-3-report.pdf
FY2022: Virgin Money UK PLC 2022 Pillar 3 Report, p.103 (21.1.2 UK KM1 - Key metrics (Appendix 1: CB Group Consolidated)) - https://www.virginmoneyukplc.com/downloads/pdf/vmukplc-2022-pillar-3-report.pdf
FY2021: Virgin Money UK PLC 2021 Pillar 3 Report, p.77, 79 (Table 57/59 (Appendix 1: Disclosures for CB Group consolidated)) - https://www.virginmoneyukplc.com/downloads/pdf/vm-pillar-3-2021.pdf
FY2014-FY2020 sources (no standalone Clydesdale Bank PLC Pillar 3 report exists for these years - capital/RWA/leverage/LCR/NSFR/MREL metrics are embedded in the Annual Report's Risk Report/Strategic Report 'Capital position' and liquidity sections instead, entity-level, confirmed by reading each report):
FY2020 (own AR, Risk report 'Capital position'/'Capital risk', p.55-61) - https://www.virginmoneyukplc.com/downloads/pdf/cb-ara-2020.pdf
FY2019 (own AR, Strategic Report 'Capital position', p.15-16) - https://www.virginmoneyukplc.com/downloads/pdf/cb-ara-2019.pdf
FY2018 (own AR, Risk Report 'Balance sheet &amp; prudential regulation risks', p.35-38) - https://www.virginmoneyukplc.com/downloads/pdf/cb-ara-2018.pdf
FY2017 (FY2018 AR's FY2017 comparative column, same tables) - https://www.virginmoneyukplc.com/downloads/pdf/cb-ara-2018.pdf
FY2016 (own AR, Risk Report 'Balance sheet &amp; prudential regulation risks', p.39-42) - https://www.virginmoneyukplc.com/downloads/pdf/cb-ara-2016.pdf
FY2015 (FY2016 AR's FY2015 comparative column, same tables; also own AR Strategic Report 'Capital position', p.20-23) - https://www.virginmoneyukplc.com/downloads/pdf/cb-ara-2016.pdf , https://www.virginmoneyukplc.com/downloads/pdf/cb-ara-2015.pdf
FY2014 (own AR, Strategic Report 'Capital position', p.17-19) - https://www.virginmoneyukplc.com/downloads/pdf/cb-ara-2014.pdf
HD-047 HISTORICAL SOURCING NOTE (FY2014-FY2020): all figures on this sheet for these years are transcribed from Clydesdale Bank PLC's own entity-level Annual Report and Accounts for that year, each year's own originally-published figures (not a later restated comparative), Group consolidated basis throughout. FY2015, FY2017 and FY2019 P&amp;L/OCI figures were read from that year's own comparative column inside the FOLLOWING year's Annual Report (e.g. FY2015 from the FY2016 AR) where that gave a cleaner typeset extraction than the year's own PDF; FY2014, FY2016, FY2018 and FY2020 are each read from that year's own AR directly. The FY2014 Balance Sheet was recovered via OCR (Tesseract) since that one page of the source PDF is an embedded image with no text layer - cross-checked against the FY2014 Statement of Changes in Equity's independently-typeset closing balances, which tie out exactly, so OCR misreads are not believed to affect any figure used here. Clydesdale Bank PLC was wholly owned by National Australia Bank through the Feb 2016 CYBG plc demerger, then part of CYBG plc (renamed Virgin Money UK PLC in Oct 2019 following the Oct 2018 Virgin Money Holdings (UK) PLC acquisition) - throughout, Clydesdale Bank PLC continued publishing its own entity-level statutory accounts, which is what is used here, not the parent group's consolidated accounts.</t>
        </is>
      </c>
    </row>
  </sheetData>
  <mergeCells count="2">
    <mergeCell ref="A5:M5"/>
    <mergeCell ref="A7:M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Clydesdale Bank PLC — Total Capital</t>
        </is>
      </c>
    </row>
    <row r="2">
      <c r="A2" s="2" t="inlineStr">
        <is>
          <t>CB consolidated basis, £m</t>
        </is>
      </c>
    </row>
    <row r="3">
      <c r="A3" s="4" t="inlineStr">
        <is>
          <t>Metric</t>
        </is>
      </c>
      <c r="B3" s="4" t="inlineStr">
        <is>
          <t>FY2026</t>
        </is>
      </c>
      <c r="C3" s="4" t="inlineStr">
        <is>
          <t>FY2025 (18mo)</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t>
        </is>
      </c>
      <c r="B4" s="6" t="n">
        <v>5747</v>
      </c>
      <c r="C4" s="6" t="n">
        <v>5347</v>
      </c>
      <c r="D4" s="6" t="n">
        <v>5301</v>
      </c>
      <c r="E4" s="6" t="n">
        <v>5288</v>
      </c>
      <c r="F4" s="6" t="n">
        <v>5294</v>
      </c>
      <c r="G4" s="6" t="n">
        <v>4929</v>
      </c>
      <c r="H4" s="6" t="n">
        <v>4857</v>
      </c>
      <c r="I4" s="6" t="n">
        <v>3202</v>
      </c>
      <c r="J4" s="6" t="n">
        <v>3495</v>
      </c>
      <c r="K4" s="6" t="n">
        <v>3448</v>
      </c>
      <c r="L4" s="6" t="n">
        <v>3483</v>
      </c>
      <c r="M4" s="6" t="n">
        <v>3438</v>
      </c>
    </row>
    <row r="6" ht="260" customHeight="1">
      <c r="A6" s="8" t="inlineStr">
        <is>
          <t>Sources - Clydesdale Bank PLC (CB) Group/Solo-Consolidated basis:
FY2026: Clydesdale Bank PLC 2026 Pillar 3 Report, p.5-6 (2.1 UK KM1 - Key metrics) - https://www.virginmoneyukplc.com/downloads/pdf/cb-2026-pillar-3-report.pdf
FY2025 (18mo): Virgin Money UK PLC 2025 Pillar 3 Report, p.140 (21.1.2 UK KM1 - Key metrics (Appendix 1: CB Solo-Consolidated Group)) - https://www.virginmoneyukplc.com/downloads/pdf/vmukplc-2025-pillar-3-report.pdf
FY2023: Virgin Money UK PLC 2023 Pillar 3 Report, p.123 (21.1.2 UK KM1 - Key metrics (Appendix 1: CB Group Consolidated)) - https://www.virginmoneyukplc.com/downloads/pdf/vmukplc-2023-pillar-3-report.pdf
FY2022: Virgin Money UK PLC 2022 Pillar 3 Report, p.103 (21.1.2 UK KM1 - Key metrics (Appendix 1: CB Group Consolidated)) - https://www.virginmoneyukplc.com/downloads/pdf/vmukplc-2022-pillar-3-report.pdf
FY2021: Virgin Money UK PLC 2021 Pillar 3 Report, p.77, 79 (Table 57/59 (Appendix 1: Disclosures for CB Group consolidated)) - https://www.virginmoneyukplc.com/downloads/pdf/vm-pillar-3-2021.pdf
FY2014-FY2020 sources (no standalone Clydesdale Bank PLC Pillar 3 report exists for these years - capital/RWA/leverage/LCR/NSFR/MREL metrics are embedded in the Annual Report's Risk Report/Strategic Report 'Capital position' and liquidity sections instead, entity-level, confirmed by reading each report):
FY2020 (own AR, Risk report 'Capital position'/'Capital risk', p.55-61) - https://www.virginmoneyukplc.com/downloads/pdf/cb-ara-2020.pdf
FY2019 (own AR, Strategic Report 'Capital position', p.15-16) - https://www.virginmoneyukplc.com/downloads/pdf/cb-ara-2019.pdf
FY2018 (own AR, Risk Report 'Balance sheet &amp; prudential regulation risks', p.35-38) - https://www.virginmoneyukplc.com/downloads/pdf/cb-ara-2018.pdf
FY2017 (FY2018 AR's FY2017 comparative column, same tables) - https://www.virginmoneyukplc.com/downloads/pdf/cb-ara-2018.pdf
FY2016 (own AR, Risk Report 'Balance sheet &amp; prudential regulation risks', p.39-42) - https://www.virginmoneyukplc.com/downloads/pdf/cb-ara-2016.pdf
FY2015 (FY2016 AR's FY2015 comparative column, same tables; also own AR Strategic Report 'Capital position', p.20-23) - https://www.virginmoneyukplc.com/downloads/pdf/cb-ara-2016.pdf , https://www.virginmoneyukplc.com/downloads/pdf/cb-ara-2015.pdf
FY2014 (own AR, Strategic Report 'Capital position', p.17-19) - https://www.virginmoneyukplc.com/downloads/pdf/cb-ara-2014.pdf
HD-047 HISTORICAL SOURCING NOTE (FY2014-FY2020): all figures on this sheet for these years are transcribed from Clydesdale Bank PLC's own entity-level Annual Report and Accounts for that year, each year's own originally-published figures (not a later restated comparative), Group consolidated basis throughout. FY2015, FY2017 and FY2019 P&amp;L/OCI figures were read from that year's own comparative column inside the FOLLOWING year's Annual Report (e.g. FY2015 from the FY2016 AR) where that gave a cleaner typeset extraction than the year's own PDF; FY2014, FY2016, FY2018 and FY2020 are each read from that year's own AR directly. The FY2014 Balance Sheet was recovered via OCR (Tesseract) since that one page of the source PDF is an embedded image with no text layer - cross-checked against the FY2014 Statement of Changes in Equity's independently-typeset closing balances, which tie out exactly, so OCR misreads are not believed to affect any figure used here. Clydesdale Bank PLC was wholly owned by National Australia Bank through the Feb 2016 CYBG plc demerger, then part of CYBG plc (renamed Virgin Money UK PLC in Oct 2019 following the Oct 2018 Virgin Money Holdings (UK) PLC acquisition) - throughout, Clydesdale Bank PLC continued publishing its own entity-level statutory accounts, which is what is used here, not the parent group's consolidated accounts.</t>
        </is>
      </c>
    </row>
  </sheetData>
  <mergeCells count="1">
    <mergeCell ref="A6:M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Clydesdale Bank PLC — Total Capital Ratio</t>
        </is>
      </c>
    </row>
    <row r="2">
      <c r="A2" s="2" t="inlineStr">
        <is>
          <t>CB consolidated basis, % of RWA</t>
        </is>
      </c>
    </row>
    <row r="3">
      <c r="A3" s="4" t="inlineStr">
        <is>
          <t>Metric</t>
        </is>
      </c>
      <c r="B3" s="4" t="inlineStr">
        <is>
          <t>FY2026</t>
        </is>
      </c>
      <c r="C3" s="4" t="inlineStr">
        <is>
          <t>FY2025 (18mo)</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ratio</t>
        </is>
      </c>
      <c r="B4" s="6" t="inlineStr">
        <is>
          <t>19.3%</t>
        </is>
      </c>
      <c r="C4" s="6" t="inlineStr">
        <is>
          <t>19.4%</t>
        </is>
      </c>
      <c r="D4" s="6" t="inlineStr">
        <is>
          <t>21.1%</t>
        </is>
      </c>
      <c r="E4" s="6" t="inlineStr">
        <is>
          <t>21.9%</t>
        </is>
      </c>
      <c r="F4" s="6" t="inlineStr">
        <is>
          <t>21.9%</t>
        </is>
      </c>
      <c r="G4" s="6" t="inlineStr">
        <is>
          <t>20.2%</t>
        </is>
      </c>
      <c r="H4" s="6" t="inlineStr">
        <is>
          <t>20.2%</t>
        </is>
      </c>
      <c r="I4" s="6" t="inlineStr">
        <is>
          <t>15.9%</t>
        </is>
      </c>
      <c r="J4" s="6" t="inlineStr">
        <is>
          <t>17.4%</t>
        </is>
      </c>
      <c r="K4" s="6" t="inlineStr">
        <is>
          <t>18.1%</t>
        </is>
      </c>
      <c r="L4" s="6" t="inlineStr">
        <is>
          <t>19.1%</t>
        </is>
      </c>
      <c r="M4" s="6" t="inlineStr">
        <is>
          <t>18.6%</t>
        </is>
      </c>
    </row>
    <row r="6" ht="260" customHeight="1">
      <c r="A6" s="8" t="inlineStr">
        <is>
          <t>Sources - Clydesdale Bank PLC (CB) Group/Solo-Consolidated basis:
FY2026: Clydesdale Bank PLC 2026 Pillar 3 Report, p.5-6 (2.1 UK KM1 - Key metrics) - https://www.virginmoneyukplc.com/downloads/pdf/cb-2026-pillar-3-report.pdf
FY2025 (18mo): Virgin Money UK PLC 2025 Pillar 3 Report, p.140 (21.1.2 UK KM1 - Key metrics (Appendix 1: CB Solo-Consolidated Group)) - https://www.virginmoneyukplc.com/downloads/pdf/vmukplc-2025-pillar-3-report.pdf
FY2023: Virgin Money UK PLC 2023 Pillar 3 Report, p.123 (21.1.2 UK KM1 - Key metrics (Appendix 1: CB Group Consolidated)) - https://www.virginmoneyukplc.com/downloads/pdf/vmukplc-2023-pillar-3-report.pdf
FY2022: Virgin Money UK PLC 2022 Pillar 3 Report, p.103 (21.1.2 UK KM1 - Key metrics (Appendix 1: CB Group Consolidated)) - https://www.virginmoneyukplc.com/downloads/pdf/vmukplc-2022-pillar-3-report.pdf
FY2021: Virgin Money UK PLC 2021 Pillar 3 Report, p.77, 79 (Table 57/59 (Appendix 1: Disclosures for CB Group consolidated)) - https://www.virginmoneyukplc.com/downloads/pdf/vm-pillar-3-2021.pdf
FY2014-FY2020 sources (no standalone Clydesdale Bank PLC Pillar 3 report exists for these years - capital/RWA/leverage/LCR/NSFR/MREL metrics are embedded in the Annual Report's Risk Report/Strategic Report 'Capital position' and liquidity sections instead, entity-level, confirmed by reading each report):
FY2020 (own AR, Risk report 'Capital position'/'Capital risk', p.55-61) - https://www.virginmoneyukplc.com/downloads/pdf/cb-ara-2020.pdf
FY2019 (own AR, Strategic Report 'Capital position', p.15-16) - https://www.virginmoneyukplc.com/downloads/pdf/cb-ara-2019.pdf
FY2018 (own AR, Risk Report 'Balance sheet &amp; prudential regulation risks', p.35-38) - https://www.virginmoneyukplc.com/downloads/pdf/cb-ara-2018.pdf
FY2017 (FY2018 AR's FY2017 comparative column, same tables) - https://www.virginmoneyukplc.com/downloads/pdf/cb-ara-2018.pdf
FY2016 (own AR, Risk Report 'Balance sheet &amp; prudential regulation risks', p.39-42) - https://www.virginmoneyukplc.com/downloads/pdf/cb-ara-2016.pdf
FY2015 (FY2016 AR's FY2015 comparative column, same tables; also own AR Strategic Report 'Capital position', p.20-23) - https://www.virginmoneyukplc.com/downloads/pdf/cb-ara-2016.pdf , https://www.virginmoneyukplc.com/downloads/pdf/cb-ara-2015.pdf
FY2014 (own AR, Strategic Report 'Capital position', p.17-19) - https://www.virginmoneyukplc.com/downloads/pdf/cb-ara-2014.pdf
HD-047 HISTORICAL SOURCING NOTE (FY2014-FY2020): all figures on this sheet for these years are transcribed from Clydesdale Bank PLC's own entity-level Annual Report and Accounts for that year, each year's own originally-published figures (not a later restated comparative), Group consolidated basis throughout. FY2015, FY2017 and FY2019 P&amp;L/OCI figures were read from that year's own comparative column inside the FOLLOWING year's Annual Report (e.g. FY2015 from the FY2016 AR) where that gave a cleaner typeset extraction than the year's own PDF; FY2014, FY2016, FY2018 and FY2020 are each read from that year's own AR directly. The FY2014 Balance Sheet was recovered via OCR (Tesseract) since that one page of the source PDF is an embedded image with no text layer - cross-checked against the FY2014 Statement of Changes in Equity's independently-typeset closing balances, which tie out exactly, so OCR misreads are not believed to affect any figure used here. Clydesdale Bank PLC was wholly owned by National Australia Bank through the Feb 2016 CYBG plc demerger, then part of CYBG plc (renamed Virgin Money UK PLC in Oct 2019 following the Oct 2018 Virgin Money Holdings (UK) PLC acquisition) - throughout, Clydesdale Bank PLC continued publishing its own entity-level statutory accounts, which is what is used here, not the parent group's consolidated accounts.</t>
        </is>
      </c>
    </row>
  </sheetData>
  <mergeCells count="1">
    <mergeCell ref="A6:M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Clydesdale Bank PLC — Total RWAs</t>
        </is>
      </c>
    </row>
    <row r="2">
      <c r="A2" s="2" t="inlineStr">
        <is>
          <t>CB consolidated basis, £m</t>
        </is>
      </c>
    </row>
    <row r="3">
      <c r="A3" s="4" t="inlineStr">
        <is>
          <t>Metric</t>
        </is>
      </c>
      <c r="B3" s="4" t="inlineStr">
        <is>
          <t>FY2026</t>
        </is>
      </c>
      <c r="C3" s="4" t="inlineStr">
        <is>
          <t>FY2025 (18mo)</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risk-weighted exposure amount</t>
        </is>
      </c>
      <c r="B4" s="6" t="n">
        <v>29742</v>
      </c>
      <c r="C4" s="6" t="n">
        <v>27555</v>
      </c>
      <c r="D4" s="6" t="n">
        <v>25172</v>
      </c>
      <c r="E4" s="6" t="n">
        <v>24128</v>
      </c>
      <c r="F4" s="6" t="n">
        <v>24194</v>
      </c>
      <c r="G4" s="6" t="n">
        <v>24384</v>
      </c>
      <c r="H4" s="6" t="n">
        <v>24046</v>
      </c>
      <c r="I4" s="6" t="n">
        <v>20117</v>
      </c>
      <c r="J4" s="6" t="n">
        <v>20055</v>
      </c>
      <c r="K4" s="6" t="n">
        <v>19017</v>
      </c>
      <c r="L4" s="6" t="n">
        <v>18207</v>
      </c>
      <c r="M4" s="6" t="n">
        <v>18472</v>
      </c>
    </row>
    <row r="6" ht="260" customHeight="1">
      <c r="A6" s="8" t="inlineStr">
        <is>
          <t>Sources - Clydesdale Bank PLC (CB) Group/Solo-Consolidated basis:
FY2026: Clydesdale Bank PLC 2026 Pillar 3 Report, p.5-6 (2.1 UK KM1 - Key metrics) - https://www.virginmoneyukplc.com/downloads/pdf/cb-2026-pillar-3-report.pdf
FY2025 (18mo): Virgin Money UK PLC 2025 Pillar 3 Report, p.140 (21.1.2 UK KM1 - Key metrics (Appendix 1: CB Solo-Consolidated Group)) - https://www.virginmoneyukplc.com/downloads/pdf/vmukplc-2025-pillar-3-report.pdf
FY2023: Virgin Money UK PLC 2023 Pillar 3 Report, p.123 (21.1.2 UK KM1 - Key metrics (Appendix 1: CB Group Consolidated)) - https://www.virginmoneyukplc.com/downloads/pdf/vmukplc-2023-pillar-3-report.pdf
FY2022: Virgin Money UK PLC 2022 Pillar 3 Report, p.103 (21.1.2 UK KM1 - Key metrics (Appendix 1: CB Group Consolidated)) - https://www.virginmoneyukplc.com/downloads/pdf/vmukplc-2022-pillar-3-report.pdf
FY2021: Virgin Money UK PLC 2021 Pillar 3 Report, p.77, 79 (Table 57/59 (Appendix 1: Disclosures for CB Group consolidated)) - https://www.virginmoneyukplc.com/downloads/pdf/vm-pillar-3-2021.pdf
FY2014-FY2020 sources (no standalone Clydesdale Bank PLC Pillar 3 report exists for these years - capital/RWA/leverage/LCR/NSFR/MREL metrics are embedded in the Annual Report's Risk Report/Strategic Report 'Capital position' and liquidity sections instead, entity-level, confirmed by reading each report):
FY2020 (own AR, Risk report 'Capital position'/'Capital risk', p.55-61) - https://www.virginmoneyukplc.com/downloads/pdf/cb-ara-2020.pdf
FY2019 (own AR, Strategic Report 'Capital position', p.15-16) - https://www.virginmoneyukplc.com/downloads/pdf/cb-ara-2019.pdf
FY2018 (own AR, Risk Report 'Balance sheet &amp; prudential regulation risks', p.35-38) - https://www.virginmoneyukplc.com/downloads/pdf/cb-ara-2018.pdf
FY2017 (FY2018 AR's FY2017 comparative column, same tables) - https://www.virginmoneyukplc.com/downloads/pdf/cb-ara-2018.pdf
FY2016 (own AR, Risk Report 'Balance sheet &amp; prudential regulation risks', p.39-42) - https://www.virginmoneyukplc.com/downloads/pdf/cb-ara-2016.pdf
FY2015 (FY2016 AR's FY2015 comparative column, same tables; also own AR Strategic Report 'Capital position', p.20-23) - https://www.virginmoneyukplc.com/downloads/pdf/cb-ara-2016.pdf , https://www.virginmoneyukplc.com/downloads/pdf/cb-ara-2015.pdf
FY2014 (own AR, Strategic Report 'Capital position', p.17-19) - https://www.virginmoneyukplc.com/downloads/pdf/cb-ara-2014.pdf
HD-047 HISTORICAL SOURCING NOTE (FY2014-FY2020): all figures on this sheet for these years are transcribed from Clydesdale Bank PLC's own entity-level Annual Report and Accounts for that year, each year's own originally-published figures (not a later restated comparative), Group consolidated basis throughout. FY2015, FY2017 and FY2019 P&amp;L/OCI figures were read from that year's own comparative column inside the FOLLOWING year's Annual Report (e.g. FY2015 from the FY2016 AR) where that gave a cleaner typeset extraction than the year's own PDF; FY2014, FY2016, FY2018 and FY2020 are each read from that year's own AR directly. The FY2014 Balance Sheet was recovered via OCR (Tesseract) since that one page of the source PDF is an embedded image with no text layer - cross-checked against the FY2014 Statement of Changes in Equity's independently-typeset closing balances, which tie out exactly, so OCR misreads are not believed to affect any figure used here. Clydesdale Bank PLC was wholly owned by National Australia Bank through the Feb 2016 CYBG plc demerger, then part of CYBG plc (renamed Virgin Money UK PLC in Oct 2019 following the Oct 2018 Virgin Money Holdings (UK) PLC acquisition) - throughout, Clydesdale Bank PLC continued publishing its own entity-level statutory accounts, which is what is used here, not the parent group's consolidated accounts.</t>
        </is>
      </c>
    </row>
  </sheetData>
  <mergeCells count="1">
    <mergeCell ref="A6:M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Clydesdale Bank PLC — RWA Breakdown</t>
        </is>
      </c>
    </row>
    <row r="2">
      <c r="A2" s="2" t="inlineStr">
        <is>
          <t>CB Group/Solo-Consolidated basis, £m. FY2021 category split not publicly disclosed; FY2014-FY2020 use a coarser standardised-approach-only split - see source note at bottom.</t>
        </is>
      </c>
    </row>
    <row r="3">
      <c r="A3" s="4" t="inlineStr">
        <is>
          <t>Line item</t>
        </is>
      </c>
      <c r="B3" s="4" t="inlineStr">
        <is>
          <t>FY2026 (£m)</t>
        </is>
      </c>
      <c r="C3" s="4" t="inlineStr">
        <is>
          <t>FY2025 (18mo)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row>
    <row r="4">
      <c r="A4" s="5" t="inlineStr">
        <is>
          <t>RWA by risk category</t>
        </is>
      </c>
      <c r="B4" s="6" t="n"/>
      <c r="C4" s="6" t="n"/>
      <c r="D4" s="6" t="n"/>
      <c r="E4" s="6" t="n"/>
      <c r="F4" s="6" t="n"/>
      <c r="G4" s="6" t="n"/>
      <c r="H4" s="6" t="n"/>
      <c r="I4" s="6" t="n"/>
      <c r="J4" s="6" t="n"/>
      <c r="K4" s="6" t="n"/>
      <c r="L4" s="6" t="n"/>
      <c r="M4" s="6" t="n"/>
    </row>
    <row r="5">
      <c r="A5" s="6" t="inlineStr">
        <is>
          <t>Credit risk (excluding CCR)</t>
        </is>
      </c>
      <c r="B5" s="6" t="n">
        <v>26567</v>
      </c>
      <c r="C5" s="6" t="n">
        <v>24361</v>
      </c>
      <c r="D5" s="6" t="n">
        <v>21907</v>
      </c>
      <c r="E5" s="6" t="n">
        <v>21061</v>
      </c>
      <c r="F5" s="6" t="n"/>
      <c r="G5" s="6" t="n">
        <v>21463</v>
      </c>
      <c r="H5" s="6" t="n">
        <v>21042</v>
      </c>
      <c r="I5" s="6" t="n">
        <v>18104</v>
      </c>
      <c r="J5" s="6" t="n">
        <v>18116</v>
      </c>
      <c r="K5" s="6" t="n">
        <v>16912</v>
      </c>
      <c r="L5" s="6" t="n">
        <v>16301</v>
      </c>
      <c r="M5" s="6" t="n">
        <v>16605</v>
      </c>
    </row>
    <row r="6">
      <c r="A6" s="6" t="inlineStr">
        <is>
          <t>Of which: standardised approach</t>
        </is>
      </c>
      <c r="B6" s="6" t="n">
        <v>6186</v>
      </c>
      <c r="C6" s="6" t="n">
        <v>6674</v>
      </c>
      <c r="D6" s="6" t="n">
        <v>6431</v>
      </c>
      <c r="E6" s="6" t="n">
        <v>6120</v>
      </c>
      <c r="F6" s="6" t="n"/>
      <c r="G6" s="6" t="n">
        <v>5618</v>
      </c>
      <c r="H6" s="6" t="n">
        <v>5938</v>
      </c>
      <c r="I6" s="6" t="n">
        <v>18104</v>
      </c>
      <c r="J6" s="6" t="n">
        <v>18116</v>
      </c>
      <c r="K6" s="6" t="n">
        <v>16912</v>
      </c>
      <c r="L6" s="6" t="n">
        <v>16301</v>
      </c>
      <c r="M6" s="6" t="n">
        <v>16605</v>
      </c>
    </row>
    <row r="7">
      <c r="A7" s="6" t="inlineStr">
        <is>
          <t>Of which: foundation IRB (FIRB) approach</t>
        </is>
      </c>
      <c r="B7" s="6" t="n">
        <v>7658</v>
      </c>
      <c r="C7" s="6" t="n">
        <v>7725</v>
      </c>
      <c r="D7" s="6" t="n">
        <v>5994</v>
      </c>
      <c r="E7" s="6" t="n">
        <v>5424</v>
      </c>
      <c r="F7" s="6" t="n"/>
      <c r="G7" s="6" t="n"/>
      <c r="H7" s="6" t="n"/>
      <c r="I7" s="6" t="n"/>
      <c r="J7" s="6" t="n"/>
      <c r="K7" s="6" t="n"/>
      <c r="L7" s="6" t="n"/>
      <c r="M7" s="6" t="n"/>
    </row>
    <row r="8">
      <c r="A8" s="6" t="inlineStr">
        <is>
          <t>Of which: slotting approach</t>
        </is>
      </c>
      <c r="B8" s="6" t="n">
        <v>691</v>
      </c>
      <c r="C8" s="6" t="n">
        <v>618</v>
      </c>
      <c r="D8" s="6" t="n">
        <v>410</v>
      </c>
      <c r="E8" s="6" t="n">
        <v>362</v>
      </c>
      <c r="F8" s="6" t="n"/>
      <c r="G8" s="6" t="n"/>
      <c r="H8" s="6" t="n"/>
      <c r="I8" s="6" t="n"/>
      <c r="J8" s="6" t="n"/>
      <c r="K8" s="6" t="n"/>
      <c r="L8" s="6" t="n"/>
      <c r="M8" s="6" t="n"/>
    </row>
    <row r="9">
      <c r="A9" s="6" t="inlineStr">
        <is>
          <t>Of which: advanced IRB (AIRB) approach</t>
        </is>
      </c>
      <c r="B9" s="6" t="n">
        <v>12032</v>
      </c>
      <c r="C9" s="6" t="n">
        <v>9344</v>
      </c>
      <c r="D9" s="6" t="n">
        <v>9072</v>
      </c>
      <c r="E9" s="6" t="n">
        <v>9155</v>
      </c>
      <c r="F9" s="6" t="n"/>
      <c r="G9" s="6" t="n">
        <v>15845</v>
      </c>
      <c r="H9" s="6" t="n">
        <v>15104</v>
      </c>
      <c r="I9" s="6" t="n"/>
      <c r="J9" s="6" t="n"/>
      <c r="K9" s="6" t="n"/>
      <c r="L9" s="6" t="n"/>
      <c r="M9" s="6" t="n"/>
    </row>
    <row r="10">
      <c r="A10" s="6" t="inlineStr">
        <is>
          <t>Counterparty credit risk (CCR)</t>
        </is>
      </c>
      <c r="B10" s="6" t="n">
        <v>48</v>
      </c>
      <c r="C10" s="6" t="n">
        <v>103</v>
      </c>
      <c r="D10" s="6" t="n">
        <v>424</v>
      </c>
      <c r="E10" s="6" t="n">
        <v>443</v>
      </c>
      <c r="F10" s="6" t="n"/>
      <c r="G10" s="6" t="n">
        <v>354</v>
      </c>
      <c r="H10" s="6" t="n">
        <v>383</v>
      </c>
      <c r="I10" s="6" t="n">
        <v>343</v>
      </c>
      <c r="J10" s="6" t="n">
        <v>305</v>
      </c>
      <c r="K10" s="6" t="n">
        <v>499</v>
      </c>
      <c r="L10" s="6" t="n">
        <v>344</v>
      </c>
      <c r="M10" s="6" t="n">
        <v>318</v>
      </c>
    </row>
    <row r="11">
      <c r="A11" s="6" t="inlineStr">
        <is>
          <t>Of which: standardised approach</t>
        </is>
      </c>
      <c r="B11" s="6" t="n">
        <v>35</v>
      </c>
      <c r="C11" s="6" t="n">
        <v>80</v>
      </c>
      <c r="D11" s="6" t="n">
        <v>141</v>
      </c>
      <c r="E11" s="6" t="n">
        <v>180</v>
      </c>
      <c r="F11" s="6" t="n"/>
      <c r="G11" s="6" t="n"/>
      <c r="H11" s="6" t="n"/>
      <c r="I11" s="6" t="n"/>
      <c r="J11" s="6" t="n"/>
      <c r="K11" s="6" t="n"/>
      <c r="L11" s="6" t="n"/>
      <c r="M11" s="6" t="n"/>
    </row>
    <row r="12">
      <c r="A12" s="6" t="inlineStr">
        <is>
          <t>Of which: credit valuation adjustment (CVA)</t>
        </is>
      </c>
      <c r="B12" s="6" t="n">
        <v>8</v>
      </c>
      <c r="C12" s="6" t="n">
        <v>19</v>
      </c>
      <c r="D12" s="6" t="n">
        <v>278</v>
      </c>
      <c r="E12" s="6" t="n">
        <v>258</v>
      </c>
      <c r="F12" s="6" t="n"/>
      <c r="G12" s="6" t="n">
        <v>175</v>
      </c>
      <c r="H12" s="6" t="n">
        <v>192</v>
      </c>
      <c r="I12" s="6" t="n">
        <v>218</v>
      </c>
      <c r="J12" s="6" t="n">
        <v>167</v>
      </c>
      <c r="K12" s="6" t="n">
        <v>285</v>
      </c>
      <c r="L12" s="6" t="n">
        <v>206</v>
      </c>
      <c r="M12" s="6" t="n">
        <v>137</v>
      </c>
    </row>
    <row r="13">
      <c r="A13" s="6" t="inlineStr">
        <is>
          <t>Operational risk</t>
        </is>
      </c>
      <c r="B13" s="6" t="n">
        <v>3127</v>
      </c>
      <c r="C13" s="6" t="n">
        <v>3091</v>
      </c>
      <c r="D13" s="6" t="n">
        <v>2841</v>
      </c>
      <c r="E13" s="6" t="n">
        <v>2624</v>
      </c>
      <c r="F13" s="6" t="n"/>
      <c r="G13" s="6" t="n">
        <v>2567</v>
      </c>
      <c r="H13" s="6" t="n">
        <v>2621</v>
      </c>
      <c r="I13" s="6" t="n">
        <v>1670</v>
      </c>
      <c r="J13" s="6" t="n">
        <v>1634</v>
      </c>
      <c r="K13" s="6" t="n">
        <v>1606</v>
      </c>
      <c r="L13" s="6" t="n">
        <v>1562</v>
      </c>
      <c r="M13" s="6" t="n">
        <v>1549</v>
      </c>
    </row>
    <row r="14">
      <c r="A14" s="6" t="inlineStr">
        <is>
          <t>Amounts below thresholds for deduction (subject to 250% risk weight)</t>
        </is>
      </c>
      <c r="B14" s="6" t="n">
        <v>513</v>
      </c>
      <c r="C14" s="6" t="n">
        <v>516</v>
      </c>
      <c r="D14" s="6" t="n">
        <v>284</v>
      </c>
      <c r="E14" s="6" t="n">
        <v>251</v>
      </c>
      <c r="F14" s="6" t="n"/>
      <c r="G14" s="6" t="n"/>
      <c r="H14" s="6" t="n"/>
      <c r="I14" s="6" t="n"/>
      <c r="J14" s="6" t="n"/>
      <c r="K14" s="6" t="n"/>
      <c r="L14" s="6" t="n"/>
      <c r="M14" s="6" t="n"/>
    </row>
    <row r="15">
      <c r="A15" s="5" t="inlineStr">
        <is>
          <t>Total RWAs</t>
        </is>
      </c>
      <c r="B15" s="5" t="n">
        <v>29742</v>
      </c>
      <c r="C15" s="5" t="n">
        <v>27555</v>
      </c>
      <c r="D15" s="5" t="n">
        <v>25172</v>
      </c>
      <c r="E15" s="5" t="n">
        <v>24128</v>
      </c>
      <c r="F15" s="5" t="n">
        <v>24194</v>
      </c>
      <c r="G15" s="5" t="n">
        <v>24384</v>
      </c>
      <c r="H15" s="5" t="n">
        <v>24046</v>
      </c>
      <c r="I15" s="5" t="n">
        <v>20117</v>
      </c>
      <c r="J15" s="5" t="n">
        <v>20055</v>
      </c>
      <c r="K15" s="5" t="n">
        <v>19017</v>
      </c>
      <c r="L15" s="5" t="n">
        <v>18207</v>
      </c>
      <c r="M15" s="5" t="n">
        <v>18472</v>
      </c>
    </row>
    <row r="17" ht="280" customHeight="1">
      <c r="A17" s="8" t="inlineStr">
        <is>
          <t>Sources - UK OV1: Overview of risk-weighted exposure amounts, CB Group/Solo-Consolidated basis, £m:
FY2026: Clydesdale Bank PLC 2026 Pillar 3 Report, p.9 (2.3 UK OV1) - https://www.virginmoneyukplc.com/downloads/pdf/cb-2026-pillar-3-report.pdf
FY2025 (18mo): Virgin Money UK PLC 2025 Pillar 3 Report, p.139 (Appendix 1: CB Solo-Consolidated Group, 21.1.1 UK OV1) - https://www.virginmoneyukplc.com/downloads/pdf/vmukplc-2025-pillar-3-report.pdf
FY2023: Virgin Money UK PLC 2023 Pillar 3 Report, p.122 (Appendix 1: CB Group Consolidated, 21.1.1 UK OV1) - https://www.virginmoneyukplc.com/downloads/pdf/vmukplc-2023-pillar-3-report.pdf
FY2022: Virgin Money UK PLC 2022 Pillar 3 Report, p.102 (Appendix 1: CB Group Consolidated, 21.1.1 UK OV1) - https://www.virginmoneyukplc.com/downloads/pdf/vmukplc-2022-pillar-3-report.pdf
FY2021: not publicly disclosed at category level - the CB appendix in Virgin Money UK PLC's 2021 Pillar 3 Report only carries Table 57 (capital composition) and Table 58 (capital flow statement), both of which disclose only the Total RWA figure (£24,194m, already shown on the Total RWAs sheet), not a risk-category split - confirmed by reading the full appendix (pp.77-79), not assumed. A restated FY2021 comparative split does exist in the FY2022 Pillar 3 report's own OV1 table (per its PS22/21 restatement footnote) but is not used here, consistent with this project's convention of using each year's own originally-published figures.
FY2014-FY2020: sourced from each year's own Annual Report 'RWA' / 'Capital position and CET1' tables (Risk Report), which split RWA into Credit risk, Operational risk, Counterparty risk and Credit valuation adjustment (CVA) rather than the standardised/FIRB/AIRB/CCR sub-splits used from FY2021 onward - shown on the 'Credit risk' and 'Operational risk' rows with the CCR/CVA sub-split combined onto the 'Counterparty credit risk (CCR)' row's CVA line (FY2014-FY2019 pre-date the separate IRB accreditation that produced FY2020's finer approach-level split, so no standardised/FIRB/AIRB breakdown exists for FY2014-FY2019).
BASIS NOTE: Balance Sheet/P&amp;L figures for FY2021-FY2025 are CB Group consolidated (matching the Cash Flow Statement's own basis); each year's own originally-published figures are used, not a later restated comparative (e.g. FY2023's own 2023 Annual Report column, not the restated FY2023 comparative shown in the FY2025 report). FY2026 is a genuine entity-basis change: following the Part VII transfer of substantially all of the Bank's business to Nationwide, the FY2026 Annual Report states the Bank 'has not prepared consolidated financial statements' (relying on the Section 400 Companies Act / IFRS 10.4 exemption, since results are now included in Nationwide's own consolidated accounts) - https://www.virginmoneyukplc.com/downloads/pdf/cb-ara-2026-signed.pdf. FY2026's Balance Sheet/P&amp;L/RWA figures are therefore Bank (Company)-solo, not Group consolidated - the last comparable Group figure is FY2025.</t>
        </is>
      </c>
    </row>
  </sheetData>
  <mergeCells count="1">
    <mergeCell ref="A17:M1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Clydesdale Bank PLC — Leverage Ratio</t>
        </is>
      </c>
    </row>
    <row r="2">
      <c r="A2" s="2" t="inlineStr">
        <is>
          <t>CB consolidated basis, £m / %</t>
        </is>
      </c>
    </row>
    <row r="3">
      <c r="A3" s="4" t="inlineStr">
        <is>
          <t>Metric</t>
        </is>
      </c>
      <c r="B3" s="4" t="inlineStr">
        <is>
          <t>FY2026</t>
        </is>
      </c>
      <c r="C3" s="4" t="inlineStr">
        <is>
          <t>FY2025 (18mo)</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exposure measure excluding claims on central banks</t>
        </is>
      </c>
      <c r="B4" s="6" t="n">
        <v>78792</v>
      </c>
      <c r="C4" s="6" t="n">
        <v>83120</v>
      </c>
      <c r="D4" s="6" t="n">
        <v>86545</v>
      </c>
      <c r="E4" s="6" t="n">
        <v>83758</v>
      </c>
      <c r="F4" s="6" t="n">
        <v>84293</v>
      </c>
      <c r="G4" s="6" t="n">
        <v>86475</v>
      </c>
      <c r="H4" s="6" t="n">
        <v>94742</v>
      </c>
      <c r="I4" s="6" t="n"/>
      <c r="J4" s="6" t="n"/>
      <c r="K4" s="6" t="n"/>
      <c r="L4" s="6" t="n"/>
      <c r="M4" s="6" t="n"/>
    </row>
    <row r="5">
      <c r="A5" s="6" t="inlineStr">
        <is>
          <t>Total leverage ratio exposure - historical individual-consolidated basis</t>
        </is>
      </c>
      <c r="B5" s="6" t="n"/>
      <c r="C5" s="6" t="n"/>
      <c r="D5" s="6" t="n"/>
      <c r="E5" s="6" t="n"/>
      <c r="F5" s="6" t="n"/>
      <c r="G5" s="6" t="n"/>
      <c r="H5" s="6" t="n"/>
      <c r="I5" s="6" t="n">
        <v>45471</v>
      </c>
      <c r="J5" s="6" t="n">
        <v>45541</v>
      </c>
      <c r="K5" s="6" t="n">
        <v>43518</v>
      </c>
      <c r="L5" s="6" t="n">
        <v>41970</v>
      </c>
      <c r="M5" s="6" t="n"/>
    </row>
    <row r="6">
      <c r="A6" s="6" t="inlineStr">
        <is>
          <t>Leverage ratio excluding claims on central banks (%)</t>
        </is>
      </c>
      <c r="B6" s="6" t="inlineStr">
        <is>
          <t>6.3%</t>
        </is>
      </c>
      <c r="C6" s="6" t="inlineStr">
        <is>
          <t>5.5%</t>
        </is>
      </c>
      <c r="D6" s="6" t="inlineStr">
        <is>
          <t>4.9%</t>
        </is>
      </c>
      <c r="E6" s="6" t="inlineStr">
        <is>
          <t>5.1%</t>
        </is>
      </c>
      <c r="F6" s="6" t="inlineStr">
        <is>
          <t>5.1%</t>
        </is>
      </c>
      <c r="G6" s="6" t="inlineStr">
        <is>
          <t>4.8%</t>
        </is>
      </c>
      <c r="H6" s="6" t="inlineStr">
        <is>
          <t>4.4%</t>
        </is>
      </c>
      <c r="I6" s="6" t="inlineStr">
        <is>
          <t>5.6%</t>
        </is>
      </c>
      <c r="J6" s="6" t="inlineStr">
        <is>
          <t>6.2%</t>
        </is>
      </c>
      <c r="K6" s="6" t="inlineStr">
        <is>
          <t>6.8%</t>
        </is>
      </c>
      <c r="L6" s="6" t="inlineStr">
        <is>
          <t>7.2%</t>
        </is>
      </c>
      <c r="M6" s="6" t="inlineStr">
        <is>
          <t>5.7%</t>
        </is>
      </c>
    </row>
    <row r="7">
      <c r="A7" s="6" t="inlineStr">
        <is>
          <t>Leverage ratio including claims on central banks (%)</t>
        </is>
      </c>
      <c r="B7" s="6" t="inlineStr">
        <is>
          <t>5.3%</t>
        </is>
      </c>
      <c r="C7" s="6" t="inlineStr">
        <is>
          <t>5.0%</t>
        </is>
      </c>
      <c r="D7" s="6" t="inlineStr">
        <is>
          <t>4.5%</t>
        </is>
      </c>
      <c r="E7" s="6" t="inlineStr">
        <is>
          <t>4.5%</t>
        </is>
      </c>
      <c r="F7" s="6" t="n"/>
      <c r="G7" s="6" t="n"/>
      <c r="H7" s="6" t="n"/>
      <c r="I7" s="6" t="n"/>
      <c r="J7" s="6" t="n"/>
      <c r="K7" s="6" t="n"/>
      <c r="L7" s="6" t="n"/>
      <c r="M7" s="6" t="n"/>
    </row>
    <row r="8">
      <c r="A8" s="6" t="inlineStr">
        <is>
          <t>UK leverage ratio (%)</t>
        </is>
      </c>
      <c r="B8" s="6" t="n"/>
      <c r="C8" s="6" t="n"/>
      <c r="D8" s="6" t="n"/>
      <c r="E8" s="6" t="n"/>
      <c r="F8" s="6" t="n"/>
      <c r="G8" s="6" t="inlineStr">
        <is>
          <t>4.9%</t>
        </is>
      </c>
      <c r="H8" s="6" t="inlineStr">
        <is>
          <t>4.9%</t>
        </is>
      </c>
      <c r="I8" s="6" t="inlineStr">
        <is>
          <t>6.5%</t>
        </is>
      </c>
      <c r="J8" s="6" t="inlineStr">
        <is>
          <t>7.3%</t>
        </is>
      </c>
      <c r="K8" s="6" t="n"/>
      <c r="L8" s="6" t="n"/>
      <c r="M8" s="6" t="n"/>
    </row>
    <row r="9" ht="65" customHeight="1">
      <c r="A9" s="7" t="inlineStr">
        <is>
          <t>Note: FY2021's Pillar 3 report disclosed a single 'Leverage ratio' (5.1%) without an excluding/including claims on central banks split (that distinction was introduced in later reports), shown here on the 'excluding' row for comparability. FY2022's exposure measure (83,758) reflects a PS22/21-driven restatement to exclude Bounce Back Loan Scheme (BBLS) balances; FY2021's figure (84,293) is as originally reported and was not restated on the same basis, so the FY2021-to-FY2022 leverage exposure movement is not fully like-for-like. FY2014-FY2020 report a plain 'CRD IV Leverage ratio' (Tier 1 capital / total exposure, no central-bank-claims split) shown on the 'excluding' row for continuity; a separate 'UK leverage ratio' (modified basis excluding qualifying central bank claims from the exposure measure, a UK-specific framework in force from 1 Jan 2016) is shown on its own row from FY2017, the first year it was disclosed. The FY2015-FY2018 exposure amounts are kept on a separate historical individual-consolidated-basis row: FY2018 £45,471m (2018 Pillar 3 Appendix 1, Table 46 LRCom), FY2017 £45,541m (2017 Pillar 3 Appendix 1, Tables 40-41), and FY2016/FY2015 £43,518m/£41,970m (2016 Pillar 3 Appendix 1, Table 32). They are not silently mapped into the later central-bank-excluded exposure row because both caption and prudential basis differ. FY2014 exposure remains unrecovered.</t>
        </is>
      </c>
    </row>
    <row r="11" ht="260" customHeight="1">
      <c r="A11" s="8" t="inlineStr">
        <is>
          <t>Sources - Clydesdale Bank PLC (CB) Group/Solo-Consolidated basis:
FY2026: Clydesdale Bank PLC 2026 Pillar 3 Report, p.5-6 (2.1 UK KM1 - Key metrics) - https://www.virginmoneyukplc.com/downloads/pdf/cb-2026-pillar-3-report.pdf
FY2025 (18mo): Virgin Money UK PLC 2025 Pillar 3 Report, p.140 (21.1.2 UK KM1 - Key metrics (Appendix 1: CB Solo-Consolidated Group)) - https://www.virginmoneyukplc.com/downloads/pdf/vmukplc-2025-pillar-3-report.pdf
FY2023: Virgin Money UK PLC 2023 Pillar 3 Report, p.123 (21.1.2 UK KM1 - Key metrics (Appendix 1: CB Group Consolidated)) - https://www.virginmoneyukplc.com/downloads/pdf/vmukplc-2023-pillar-3-report.pdf
FY2022: Virgin Money UK PLC 2022 Pillar 3 Report, p.103 (21.1.2 UK KM1 - Key metrics (Appendix 1: CB Group Consolidated)) - https://www.virginmoneyukplc.com/downloads/pdf/vmukplc-2022-pillar-3-report.pdf
FY2021: Virgin Money UK PLC 2021 Pillar 3 Report, p.77, 79 (Table 57/59 (Appendix 1: Disclosures for CB Group consolidated)) - https://www.virginmoneyukplc.com/downloads/pdf/vm-pillar-3-2021.pdf
FY2014-FY2020 sources (no standalone Clydesdale Bank PLC Pillar 3 report exists for these years - capital/RWA/leverage/LCR/NSFR/MREL metrics are embedded in the Annual Report's Risk Report/Strategic Report 'Capital position' and liquidity sections instead, entity-level, confirmed by reading each report):
FY2020 (own AR, Risk report 'Capital position'/'Capital risk', p.55-61) - https://www.virginmoneyukplc.com/downloads/pdf/cb-ara-2020.pdf
FY2019 (own AR, Strategic Report 'Capital position', p.15-16) - https://www.virginmoneyukplc.com/downloads/pdf/cb-ara-2019.pdf
FY2018 (own AR, Risk Report 'Balance sheet &amp; prudential regulation risks', p.35-38) - https://www.virginmoneyukplc.com/downloads/pdf/cb-ara-2018.pdf
FY2017 (FY2018 AR's FY2017 comparative column, same tables) - https://www.virginmoneyukplc.com/downloads/pdf/cb-ara-2018.pdf
FY2016 (own AR, Risk Report 'Balance sheet &amp; prudential regulation risks', p.39-42) - https://www.virginmoneyukplc.com/downloads/pdf/cb-ara-2016.pdf
FY2015 (FY2016 AR's FY2015 comparative column, same tables; also own AR Strategic Report 'Capital position', p.20-23) - https://www.virginmoneyukplc.com/downloads/pdf/cb-ara-2016.pdf , https://www.virginmoneyukplc.com/downloads/pdf/cb-ara-2015.pdf
FY2014 (own AR, Strategic Report 'Capital position', p.17-19) - https://www.virginmoneyukplc.com/downloads/pdf/cb-ara-2014.pdf
HD-047 HISTORICAL SOURCING NOTE (FY2014-FY2020): all figures on this sheet for these years are transcribed from Clydesdale Bank PLC's own entity-level Annual Report and Accounts for that year, each year's own originally-published figures (not a later restated comparative), Group consolidated basis throughout. FY2015, FY2017 and FY2019 P&amp;L/OCI figures were read from that year's own comparative column inside the FOLLOWING year's Annual Report (e.g. FY2015 from the FY2016 AR) where that gave a cleaner typeset extraction than the year's own PDF; FY2014, FY2016, FY2018 and FY2020 are each read from that year's own AR directly. The FY2014 Balance Sheet was recovered via OCR (Tesseract) since that one page of the source PDF is an embedded image with no text layer - cross-checked against the FY2014 Statement of Changes in Equity's independently-typeset closing balances, which tie out exactly, so OCR misreads are not believed to affect any figure used here. Clydesdale Bank PLC was wholly owned by National Australia Bank through the Feb 2016 CYBG plc demerger, then part of CYBG plc (renamed Virgin Money UK PLC in Oct 2019 following the Oct 2018 Virgin Money Holdings (UK) PLC acquisition) - throughout, Clydesdale Bank PLC continued publishing its own entity-level statutory accounts, which is what is used here, not the parent group's consolidated accounts.</t>
        </is>
      </c>
    </row>
  </sheetData>
  <mergeCells count="2">
    <mergeCell ref="A11:M11"/>
    <mergeCell ref="A9:M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Clydesdale Bank PLC — LCR</t>
        </is>
      </c>
    </row>
    <row r="2">
      <c r="A2" s="2" t="inlineStr">
        <is>
          <t>CB consolidated basis, £m / %</t>
        </is>
      </c>
    </row>
    <row r="3">
      <c r="A3" s="4" t="inlineStr">
        <is>
          <t>Metric</t>
        </is>
      </c>
      <c r="B3" s="4" t="inlineStr">
        <is>
          <t>FY2026</t>
        </is>
      </c>
      <c r="C3" s="4" t="inlineStr">
        <is>
          <t>FY2025 (18mo)</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high-quality liquid assets (HQLA), weighted value (average)</t>
        </is>
      </c>
      <c r="B4" s="6" t="n">
        <v>16246</v>
      </c>
      <c r="C4" s="6" t="n">
        <v>14868</v>
      </c>
      <c r="D4" s="6" t="n">
        <v>13798</v>
      </c>
      <c r="E4" s="6" t="n">
        <v>11503</v>
      </c>
      <c r="F4" s="6" t="n"/>
      <c r="G4" s="6" t="n"/>
      <c r="H4" s="6" t="n"/>
      <c r="I4" s="6" t="n"/>
      <c r="J4" s="6" t="n"/>
      <c r="K4" s="6" t="n"/>
      <c r="L4" s="6" t="n"/>
      <c r="M4" s="6" t="n"/>
    </row>
    <row r="5">
      <c r="A5" s="6" t="inlineStr">
        <is>
          <t>Total net cash outflows, adjusted value</t>
        </is>
      </c>
      <c r="B5" s="6" t="n">
        <v>9912</v>
      </c>
      <c r="C5" s="6" t="n">
        <v>9414</v>
      </c>
      <c r="D5" s="6" t="n">
        <v>9424</v>
      </c>
      <c r="E5" s="6" t="n">
        <v>8222</v>
      </c>
      <c r="F5" s="6" t="n"/>
      <c r="G5" s="6" t="n"/>
      <c r="H5" s="6" t="n"/>
      <c r="I5" s="6" t="n"/>
      <c r="J5" s="6" t="n"/>
      <c r="K5" s="6" t="n"/>
      <c r="L5" s="6" t="n"/>
      <c r="M5" s="6" t="n"/>
    </row>
    <row r="6">
      <c r="A6" s="6" t="inlineStr">
        <is>
          <t>Liquidity Coverage Ratio (%)</t>
        </is>
      </c>
      <c r="B6" s="6" t="inlineStr">
        <is>
          <t>164%</t>
        </is>
      </c>
      <c r="C6" s="6" t="inlineStr">
        <is>
          <t>158%</t>
        </is>
      </c>
      <c r="D6" s="6" t="inlineStr">
        <is>
          <t>146%</t>
        </is>
      </c>
      <c r="E6" s="6" t="inlineStr">
        <is>
          <t>140%</t>
        </is>
      </c>
      <c r="F6" s="6" t="inlineStr">
        <is>
          <t>151%</t>
        </is>
      </c>
      <c r="G6" s="6" t="inlineStr">
        <is>
          <t>140%</t>
        </is>
      </c>
      <c r="H6" s="6" t="inlineStr">
        <is>
          <t>152%</t>
        </is>
      </c>
      <c r="I6" s="6" t="inlineStr">
        <is>
          <t>137%</t>
        </is>
      </c>
      <c r="J6" s="6" t="inlineStr">
        <is>
          <t>164%</t>
        </is>
      </c>
      <c r="K6" s="6" t="inlineStr">
        <is>
          <t>140%</t>
        </is>
      </c>
      <c r="L6" s="6" t="inlineStr">
        <is>
          <t>136%</t>
        </is>
      </c>
      <c r="M6" s="6" t="inlineStr">
        <is>
          <t>110%</t>
        </is>
      </c>
    </row>
    <row r="7" ht="39" customHeight="1">
      <c r="A7" s="7" t="inlineStr">
        <is>
          <t>Note: FY2021 FOUND 2026-09-19 (GA-020): 151%, Clydesdale Bank PLC Annual Report and Accounts 2021, Risk report 'Funding and liquidity risk', 'Liquidity coverage ratio (audited)' table, printed p.61 (eligible liquidity buffer 10,996 / net stress outflows 7,289; 2020 comparative 140%, matching FY2020 here) - read off the page image. Same Annual-Report basis as FY2014-FY2020. LCR is a 12-month simple average of month-end observations. Not disclosed for FY2021 at the CB Group Consolidated level in the 2021 Pillar 3 report's dedicated CB appendix (only narrative/glossary mentions of LCR appear elsewhere in that report). FY2014-FY2020 LCR percentages are narrative disclosures in the Annual Report (Strategic Report/Risk Report) rather than a KM1-style table with HQLA/outflow £m amounts, so only the ratio itself is populated for those years, not the underlying £m components.</t>
        </is>
      </c>
    </row>
    <row r="9" ht="260" customHeight="1">
      <c r="A9" s="8" t="inlineStr">
        <is>
          <t>Sources - Clydesdale Bank PLC (CB) Group/Solo-Consolidated basis:
FY2026: Clydesdale Bank PLC 2026 Pillar 3 Report, p.5-6 (2.1 UK KM1 - Key metrics) - https://www.virginmoneyukplc.com/downloads/pdf/cb-2026-pillar-3-report.pdf
FY2025 (18mo): Virgin Money UK PLC 2025 Pillar 3 Report, p.140 (21.1.2 UK KM1 - Key metrics (Appendix 1: CB Solo-Consolidated Group)) - https://www.virginmoneyukplc.com/downloads/pdf/vmukplc-2025-pillar-3-report.pdf
FY2023: Virgin Money UK PLC 2023 Pillar 3 Report, p.123 (21.1.2 UK KM1 - Key metrics (Appendix 1: CB Group Consolidated)) - https://www.virginmoneyukplc.com/downloads/pdf/vmukplc-2023-pillar-3-report.pdf
FY2022: Virgin Money UK PLC 2022 Pillar 3 Report, p.103 (21.1.2 UK KM1 - Key metrics (Appendix 1: CB Group Consolidated)) - https://www.virginmoneyukplc.com/downloads/pdf/vmukplc-2022-pillar-3-report.pdf
FY2021: Virgin Money UK PLC 2021 Pillar 3 Report, p.77, 79 (Table 57/59 (Appendix 1: Disclosures for CB Group consolidated)) - https://www.virginmoneyukplc.com/downloads/pdf/vm-pillar-3-2021.pdf
FY2014-FY2020 sources (no standalone Clydesdale Bank PLC Pillar 3 report exists for these years - capital/RWA/leverage/LCR/NSFR/MREL metrics are embedded in the Annual Report's Risk Report/Strategic Report 'Capital position' and liquidity sections instead, entity-level, confirmed by reading each report):
FY2020 (own AR, Risk report 'Capital position'/'Capital risk', p.55-61) - https://www.virginmoneyukplc.com/downloads/pdf/cb-ara-2020.pdf
FY2019 (own AR, Strategic Report 'Capital position', p.15-16) - https://www.virginmoneyukplc.com/downloads/pdf/cb-ara-2019.pdf
FY2018 (own AR, Risk Report 'Balance sheet &amp; prudential regulation risks', p.35-38) - https://www.virginmoneyukplc.com/downloads/pdf/cb-ara-2018.pdf
FY2017 (FY2018 AR's FY2017 comparative column, same tables) - https://www.virginmoneyukplc.com/downloads/pdf/cb-ara-2018.pdf
FY2016 (own AR, Risk Report 'Balance sheet &amp; prudential regulation risks', p.39-42) - https://www.virginmoneyukplc.com/downloads/pdf/cb-ara-2016.pdf
FY2015 (FY2016 AR's FY2015 comparative column, same tables; also own AR Strategic Report 'Capital position', p.20-23) - https://www.virginmoneyukplc.com/downloads/pdf/cb-ara-2016.pdf , https://www.virginmoneyukplc.com/downloads/pdf/cb-ara-2015.pdf
FY2014 (own AR, Strategic Report 'Capital position', p.17-19) - https://www.virginmoneyukplc.com/downloads/pdf/cb-ara-2014.pdf
HD-047 HISTORICAL SOURCING NOTE (FY2014-FY2020): all figures on this sheet for these years are transcribed from Clydesdale Bank PLC's own entity-level Annual Report and Accounts for that year, each year's own originally-published figures (not a later restated comparative), Group consolidated basis throughout. FY2015, FY2017 and FY2019 P&amp;L/OCI figures were read from that year's own comparative column inside the FOLLOWING year's Annual Report (e.g. FY2015 from the FY2016 AR) where that gave a cleaner typeset extraction than the year's own PDF; FY2014, FY2016, FY2018 and FY2020 are each read from that year's own AR directly. The FY2014 Balance Sheet was recovered via OCR (Tesseract) since that one page of the source PDF is an embedded image with no text layer - cross-checked against the FY2014 Statement of Changes in Equity's independently-typeset closing balances, which tie out exactly, so OCR misreads are not believed to affect any figure used here. Clydesdale Bank PLC was wholly owned by National Australia Bank through the Feb 2016 CYBG plc demerger, then part of CYBG plc (renamed Virgin Money UK PLC in Oct 2019 following the Oct 2018 Virgin Money Holdings (UK) PLC acquisition) - throughout, Clydesdale Bank PLC continued publishing its own entity-level statutory accounts, which is what is used here, not the parent group's consolidated accounts.</t>
        </is>
      </c>
    </row>
  </sheetData>
  <mergeCells count="2">
    <mergeCell ref="A9:M9"/>
    <mergeCell ref="A7:M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Clydesdale Bank PLC — NSFR</t>
        </is>
      </c>
    </row>
    <row r="2">
      <c r="A2" s="2" t="inlineStr">
        <is>
          <t>CB consolidated basis, £m / %</t>
        </is>
      </c>
    </row>
    <row r="3">
      <c r="A3" s="4" t="inlineStr">
        <is>
          <t>Metric</t>
        </is>
      </c>
      <c r="B3" s="4" t="inlineStr">
        <is>
          <t>FY2026</t>
        </is>
      </c>
      <c r="C3" s="4" t="inlineStr">
        <is>
          <t>FY2025 (18mo)</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available stable funding</t>
        </is>
      </c>
      <c r="B4" s="6" t="n">
        <v>78219</v>
      </c>
      <c r="C4" s="6" t="n">
        <v>77427</v>
      </c>
      <c r="D4" s="6" t="n">
        <v>79295</v>
      </c>
      <c r="E4" s="6" t="n"/>
      <c r="F4" s="6" t="n"/>
      <c r="G4" s="6" t="n"/>
      <c r="H4" s="6" t="n"/>
      <c r="I4" s="6" t="n"/>
      <c r="J4" s="6" t="n"/>
      <c r="K4" s="6" t="n"/>
      <c r="L4" s="6" t="n"/>
      <c r="M4" s="6" t="n"/>
    </row>
    <row r="5">
      <c r="A5" s="6" t="inlineStr">
        <is>
          <t>Total required stable funding</t>
        </is>
      </c>
      <c r="B5" s="6" t="n">
        <v>54560</v>
      </c>
      <c r="C5" s="6" t="n">
        <v>54375</v>
      </c>
      <c r="D5" s="6" t="n">
        <v>58450</v>
      </c>
      <c r="E5" s="6" t="n"/>
      <c r="F5" s="6" t="n"/>
      <c r="G5" s="6" t="n"/>
      <c r="H5" s="6" t="n"/>
      <c r="I5" s="6" t="n"/>
      <c r="J5" s="6" t="n"/>
      <c r="K5" s="6" t="n"/>
      <c r="L5" s="6" t="n"/>
      <c r="M5" s="6" t="n"/>
    </row>
    <row r="6">
      <c r="A6" s="6" t="inlineStr">
        <is>
          <t>NSFR ratio (%)</t>
        </is>
      </c>
      <c r="B6" s="6" t="inlineStr">
        <is>
          <t>143%</t>
        </is>
      </c>
      <c r="C6" s="6" t="inlineStr">
        <is>
          <t>142%</t>
        </is>
      </c>
      <c r="D6" s="6" t="inlineStr">
        <is>
          <t>136%</t>
        </is>
      </c>
      <c r="E6" s="6" t="inlineStr">
        <is>
          <t>136%</t>
        </is>
      </c>
      <c r="F6" s="6" t="inlineStr">
        <is>
          <t>134%</t>
        </is>
      </c>
      <c r="G6" s="6" t="inlineStr">
        <is>
          <t>131%</t>
        </is>
      </c>
      <c r="H6" s="6" t="inlineStr">
        <is>
          <t>128%</t>
        </is>
      </c>
      <c r="I6" s="6" t="inlineStr">
        <is>
          <t>125%</t>
        </is>
      </c>
      <c r="J6" s="6" t="inlineStr">
        <is>
          <t>118%</t>
        </is>
      </c>
      <c r="K6" s="6" t="inlineStr">
        <is>
          <t>124%</t>
        </is>
      </c>
      <c r="L6" s="6" t="inlineStr">
        <is>
          <t>120%</t>
        </is>
      </c>
      <c r="M6" s="6" t="inlineStr">
        <is>
          <t>108%</t>
        </is>
      </c>
    </row>
    <row r="7" ht="30" customHeight="1">
      <c r="A7" s="7" t="inlineStr">
        <is>
          <t>Note: FY2014-FY2022 NSFR is the Bank's own voluntary/early estimate under its own interpretation of then-draft Basel III / CRD IV guidance (the Annual Reports say so explicitly), narrative-only (no £m components disclosed). FY2023 onward is the PRA-mandated UK KM1 measure, a four-quarter average - the two bases are not directly comparable, which is why only FY2023+ carry available/required stable funding components. The UK NSFR requirement itself only took effect 1 January 2022, and the four-quarter-average disclosure basis meant no KM1 NSFR was required of a 30 September year-end firm until FY2023.</t>
        </is>
      </c>
    </row>
    <row r="9" ht="364" customHeight="1">
      <c r="A9" s="8" t="inlineStr">
        <is>
          <t xml:space="preserve">Sources - Clydesdale Bank PLC (CB) Group/Solo-Consolidated basis:
FY2026: Clydesdale Bank PLC 2026 Pillar 3 Report, p.5-6 (2.1 UK KM1 - Key metrics) - https://www.virginmoneyukplc.com/downloads/pdf/cb-2026-pillar-3-report.pdf
FY2025 (18mo): Virgin Money UK PLC 2025 Pillar 3 Report, p.140 (21.1.2 UK KM1 - Key metrics (Appendix 1: CB Solo-Consolidated Group)) - https://www.virginmoneyukplc.com/downloads/pdf/vmukplc-2025-pillar-3-report.pdf
FY2023: Virgin Money UK PLC 2023 Pillar 3 Report, p.123 (21.1.2 UK KM1 - Key metrics (Appendix 1: CB Group Consolidated)) - https://www.virginmoneyukplc.com/downloads/pdf/vmukplc-2023-pillar-3-report.pdf
FY2022: Virgin Money UK PLC 2022 Pillar 3 Report, p.103 (21.1.2 UK KM1 - Key metrics (Appendix 1: CB Group Consolidated)) - https://www.virginmoneyukplc.com/downloads/pdf/vmukplc-2022-pillar-3-report.pdf
FY2021: Virgin Money UK PLC 2021 Pillar 3 Report, p.77, 79 (Table 57/59 (Appendix 1: Disclosures for CB Group consolidated)) - https://www.virginmoneyukplc.com/downloads/pdf/vm-pillar-3-2021.pdf
FY2014-FY2020 sources (no standalone Clydesdale Bank PLC Pillar 3 report exists for these years - capital/RWA/leverage/LCR/NSFR/MREL metrics are embedded in the Annual Report's Risk Report/Strategic Report 'Capital position' and liquidity sections instead, entity-level, confirmed by reading each report):
FY2020 (own AR, Risk report 'Capital position'/'Capital risk', p.55-61) - https://www.virginmoneyukplc.com/downloads/pdf/cb-ara-2020.pdf
FY2019 (own AR, Strategic Report 'Capital position', p.15-16) - https://www.virginmoneyukplc.com/downloads/pdf/cb-ara-2019.pdf
FY2018 (own AR, Risk Report 'Balance sheet &amp; prudential regulation risks', p.35-38) - https://www.virginmoneyukplc.com/downloads/pdf/cb-ara-2018.pdf
FY2017 (FY2018 AR's FY2017 comparative column, same tables) - https://www.virginmoneyukplc.com/downloads/pdf/cb-ara-2018.pdf
FY2016 (own AR, Risk Report 'Balance sheet &amp; prudential regulation risks', p.39-42) - https://www.virginmoneyukplc.com/downloads/pdf/cb-ara-2016.pdf
FY2015 (FY2016 AR's FY2015 comparative column, same tables; also own AR Strategic Report 'Capital position', p.20-23) - https://www.virginmoneyukplc.com/downloads/pdf/cb-ara-2016.pdf , https://www.virginmoneyukplc.com/downloads/pdf/cb-ara-2015.pdf
FY2014 (own AR, Strategic Report 'Capital position', p.17-19) - https://www.virginmoneyukplc.com/downloads/pdf/cb-ara-2014.pdf
HD-047 HISTORICAL SOURCING NOTE (FY2014-FY2020): all figures on this sheet for these years are transcribed from Clydesdale Bank PLC's own entity-level Annual Report and Accounts for that year, each year's own originally-published figures (not a later restated comparative), Group consolidated basis throughout. FY2015, FY2017 and FY2019 P&amp;L/OCI figures were read from that year's own comparative column inside the FOLLOWING year's Annual Report (e.g. FY2015 from the FY2016 AR) where that gave a cleaner typeset extraction than the year's own PDF; FY2014, FY2016, FY2018 and FY2020 are each read from that year's own AR directly. The FY2014 Balance Sheet was recovered via OCR (Tesseract) since that one page of the source PDF is an embedded image with no text layer - cross-checked against the FY2014 Statement of Changes in Equity's independently-typeset closing balances, which tie out exactly, so OCR misreads are not believed to affect any figure used here. Clydesdale Bank PLC was wholly owned by National Australia Bank through the Feb 2016 CYBG plc demerger, then part of CYBG plc (renamed Virgin Money UK PLC in Oct 2019 following the Oct 2018 Virgin Money Holdings (UK) PLC acquisition) - throughout, Clydesdale Bank PLC continued publishing its own entity-level statutory accounts, which is what is used here, not the parent group's consolidated accounts.
FY2022 &amp; FY2021 NSFR ONLY: not in the Pillar 3 reports above - the UK NSFR disclosure regime (PRA PS17/21 / PS22/21, in force 1 January 2022) requires a four-quarter average, which PS17/21 states makes 'the first disclosures being required after Sunday 1 January 2023'; with a 30 September year-end, CB's first KM1 NSFR is therefore FY2023. The Bank did however continue its own voluntary narrative disclosure in both years:
FY2022 (136%, y/e 30 Sep 2022): Clydesdale Bank PLC Annual Report and Accounts 2022, Business and Financial Review 'Funding and liquidity', p.2 - https://www.virginmoneyukplc.com/downloads/pdf/cbplc-2022-ar-cfs.pdf
FY2021 (134%, y/e 30 Sep 2021): Clydesdale Bank PLC Annual Report and Accounts 2021, Risk Report 'Liquidity and funding risk' asset-encumbrance commentary ('The introduction of a binding NSFR is due to be implemented in the UK on 1 January 2022. Based on current interpretations of European regulatory requirements and guidance, the ratio as at 30 September 2021 is 134% (2020: 131%)') - https://www.virginmoneyukplc.com/downloads/pdf/cb-ara-2021.pdf. Note the FY2021 report's own front-section highlights mis-state this as 'at 30 September 2020'; the Risk Report wording above is unambiguous and its 2020 comparative of 131% ties to this workbook's FY2020.
</t>
        </is>
      </c>
    </row>
  </sheetData>
  <mergeCells count="2">
    <mergeCell ref="A9:M9"/>
    <mergeCell ref="A7:M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Clydesdale Bank PLC — MREL Ratio</t>
        </is>
      </c>
    </row>
    <row r="2">
      <c r="A2" s="2" t="inlineStr">
        <is>
          <t>CB consolidated basis, £m / %</t>
        </is>
      </c>
    </row>
    <row r="3">
      <c r="A3" s="4" t="inlineStr">
        <is>
          <t>Metric</t>
        </is>
      </c>
      <c r="B3" s="4" t="inlineStr">
        <is>
          <t>FY2026</t>
        </is>
      </c>
      <c r="C3" s="4" t="inlineStr">
        <is>
          <t>FY2025 (18mo)</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resources</t>
        </is>
      </c>
      <c r="B4" s="6" t="n">
        <v>5747</v>
      </c>
      <c r="C4" s="6" t="n">
        <v>5347</v>
      </c>
      <c r="D4" s="6" t="n">
        <v>5301</v>
      </c>
      <c r="E4" s="6" t="n">
        <v>5288</v>
      </c>
      <c r="F4" s="6" t="n">
        <v>5294</v>
      </c>
      <c r="G4" s="6" t="n">
        <v>4929</v>
      </c>
      <c r="H4" s="6" t="n">
        <v>4857</v>
      </c>
      <c r="I4" s="6" t="n"/>
      <c r="J4" s="6" t="n"/>
      <c r="K4" s="6" t="n"/>
      <c r="L4" s="6" t="n"/>
      <c r="M4" s="6" t="n"/>
    </row>
    <row r="5">
      <c r="A5" s="6" t="inlineStr">
        <is>
          <t>Eligible senior unsecured securities</t>
        </is>
      </c>
      <c r="B5" s="6" t="n">
        <v>3520</v>
      </c>
      <c r="C5" s="6" t="n">
        <v>3004</v>
      </c>
      <c r="D5" s="6" t="n">
        <v>2707</v>
      </c>
      <c r="E5" s="6" t="n">
        <v>2423</v>
      </c>
      <c r="F5" s="6" t="n">
        <v>2408</v>
      </c>
      <c r="G5" s="6" t="n">
        <v>2002</v>
      </c>
      <c r="H5" s="6" t="n">
        <v>1550</v>
      </c>
      <c r="I5" s="6" t="n"/>
      <c r="J5" s="6" t="n"/>
      <c r="K5" s="6" t="n"/>
      <c r="L5" s="6" t="n"/>
      <c r="M5" s="6" t="n"/>
    </row>
    <row r="6">
      <c r="A6" s="6" t="inlineStr">
        <is>
          <t>Total MREL resources</t>
        </is>
      </c>
      <c r="B6" s="6" t="n">
        <v>9267</v>
      </c>
      <c r="C6" s="6" t="n">
        <v>8351</v>
      </c>
      <c r="D6" s="6" t="n">
        <v>8008</v>
      </c>
      <c r="E6" s="6" t="n">
        <v>7711</v>
      </c>
      <c r="F6" s="6" t="n">
        <v>7702</v>
      </c>
      <c r="G6" s="6" t="n">
        <v>6931</v>
      </c>
      <c r="H6" s="6" t="n">
        <v>6407</v>
      </c>
      <c r="I6" s="6" t="n"/>
      <c r="J6" s="6" t="n"/>
      <c r="K6" s="6" t="n"/>
      <c r="L6" s="6" t="n"/>
      <c r="M6" s="6" t="n"/>
    </row>
    <row r="7">
      <c r="A7" s="6" t="inlineStr">
        <is>
          <t>MREL resources (% of total risk-weighted assets)</t>
        </is>
      </c>
      <c r="B7" s="6" t="inlineStr">
        <is>
          <t>31.2%</t>
        </is>
      </c>
      <c r="C7" s="6" t="inlineStr">
        <is>
          <t>30.3%</t>
        </is>
      </c>
      <c r="D7" s="6" t="inlineStr">
        <is>
          <t>31.8%</t>
        </is>
      </c>
      <c r="E7" s="6" t="inlineStr">
        <is>
          <t>32.0%</t>
        </is>
      </c>
      <c r="F7" s="6" t="inlineStr">
        <is>
          <t>31.8%</t>
        </is>
      </c>
      <c r="G7" s="6" t="inlineStr">
        <is>
          <t>28.4%</t>
        </is>
      </c>
      <c r="H7" s="6" t="inlineStr">
        <is>
          <t>26.6%</t>
        </is>
      </c>
      <c r="I7" s="6" t="inlineStr">
        <is>
          <t>Not published – this year's Clydesdale Bank PLC Annual Report gives no MREL ratio (MREL discussed only in narrative, or not at all; text-searched 2026-09-19)</t>
        </is>
      </c>
      <c r="J7" s="6" t="inlineStr">
        <is>
          <t>Not published – this year's Clydesdale Bank PLC Annual Report gives no MREL ratio (MREL discussed only in narrative, or not at all; text-searched 2026-09-19)</t>
        </is>
      </c>
      <c r="K7" s="6" t="inlineStr">
        <is>
          <t>Not published – this year's Clydesdale Bank PLC Annual Report gives no MREL ratio (MREL discussed only in narrative, or not at all; text-searched 2026-09-19)</t>
        </is>
      </c>
      <c r="L7" s="6" t="inlineStr">
        <is>
          <t>Not published – this year's Clydesdale Bank PLC Annual Report gives no MREL ratio (MREL discussed only in narrative, or not at all; text-searched 2026-09-19)</t>
        </is>
      </c>
      <c r="M7" s="6" t="inlineStr">
        <is>
          <t>Not published – this year's Clydesdale Bank PLC Annual Report gives no MREL ratio (MREL discussed only in narrative, or not at all; text-searched 2026-09-19)</t>
        </is>
      </c>
    </row>
    <row r="8">
      <c r="A8" s="6" t="inlineStr">
        <is>
          <t>MREL resources (% of UK leverage exposure measure)</t>
        </is>
      </c>
      <c r="B8" s="6" t="inlineStr">
        <is>
          <t>11.8%</t>
        </is>
      </c>
      <c r="C8" s="6" t="inlineStr">
        <is>
          <t>10.0%</t>
        </is>
      </c>
      <c r="D8" s="6" t="inlineStr">
        <is>
          <t>9.3%</t>
        </is>
      </c>
      <c r="E8" s="6" t="inlineStr">
        <is>
          <t>9.2%</t>
        </is>
      </c>
      <c r="F8" s="6" t="n"/>
      <c r="G8" s="6" t="n"/>
      <c r="H8" s="6" t="n"/>
      <c r="I8" s="6" t="n"/>
      <c r="J8" s="6" t="n"/>
      <c r="K8" s="6" t="n"/>
      <c r="L8" s="6" t="n"/>
      <c r="M8" s="6" t="n"/>
    </row>
    <row r="9" ht="78" customHeight="1">
      <c r="A9" s="7" t="inlineStr">
        <is>
          <t>Note: FY2021 FOUND 2026-09-19 (GA-020): Clydesdale Bank PLC Annual Report and Accounts 2021, Risk report 'Capital risk', 'MREL position' table, printed p.57 - total capital resources 5,294, eligible senior unsecured securities issued by Clydesdale Bank PLC 2,408, total MREL resources 7,702, RWA 24,194, MREL ratio 31.8% (2020 comparative 4,929 / 2,002 / 6,931 / 28.4%, matching FY2020 here). Read off the page image; same Annual-Report table as FY2019/FY2020. The sentence below that FY2021 has no numeric MREL disclosure is true of the FY2021 Pillar 3 only. FY2014-FY2018 Annual Reports re-searched 2026-09-19: 2014/2015 never mention MREL; 2016-2018 mention it only narratively (e.g. the 18% interim requirement) - no ratio. 'Eligible senior unsecured securities' were issued by Clydesdale Bank PLC through FY2023, but by Virgin Money UK PLC from the FY2025 (18mo) report onward - shown as reported each year, not adjusted for this change. FY2021's Pillar 3 report contains only qualitative MREL narrative (no numeric MREL disclosure of any kind), consistent with the UK KM2 MREL template not yet being in use for CB Group Consolidated that year. FY2019 and FY2020 numeric MREL figures are from the Annual Report's own 'Minimum requirement for own funds and eligible liabilities (MREL)' table (Risk Report) - the Bank of England's MREL policy and phased implementation only began applying case-by-case from 2016 onward (BRRD requirement), with the Bank's first numeric MREL disclosure appearing in the FY2019/FY2020 Annual Reports; FY2014-FY2018 Annual Reports discuss MREL only narratively (e.g. 'progression towards meeting the BoE's MREL by 2022'), with no numeric ratio disclosed.</t>
        </is>
      </c>
    </row>
    <row r="11" ht="260" customHeight="1">
      <c r="A11" s="8" t="inlineStr">
        <is>
          <t>Sources - Clydesdale Bank PLC (CB) Group/Solo-Consolidated basis:
FY2026: Clydesdale Bank PLC 2026 Pillar 3 Report, p.5-6 (2.1 UK KM1 - Key metrics) - https://www.virginmoneyukplc.com/downloads/pdf/cb-2026-pillar-3-report.pdf
FY2025 (18mo): Virgin Money UK PLC 2025 Pillar 3 Report, p.140 (21.1.2 UK KM1 - Key metrics (Appendix 1: CB Solo-Consolidated Group)) - https://www.virginmoneyukplc.com/downloads/pdf/vmukplc-2025-pillar-3-report.pdf
FY2023: Virgin Money UK PLC 2023 Pillar 3 Report, p.123 (21.1.2 UK KM1 - Key metrics (Appendix 1: CB Group Consolidated)) - https://www.virginmoneyukplc.com/downloads/pdf/vmukplc-2023-pillar-3-report.pdf
FY2022: Virgin Money UK PLC 2022 Pillar 3 Report, p.103 (21.1.2 UK KM1 - Key metrics (Appendix 1: CB Group Consolidated)) - https://www.virginmoneyukplc.com/downloads/pdf/vmukplc-2022-pillar-3-report.pdf
FY2021: Virgin Money UK PLC 2021 Pillar 3 Report, p.77, 79 (Table 57/59 (Appendix 1: Disclosures for CB Group consolidated)) - https://www.virginmoneyukplc.com/downloads/pdf/vm-pillar-3-2021.pdf
FY2014-FY2020 sources (no standalone Clydesdale Bank PLC Pillar 3 report exists for these years - capital/RWA/leverage/LCR/NSFR/MREL metrics are embedded in the Annual Report's Risk Report/Strategic Report 'Capital position' and liquidity sections instead, entity-level, confirmed by reading each report):
FY2020 (own AR, Risk report 'Capital position'/'Capital risk', p.55-61) - https://www.virginmoneyukplc.com/downloads/pdf/cb-ara-2020.pdf
FY2019 (own AR, Strategic Report 'Capital position', p.15-16) - https://www.virginmoneyukplc.com/downloads/pdf/cb-ara-2019.pdf
FY2018 (own AR, Risk Report 'Balance sheet &amp; prudential regulation risks', p.35-38) - https://www.virginmoneyukplc.com/downloads/pdf/cb-ara-2018.pdf
FY2017 (FY2018 AR's FY2017 comparative column, same tables) - https://www.virginmoneyukplc.com/downloads/pdf/cb-ara-2018.pdf
FY2016 (own AR, Risk Report 'Balance sheet &amp; prudential regulation risks', p.39-42) - https://www.virginmoneyukplc.com/downloads/pdf/cb-ara-2016.pdf
FY2015 (FY2016 AR's FY2015 comparative column, same tables; also own AR Strategic Report 'Capital position', p.20-23) - https://www.virginmoneyukplc.com/downloads/pdf/cb-ara-2016.pdf , https://www.virginmoneyukplc.com/downloads/pdf/cb-ara-2015.pdf
FY2014 (own AR, Strategic Report 'Capital position', p.17-19) - https://www.virginmoneyukplc.com/downloads/pdf/cb-ara-2014.pdf
HD-047 HISTORICAL SOURCING NOTE (FY2014-FY2020): all figures on this sheet for these years are transcribed from Clydesdale Bank PLC's own entity-level Annual Report and Accounts for that year, each year's own originally-published figures (not a later restated comparative), Group consolidated basis throughout. FY2015, FY2017 and FY2019 P&amp;L/OCI figures were read from that year's own comparative column inside the FOLLOWING year's Annual Report (e.g. FY2015 from the FY2016 AR) where that gave a cleaner typeset extraction than the year's own PDF; FY2014, FY2016, FY2018 and FY2020 are each read from that year's own AR directly. The FY2014 Balance Sheet was recovered via OCR (Tesseract) since that one page of the source PDF is an embedded image with no text layer - cross-checked against the FY2014 Statement of Changes in Equity's independently-typeset closing balances, which tie out exactly, so OCR misreads are not believed to affect any figure used here. Clydesdale Bank PLC was wholly owned by National Australia Bank through the Feb 2016 CYBG plc demerger, then part of CYBG plc (renamed Virgin Money UK PLC in Oct 2019 following the Oct 2018 Virgin Money Holdings (UK) PLC acquisition) - throughout, Clydesdale Bank PLC continued publishing its own entity-level statutory accounts, which is what is used here, not the parent group's consolidated accounts.</t>
        </is>
      </c>
    </row>
  </sheetData>
  <mergeCells count="2">
    <mergeCell ref="A11:M11"/>
    <mergeCell ref="A9:M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2026-10-26T09:36:00Z</dcterms:created>
  <dcterms:modified xmlns:dcterms="http://purl.org/dc/terms/" xmlns:xsi="http://www.w3.org/2001/XMLSchema-instance" xsi:type="dcterms:W3CDTF">2026-10-26T09:36:00Z</dcterms:modified>
</cp:coreProperties>
</file>