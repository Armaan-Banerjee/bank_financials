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F4538"/>
        <bgColor rgb="002F453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Bank Saderat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a:prstDash val="solid"/>
            </a:ln>
          </spPr>
          <cat>
            <numRef>
              <f>'Overview'!$L$5:$R$5</f>
            </numRef>
          </cat>
          <val>
            <numRef>
              <f>'Overview'!$L$6:$R$6</f>
            </numRef>
          </val>
        </ser>
        <ser>
          <idx val="1"/>
          <order val="1"/>
          <tx>
            <strRef>
              <f>'Overview'!K7</f>
            </strRef>
          </tx>
          <spPr>
            <a:ln>
              <a:prstDash val="solid"/>
            </a:ln>
          </spPr>
          <cat>
            <numRef>
              <f>'Overview'!$L$5:$R$5</f>
            </numRef>
          </cat>
          <val>
            <numRef>
              <f>'Overview'!$L$7:$R$7</f>
            </numRef>
          </val>
        </ser>
        <ser>
          <idx val="2"/>
          <order val="2"/>
          <tx>
            <strRef>
              <f>'Overview'!K8</f>
            </strRef>
          </tx>
          <spPr>
            <a:ln>
              <a:prstDash val="solid"/>
            </a:ln>
          </spPr>
          <cat>
            <numRef>
              <f>'Overview'!$L$5:$R$5</f>
            </numRef>
          </cat>
          <val>
            <numRef>
              <f>'Overview'!$L$8:$R$8</f>
            </numRef>
          </val>
        </ser>
        <ser>
          <idx val="3"/>
          <order val="3"/>
          <tx>
            <strRef>
              <f>'Overview'!K9</f>
            </strRef>
          </tx>
          <spPr>
            <a:l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Bank Saderat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a:prstDash val="solid"/>
            </a:ln>
          </spPr>
          <cat>
            <numRef>
              <f>'Overview'!$V$12:$AB$12</f>
            </numRef>
          </cat>
          <val>
            <numRef>
              <f>'Overview'!$V$13:$AB$13</f>
            </numRef>
          </val>
        </ser>
        <ser>
          <idx val="1"/>
          <order val="1"/>
          <tx>
            <strRef>
              <f>'Overview'!U14</f>
            </strRef>
          </tx>
          <spPr>
            <a:ln>
              <a:prstDash val="solid"/>
            </a:ln>
          </spPr>
          <cat>
            <numRef>
              <f>'Overview'!$V$12:$AB$12</f>
            </numRef>
          </cat>
          <val>
            <numRef>
              <f>'Overview'!$V$14:$AB$14</f>
            </numRef>
          </val>
        </ser>
        <ser>
          <idx val="2"/>
          <order val="2"/>
          <tx>
            <strRef>
              <f>'Overview'!U15</f>
            </strRef>
          </tx>
          <spPr>
            <a:l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Bank Saderat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a:prstDash val="solid"/>
            </a:ln>
          </spPr>
          <cat>
            <numRef>
              <f>'Overview'!$AF$18:$AL$18</f>
            </numRef>
          </cat>
          <val>
            <numRef>
              <f>'Overview'!$AF$19:$AL$19</f>
            </numRef>
          </val>
        </ser>
        <ser>
          <idx val="1"/>
          <order val="1"/>
          <tx>
            <strRef>
              <f>'Overview'!AE20</f>
            </strRef>
          </tx>
          <spPr>
            <a:ln>
              <a:prstDash val="solid"/>
            </a:ln>
          </spPr>
          <cat>
            <numRef>
              <f>'Overview'!$AF$18:$AL$18</f>
            </numRef>
          </cat>
          <val>
            <numRef>
              <f>'Overview'!$AF$20:$AL$20</f>
            </numRef>
          </val>
        </ser>
        <ser>
          <idx val="2"/>
          <order val="2"/>
          <tx>
            <strRef>
              <f>'Overview'!AE21</f>
            </strRef>
          </tx>
          <spPr>
            <a:ln>
              <a:prstDash val="solid"/>
            </a:ln>
          </spPr>
          <cat>
            <numRef>
              <f>'Overview'!$AF$18:$AL$18</f>
            </numRef>
          </cat>
          <val>
            <numRef>
              <f>'Overview'!$AF$21:$AL$21</f>
            </numRef>
          </val>
        </ser>
        <ser>
          <idx val="3"/>
          <order val="3"/>
          <tx>
            <strRef>
              <f>'Overview'!AE22</f>
            </strRef>
          </tx>
          <spPr>
            <a:l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Bank Saderat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a:prstDash val="solid"/>
            </a:ln>
          </spPr>
          <cat>
            <numRef>
              <f>'Overview'!$AP$25:$AV$25</f>
            </numRef>
          </cat>
          <val>
            <numRef>
              <f>'Overview'!$AP$26:$AV$26</f>
            </numRef>
          </val>
        </ser>
        <ser>
          <idx val="1"/>
          <order val="1"/>
          <tx>
            <strRef>
              <f>'Overview'!AO27</f>
            </strRef>
          </tx>
          <spPr>
            <a:ln>
              <a:prstDash val="solid"/>
            </a:ln>
          </spPr>
          <cat>
            <numRef>
              <f>'Overview'!$AP$25:$AV$25</f>
            </numRef>
          </cat>
          <val>
            <numRef>
              <f>'Overview'!$AP$27:$AV$27</f>
            </numRef>
          </val>
        </ser>
        <ser>
          <idx val="2"/>
          <order val="2"/>
          <tx>
            <strRef>
              <f>'Overview'!AO28</f>
            </strRef>
          </tx>
          <spPr>
            <a:ln>
              <a:prstDash val="solid"/>
            </a:ln>
          </spPr>
          <cat>
            <numRef>
              <f>'Overview'!$AP$25:$AV$25</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Bank Saderat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a:prstDash val="solid"/>
            </a:ln>
          </spPr>
          <marker>
            <symbol val="none"/>
            <spPr>
              <a:ln>
                <a:prstDash val="solid"/>
              </a:ln>
            </spPr>
          </marker>
          <cat>
            <numRef>
              <f>'Overview'!$AZ$5:$BF$5</f>
            </numRef>
          </cat>
          <val>
            <numRef>
              <f>'Overview'!$AZ$6:$BF$6</f>
            </numRef>
          </val>
          <smooth val="0"/>
        </ser>
        <ser>
          <idx val="1"/>
          <order val="1"/>
          <tx>
            <strRef>
              <f>'Overview'!AY7</f>
            </strRef>
          </tx>
          <spPr>
            <a:ln>
              <a:prstDash val="solid"/>
            </a:ln>
          </spPr>
          <marker>
            <symbol val="none"/>
            <spPr>
              <a:ln>
                <a:prstDash val="solid"/>
              </a:ln>
            </spPr>
          </marker>
          <cat>
            <numRef>
              <f>'Overview'!$AZ$5:$BF$5</f>
            </numRef>
          </cat>
          <val>
            <numRef>
              <f>'Overview'!$AZ$7:$BF$7</f>
            </numRef>
          </val>
          <smooth val="0"/>
        </ser>
        <ser>
          <idx val="2"/>
          <order val="2"/>
          <tx>
            <strRef>
              <f>'Overview'!AY8</f>
            </strRef>
          </tx>
          <spPr>
            <a:ln>
              <a:prstDash val="solid"/>
            </a:ln>
          </spPr>
          <marker>
            <symbol val="none"/>
            <spPr>
              <a:ln>
                <a:prstDash val="solid"/>
              </a:ln>
            </spPr>
          </marker>
          <cat>
            <numRef>
              <f>'Overview'!$AZ$5:$BF$5</f>
            </numRef>
          </cat>
          <val>
            <numRef>
              <f>'Overview'!$AZ$8:$BF$8</f>
            </numRef>
          </val>
          <smooth val="0"/>
        </ser>
        <ser>
          <idx val="3"/>
          <order val="3"/>
          <tx>
            <strRef>
              <f>'Overview'!AY9</f>
            </strRef>
          </tx>
          <spPr>
            <a:ln>
              <a:prstDash val="solid"/>
            </a:ln>
          </spPr>
          <marker>
            <symbol val="none"/>
            <spPr>
              <a:ln>
                <a:prstDash val="solid"/>
              </a:ln>
            </spPr>
          </marker>
          <cat>
            <numRef>
              <f>'Overview'!$AZ$5:$BF$5</f>
            </numRef>
          </cat>
          <val>
            <numRef>
              <f>'Overview'!$AZ$9:$BF$9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61</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83</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105</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127</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BF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Bank Saderat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 (conv. from EUR))</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197.34</v>
      </c>
      <c r="C6" s="5" t="n">
        <v>187.68</v>
      </c>
      <c r="D6" s="5" t="n">
        <v>194.12</v>
      </c>
      <c r="E6" s="5" t="n">
        <v>197.11</v>
      </c>
      <c r="F6" s="5" t="n">
        <v>186.36</v>
      </c>
      <c r="G6" s="5" t="n">
        <v>201.94</v>
      </c>
      <c r="H6" s="5" t="n">
        <v>191.82</v>
      </c>
      <c r="K6" t="inlineStr">
        <is>
          <t>Total assets</t>
        </is>
      </c>
      <c r="L6" t="n">
        <v>191.82</v>
      </c>
      <c r="M6" t="n">
        <v>201.94</v>
      </c>
      <c r="N6" t="n">
        <v>186.36</v>
      </c>
      <c r="O6" t="n">
        <v>197.11</v>
      </c>
      <c r="P6" t="n">
        <v>194.12</v>
      </c>
      <c r="Q6" t="n">
        <v>187.68</v>
      </c>
      <c r="R6" t="n">
        <v>197.34</v>
      </c>
      <c r="AY6" t="inlineStr">
        <is>
          <t>CET1 Ratio</t>
        </is>
      </c>
      <c r="AZ6" t="n">
        <v>324</v>
      </c>
      <c r="BA6" t="n">
        <v>330</v>
      </c>
      <c r="BB6" t="n">
        <v>313</v>
      </c>
      <c r="BC6" t="n">
        <v>339</v>
      </c>
      <c r="BD6" t="n">
        <v>325</v>
      </c>
      <c r="BE6" t="n">
        <v>349</v>
      </c>
      <c r="BF6" t="n">
        <v>331</v>
      </c>
    </row>
    <row r="7">
      <c r="A7" s="5" t="inlineStr">
        <is>
          <t>Loans and advances to customers</t>
        </is>
      </c>
      <c r="B7" s="5" t="n">
        <v>9.02</v>
      </c>
      <c r="C7" s="5" t="n">
        <v>1.53</v>
      </c>
      <c r="D7" s="5" t="n">
        <v>10.32</v>
      </c>
      <c r="E7" s="5" t="n">
        <v>12.44</v>
      </c>
      <c r="F7" s="5" t="n">
        <v>14.72</v>
      </c>
      <c r="G7" s="5" t="n">
        <v>20.86</v>
      </c>
      <c r="H7" s="5" t="n">
        <v>20.09</v>
      </c>
      <c r="K7" t="inlineStr">
        <is>
          <t>Loans and advances to customers</t>
        </is>
      </c>
      <c r="L7" t="n">
        <v>20.09</v>
      </c>
      <c r="M7" t="n">
        <v>20.86</v>
      </c>
      <c r="N7" t="n">
        <v>14.72</v>
      </c>
      <c r="O7" t="n">
        <v>12.44</v>
      </c>
      <c r="P7" t="n">
        <v>10.32</v>
      </c>
      <c r="Q7" t="n">
        <v>1.53</v>
      </c>
      <c r="R7" t="n">
        <v>9.02</v>
      </c>
      <c r="AY7" t="inlineStr">
        <is>
          <t>Tier 1 Ratio</t>
        </is>
      </c>
      <c r="AZ7" t="n">
        <v>324</v>
      </c>
      <c r="BA7" t="n">
        <v>330</v>
      </c>
      <c r="BB7" t="n">
        <v>313</v>
      </c>
      <c r="BC7" t="n">
        <v>339</v>
      </c>
      <c r="BD7" t="n">
        <v>325</v>
      </c>
      <c r="BE7" t="n">
        <v>349</v>
      </c>
      <c r="BF7" t="n">
        <v>331</v>
      </c>
    </row>
    <row r="8">
      <c r="A8" s="5" t="inlineStr">
        <is>
          <t>Customer accounts</t>
        </is>
      </c>
      <c r="B8" s="5" t="n">
        <v>2.91</v>
      </c>
      <c r="C8" s="5" t="n">
        <v>2.92</v>
      </c>
      <c r="D8" s="5" t="n">
        <v>2.95</v>
      </c>
      <c r="E8" s="5" t="n">
        <v>3.08</v>
      </c>
      <c r="F8" s="5" t="n">
        <v>2.9</v>
      </c>
      <c r="G8" s="5" t="n">
        <v>2.94</v>
      </c>
      <c r="H8" s="5" t="n">
        <v>2.98</v>
      </c>
      <c r="K8" t="inlineStr">
        <is>
          <t>Customer accounts</t>
        </is>
      </c>
      <c r="L8" t="n">
        <v>2.98</v>
      </c>
      <c r="M8" t="n">
        <v>2.94</v>
      </c>
      <c r="N8" t="n">
        <v>2.9</v>
      </c>
      <c r="O8" t="n">
        <v>3.08</v>
      </c>
      <c r="P8" t="n">
        <v>2.95</v>
      </c>
      <c r="Q8" t="n">
        <v>2.92</v>
      </c>
      <c r="R8" t="n">
        <v>2.91</v>
      </c>
      <c r="AY8" t="inlineStr">
        <is>
          <t>Total Capital Ratio</t>
        </is>
      </c>
      <c r="AZ8" t="n">
        <v>324</v>
      </c>
      <c r="BA8" t="n">
        <v>330</v>
      </c>
      <c r="BB8" t="n">
        <v>313</v>
      </c>
      <c r="BC8" t="n">
        <v>339</v>
      </c>
      <c r="BD8" t="n">
        <v>325</v>
      </c>
      <c r="BE8" t="n">
        <v>349</v>
      </c>
      <c r="BF8" t="n">
        <v>331</v>
      </c>
    </row>
    <row r="9">
      <c r="A9" s="5" t="inlineStr">
        <is>
          <t>Total equity</t>
        </is>
      </c>
      <c r="B9" s="5" t="n">
        <v>171.35</v>
      </c>
      <c r="C9" s="5" t="n">
        <v>162.07</v>
      </c>
      <c r="D9" s="5" t="n">
        <v>168.53</v>
      </c>
      <c r="E9" s="5" t="n">
        <v>171.34</v>
      </c>
      <c r="F9" s="5" t="n">
        <v>161.75</v>
      </c>
      <c r="G9" s="5" t="n">
        <v>172.51</v>
      </c>
      <c r="H9" s="5" t="n">
        <v>162.54</v>
      </c>
      <c r="K9" t="inlineStr">
        <is>
          <t>Total equity</t>
        </is>
      </c>
      <c r="L9" t="n">
        <v>162.54</v>
      </c>
      <c r="M9" t="n">
        <v>172.51</v>
      </c>
      <c r="N9" t="n">
        <v>161.75</v>
      </c>
      <c r="O9" t="n">
        <v>171.34</v>
      </c>
      <c r="P9" t="n">
        <v>168.53</v>
      </c>
      <c r="Q9" t="n">
        <v>162.07</v>
      </c>
      <c r="R9" t="n">
        <v>171.35</v>
      </c>
      <c r="AY9" t="inlineStr">
        <is>
          <t>LCR</t>
        </is>
      </c>
      <c r="BB9" t="n">
        <v>376</v>
      </c>
      <c r="BC9" t="n">
        <v>368</v>
      </c>
      <c r="BD9" t="n">
        <v>334</v>
      </c>
      <c r="BE9" t="n">
        <v>331</v>
      </c>
      <c r="BF9" t="n">
        <v>477</v>
      </c>
    </row>
    <row r="11">
      <c r="A11" s="3" t="inlineStr">
        <is>
          <t>Profit &amp; Loss Summary (£m (conv. from EUR))</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Net interest income</t>
        </is>
      </c>
      <c r="B13" s="5" t="n">
        <v>3.87</v>
      </c>
      <c r="C13" s="5" t="n">
        <v>5.64</v>
      </c>
      <c r="D13" s="5" t="n">
        <v>4.74</v>
      </c>
      <c r="E13" s="5" t="n">
        <v>4.03</v>
      </c>
      <c r="F13" s="5" t="n">
        <v>4.4</v>
      </c>
      <c r="G13" s="5" t="n">
        <v>4.13</v>
      </c>
      <c r="H13" s="5" t="n">
        <v>3.63</v>
      </c>
      <c r="U13" t="inlineStr">
        <is>
          <t>Net interest income</t>
        </is>
      </c>
      <c r="V13" t="n">
        <v>3.63</v>
      </c>
      <c r="W13" t="n">
        <v>4.13</v>
      </c>
      <c r="X13" t="n">
        <v>4.4</v>
      </c>
      <c r="Y13" t="n">
        <v>4.03</v>
      </c>
      <c r="Z13" t="n">
        <v>4.74</v>
      </c>
      <c r="AA13" t="n">
        <v>5.64</v>
      </c>
      <c r="AB13" t="n">
        <v>3.87</v>
      </c>
    </row>
    <row r="14">
      <c r="A14" s="5" t="inlineStr">
        <is>
          <t>Administrative expenses</t>
        </is>
      </c>
      <c r="B14" s="5" t="n">
        <v>-2.65</v>
      </c>
      <c r="C14" s="5" t="n">
        <v>-2.82</v>
      </c>
      <c r="D14" s="5" t="n">
        <v>-2.76</v>
      </c>
      <c r="E14" s="5" t="n">
        <v>-2.76</v>
      </c>
      <c r="F14" s="5" t="n">
        <v>-3.23</v>
      </c>
      <c r="G14" s="5" t="n">
        <v>-2.68</v>
      </c>
      <c r="H14" s="5" t="n">
        <v>-3.2</v>
      </c>
      <c r="U14" t="inlineStr">
        <is>
          <t>Administrative expenses</t>
        </is>
      </c>
      <c r="V14" t="n">
        <v>-3.2</v>
      </c>
      <c r="W14" t="n">
        <v>-2.68</v>
      </c>
      <c r="X14" t="n">
        <v>-3.23</v>
      </c>
      <c r="Y14" t="n">
        <v>-2.76</v>
      </c>
      <c r="Z14" t="n">
        <v>-2.76</v>
      </c>
      <c r="AA14" t="n">
        <v>-2.82</v>
      </c>
      <c r="AB14" t="n">
        <v>-2.65</v>
      </c>
    </row>
    <row r="15">
      <c r="A15" s="5" t="inlineStr">
        <is>
          <t>Profit/(loss) after taxation</t>
        </is>
      </c>
      <c r="B15" s="5" t="n">
        <v>0.15</v>
      </c>
      <c r="C15" s="5" t="n">
        <v>1.37</v>
      </c>
      <c r="D15" s="5" t="n">
        <v>1.08</v>
      </c>
      <c r="E15" s="5" t="n">
        <v>0.53</v>
      </c>
      <c r="F15" s="5" t="n">
        <v>0.6899999999999999</v>
      </c>
      <c r="G15" s="5" t="n">
        <v>0.61</v>
      </c>
      <c r="H15" s="5" t="n">
        <v>0.33</v>
      </c>
      <c r="U15" t="inlineStr">
        <is>
          <t>Profit/(loss) after taxation</t>
        </is>
      </c>
      <c r="V15" t="n">
        <v>0.33</v>
      </c>
      <c r="W15" t="n">
        <v>0.61</v>
      </c>
      <c r="X15" t="n">
        <v>0.6899999999999999</v>
      </c>
      <c r="Y15" t="n">
        <v>0.53</v>
      </c>
      <c r="Z15" t="n">
        <v>1.08</v>
      </c>
      <c r="AA15" t="n">
        <v>1.37</v>
      </c>
      <c r="AB15" t="n">
        <v>0.15</v>
      </c>
    </row>
    <row r="17">
      <c r="A17" s="3" t="inlineStr">
        <is>
          <t>Statement of Changes in Equity Summary (£m (conv. from EUR))</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162.07</v>
      </c>
      <c r="C19" s="5" t="n">
        <v>168.53</v>
      </c>
      <c r="D19" s="5" t="n">
        <v>171.34</v>
      </c>
      <c r="E19" s="5" t="n">
        <v>161.75</v>
      </c>
      <c r="F19" s="5" t="n">
        <v>172.51</v>
      </c>
      <c r="G19" s="5" t="n">
        <v>162.54</v>
      </c>
      <c r="H19" s="5" t="n">
        <v>171.32</v>
      </c>
      <c r="AE19" t="inlineStr">
        <is>
          <t>Opening equity</t>
        </is>
      </c>
      <c r="AF19" t="n">
        <v>171.32</v>
      </c>
      <c r="AG19" t="n">
        <v>162.54</v>
      </c>
      <c r="AH19" t="n">
        <v>172.51</v>
      </c>
      <c r="AI19" t="n">
        <v>161.75</v>
      </c>
      <c r="AJ19" t="n">
        <v>171.34</v>
      </c>
      <c r="AK19" t="n">
        <v>168.53</v>
      </c>
      <c r="AL19" t="n">
        <v>162.07</v>
      </c>
    </row>
    <row r="20">
      <c r="A20" s="5" t="inlineStr">
        <is>
          <t>Total comprehensive income for the year</t>
        </is>
      </c>
      <c r="B20" s="5" t="n">
        <v>0.15</v>
      </c>
      <c r="C20" s="5" t="n">
        <v>1.37</v>
      </c>
      <c r="D20" s="5" t="n">
        <v>1.08</v>
      </c>
      <c r="E20" s="5" t="n">
        <v>0.53</v>
      </c>
      <c r="F20" s="5" t="n">
        <v>0.6899999999999999</v>
      </c>
      <c r="G20" s="5" t="n">
        <v>0.61</v>
      </c>
      <c r="H20" s="5" t="n">
        <v>0.33</v>
      </c>
      <c r="AE20" t="inlineStr">
        <is>
          <t>Total comprehensive income for the year</t>
        </is>
      </c>
      <c r="AF20" t="n">
        <v>0.33</v>
      </c>
      <c r="AG20" t="n">
        <v>0.61</v>
      </c>
      <c r="AH20" t="n">
        <v>0.6899999999999999</v>
      </c>
      <c r="AI20" t="n">
        <v>0.53</v>
      </c>
      <c r="AJ20" t="n">
        <v>1.08</v>
      </c>
      <c r="AK20" t="n">
        <v>1.37</v>
      </c>
      <c r="AL20" t="n">
        <v>0.15</v>
      </c>
    </row>
    <row r="21">
      <c r="A21" s="5" t="inlineStr">
        <is>
          <t>Other movements, net (FX translation effect)</t>
        </is>
      </c>
      <c r="B21" s="5" t="n">
        <v>9.130000000000001</v>
      </c>
      <c r="C21" s="5" t="n">
        <v>-7.83</v>
      </c>
      <c r="D21" s="5" t="n">
        <v>-3.89</v>
      </c>
      <c r="E21" s="5" t="n">
        <v>9.06</v>
      </c>
      <c r="F21" s="5" t="n">
        <v>-11.45</v>
      </c>
      <c r="G21" s="5" t="n">
        <v>9.359999999999999</v>
      </c>
      <c r="H21" s="5" t="n">
        <v>-9.109999999999999</v>
      </c>
      <c r="AE21" t="inlineStr">
        <is>
          <t>Other movements, net (FX translation effect)</t>
        </is>
      </c>
      <c r="AF21" t="n">
        <v>-9.109999999999999</v>
      </c>
      <c r="AG21" t="n">
        <v>9.359999999999999</v>
      </c>
      <c r="AH21" t="n">
        <v>-11.45</v>
      </c>
      <c r="AI21" t="n">
        <v>9.06</v>
      </c>
      <c r="AJ21" t="n">
        <v>-3.89</v>
      </c>
      <c r="AK21" t="n">
        <v>-7.83</v>
      </c>
      <c r="AL21" t="n">
        <v>9.130000000000001</v>
      </c>
    </row>
    <row r="22">
      <c r="A22" s="5" t="inlineStr">
        <is>
          <t>Closing equity</t>
        </is>
      </c>
      <c r="B22" s="5" t="n">
        <v>171.35</v>
      </c>
      <c r="C22" s="5" t="n">
        <v>162.07</v>
      </c>
      <c r="D22" s="5" t="n">
        <v>168.53</v>
      </c>
      <c r="E22" s="5" t="n">
        <v>171.34</v>
      </c>
      <c r="F22" s="5" t="n">
        <v>161.75</v>
      </c>
      <c r="G22" s="5" t="n">
        <v>172.51</v>
      </c>
      <c r="H22" s="5" t="n">
        <v>162.54</v>
      </c>
      <c r="AE22" t="inlineStr">
        <is>
          <t>Closing equity</t>
        </is>
      </c>
      <c r="AF22" t="n">
        <v>162.54</v>
      </c>
      <c r="AG22" t="n">
        <v>172.51</v>
      </c>
      <c r="AH22" t="n">
        <v>161.75</v>
      </c>
      <c r="AI22" t="n">
        <v>171.34</v>
      </c>
      <c r="AJ22" t="n">
        <v>168.53</v>
      </c>
      <c r="AK22" t="n">
        <v>162.07</v>
      </c>
      <c r="AL22" t="n">
        <v>171.35</v>
      </c>
    </row>
    <row r="24">
      <c r="A24" s="3" t="inlineStr">
        <is>
          <t>Cash Flow Summary (£m (conv. from EUR))</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 generated from/(used in) operating activities</t>
        </is>
      </c>
      <c r="B26" s="5" t="n">
        <v>-60.75</v>
      </c>
      <c r="C26" s="5" t="n">
        <v>20.85</v>
      </c>
      <c r="D26" s="5" t="n">
        <v>26.15</v>
      </c>
      <c r="E26" s="5" t="n">
        <v>22.95</v>
      </c>
      <c r="F26" s="5" t="n">
        <v>0.52</v>
      </c>
      <c r="G26" s="5" t="n">
        <v>-0.07000000000000001</v>
      </c>
      <c r="H26" s="5" t="n">
        <v>0.04</v>
      </c>
      <c r="AO26" t="inlineStr">
        <is>
          <t>Net cash generated from/(used in) operating activities</t>
        </is>
      </c>
      <c r="AP26" t="n">
        <v>0.04</v>
      </c>
      <c r="AQ26" t="n">
        <v>-0.07000000000000001</v>
      </c>
      <c r="AR26" t="n">
        <v>0.52</v>
      </c>
      <c r="AS26" t="n">
        <v>22.95</v>
      </c>
      <c r="AT26" t="n">
        <v>26.15</v>
      </c>
      <c r="AU26" t="n">
        <v>20.85</v>
      </c>
      <c r="AV26" t="n">
        <v>-60.75</v>
      </c>
    </row>
    <row r="27">
      <c r="A27" s="5" t="inlineStr">
        <is>
          <t>Net cash used in investing activities</t>
        </is>
      </c>
      <c r="B27" s="5" t="n">
        <v>0</v>
      </c>
      <c r="C27" s="5" t="n">
        <v>0</v>
      </c>
      <c r="D27" s="5" t="n">
        <v>0</v>
      </c>
      <c r="E27" s="5" t="n">
        <v>-0.15</v>
      </c>
      <c r="F27" s="5" t="n">
        <v>-0.53</v>
      </c>
      <c r="G27" s="5" t="n">
        <v>-0.01</v>
      </c>
      <c r="H27" s="5" t="n">
        <v>-0</v>
      </c>
      <c r="AO27" t="inlineStr">
        <is>
          <t>Net cash used in investing activities</t>
        </is>
      </c>
      <c r="AP27" t="n">
        <v>-0</v>
      </c>
      <c r="AQ27" t="n">
        <v>-0.01</v>
      </c>
      <c r="AR27" t="n">
        <v>-0.53</v>
      </c>
      <c r="AS27" t="n">
        <v>-0.15</v>
      </c>
      <c r="AT27" t="n">
        <v>0</v>
      </c>
      <c r="AU27" t="n">
        <v>0</v>
      </c>
      <c r="AV27" t="n">
        <v>0</v>
      </c>
    </row>
    <row r="28">
      <c r="A28" s="5" t="inlineStr">
        <is>
          <t>Cash and cash equivalents at year-end</t>
        </is>
      </c>
      <c r="B28" s="5" t="n">
        <v>116.83</v>
      </c>
      <c r="C28" s="5" t="n">
        <v>169.25</v>
      </c>
      <c r="D28" s="5" t="n">
        <v>156.1</v>
      </c>
      <c r="E28" s="5" t="n">
        <v>133.02</v>
      </c>
      <c r="F28" s="5" t="n">
        <v>103.54</v>
      </c>
      <c r="G28" s="5" t="n">
        <v>1.45</v>
      </c>
      <c r="H28" s="5" t="n">
        <v>1.47</v>
      </c>
      <c r="AO28" t="inlineStr">
        <is>
          <t>Cash and cash equivalents at year-end</t>
        </is>
      </c>
      <c r="AP28" t="n">
        <v>1.47</v>
      </c>
      <c r="AQ28" t="n">
        <v>1.45</v>
      </c>
      <c r="AR28" t="n">
        <v>103.54</v>
      </c>
      <c r="AS28" t="n">
        <v>133.02</v>
      </c>
      <c r="AT28" t="n">
        <v>156.1</v>
      </c>
      <c r="AU28" t="n">
        <v>169.25</v>
      </c>
      <c r="AV28" t="n">
        <v>116.83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331%</t>
        </is>
      </c>
      <c r="C32" s="6" t="inlineStr">
        <is>
          <t>349%</t>
        </is>
      </c>
      <c r="D32" s="6" t="inlineStr">
        <is>
          <t>325%</t>
        </is>
      </c>
      <c r="E32" s="6" t="inlineStr">
        <is>
          <t>339%</t>
        </is>
      </c>
      <c r="F32" s="6" t="inlineStr">
        <is>
          <t>313%</t>
        </is>
      </c>
      <c r="G32" s="6" t="inlineStr">
        <is>
          <t>330%</t>
        </is>
      </c>
      <c r="H32" s="6" t="inlineStr">
        <is>
          <t>324%</t>
        </is>
      </c>
    </row>
    <row r="33">
      <c r="A33" s="6" t="inlineStr">
        <is>
          <t>Tier 1 Ratio</t>
        </is>
      </c>
      <c r="B33" s="6" t="inlineStr">
        <is>
          <t>331%</t>
        </is>
      </c>
      <c r="C33" s="6" t="inlineStr">
        <is>
          <t>349%</t>
        </is>
      </c>
      <c r="D33" s="6" t="inlineStr">
        <is>
          <t>325%</t>
        </is>
      </c>
      <c r="E33" s="6" t="inlineStr">
        <is>
          <t>339%</t>
        </is>
      </c>
      <c r="F33" s="6" t="inlineStr">
        <is>
          <t>313%</t>
        </is>
      </c>
      <c r="G33" s="6" t="inlineStr">
        <is>
          <t>330%</t>
        </is>
      </c>
      <c r="H33" s="6" t="inlineStr">
        <is>
          <t>324%</t>
        </is>
      </c>
    </row>
    <row r="34">
      <c r="A34" s="6" t="inlineStr">
        <is>
          <t>Total Capital Ratio</t>
        </is>
      </c>
      <c r="B34" s="6" t="inlineStr">
        <is>
          <t>331%</t>
        </is>
      </c>
      <c r="C34" s="6" t="inlineStr">
        <is>
          <t>349%</t>
        </is>
      </c>
      <c r="D34" s="6" t="inlineStr">
        <is>
          <t>325%</t>
        </is>
      </c>
      <c r="E34" s="6" t="inlineStr">
        <is>
          <t>339%</t>
        </is>
      </c>
      <c r="F34" s="6" t="inlineStr">
        <is>
          <t>313%</t>
        </is>
      </c>
      <c r="G34" s="6" t="inlineStr">
        <is>
          <t>330%</t>
        </is>
      </c>
      <c r="H34" s="6" t="inlineStr">
        <is>
          <t>324%</t>
        </is>
      </c>
    </row>
    <row r="35">
      <c r="A35" s="6" t="inlineStr">
        <is>
          <t>LCR</t>
        </is>
      </c>
      <c r="B35" s="6" t="inlineStr">
        <is>
          <t>477%</t>
        </is>
      </c>
      <c r="C35" s="6" t="inlineStr">
        <is>
          <t>331%</t>
        </is>
      </c>
      <c r="D35" s="6" t="inlineStr">
        <is>
          <t>334%</t>
        </is>
      </c>
      <c r="E35" s="6" t="inlineStr">
        <is>
          <t>368%</t>
        </is>
      </c>
      <c r="F35" s="6" t="inlineStr">
        <is>
          <t>376%</t>
        </is>
      </c>
      <c r="G35" s="6" t="n"/>
      <c r="H35" s="6" t="n"/>
    </row>
    <row r="37" ht="45" customHeight="1">
      <c r="A37" s="7" t="inlineStr">
        <is>
          <t>Note: Figures are duplicated from the detail sheets for at-a-glance trend viewing. ALL £ figures in this workbook are converted from Bank Saderat Plc's native EUR reporting - see the Cash Flow Statement sheet's source note for the full FX methodology and rates used. Ratios (%) are shown exactly as reported in EUR and were not converted. IMPORTANT: the CET1/Tier1/Total Capital Ratio row uses the Bank's own 'Capital Cover' metric, which is NOT confirmed to be a conventional CET1/RWA-style ratio - see the CAPITAL RATIO CAVEAT on the Cash Flow Statement sheet before comparing this bank's ratios to others in this project. FY2025 was also materially affected by UK 'snapback' sanctions from 29 September 2025 - see ENTITY_NOTE. Leverage Ratio, NSFR and MREL Ratio are not publicly disclosed for this entity and are omitted from this chart.</t>
        </is>
      </c>
    </row>
  </sheetData>
  <mergeCells count="1">
    <mergeCell ref="A37:H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Statement of Financial Position</t>
        </is>
      </c>
    </row>
    <row r="2">
      <c r="A2" s="2" t="inlineStr">
        <is>
          <t>£m, converted from EUR - see source note at bottom for FX methodology and rates used.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Assets</t>
        </is>
      </c>
      <c r="B4" s="6" t="n"/>
      <c r="C4" s="6" t="n"/>
      <c r="D4" s="6" t="n"/>
      <c r="E4" s="6" t="n"/>
      <c r="F4" s="6" t="n"/>
      <c r="G4" s="6" t="n"/>
      <c r="H4" s="6" t="n"/>
    </row>
    <row r="5">
      <c r="A5" s="6" t="inlineStr">
        <is>
          <t>Cash and balances at central banks</t>
        </is>
      </c>
      <c r="B5" s="6" t="n">
        <v>1.47</v>
      </c>
      <c r="C5" s="6" t="n">
        <v>1.44</v>
      </c>
      <c r="D5" s="6" t="n">
        <v>1.48</v>
      </c>
      <c r="E5" s="6" t="n">
        <v>1.5</v>
      </c>
      <c r="F5" s="6" t="n">
        <v>1.46</v>
      </c>
      <c r="G5" s="6" t="n">
        <v>1.45</v>
      </c>
      <c r="H5" s="6" t="n">
        <v>1.47</v>
      </c>
    </row>
    <row r="6">
      <c r="A6" s="6" t="inlineStr">
        <is>
          <t>Loans and advances to banks</t>
        </is>
      </c>
      <c r="B6" s="6" t="n">
        <v>174.42</v>
      </c>
      <c r="C6" s="6" t="n">
        <v>173.03</v>
      </c>
      <c r="D6" s="6" t="n">
        <v>170.49</v>
      </c>
      <c r="E6" s="6" t="n">
        <v>170.49</v>
      </c>
      <c r="F6" s="6" t="n">
        <v>158.25</v>
      </c>
      <c r="G6" s="6" t="n">
        <v>167.73</v>
      </c>
      <c r="H6" s="6" t="n">
        <v>159.38</v>
      </c>
    </row>
    <row r="7">
      <c r="A7" s="6" t="inlineStr">
        <is>
          <t>Loans and advances to customers</t>
        </is>
      </c>
      <c r="B7" s="6" t="n">
        <v>9.02</v>
      </c>
      <c r="C7" s="6" t="n">
        <v>1.53</v>
      </c>
      <c r="D7" s="6" t="n">
        <v>10.32</v>
      </c>
      <c r="E7" s="6" t="n">
        <v>12.44</v>
      </c>
      <c r="F7" s="6" t="n">
        <v>14.72</v>
      </c>
      <c r="G7" s="6" t="n">
        <v>20.86</v>
      </c>
      <c r="H7" s="6" t="n">
        <v>20.09</v>
      </c>
    </row>
    <row r="8">
      <c r="A8" s="6" t="inlineStr">
        <is>
          <t>Tangible fixed assets</t>
        </is>
      </c>
      <c r="B8" s="6" t="n">
        <v>10.39</v>
      </c>
      <c r="C8" s="6" t="n">
        <v>9.960000000000001</v>
      </c>
      <c r="D8" s="6" t="n">
        <v>10.57</v>
      </c>
      <c r="E8" s="6" t="n">
        <v>10.95</v>
      </c>
      <c r="F8" s="6" t="n">
        <v>10.33</v>
      </c>
      <c r="G8" s="6" t="n">
        <v>11.14</v>
      </c>
      <c r="H8" s="6" t="n">
        <v>10.61</v>
      </c>
    </row>
    <row r="9">
      <c r="A9" s="6" t="inlineStr">
        <is>
          <t>Intangible fixed assets</t>
        </is>
      </c>
      <c r="B9" s="6" t="n">
        <v>0.15</v>
      </c>
      <c r="C9" s="6" t="n">
        <v>0.22</v>
      </c>
      <c r="D9" s="6" t="n">
        <v>0.3</v>
      </c>
      <c r="E9" s="6" t="n">
        <v>0.38</v>
      </c>
      <c r="F9" s="6" t="n">
        <v>0.52</v>
      </c>
      <c r="G9" s="6" t="n">
        <v>0</v>
      </c>
      <c r="H9" s="6" t="n">
        <v>0</v>
      </c>
    </row>
    <row r="10">
      <c r="A10" s="6" t="inlineStr">
        <is>
          <t>Other assets</t>
        </is>
      </c>
      <c r="B10" s="6" t="n">
        <v>0.5600000000000001</v>
      </c>
      <c r="C10" s="6" t="n">
        <v>0.55</v>
      </c>
      <c r="D10" s="6" t="n">
        <v>0.03</v>
      </c>
      <c r="E10" s="6" t="n">
        <v>0.37</v>
      </c>
      <c r="F10" s="6" t="n">
        <v>0.26</v>
      </c>
      <c r="G10" s="6" t="n">
        <v>0.11</v>
      </c>
      <c r="H10" s="6" t="n">
        <v>0.03</v>
      </c>
    </row>
    <row r="11">
      <c r="A11" s="6" t="inlineStr">
        <is>
          <t>Deferred tax assets</t>
        </is>
      </c>
      <c r="B11" s="6" t="n">
        <v>0.05</v>
      </c>
      <c r="C11" s="6" t="n">
        <v>0.05</v>
      </c>
      <c r="D11" s="6" t="n"/>
      <c r="E11" s="6" t="n"/>
      <c r="F11" s="6" t="n"/>
      <c r="G11" s="6" t="n">
        <v>0.06</v>
      </c>
      <c r="H11" s="6" t="n">
        <v>0.05</v>
      </c>
    </row>
    <row r="12">
      <c r="A12" s="6" t="inlineStr">
        <is>
          <t>Prepayments and accrued income</t>
        </is>
      </c>
      <c r="B12" s="6" t="n">
        <v>1.28</v>
      </c>
      <c r="C12" s="6" t="n">
        <v>0.91</v>
      </c>
      <c r="D12" s="6" t="n">
        <v>0.9399999999999999</v>
      </c>
      <c r="E12" s="6" t="n">
        <v>0.98</v>
      </c>
      <c r="F12" s="6" t="n">
        <v>0.9</v>
      </c>
      <c r="G12" s="6" t="n">
        <v>0.25</v>
      </c>
      <c r="H12" s="6" t="n">
        <v>0.19</v>
      </c>
    </row>
    <row r="13">
      <c r="A13" s="5" t="inlineStr">
        <is>
          <t>Total assets</t>
        </is>
      </c>
      <c r="B13" s="5" t="n">
        <v>197.34</v>
      </c>
      <c r="C13" s="5" t="n">
        <v>187.68</v>
      </c>
      <c r="D13" s="5" t="n">
        <v>194.12</v>
      </c>
      <c r="E13" s="5" t="n">
        <v>197.11</v>
      </c>
      <c r="F13" s="5" t="n">
        <v>186.36</v>
      </c>
      <c r="G13" s="5" t="n">
        <v>201.94</v>
      </c>
      <c r="H13" s="5" t="n">
        <v>191.82</v>
      </c>
    </row>
    <row r="14">
      <c r="A14" s="5" t="inlineStr">
        <is>
          <t>Liabilities</t>
        </is>
      </c>
      <c r="B14" s="6" t="n"/>
      <c r="C14" s="6" t="n"/>
      <c r="D14" s="6" t="n"/>
      <c r="E14" s="6" t="n"/>
      <c r="F14" s="6" t="n"/>
      <c r="G14" s="6" t="n"/>
      <c r="H14" s="6" t="n"/>
    </row>
    <row r="15">
      <c r="A15" s="6" t="inlineStr">
        <is>
          <t>Deposits by banks</t>
        </is>
      </c>
      <c r="B15" s="6" t="n">
        <v>19.36</v>
      </c>
      <c r="C15" s="6" t="n">
        <v>19.62</v>
      </c>
      <c r="D15" s="6" t="n">
        <v>20.1</v>
      </c>
      <c r="E15" s="6" t="n">
        <v>20.57</v>
      </c>
      <c r="F15" s="6" t="n">
        <v>19.61</v>
      </c>
      <c r="G15" s="6" t="n">
        <v>24.89</v>
      </c>
      <c r="H15" s="6" t="n">
        <v>24.82</v>
      </c>
    </row>
    <row r="16">
      <c r="A16" s="6" t="inlineStr">
        <is>
          <t>Customer accounts</t>
        </is>
      </c>
      <c r="B16" s="6" t="n">
        <v>2.91</v>
      </c>
      <c r="C16" s="6" t="n">
        <v>2.92</v>
      </c>
      <c r="D16" s="6" t="n">
        <v>2.95</v>
      </c>
      <c r="E16" s="6" t="n">
        <v>3.08</v>
      </c>
      <c r="F16" s="6" t="n">
        <v>2.9</v>
      </c>
      <c r="G16" s="6" t="n">
        <v>2.94</v>
      </c>
      <c r="H16" s="6" t="n">
        <v>2.98</v>
      </c>
    </row>
    <row r="17">
      <c r="A17" s="6" t="inlineStr">
        <is>
          <t>Deferred tax liability</t>
        </is>
      </c>
      <c r="B17" s="6" t="n"/>
      <c r="C17" s="6" t="n"/>
      <c r="D17" s="6" t="n">
        <v>0.02</v>
      </c>
      <c r="E17" s="6" t="n">
        <v>0.06</v>
      </c>
      <c r="F17" s="6" t="n">
        <v>0.03</v>
      </c>
      <c r="G17" s="6" t="n"/>
      <c r="H17" s="6" t="n"/>
    </row>
    <row r="18">
      <c r="A18" s="6" t="inlineStr">
        <is>
          <t>Other liabilities (and payables)</t>
        </is>
      </c>
      <c r="B18" s="6" t="n">
        <v>0.89</v>
      </c>
      <c r="C18" s="6" t="n">
        <v>3.07</v>
      </c>
      <c r="D18" s="6" t="n">
        <v>2.51</v>
      </c>
      <c r="E18" s="6" t="n">
        <v>2.07</v>
      </c>
      <c r="F18" s="6" t="n">
        <v>2.07</v>
      </c>
      <c r="G18" s="6" t="n">
        <v>1.6</v>
      </c>
      <c r="H18" s="6" t="n">
        <v>1.47</v>
      </c>
    </row>
    <row r="19">
      <c r="A19" s="6" t="inlineStr">
        <is>
          <t>Accruals and deferred income</t>
        </is>
      </c>
      <c r="B19" s="6" t="n">
        <v>2.83</v>
      </c>
      <c r="C19" s="6" t="n"/>
      <c r="D19" s="6" t="n"/>
      <c r="E19" s="6" t="n"/>
      <c r="F19" s="6" t="n"/>
      <c r="G19" s="6" t="n"/>
      <c r="H19" s="6" t="n"/>
    </row>
    <row r="20">
      <c r="A20" s="5" t="inlineStr">
        <is>
          <t>Total liabilities</t>
        </is>
      </c>
      <c r="B20" s="5" t="n">
        <v>25.99</v>
      </c>
      <c r="C20" s="5" t="n">
        <v>25.61</v>
      </c>
      <c r="D20" s="5" t="n">
        <v>25.59</v>
      </c>
      <c r="E20" s="5" t="n">
        <v>25.77</v>
      </c>
      <c r="F20" s="5" t="n">
        <v>24.61</v>
      </c>
      <c r="G20" s="5" t="n">
        <v>29.43</v>
      </c>
      <c r="H20" s="5" t="n">
        <v>29.28</v>
      </c>
    </row>
    <row r="21">
      <c r="A21" s="5" t="inlineStr">
        <is>
          <t>Shareholders' funds</t>
        </is>
      </c>
      <c r="B21" s="6" t="n"/>
      <c r="C21" s="6" t="n"/>
      <c r="D21" s="6" t="n"/>
      <c r="E21" s="6" t="n"/>
      <c r="F21" s="6" t="n"/>
      <c r="G21" s="6" t="n"/>
      <c r="H21" s="6" t="n"/>
    </row>
    <row r="22">
      <c r="A22" s="6" t="inlineStr">
        <is>
          <t>Called up share capital</t>
        </is>
      </c>
      <c r="B22" s="6" t="n">
        <v>159.96</v>
      </c>
      <c r="C22" s="6" t="n">
        <v>151.43</v>
      </c>
      <c r="D22" s="6" t="n">
        <v>158.78</v>
      </c>
      <c r="E22" s="6" t="n">
        <v>162.47</v>
      </c>
      <c r="F22" s="6" t="n">
        <v>153.88</v>
      </c>
      <c r="G22" s="6" t="n">
        <v>164.8</v>
      </c>
      <c r="H22" s="6" t="n">
        <v>155.84</v>
      </c>
    </row>
    <row r="23">
      <c r="A23" s="6" t="inlineStr">
        <is>
          <t>General banking risk reserve</t>
        </is>
      </c>
      <c r="B23" s="6" t="n">
        <v>5.24</v>
      </c>
      <c r="C23" s="6" t="n">
        <v>4.96</v>
      </c>
      <c r="D23" s="6" t="n">
        <v>5.2</v>
      </c>
      <c r="E23" s="6" t="n">
        <v>5.32</v>
      </c>
      <c r="F23" s="6" t="n">
        <v>5.04</v>
      </c>
      <c r="G23" s="6" t="n">
        <v>5.4</v>
      </c>
      <c r="H23" s="6" t="n">
        <v>5.1</v>
      </c>
    </row>
    <row r="24">
      <c r="A24" s="6" t="inlineStr">
        <is>
          <t>Retained earnings</t>
        </is>
      </c>
      <c r="B24" s="6" t="n">
        <v>6.15</v>
      </c>
      <c r="C24" s="6" t="n">
        <v>5.68</v>
      </c>
      <c r="D24" s="6" t="n">
        <v>4.55</v>
      </c>
      <c r="E24" s="6" t="n">
        <v>3.55</v>
      </c>
      <c r="F24" s="6" t="n">
        <v>2.84</v>
      </c>
      <c r="G24" s="6" t="n">
        <v>2.31</v>
      </c>
      <c r="H24" s="6" t="n">
        <v>1.6</v>
      </c>
    </row>
    <row r="25">
      <c r="A25" s="5" t="inlineStr">
        <is>
          <t>Total equity (Shareholders' funds)</t>
        </is>
      </c>
      <c r="B25" s="5" t="n">
        <v>171.35</v>
      </c>
      <c r="C25" s="5" t="n">
        <v>162.07</v>
      </c>
      <c r="D25" s="5" t="n">
        <v>168.53</v>
      </c>
      <c r="E25" s="5" t="n">
        <v>171.34</v>
      </c>
      <c r="F25" s="5" t="n">
        <v>161.75</v>
      </c>
      <c r="G25" s="5" t="n">
        <v>172.51</v>
      </c>
      <c r="H25" s="5" t="n">
        <v>162.54</v>
      </c>
    </row>
    <row r="26">
      <c r="A26" s="5" t="inlineStr">
        <is>
          <t>Total liabilities and equity</t>
        </is>
      </c>
      <c r="B26" s="5" t="n">
        <v>197.34</v>
      </c>
      <c r="C26" s="5" t="n">
        <v>187.68</v>
      </c>
      <c r="D26" s="5" t="n">
        <v>194.12</v>
      </c>
      <c r="E26" s="5" t="n">
        <v>197.11</v>
      </c>
      <c r="F26" s="5" t="n">
        <v>186.36</v>
      </c>
      <c r="G26" s="5" t="n">
        <v>201.94</v>
      </c>
      <c r="H26" s="5" t="n">
        <v>191.82</v>
      </c>
    </row>
    <row r="28" ht="460" customHeight="1">
      <c r="A28"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FY2020: Full accounts made up to 31 December 2020, pp.17-19 - https://find-and-update.company-information.service.gov.uk/company/01126618/filing-history/MzI5OTI5MzU3NGFkaXF6a2N4/document?format=pdf&amp;download=0
FY2019: Full accounts made up to 31 December 2019, pp.15-17 -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the Bank's own disclosures give a 'Capital Cover' percentage every year (used below as the CET1/Tier 1/Total Capital Ratio series, since capital = CET1 = Tier 1 = Total Capital per the Bank's own description - no AT1/Tier 2 instruments) - but this does NOT appear to be a conventional CET1/RWA-style ratio as disclosed by every other bank in this project. The FY2025 Annual Report separately states 'the CET1 capital ratio to the total risk exposure is 88.70%' - a very different figure from the 331% 'Capital Cover' value for the same year, implying 'Capital Cover' uses a different denominator (plausibly capital versus the Bank's Total Capital Requirement including a Pillar 2A add-on, not capital versus RWA). The 88.70% figure is only disclosed for FY2025 (no equivalent figure found for FY2021-FY2024), so 'Capital Cover' was used throughout for a consistent 5-year series - readers should treat this bank's ratio row as NOT directly comparable to other banks' CET1/Tier1/Total Capital Ratio sheets in this project. Total RWAs is left 'Not publicly disclosed' rather than calculated from either figure, since which one (if either) 'Capital Cover' actually divides into isn't confirmed.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t>
        </is>
      </c>
    </row>
  </sheetData>
  <mergeCells count="1">
    <mergeCell ref="A28:H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Statement of Comprehensive Income</t>
        </is>
      </c>
    </row>
    <row r="2">
      <c r="A2" s="2" t="inlineStr">
        <is>
          <t>£m, converted from EUR - see source note at bottom for FX methodology and rates used.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Income</t>
        </is>
      </c>
      <c r="B4" s="6" t="n"/>
      <c r="C4" s="6" t="n"/>
      <c r="D4" s="6" t="n"/>
      <c r="E4" s="6" t="n"/>
      <c r="F4" s="6" t="n"/>
      <c r="G4" s="6" t="n"/>
      <c r="H4" s="6" t="n"/>
    </row>
    <row r="5">
      <c r="A5" s="6" t="inlineStr">
        <is>
          <t>Interest receivable and similar income</t>
        </is>
      </c>
      <c r="B5" s="6" t="n">
        <v>3.91</v>
      </c>
      <c r="C5" s="6" t="n">
        <v>5.69</v>
      </c>
      <c r="D5" s="6" t="n">
        <v>4.78</v>
      </c>
      <c r="E5" s="6" t="n">
        <v>4.06</v>
      </c>
      <c r="F5" s="6" t="n">
        <v>4.43</v>
      </c>
      <c r="G5" s="6" t="n">
        <v>4.17</v>
      </c>
      <c r="H5" s="6" t="n">
        <v>3.68</v>
      </c>
    </row>
    <row r="6">
      <c r="A6" s="6" t="inlineStr">
        <is>
          <t>Interest payable and similar expenses</t>
        </is>
      </c>
      <c r="B6" s="6" t="n">
        <v>-0.05</v>
      </c>
      <c r="C6" s="6" t="n">
        <v>-0.05</v>
      </c>
      <c r="D6" s="6" t="n">
        <v>-0.03</v>
      </c>
      <c r="E6" s="6" t="n">
        <v>-0.03</v>
      </c>
      <c r="F6" s="6" t="n">
        <v>-0.03</v>
      </c>
      <c r="G6" s="6" t="n">
        <v>-0.04</v>
      </c>
      <c r="H6" s="6" t="n">
        <v>-0.05</v>
      </c>
    </row>
    <row r="7">
      <c r="A7" s="5" t="inlineStr">
        <is>
          <t>Net interest income</t>
        </is>
      </c>
      <c r="B7" s="5" t="n">
        <v>3.87</v>
      </c>
      <c r="C7" s="5" t="n">
        <v>5.64</v>
      </c>
      <c r="D7" s="5" t="n">
        <v>4.74</v>
      </c>
      <c r="E7" s="5" t="n">
        <v>4.03</v>
      </c>
      <c r="F7" s="5" t="n">
        <v>4.4</v>
      </c>
      <c r="G7" s="5" t="n">
        <v>4.13</v>
      </c>
      <c r="H7" s="5" t="n">
        <v>3.63</v>
      </c>
    </row>
    <row r="8">
      <c r="A8" s="6" t="inlineStr">
        <is>
          <t>Fees and commissions receivable</t>
        </is>
      </c>
      <c r="B8" s="6" t="n">
        <v>0.03</v>
      </c>
      <c r="C8" s="6" t="n">
        <v>0.02</v>
      </c>
      <c r="D8" s="6" t="n">
        <v>0.06</v>
      </c>
      <c r="E8" s="6" t="n">
        <v>0.02</v>
      </c>
      <c r="F8" s="6" t="n">
        <v>0.02</v>
      </c>
      <c r="G8" s="6" t="n">
        <v>0.01</v>
      </c>
      <c r="H8" s="6" t="n">
        <v>0.05</v>
      </c>
    </row>
    <row r="9">
      <c r="A9" s="6" t="inlineStr">
        <is>
          <t>Other operating income/(loss)</t>
        </is>
      </c>
      <c r="B9" s="6" t="n">
        <v>-0.07000000000000001</v>
      </c>
      <c r="C9" s="6" t="n">
        <v>-0.04</v>
      </c>
      <c r="D9" s="6" t="n">
        <v>-0.13</v>
      </c>
      <c r="E9" s="6" t="n">
        <v>0.06</v>
      </c>
      <c r="F9" s="6" t="n">
        <v>0.05</v>
      </c>
      <c r="G9" s="6" t="n">
        <v>-0.05</v>
      </c>
      <c r="H9" s="6" t="n">
        <v>0.01</v>
      </c>
    </row>
    <row r="10">
      <c r="A10" s="5" t="inlineStr">
        <is>
          <t>Operating income/profit</t>
        </is>
      </c>
      <c r="B10" s="5" t="n">
        <v>3.82</v>
      </c>
      <c r="C10" s="5" t="n">
        <v>5.62</v>
      </c>
      <c r="D10" s="5" t="n">
        <v>4.67</v>
      </c>
      <c r="E10" s="5" t="n">
        <v>4.1</v>
      </c>
      <c r="F10" s="5" t="n">
        <v>4.47</v>
      </c>
      <c r="G10" s="5" t="n">
        <v>4.09</v>
      </c>
      <c r="H10" s="5" t="n">
        <v>3.69</v>
      </c>
    </row>
    <row r="11">
      <c r="A11" s="6" t="inlineStr">
        <is>
          <t>Administrative expenses</t>
        </is>
      </c>
      <c r="B11" s="6" t="n">
        <v>-2.65</v>
      </c>
      <c r="C11" s="6" t="n">
        <v>-2.82</v>
      </c>
      <c r="D11" s="6" t="n">
        <v>-2.76</v>
      </c>
      <c r="E11" s="6" t="n">
        <v>-2.76</v>
      </c>
      <c r="F11" s="6" t="n">
        <v>-3.23</v>
      </c>
      <c r="G11" s="6" t="n">
        <v>-2.68</v>
      </c>
      <c r="H11" s="6" t="n">
        <v>-3.2</v>
      </c>
    </row>
    <row r="12">
      <c r="A12" s="6" t="inlineStr">
        <is>
          <t>Depreciation &amp; amortisation</t>
        </is>
      </c>
      <c r="B12" s="6" t="n">
        <v>-0.2</v>
      </c>
      <c r="C12" s="6" t="n">
        <v>-0.2</v>
      </c>
      <c r="D12" s="6" t="n">
        <v>-0.2</v>
      </c>
      <c r="E12" s="6" t="n">
        <v>-0.19</v>
      </c>
      <c r="F12" s="6" t="n">
        <v>-0.14</v>
      </c>
      <c r="G12" s="6" t="n">
        <v>-0.1</v>
      </c>
      <c r="H12" s="6" t="n">
        <v>-0.09</v>
      </c>
    </row>
    <row r="13">
      <c r="A13" s="5" t="inlineStr">
        <is>
          <t>Net operating income</t>
        </is>
      </c>
      <c r="B13" s="5" t="n">
        <v>0.97</v>
      </c>
      <c r="C13" s="5" t="n">
        <v>2.6</v>
      </c>
      <c r="D13" s="5" t="n">
        <v>1.71</v>
      </c>
      <c r="E13" s="5" t="n"/>
      <c r="F13" s="5" t="n"/>
      <c r="G13" s="5" t="n"/>
      <c r="H13" s="5" t="n"/>
    </row>
    <row r="14">
      <c r="A14" s="6" t="inlineStr">
        <is>
          <t>Provisions for the year</t>
        </is>
      </c>
      <c r="B14" s="6" t="n">
        <v>-0.83</v>
      </c>
      <c r="C14" s="6" t="n">
        <v>-0.66</v>
      </c>
      <c r="D14" s="6" t="n">
        <v>-0.27</v>
      </c>
      <c r="E14" s="6" t="n">
        <v>-0.46</v>
      </c>
      <c r="F14" s="6" t="n">
        <v>-0.27</v>
      </c>
      <c r="G14" s="6" t="n">
        <v>-0.53</v>
      </c>
      <c r="H14" s="6" t="n">
        <v>0.03</v>
      </c>
    </row>
    <row r="15">
      <c r="A15" s="5" t="inlineStr">
        <is>
          <t>Profit before taxation</t>
        </is>
      </c>
      <c r="B15" s="5" t="n">
        <v>0.15</v>
      </c>
      <c r="C15" s="5" t="n">
        <v>1.94</v>
      </c>
      <c r="D15" s="5" t="n">
        <v>1.44</v>
      </c>
      <c r="E15" s="5" t="n">
        <v>0.68</v>
      </c>
      <c r="F15" s="5" t="n">
        <v>0.84</v>
      </c>
      <c r="G15" s="5" t="n">
        <v>0.78</v>
      </c>
      <c r="H15" s="5" t="n">
        <v>0.42</v>
      </c>
    </row>
    <row r="16">
      <c r="A16" s="6" t="inlineStr">
        <is>
          <t>Tax on profit</t>
        </is>
      </c>
      <c r="B16" s="6" t="n">
        <v>0.01</v>
      </c>
      <c r="C16" s="6" t="n">
        <v>-0.57</v>
      </c>
      <c r="D16" s="6" t="n">
        <v>-0.36</v>
      </c>
      <c r="E16" s="6" t="n">
        <v>-0.15</v>
      </c>
      <c r="F16" s="6" t="n">
        <v>-0.15</v>
      </c>
      <c r="G16" s="6" t="n">
        <v>-0.17</v>
      </c>
      <c r="H16" s="6" t="n">
        <v>-0.1</v>
      </c>
    </row>
    <row r="17">
      <c r="A17" s="5" t="inlineStr">
        <is>
          <t>Profit after taxation</t>
        </is>
      </c>
      <c r="B17" s="5" t="n">
        <v>0.15</v>
      </c>
      <c r="C17" s="5" t="n">
        <v>1.37</v>
      </c>
      <c r="D17" s="5" t="n">
        <v>1.08</v>
      </c>
      <c r="E17" s="5" t="n">
        <v>0.53</v>
      </c>
      <c r="F17" s="5" t="n">
        <v>0.6899999999999999</v>
      </c>
      <c r="G17" s="5" t="n">
        <v>0.61</v>
      </c>
      <c r="H17" s="5" t="n">
        <v>0.33</v>
      </c>
    </row>
    <row r="18">
      <c r="A18" s="5" t="inlineStr">
        <is>
          <t>Other comprehensive income</t>
        </is>
      </c>
      <c r="B18" s="6" t="n"/>
      <c r="C18" s="6" t="n"/>
      <c r="D18" s="6" t="n"/>
      <c r="E18" s="6" t="n"/>
      <c r="F18" s="6" t="n"/>
      <c r="G18" s="6" t="n"/>
      <c r="H18" s="6" t="n"/>
    </row>
    <row r="19">
      <c r="A19" s="6" t="inlineStr">
        <is>
          <t>Other comprehensive income</t>
        </is>
      </c>
      <c r="B19" s="6" t="n">
        <v>0</v>
      </c>
      <c r="C19" s="6" t="n">
        <v>0</v>
      </c>
      <c r="D19" s="6" t="n">
        <v>0</v>
      </c>
      <c r="E19" s="6" t="n">
        <v>0</v>
      </c>
      <c r="F19" s="6" t="n">
        <v>0</v>
      </c>
      <c r="G19" s="6" t="n">
        <v>0</v>
      </c>
      <c r="H19" s="6" t="n">
        <v>0</v>
      </c>
    </row>
    <row r="20">
      <c r="A20" s="5" t="inlineStr">
        <is>
          <t>Total comprehensive income for the year</t>
        </is>
      </c>
      <c r="B20" s="5" t="n">
        <v>0.15</v>
      </c>
      <c r="C20" s="5" t="n">
        <v>1.37</v>
      </c>
      <c r="D20" s="5" t="n">
        <v>1.08</v>
      </c>
      <c r="E20" s="5" t="n">
        <v>0.53</v>
      </c>
      <c r="F20" s="5" t="n">
        <v>0.6899999999999999</v>
      </c>
      <c r="G20" s="5" t="n">
        <v>0.61</v>
      </c>
      <c r="H20" s="5" t="n">
        <v>0.33</v>
      </c>
    </row>
    <row r="22" ht="460" customHeight="1">
      <c r="A22"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FY2020: Full accounts made up to 31 December 2020, pp.17-19 - https://find-and-update.company-information.service.gov.uk/company/01126618/filing-history/MzI5OTI5MzU3NGFkaXF6a2N4/document?format=pdf&amp;download=0
FY2019: Full accounts made up to 31 December 2019, pp.15-17 -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the Bank's own disclosures give a 'Capital Cover' percentage every year (used below as the CET1/Tier 1/Total Capital Ratio series, since capital = CET1 = Tier 1 = Total Capital per the Bank's own description - no AT1/Tier 2 instruments) - but this does NOT appear to be a conventional CET1/RWA-style ratio as disclosed by every other bank in this project. The FY2025 Annual Report separately states 'the CET1 capital ratio to the total risk exposure is 88.70%' - a very different figure from the 331% 'Capital Cover' value for the same year, implying 'Capital Cover' uses a different denominator (plausibly capital versus the Bank's Total Capital Requirement including a Pillar 2A add-on, not capital versus RWA). The 88.70% figure is only disclosed for FY2025 (no equivalent figure found for FY2021-FY2024), so 'Capital Cover' was used throughout for a consistent 5-year series - readers should treat this bank's ratio row as NOT directly comparable to other banks' CET1/Tier1/Total Capital Ratio sheets in this project. Total RWAs is left 'Not publicly disclosed' rather than calculated from either figure, since which one (if either) 'Capital Cover' actually divides into isn't confirmed.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t>
        </is>
      </c>
    </row>
  </sheetData>
  <mergeCells count="1">
    <mergeCell ref="A22:H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Saderat Plc — Statement of Changes in Equity</t>
        </is>
      </c>
    </row>
    <row r="2">
      <c r="A2" s="2" t="inlineStr">
        <is>
          <t>£m, converted from EUR - see source note at bottom for FX methodology; an 'FX translation effect' row is included since equity components that are EUR-constant still shift in £ terms because each snapshot is converted at that period's own spot rate.</t>
        </is>
      </c>
    </row>
    <row r="3">
      <c r="A3" s="4" t="inlineStr">
        <is>
          <t>Movement</t>
        </is>
      </c>
      <c r="B3" s="4" t="inlineStr">
        <is>
          <t>Called up share capital</t>
        </is>
      </c>
      <c r="C3" s="4" t="inlineStr">
        <is>
          <t>General banking risk reserve</t>
        </is>
      </c>
      <c r="D3" s="4" t="inlineStr">
        <is>
          <t>Retained earnings</t>
        </is>
      </c>
      <c r="E3" s="4" t="inlineStr">
        <is>
          <t>Total</t>
        </is>
      </c>
    </row>
    <row r="4">
      <c r="A4" s="5" t="inlineStr">
        <is>
          <t>At 1 January 2021</t>
        </is>
      </c>
      <c r="B4" s="5" t="n">
        <v>164.57</v>
      </c>
      <c r="C4" s="5" t="n">
        <v>5.39</v>
      </c>
      <c r="D4" s="5" t="n">
        <v>1.36</v>
      </c>
      <c r="E4" s="5" t="n">
        <v>171.32</v>
      </c>
    </row>
    <row r="5">
      <c r="A5" s="6" t="inlineStr">
        <is>
          <t>Profit and total comprehensive income for the year (FY2019)</t>
        </is>
      </c>
      <c r="B5" s="6" t="n"/>
      <c r="C5" s="6" t="n"/>
      <c r="D5" s="6" t="n">
        <v>0.33</v>
      </c>
      <c r="E5" s="6" t="n">
        <v>0.33</v>
      </c>
    </row>
    <row r="6">
      <c r="A6" s="6" t="inlineStr">
        <is>
          <t>FX translation effect on equity, net</t>
        </is>
      </c>
      <c r="B6" s="6" t="n">
        <v>-8.73</v>
      </c>
      <c r="C6" s="6" t="n">
        <v>-0.29</v>
      </c>
      <c r="D6" s="6" t="n">
        <v>-0.09</v>
      </c>
      <c r="E6" s="6" t="n">
        <v>-9.109999999999999</v>
      </c>
    </row>
    <row r="7">
      <c r="A7" s="5" t="inlineStr">
        <is>
          <t>At 31 Dec. 2019</t>
        </is>
      </c>
      <c r="B7" s="5" t="n">
        <v>155.84</v>
      </c>
      <c r="C7" s="5" t="n">
        <v>5.1</v>
      </c>
      <c r="D7" s="5" t="n">
        <v>1.6</v>
      </c>
      <c r="E7" s="5" t="n">
        <v>162.54</v>
      </c>
    </row>
    <row r="8">
      <c r="A8" s="6" t="inlineStr">
        <is>
          <t>Profit and total comprehensive income for the year (FY2020)</t>
        </is>
      </c>
      <c r="B8" s="6" t="n"/>
      <c r="C8" s="6" t="n"/>
      <c r="D8" s="6" t="n">
        <v>0.61</v>
      </c>
      <c r="E8" s="6" t="n">
        <v>0.61</v>
      </c>
    </row>
    <row r="9">
      <c r="A9" s="6" t="inlineStr">
        <is>
          <t>FX translation effect on equity, net</t>
        </is>
      </c>
      <c r="B9" s="6" t="n">
        <v>8.960000000000001</v>
      </c>
      <c r="C9" s="6" t="n">
        <v>0.3</v>
      </c>
      <c r="D9" s="6" t="n">
        <v>0.1</v>
      </c>
      <c r="E9" s="6" t="n">
        <v>9.359999999999999</v>
      </c>
    </row>
    <row r="10">
      <c r="A10" s="5" t="inlineStr">
        <is>
          <t>At 31 Dec. 2020</t>
        </is>
      </c>
      <c r="B10" s="5" t="n">
        <v>164.8</v>
      </c>
      <c r="C10" s="5" t="n">
        <v>5.4</v>
      </c>
      <c r="D10" s="5" t="n">
        <v>2.31</v>
      </c>
      <c r="E10" s="5" t="n">
        <v>172.51</v>
      </c>
    </row>
    <row r="11">
      <c r="A11" s="5" t="inlineStr">
        <is>
          <t>At 1 January 2021</t>
        </is>
      </c>
      <c r="B11" s="5" t="n">
        <v>164.8</v>
      </c>
      <c r="C11" s="5" t="n">
        <v>5.4</v>
      </c>
      <c r="D11" s="5" t="n">
        <v>2.31</v>
      </c>
      <c r="E11" s="5" t="n">
        <v>172.51</v>
      </c>
    </row>
    <row r="12">
      <c r="A12" s="6" t="inlineStr">
        <is>
          <t>Profit and total comprehensive income for the year (FY2021)</t>
        </is>
      </c>
      <c r="B12" s="6" t="n"/>
      <c r="C12" s="6" t="n"/>
      <c r="D12" s="6" t="n">
        <v>0.6899999999999999</v>
      </c>
      <c r="E12" s="6" t="n">
        <v>0.6899999999999999</v>
      </c>
    </row>
    <row r="13">
      <c r="A13" s="6" t="inlineStr">
        <is>
          <t>FX translation effect on equity, net</t>
        </is>
      </c>
      <c r="B13" s="6" t="n">
        <v>-10.92</v>
      </c>
      <c r="C13" s="6" t="n">
        <v>-0.36</v>
      </c>
      <c r="D13" s="6" t="n">
        <v>-0.16</v>
      </c>
      <c r="E13" s="6" t="n">
        <v>-11.45</v>
      </c>
    </row>
    <row r="14">
      <c r="A14" s="5" t="inlineStr">
        <is>
          <t>At 31 Dec. 2021</t>
        </is>
      </c>
      <c r="B14" s="5" t="n">
        <v>153.88</v>
      </c>
      <c r="C14" s="5" t="n">
        <v>5.04</v>
      </c>
      <c r="D14" s="5" t="n">
        <v>2.84</v>
      </c>
      <c r="E14" s="5" t="n">
        <v>161.75</v>
      </c>
    </row>
    <row r="15">
      <c r="A15" s="6" t="inlineStr">
        <is>
          <t>Profit and total comprehensive income for the year (FY2022)</t>
        </is>
      </c>
      <c r="B15" s="6" t="n"/>
      <c r="C15" s="6" t="n"/>
      <c r="D15" s="6" t="n">
        <v>0.53</v>
      </c>
      <c r="E15" s="6" t="n">
        <v>0.53</v>
      </c>
    </row>
    <row r="16">
      <c r="A16" s="6" t="inlineStr">
        <is>
          <t>FX translation effect on equity, net</t>
        </is>
      </c>
      <c r="B16" s="6" t="n">
        <v>8.59</v>
      </c>
      <c r="C16" s="6" t="n">
        <v>0.28</v>
      </c>
      <c r="D16" s="6" t="n">
        <v>0.18</v>
      </c>
      <c r="E16" s="6" t="n">
        <v>9.06</v>
      </c>
    </row>
    <row r="17">
      <c r="A17" s="5" t="inlineStr">
        <is>
          <t>At 31 Dec. 2022</t>
        </is>
      </c>
      <c r="B17" s="5" t="n">
        <v>162.47</v>
      </c>
      <c r="C17" s="5" t="n">
        <v>5.32</v>
      </c>
      <c r="D17" s="5" t="n">
        <v>3.55</v>
      </c>
      <c r="E17" s="5" t="n">
        <v>171.34</v>
      </c>
    </row>
    <row r="18">
      <c r="A18" s="6" t="inlineStr">
        <is>
          <t>Profit and total comprehensive income for the year (FY2023)</t>
        </is>
      </c>
      <c r="B18" s="6" t="n"/>
      <c r="C18" s="6" t="n"/>
      <c r="D18" s="6" t="n">
        <v>1.08</v>
      </c>
      <c r="E18" s="6" t="n">
        <v>1.08</v>
      </c>
    </row>
    <row r="19">
      <c r="A19" s="6" t="inlineStr">
        <is>
          <t>FX translation effect on equity, net</t>
        </is>
      </c>
      <c r="B19" s="6" t="n">
        <v>-3.69</v>
      </c>
      <c r="C19" s="6" t="n">
        <v>-0.12</v>
      </c>
      <c r="D19" s="6" t="n">
        <v>-0.08</v>
      </c>
      <c r="E19" s="6" t="n">
        <v>-3.89</v>
      </c>
    </row>
    <row r="20">
      <c r="A20" s="5" t="inlineStr">
        <is>
          <t>At 31 Dec. 2023</t>
        </is>
      </c>
      <c r="B20" s="5" t="n">
        <v>158.78</v>
      </c>
      <c r="C20" s="5" t="n">
        <v>5.2</v>
      </c>
      <c r="D20" s="5" t="n">
        <v>4.55</v>
      </c>
      <c r="E20" s="5" t="n">
        <v>168.53</v>
      </c>
    </row>
    <row r="21">
      <c r="A21" s="6" t="inlineStr">
        <is>
          <t>Profit and total comprehensive income for the year (FY2024)</t>
        </is>
      </c>
      <c r="B21" s="6" t="n"/>
      <c r="C21" s="6" t="n"/>
      <c r="D21" s="6" t="n">
        <v>1.37</v>
      </c>
      <c r="E21" s="6" t="n">
        <v>1.37</v>
      </c>
    </row>
    <row r="22">
      <c r="A22" s="6" t="inlineStr">
        <is>
          <t>FX translation effect on equity, net</t>
        </is>
      </c>
      <c r="B22" s="6" t="n">
        <v>-7.35</v>
      </c>
      <c r="C22" s="6" t="n">
        <v>-0.24</v>
      </c>
      <c r="D22" s="6" t="n">
        <v>-0.24</v>
      </c>
      <c r="E22" s="6" t="n">
        <v>-7.83</v>
      </c>
    </row>
    <row r="23">
      <c r="A23" s="5" t="inlineStr">
        <is>
          <t>At 31 Dec. 2024</t>
        </is>
      </c>
      <c r="B23" s="5" t="n">
        <v>151.43</v>
      </c>
      <c r="C23" s="5" t="n">
        <v>4.96</v>
      </c>
      <c r="D23" s="5" t="n">
        <v>5.68</v>
      </c>
      <c r="E23" s="5" t="n">
        <v>162.07</v>
      </c>
    </row>
    <row r="24">
      <c r="A24" s="6" t="inlineStr">
        <is>
          <t>Profit and total comprehensive income for the year (FY2025)</t>
        </is>
      </c>
      <c r="B24" s="6" t="n"/>
      <c r="C24" s="6" t="n"/>
      <c r="D24" s="6" t="n">
        <v>0.15</v>
      </c>
      <c r="E24" s="6" t="n">
        <v>0.15</v>
      </c>
    </row>
    <row r="25">
      <c r="A25" s="6" t="inlineStr">
        <is>
          <t>FX translation effect on equity, net</t>
        </is>
      </c>
      <c r="B25" s="6" t="n">
        <v>8.529999999999999</v>
      </c>
      <c r="C25" s="6" t="n">
        <v>0.28</v>
      </c>
      <c r="D25" s="6" t="n">
        <v>0.32</v>
      </c>
      <c r="E25" s="6" t="n">
        <v>9.130000000000001</v>
      </c>
    </row>
    <row r="26">
      <c r="A26" s="5" t="inlineStr">
        <is>
          <t>At 31 Dec. 2025</t>
        </is>
      </c>
      <c r="B26" s="5" t="n">
        <v>159.96</v>
      </c>
      <c r="C26" s="5" t="n">
        <v>5.24</v>
      </c>
      <c r="D26" s="5" t="n">
        <v>6.15</v>
      </c>
      <c r="E26" s="5" t="n">
        <v>171.35</v>
      </c>
    </row>
    <row r="28" ht="460" customHeight="1">
      <c r="A28"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FY2020: Full accounts made up to 31 December 2020, pp.17-19 - https://find-and-update.company-information.service.gov.uk/company/01126618/filing-history/MzI5OTI5MzU3NGFkaXF6a2N4/document?format=pdf&amp;download=0
FY2019: Full accounts made up to 31 December 2019, pp.15-17 -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the Bank's own disclosures give a 'Capital Cover' percentage every year (used below as the CET1/Tier 1/Total Capital Ratio series, since capital = CET1 = Tier 1 = Total Capital per the Bank's own description - no AT1/Tier 2 instruments) - but this does NOT appear to be a conventional CET1/RWA-style ratio as disclosed by every other bank in this project. The FY2025 Annual Report separately states 'the CET1 capital ratio to the total risk exposure is 88.70%' - a very different figure from the 331% 'Capital Cover' value for the same year, implying 'Capital Cover' uses a different denominator (plausibly capital versus the Bank's Total Capital Requirement including a Pillar 2A add-on, not capital versus RWA). The 88.70% figure is only disclosed for FY2025 (no equivalent figure found for FY2021-FY2024), so 'Capital Cover' was used throughout for a consistent 5-year series - readers should treat this bank's ratio row as NOT directly comparable to other banks' CET1/Tier1/Total Capital Ratio sheets in this project. Total RWAs is left 'Not publicly disclosed' rather than calculated from either figure, since which one (if either) 'Capital Cover' actually divides into isn't confirmed.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
Note: 'Total' £m figures are converted independently from the raw EUR total (not summed from the rounded component columns), so a ~£0.01m rounding gap vs. summing the displayed component cells, or vs. the Balance Sheet's own Total equity row, is expected and immaterial.</t>
        </is>
      </c>
    </row>
  </sheetData>
  <mergeCells count="1">
    <mergeCell ref="A28:E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Statement of Cash Flows</t>
        </is>
      </c>
    </row>
    <row r="2">
      <c r="A2" s="2" t="inlineStr">
        <is>
          <t>£m, converted from EUR - see source note at bottom for FX methodology and rates used. No Financing Activities section - none is presented in any of the Bank's own source statements.</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Operating activities</t>
        </is>
      </c>
      <c r="B4" s="6" t="n"/>
      <c r="C4" s="6" t="n"/>
      <c r="D4" s="6" t="n"/>
      <c r="E4" s="6" t="n"/>
      <c r="F4" s="6" t="n"/>
      <c r="G4" s="6" t="n"/>
      <c r="H4" s="6" t="n"/>
    </row>
    <row r="5">
      <c r="A5" s="6" t="inlineStr">
        <is>
          <t>Cash flow from operations (note 22)</t>
        </is>
      </c>
      <c r="B5" s="6" t="n">
        <v>-60.61</v>
      </c>
      <c r="C5" s="6" t="n">
        <v>21.23</v>
      </c>
      <c r="D5" s="6" t="n">
        <v>26.26</v>
      </c>
      <c r="E5" s="6" t="n">
        <v>23.1</v>
      </c>
      <c r="F5" s="6" t="n">
        <v>0.57</v>
      </c>
      <c r="G5" s="6" t="n">
        <v>0.04</v>
      </c>
      <c r="H5" s="6" t="n">
        <v>0.19</v>
      </c>
    </row>
    <row r="6">
      <c r="A6" s="6" t="inlineStr">
        <is>
          <t>Taxation paid</t>
        </is>
      </c>
      <c r="B6" s="6" t="n">
        <v>-0.14</v>
      </c>
      <c r="C6" s="6" t="n">
        <v>-0.38</v>
      </c>
      <c r="D6" s="6" t="n">
        <v>-0.11</v>
      </c>
      <c r="E6" s="6" t="n">
        <v>-0.15</v>
      </c>
      <c r="F6" s="6" t="n">
        <v>-0.05</v>
      </c>
      <c r="G6" s="6" t="n">
        <v>-0.11</v>
      </c>
      <c r="H6" s="6" t="n">
        <v>-0.14</v>
      </c>
    </row>
    <row r="7">
      <c r="A7" s="5" t="inlineStr">
        <is>
          <t>Net cash generated from/(used in) operating activities</t>
        </is>
      </c>
      <c r="B7" s="5" t="n">
        <v>-60.75</v>
      </c>
      <c r="C7" s="5" t="n">
        <v>20.85</v>
      </c>
      <c r="D7" s="5" t="n">
        <v>26.15</v>
      </c>
      <c r="E7" s="5" t="n">
        <v>22.95</v>
      </c>
      <c r="F7" s="5" t="n">
        <v>0.52</v>
      </c>
      <c r="G7" s="5" t="n">
        <v>-0.07000000000000001</v>
      </c>
      <c r="H7" s="5" t="n">
        <v>0.04</v>
      </c>
    </row>
    <row r="8">
      <c r="A8" s="5" t="inlineStr">
        <is>
          <t>Investing activities</t>
        </is>
      </c>
      <c r="B8" s="6" t="n"/>
      <c r="C8" s="6" t="n"/>
      <c r="D8" s="6" t="n"/>
      <c r="E8" s="6" t="n"/>
      <c r="F8" s="6" t="n"/>
      <c r="G8" s="6" t="n"/>
      <c r="H8" s="6" t="n"/>
    </row>
    <row r="9">
      <c r="A9" s="6" t="inlineStr">
        <is>
          <t>Purchase of tangible fixed assets (note 12)</t>
        </is>
      </c>
      <c r="B9" s="6" t="n">
        <v>0</v>
      </c>
      <c r="C9" s="6" t="n">
        <v>0</v>
      </c>
      <c r="D9" s="6" t="n">
        <v>0</v>
      </c>
      <c r="E9" s="6" t="n">
        <v>-0.15</v>
      </c>
      <c r="F9" s="6" t="n">
        <v>-0.53</v>
      </c>
      <c r="G9" s="6" t="n">
        <v>-0.01</v>
      </c>
      <c r="H9" s="6" t="n">
        <v>-0</v>
      </c>
    </row>
    <row r="10">
      <c r="A10" s="5" t="inlineStr">
        <is>
          <t>Net cash used in investing activities</t>
        </is>
      </c>
      <c r="B10" s="5" t="n">
        <v>0</v>
      </c>
      <c r="C10" s="5" t="n">
        <v>0</v>
      </c>
      <c r="D10" s="5" t="n">
        <v>0</v>
      </c>
      <c r="E10" s="5" t="n">
        <v>-0.15</v>
      </c>
      <c r="F10" s="5" t="n">
        <v>-0.53</v>
      </c>
      <c r="G10" s="5" t="n">
        <v>-0.01</v>
      </c>
      <c r="H10" s="5" t="n">
        <v>-0</v>
      </c>
    </row>
    <row r="11">
      <c r="A11" s="5" t="inlineStr">
        <is>
          <t>Increase/(decrease) in cash and cash equivalents</t>
        </is>
      </c>
      <c r="B11" s="5" t="n">
        <v>-60.75</v>
      </c>
      <c r="C11" s="5" t="n">
        <v>20.85</v>
      </c>
      <c r="D11" s="5" t="n">
        <v>26.15</v>
      </c>
      <c r="E11" s="5" t="n">
        <v>22.8</v>
      </c>
      <c r="F11" s="5" t="n">
        <v>-0.01</v>
      </c>
      <c r="G11" s="5" t="n">
        <v>-0.08</v>
      </c>
      <c r="H11" s="5" t="n">
        <v>0.04</v>
      </c>
    </row>
    <row r="12">
      <c r="A12" s="6" t="inlineStr">
        <is>
          <t>Effect of GBP/EUR translation (£ conversion artefact - see FX note)</t>
        </is>
      </c>
      <c r="B12" s="6" t="n">
        <v>8.33</v>
      </c>
      <c r="C12" s="6" t="n">
        <v>-7.7</v>
      </c>
      <c r="D12" s="6" t="n">
        <v>-3.07</v>
      </c>
      <c r="E12" s="6" t="n">
        <v>6.68</v>
      </c>
      <c r="F12" s="6" t="n">
        <v>-7.35</v>
      </c>
      <c r="G12" s="6" t="n">
        <v>0.06</v>
      </c>
      <c r="H12" s="6" t="n">
        <v>-0.06</v>
      </c>
    </row>
    <row r="13">
      <c r="A13" s="6" t="inlineStr">
        <is>
          <t>Cash and cash equivalents at the beginning of the year</t>
        </is>
      </c>
      <c r="B13" s="6" t="n">
        <v>169.25</v>
      </c>
      <c r="C13" s="6" t="n">
        <v>156.1</v>
      </c>
      <c r="D13" s="6" t="n">
        <v>133.02</v>
      </c>
      <c r="E13" s="6" t="n">
        <v>103.54</v>
      </c>
      <c r="F13" s="6" t="n">
        <v>110.9</v>
      </c>
      <c r="G13" s="6" t="n">
        <v>1.47</v>
      </c>
      <c r="H13" s="6" t="n">
        <v>1.49</v>
      </c>
    </row>
    <row r="14">
      <c r="A14" s="5" t="inlineStr">
        <is>
          <t>Cash and cash equivalents at year-end</t>
        </is>
      </c>
      <c r="B14" s="5" t="n">
        <v>116.83</v>
      </c>
      <c r="C14" s="5" t="n">
        <v>169.25</v>
      </c>
      <c r="D14" s="5" t="n">
        <v>156.1</v>
      </c>
      <c r="E14" s="5" t="n">
        <v>133.02</v>
      </c>
      <c r="F14" s="5" t="n">
        <v>103.54</v>
      </c>
      <c r="G14" s="5" t="n">
        <v>1.45</v>
      </c>
      <c r="H14" s="5" t="n">
        <v>1.47</v>
      </c>
    </row>
    <row r="16" ht="420" customHeight="1">
      <c r="A16" s="8" t="inlineStr">
        <is>
          <t>Sources - all figures are Bank Saderat Plc's own Statement of Cash Flows, converted from EUR to £m (see FX conversion note below):
FY2025/FY2024 (2024 comparative confirmed unchanged): Full accounts made up to 31 December 2025, p.32 (Statement of Cash Flows) - https://find-and-update.company-information.service.gov.uk/company/01126618/filing-history/MzUyNzI0MjU2MGFkaXF6a2N4/document?format=pdf&amp;download=0
FY2024/FY2023: Full accounts made up to 31 December 2024, p.30 (Statement of Cash Flows) - https://find-and-update.company-information.service.gov.uk/company/01126618/filing-history/MzQ2MzQ4MDU2OWFkaXF6a2N4/document?format=pdf&amp;download=0
FY2022/FY2021: Full accounts made up to 31 December 2022, p.24 (Statement of Cash Flows) - https://find-and-update.company-information.service.gov.uk/company/01126618/filing-history/MzM3Nzc2OTA1NGFkaXF6a2N4/document?format=pdf&amp;download=0
FY2020/FY2019: FY2020 accounts p.20 and FY2019 accounts p.18 - https://find-and-update.company-information.service.gov.uk/company/01126618/filing-history/MzI5OTI5MzU3NGFkaXF6a2N4/document?format=pdf&amp;download=0 / https://find-and-update.company-information.service.gov.uk/company/01126618/filing-history/MzI2MzQzNDY1MmFkaXF6a2N4/document?format=pdf&amp;download=0. Note: this filing states 'The 2021 cash flow stands amended' - the FY2021 column here is that amended figure, not the original FY2021 filing's figure (not separately sourced).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the Bank's own disclosures give a 'Capital Cover' percentage every year (used below as the CET1/Tier 1/Total Capital Ratio series, since capital = CET1 = Tier 1 = Total Capital per the Bank's own description - no AT1/Tier 2 instruments) - but this does NOT appear to be a conventional CET1/RWA-style ratio as disclosed by every other bank in this project. The FY2025 Annual Report separately states 'the CET1 capital ratio to the total risk exposure is 88.70%' - a very different figure from the 331% 'Capital Cover' value for the same year, implying 'Capital Cover' uses a different denominator (plausibly capital versus the Bank's Total Capital Requirement including a Pillar 2A add-on, not capital versus RWA). The 88.70% figure is only disclosed for FY2025 (no equivalent figure found for FY2021-FY2024), so 'Capital Cover' was used throughout for a consistent 5-year series - readers should treat this bank's ratio row as NOT directly comparable to other banks' CET1/Tier1/Total Capital Ratio sheets in this project. Total RWAs is left 'Not publicly disclosed' rather than calculated from either figure, since which one (if either) 'Capital Cover' actually divides into isn't confirmed.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t>
        </is>
      </c>
    </row>
  </sheetData>
  <mergeCells count="1">
    <mergeCell ref="A16:H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Asset Quality / Credit Risk Disclosures</t>
        </is>
      </c>
    </row>
    <row r="2">
      <c r="A2" s="2" t="inlineStr">
        <is>
          <t>£m, converted from EUR. The Bank does not disclose an IFRS 9 stage or by-product loan-book split - remaining-maturity (its own actual disclosure) is used as the breakdown instead.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Loans and advances to customers, by remaining maturity</t>
        </is>
      </c>
      <c r="B4" s="6" t="n"/>
      <c r="C4" s="6" t="n"/>
      <c r="D4" s="6" t="n"/>
      <c r="E4" s="6" t="n"/>
      <c r="F4" s="6" t="n"/>
      <c r="G4" s="6" t="n"/>
      <c r="H4" s="6" t="n"/>
    </row>
    <row r="5">
      <c r="A5" s="6" t="inlineStr">
        <is>
          <t>Three months or less</t>
        </is>
      </c>
      <c r="B5" s="6" t="n">
        <v>9.960000000000001</v>
      </c>
      <c r="C5" s="6" t="n">
        <v>8.83</v>
      </c>
      <c r="D5" s="6" t="n">
        <v>14.76</v>
      </c>
      <c r="E5" s="6" t="n">
        <v>12.85</v>
      </c>
      <c r="F5" s="6" t="n">
        <v>11.36</v>
      </c>
      <c r="G5" s="6" t="n">
        <v>14.55</v>
      </c>
      <c r="H5" s="6" t="n">
        <v>11.29</v>
      </c>
    </row>
    <row r="6">
      <c r="A6" s="6" t="inlineStr">
        <is>
          <t>One year or less but over three months</t>
        </is>
      </c>
      <c r="B6" s="6" t="n">
        <v>0</v>
      </c>
      <c r="C6" s="6" t="n">
        <v>0.74</v>
      </c>
      <c r="D6" s="6" t="n">
        <v>2.27</v>
      </c>
      <c r="E6" s="6" t="n">
        <v>2.06</v>
      </c>
      <c r="F6" s="6" t="n">
        <v>1.95</v>
      </c>
      <c r="G6" s="6" t="n">
        <v>2.9</v>
      </c>
      <c r="H6" s="6" t="n">
        <v>1.52</v>
      </c>
    </row>
    <row r="7">
      <c r="A7" s="6" t="inlineStr">
        <is>
          <t>Five years or less but over one year</t>
        </is>
      </c>
      <c r="B7" s="6" t="n">
        <v>9.300000000000001</v>
      </c>
      <c r="C7" s="6" t="n">
        <v>0.25</v>
      </c>
      <c r="D7" s="6" t="n">
        <v>1.29</v>
      </c>
      <c r="E7" s="6" t="n">
        <v>4.92</v>
      </c>
      <c r="F7" s="6" t="n">
        <v>8.06</v>
      </c>
      <c r="G7" s="6" t="n">
        <v>37.38</v>
      </c>
      <c r="H7" s="6" t="n">
        <v>13.08</v>
      </c>
    </row>
    <row r="8">
      <c r="A8" s="5" t="inlineStr">
        <is>
          <t>Gross loans and advances to customers</t>
        </is>
      </c>
      <c r="B8" s="5" t="n">
        <v>19.26</v>
      </c>
      <c r="C8" s="5" t="n">
        <v>9.82</v>
      </c>
      <c r="D8" s="5" t="n">
        <v>18.32</v>
      </c>
      <c r="E8" s="5" t="n">
        <v>19.83</v>
      </c>
      <c r="F8" s="5" t="n">
        <v>21.37</v>
      </c>
      <c r="G8" s="5" t="n">
        <v>54.83</v>
      </c>
      <c r="H8" s="5" t="n">
        <v>25.9</v>
      </c>
    </row>
    <row r="9">
      <c r="A9" s="6" t="inlineStr">
        <is>
          <t>Less: allowance for losses</t>
        </is>
      </c>
      <c r="B9" s="6" t="n">
        <v>-10.25</v>
      </c>
      <c r="C9" s="6" t="n">
        <v>-8.279999999999999</v>
      </c>
      <c r="D9" s="6" t="n">
        <v>-8.01</v>
      </c>
      <c r="E9" s="6" t="n">
        <v>-7.02</v>
      </c>
      <c r="F9" s="6" t="n">
        <v>-6.19</v>
      </c>
      <c r="G9" s="6" t="n">
        <v>-6.98</v>
      </c>
      <c r="H9" s="6" t="n">
        <v>-5.8</v>
      </c>
    </row>
    <row r="10">
      <c r="A10" s="6" t="inlineStr">
        <is>
          <t>Less: interest suspended</t>
        </is>
      </c>
      <c r="B10" s="6" t="n"/>
      <c r="C10" s="6" t="n"/>
      <c r="D10" s="6" t="n"/>
      <c r="E10" s="6" t="n">
        <v>-0.37</v>
      </c>
      <c r="F10" s="6" t="n">
        <v>-0.45</v>
      </c>
      <c r="G10" s="6" t="n"/>
      <c r="H10" s="6" t="n"/>
    </row>
    <row r="11">
      <c r="A11" s="5" t="inlineStr">
        <is>
          <t>Net loans and advances to customers</t>
        </is>
      </c>
      <c r="B11" s="5" t="n">
        <v>9.02</v>
      </c>
      <c r="C11" s="5" t="n">
        <v>1.53</v>
      </c>
      <c r="D11" s="5" t="n">
        <v>10.32</v>
      </c>
      <c r="E11" s="5" t="n">
        <v>12.44</v>
      </c>
      <c r="F11" s="5" t="n">
        <v>14.72</v>
      </c>
      <c r="G11" s="5" t="n">
        <v>47.85</v>
      </c>
      <c r="H11" s="5" t="n">
        <v>20.09</v>
      </c>
    </row>
    <row r="12">
      <c r="A12" s="5" t="inlineStr">
        <is>
          <t>Impaired / not impaired split (FY2021-FY2022 only - not disclosed at this granularity FY2023-25)</t>
        </is>
      </c>
      <c r="B12" s="6" t="n"/>
      <c r="C12" s="6" t="n"/>
      <c r="D12" s="6" t="n"/>
      <c r="E12" s="6" t="n"/>
      <c r="F12" s="6" t="n"/>
      <c r="G12" s="6" t="n"/>
      <c r="H12" s="6" t="n"/>
    </row>
    <row r="13">
      <c r="A13" s="6" t="inlineStr">
        <is>
          <t>Impaired exposure</t>
        </is>
      </c>
      <c r="B13" s="6" t="n"/>
      <c r="C13" s="6" t="n"/>
      <c r="D13" s="6" t="n"/>
      <c r="E13" s="6" t="n">
        <v>6.98</v>
      </c>
      <c r="F13" s="6" t="n">
        <v>6.42</v>
      </c>
      <c r="G13" s="6" t="n"/>
      <c r="H13" s="6" t="n"/>
    </row>
    <row r="14">
      <c r="A14" s="6" t="inlineStr">
        <is>
          <t>Neither past due nor impaired / past due not impaired</t>
        </is>
      </c>
      <c r="B14" s="6" t="n"/>
      <c r="C14" s="6" t="n"/>
      <c r="D14" s="6" t="n"/>
      <c r="E14" s="6" t="n">
        <v>5.46</v>
      </c>
      <c r="F14" s="6" t="n">
        <v>8.300000000000001</v>
      </c>
      <c r="G14" s="6" t="n"/>
      <c r="H14" s="6" t="n"/>
    </row>
    <row r="15">
      <c r="A15" s="6" t="inlineStr">
        <is>
          <t>Allowance coverage ratio (allowance / gross loans)</t>
        </is>
      </c>
      <c r="B15" s="6" t="inlineStr">
        <is>
          <t>53.2%</t>
        </is>
      </c>
      <c r="C15" s="6" t="inlineStr">
        <is>
          <t>84.4%</t>
        </is>
      </c>
      <c r="D15" s="6" t="inlineStr">
        <is>
          <t>43.7%</t>
        </is>
      </c>
      <c r="E15" s="6" t="inlineStr">
        <is>
          <t>35.4%</t>
        </is>
      </c>
      <c r="F15" s="6" t="inlineStr">
        <is>
          <t>29.0%</t>
        </is>
      </c>
      <c r="G15" s="6" t="inlineStr">
        <is>
          <t>12.7%</t>
        </is>
      </c>
      <c r="H15" s="6" t="inlineStr">
        <is>
          <t>22.4%</t>
        </is>
      </c>
    </row>
    <row r="16">
      <c r="A16" s="6" t="inlineStr">
        <is>
          <t>Impaired exposure ratio (impaired / total exposure)</t>
        </is>
      </c>
      <c r="B16" s="6" t="n"/>
      <c r="C16" s="6" t="n"/>
      <c r="D16" s="6" t="n"/>
      <c r="E16" s="6" t="inlineStr">
        <is>
          <t>56.1%</t>
        </is>
      </c>
      <c r="F16" s="6" t="inlineStr">
        <is>
          <t>43.6%</t>
        </is>
      </c>
      <c r="G16" s="6" t="n"/>
      <c r="H16" s="6" t="n"/>
    </row>
    <row r="18" ht="380" customHeight="1">
      <c r="A18" s="8" t="inlineStr">
        <is>
          <t>Sources - Bank Saderat Plc's own Note 10 (Loans and advances to customers) and Note 15.7/15.8 (impaired loans and advances, FY2021/FY2022 only):
FY2025/FY2024: Full accounts made up to 31 December 2025, p.48 - https://find-and-update.company-information.service.gov.uk/company/01126618/filing-history/MzUyNzI0MjU2MGFkaXF6a2N4/document?format=pdf&amp;download=0
FY2024/FY2023: Full accounts made up to 31 December 2024, p.44 - https://find-and-update.company-information.service.gov.uk/company/01126618/filing-history/MzQ2MzQ4MDU2OWFkaXF6a2N4/document?format=pdf&amp;download=0
FY2022/FY2021: Full accounts made up to 31 December 2022, pp.30,37 - https://find-and-update.company-information.service.gov.uk/company/01126618/filing-history/MzM3Nzc2OTA1NGFkaXF6a2N4/document?format=pdf&amp;download=0
FY2020/FY2019: own Notes 9-11, FY2020 pp.25-26 and FY2019 p.24 - https://find-and-update.company-information.service.gov.uk/company/01126618/filing-history/MzI5OTI5MzU3NGFkaXF6a2N4/document?format=pdf&amp;download=0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the Bank's own disclosures give a 'Capital Cover' percentage every year (used below as the CET1/Tier 1/Total Capital Ratio series, since capital = CET1 = Tier 1 = Total Capital per the Bank's own description - no AT1/Tier 2 instruments) - but this does NOT appear to be a conventional CET1/RWA-style ratio as disclosed by every other bank in this project. The FY2025 Annual Report separately states 'the CET1 capital ratio to the total risk exposure is 88.70%' - a very different figure from the 331% 'Capital Cover' value for the same year, implying 'Capital Cover' uses a different denominator (plausibly capital versus the Bank's Total Capital Requirement including a Pillar 2A add-on, not capital versus RWA). The 88.70% figure is only disclosed for FY2025 (no equivalent figure found for FY2021-FY2024), so 'Capital Cover' was used throughout for a consistent 5-year series - readers should treat this bank's ratio row as NOT directly comparable to other banks' CET1/Tier1/Total Capital Ratio sheets in this project. Total RWAs is left 'Not publicly disclosed' rather than calculated from either figure, since which one (if either) 'Capital Cover' actually divides into isn't confirmed.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t>
        </is>
      </c>
    </row>
  </sheetData>
  <mergeCells count="1">
    <mergeCell ref="A18:H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CET1 Capital</t>
        </is>
      </c>
    </row>
    <row r="2">
      <c r="A2" s="2" t="inlineStr">
        <is>
          <t>£m (Bank's disclosed capital base, consisting of CET1 Capital)</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171.32</v>
      </c>
      <c r="C4" s="6" t="n">
        <v>162.23</v>
      </c>
      <c r="D4" s="6" t="n">
        <v>168.53</v>
      </c>
      <c r="E4" s="6" t="n">
        <v>171.34</v>
      </c>
      <c r="F4" s="6" t="n">
        <v>161.75</v>
      </c>
      <c r="G4" s="6" t="n">
        <v>172.51</v>
      </c>
      <c r="H4" s="6" t="n">
        <v>162.54</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Capital Cover</t>
        </is>
      </c>
      <c r="B4" s="6" t="inlineStr">
        <is>
          <t>331%</t>
        </is>
      </c>
      <c r="C4" s="6" t="inlineStr">
        <is>
          <t>349%</t>
        </is>
      </c>
      <c r="D4" s="6" t="inlineStr">
        <is>
          <t>325%</t>
        </is>
      </c>
      <c r="E4" s="6" t="inlineStr">
        <is>
          <t>339%</t>
        </is>
      </c>
      <c r="F4" s="6" t="inlineStr">
        <is>
          <t>313%</t>
        </is>
      </c>
      <c r="G4" s="6" t="inlineStr">
        <is>
          <t>330%</t>
        </is>
      </c>
      <c r="H4" s="6" t="inlineStr">
        <is>
          <t>324%</t>
        </is>
      </c>
    </row>
    <row r="5" ht="60" customHeight="1">
      <c r="A5" s="7" t="inlineStr">
        <is>
          <t>Note: This is the Bank's own 'Capital Cover' metric (disclosed every year as a chart in the Strategic Report), used here for CET1/Tier 1/Total Capital Ratio since capital = CET1 = Tier 1 = Total Capital per the Bank's own description (no AT1/Tier 2 instruments). See the CAPITAL RATIO CAVEAT in the Cash Flow Statement sheet's ENTITY_NOTE - this figure does not appear to be a conventional CET1/RWA ratio like other banks in this project (the FY2025 report separately states a genuine CET1-to-total-risk-exposure ratio of 88.70%, only disclosed for that one year).</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Tier 1 Capital</t>
        </is>
      </c>
    </row>
    <row r="2">
      <c r="A2" s="2" t="inlineStr">
        <is>
          <t>£m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171.32</v>
      </c>
      <c r="C4" s="6" t="n">
        <v>162.23</v>
      </c>
      <c r="D4" s="6" t="n">
        <v>168.53</v>
      </c>
      <c r="E4" s="6" t="n">
        <v>171.34</v>
      </c>
      <c r="F4" s="6" t="n">
        <v>161.75</v>
      </c>
      <c r="G4" s="6" t="n">
        <v>172.51</v>
      </c>
      <c r="H4" s="6" t="n">
        <v>162.54</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Capital Cover</t>
        </is>
      </c>
      <c r="B4" s="6" t="inlineStr">
        <is>
          <t>331%</t>
        </is>
      </c>
      <c r="C4" s="6" t="inlineStr">
        <is>
          <t>349%</t>
        </is>
      </c>
      <c r="D4" s="6" t="inlineStr">
        <is>
          <t>325%</t>
        </is>
      </c>
      <c r="E4" s="6" t="inlineStr">
        <is>
          <t>339%</t>
        </is>
      </c>
      <c r="F4" s="6" t="inlineStr">
        <is>
          <t>313%</t>
        </is>
      </c>
      <c r="G4" s="6" t="inlineStr">
        <is>
          <t>330%</t>
        </is>
      </c>
      <c r="H4" s="6" t="inlineStr">
        <is>
          <t>324%</t>
        </is>
      </c>
    </row>
    <row r="5" ht="60" customHeight="1">
      <c r="A5" s="7" t="inlineStr">
        <is>
          <t>Note: This is the Bank's own 'Capital Cover' metric (disclosed every year as a chart in the Strategic Report), used here for CET1/Tier 1/Total Capital Ratio since capital = CET1 = Tier 1 = Total Capital per the Bank's own description (no AT1/Tier 2 instruments). See the CAPITAL RATIO CAVEAT in the Cash Flow Statement sheet's ENTITY_NOTE - this figure does not appear to be a conventional CET1/RWA ratio like other banks in this project (the FY2025 report separately states a genuine CET1-to-total-risk-exposure ratio of 88.70%, only disclosed for that one year).</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Total Capital</t>
        </is>
      </c>
    </row>
    <row r="2">
      <c r="A2" s="2" t="inlineStr">
        <is>
          <t>£m (= CET1 Capital; no Tier 2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171.32</v>
      </c>
      <c r="C4" s="6" t="n">
        <v>162.23</v>
      </c>
      <c r="D4" s="6" t="n">
        <v>168.53</v>
      </c>
      <c r="E4" s="6" t="n">
        <v>171.34</v>
      </c>
      <c r="F4" s="6" t="n">
        <v>161.75</v>
      </c>
      <c r="G4" s="6" t="n">
        <v>172.51</v>
      </c>
      <c r="H4" s="6" t="n">
        <v>162.54</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Capital Cover</t>
        </is>
      </c>
      <c r="B4" s="6" t="inlineStr">
        <is>
          <t>331%</t>
        </is>
      </c>
      <c r="C4" s="6" t="inlineStr">
        <is>
          <t>349%</t>
        </is>
      </c>
      <c r="D4" s="6" t="inlineStr">
        <is>
          <t>325%</t>
        </is>
      </c>
      <c r="E4" s="6" t="inlineStr">
        <is>
          <t>339%</t>
        </is>
      </c>
      <c r="F4" s="6" t="inlineStr">
        <is>
          <t>313%</t>
        </is>
      </c>
      <c r="G4" s="6" t="inlineStr">
        <is>
          <t>330%</t>
        </is>
      </c>
      <c r="H4" s="6" t="inlineStr">
        <is>
          <t>324%</t>
        </is>
      </c>
    </row>
    <row r="5" ht="60" customHeight="1">
      <c r="A5" s="7" t="inlineStr">
        <is>
          <t>Note: This is the Bank's own 'Capital Cover' metric (disclosed every year as a chart in the Strategic Report), used here for CET1/Tier 1/Total Capital Ratio since capital = CET1 = Tier 1 = Total Capital per the Bank's own description (no AT1/Tier 2 instruments). See the CAPITAL RATIO CAVEAT in the Cash Flow Statement sheet's ENTITY_NOTE - this figure does not appear to be a conventional CET1/RWA ratio like other banks in this project (the FY2025 report separately states a genuine CET1-to-total-risk-exposure ratio of 88.70%, only disclosed for that one year).</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disclosed anywhere in the Bank's own Annual Reports - no standalone Pillar 3 document was found (correspondent-banking/website constraints, see ENTITY_NOTE), and the Strategic Report's capital/liquidity disclosure is limited to the 'Capital Cover' and Liquidity Coverage Ratio charts plus the CET1 capital base figure (see the other Pillar 3 sheets). Not calculated from Capital Cover either, since which denominator that metric actually uses isn't confirmed - see CAPITAL RATIO CAVEAT.</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RWA Breakdown</t>
        </is>
      </c>
    </row>
    <row r="2">
      <c r="A2" s="2" t="inlineStr">
        <is>
          <t>Not publicly disclosed - see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6" t="inlineStr">
        <is>
          <t>RWA by risk category (UK OV1)</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6" ht="20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Not disclosed anywhere in the Bank's own Annual Reports - no standalone Pillar 3 document was found (correspondent-banking/website constraints, see ENTITY_NOTE), and the Strategic Report's capital/liquidity disclosure is limited to the 'Capital Cover' and Liquidity Coverage Ratio charts plus the CET1 capital base figure (see the other Pillar 3 sheets).</t>
        </is>
      </c>
    </row>
  </sheetData>
  <mergeCells count="1">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disclosed anywhere in the Bank's own Annual Reports - no standalone Pillar 3 document was found (correspondent-banking/website constraints, see ENTITY_NOTE), and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t>
        </is>
      </c>
    </row>
  </sheetData>
  <mergeCells count="2">
    <mergeCell ref="A7:H7"/>
    <mergeCell ref="A5:H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LCR</t>
        </is>
      </c>
    </row>
    <row r="2">
      <c r="A2" s="2" t="inlineStr">
        <is>
          <t>%, all currencies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477%</t>
        </is>
      </c>
      <c r="C4" s="6" t="inlineStr">
        <is>
          <t>331%</t>
        </is>
      </c>
      <c r="D4" s="6" t="inlineStr">
        <is>
          <t>334%</t>
        </is>
      </c>
      <c r="E4" s="6" t="inlineStr">
        <is>
          <t>368%</t>
        </is>
      </c>
      <c r="F4" s="6" t="inlineStr">
        <is>
          <t>376%</t>
        </is>
      </c>
      <c r="G4" s="6" t="n"/>
      <c r="H4" s="6" t="n"/>
    </row>
    <row r="5" ht="60" customHeight="1">
      <c r="A5" s="7" t="inlineStr">
        <is>
          <t>Note: See LIQUIDITY RATIO CAVEAT in the Cash Flow Statement sheet's ENTITY_NOTE - this bank's LCR series shows real cross-vintage inconsistency; each year's own originally-reported figure is used here.</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disclosed anywhere in the Bank's own Annual Reports - no standalone Pillar 3 document was found (correspondent-banking/website constraints, see ENTITY_NOTE), and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disclosed anywhere in the Bank's own Annual Reports - no standalone Pillar 3 document was found (correspondent-banking/website constraints, see ENTITY_NOTE), and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2026-09-06T10:43:00Z</dcterms:created>
  <dcterms:modified xsi:type="dcterms:W3CDTF">2026-09-06T10:43:00Z</dcterms:modified>
</cp:coreProperties>
</file>