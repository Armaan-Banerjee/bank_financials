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2F4538"/>
        <bgColor rgb="002F453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Bank Saderat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'Overview'!K6</f>
            </strRef>
          </tx>
          <spPr>
            <a:ln xmlns:a="http://schemas.openxmlformats.org/drawingml/2006/main">
              <a:prstDash val="solid"/>
            </a:ln>
          </spPr>
          <cat>
            <numRef>
              <f>'Overview'!$L$5:$R$5</f>
            </numRef>
          </cat>
          <val>
            <numRef>
              <f>'Overview'!$L$6:$R$6</f>
            </numRef>
          </val>
        </ser>
        <ser>
          <idx val="1"/>
          <order val="1"/>
          <tx>
            <strRef>
              <f>'Overview'!K7</f>
            </strRef>
          </tx>
          <spPr>
            <a:ln xmlns:a="http://schemas.openxmlformats.org/drawingml/2006/main">
              <a:prstDash val="solid"/>
            </a:ln>
          </spPr>
          <cat>
            <numRef>
              <f>'Overview'!$L$5:$R$5</f>
            </numRef>
          </cat>
          <val>
            <numRef>
              <f>'Overview'!$L$7:$R$7</f>
            </numRef>
          </val>
        </ser>
        <ser>
          <idx val="2"/>
          <order val="2"/>
          <tx>
            <strRef>
              <f>'Overview'!K8</f>
            </strRef>
          </tx>
          <spPr>
            <a:ln xmlns:a="http://schemas.openxmlformats.org/drawingml/2006/main">
              <a:prstDash val="solid"/>
            </a:ln>
          </spPr>
          <cat>
            <numRef>
              <f>'Overview'!$L$5:$R$5</f>
            </numRef>
          </cat>
          <val>
            <numRef>
              <f>'Overview'!$L$8:$R$8</f>
            </numRef>
          </val>
        </ser>
        <ser>
          <idx val="3"/>
          <order val="3"/>
          <tx>
            <strRef>
              <f>'Overview'!K9</f>
            </strRef>
          </tx>
          <spPr>
            <a:ln xmlns:a="http://schemas.openxmlformats.org/drawingml/2006/main">
              <a:prstDash val="solid"/>
            </a:ln>
          </spPr>
          <cat>
            <numRef>
              <f>'Overview'!$L$5:$R$5</f>
            </numRef>
          </cat>
          <val>
            <numRef>
              <f>'Overview'!$L$9:$R$9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 (conv. from EUR)</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Bank Saderat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'Overview'!U13</f>
            </strRef>
          </tx>
          <spPr>
            <a:ln xmlns:a="http://schemas.openxmlformats.org/drawingml/2006/main">
              <a:prstDash val="solid"/>
            </a:ln>
          </spPr>
          <cat>
            <numRef>
              <f>'Overview'!$V$12:$AB$12</f>
            </numRef>
          </cat>
          <val>
            <numRef>
              <f>'Overview'!$V$13:$AB$13</f>
            </numRef>
          </val>
        </ser>
        <ser>
          <idx val="1"/>
          <order val="1"/>
          <tx>
            <strRef>
              <f>'Overview'!U14</f>
            </strRef>
          </tx>
          <spPr>
            <a:ln xmlns:a="http://schemas.openxmlformats.org/drawingml/2006/main">
              <a:prstDash val="solid"/>
            </a:ln>
          </spPr>
          <cat>
            <numRef>
              <f>'Overview'!$V$12:$AB$12</f>
            </numRef>
          </cat>
          <val>
            <numRef>
              <f>'Overview'!$V$14:$AB$14</f>
            </numRef>
          </val>
        </ser>
        <ser>
          <idx val="2"/>
          <order val="2"/>
          <tx>
            <strRef>
              <f>'Overview'!U15</f>
            </strRef>
          </tx>
          <spPr>
            <a:ln xmlns:a="http://schemas.openxmlformats.org/drawingml/2006/main">
              <a:prstDash val="solid"/>
            </a:ln>
          </spPr>
          <cat>
            <numRef>
              <f>'Overview'!$V$12:$AB$12</f>
            </numRef>
          </cat>
          <val>
            <numRef>
              <f>'Overview'!$V$15:$AB$15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 (conv. from EUR)</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Bank Saderat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'Overview'!AE19</f>
            </strRef>
          </tx>
          <spPr>
            <a:ln xmlns:a="http://schemas.openxmlformats.org/drawingml/2006/main">
              <a:prstDash val="solid"/>
            </a:ln>
          </spPr>
          <cat>
            <numRef>
              <f>'Overview'!$AF$18:$AL$18</f>
            </numRef>
          </cat>
          <val>
            <numRef>
              <f>'Overview'!$AF$19:$AL$19</f>
            </numRef>
          </val>
        </ser>
        <ser>
          <idx val="1"/>
          <order val="1"/>
          <tx>
            <strRef>
              <f>'Overview'!AE20</f>
            </strRef>
          </tx>
          <spPr>
            <a:ln xmlns:a="http://schemas.openxmlformats.org/drawingml/2006/main">
              <a:prstDash val="solid"/>
            </a:ln>
          </spPr>
          <cat>
            <numRef>
              <f>'Overview'!$AF$18:$AL$18</f>
            </numRef>
          </cat>
          <val>
            <numRef>
              <f>'Overview'!$AF$20:$AL$20</f>
            </numRef>
          </val>
        </ser>
        <ser>
          <idx val="2"/>
          <order val="2"/>
          <tx>
            <strRef>
              <f>'Overview'!AE21</f>
            </strRef>
          </tx>
          <spPr>
            <a:ln xmlns:a="http://schemas.openxmlformats.org/drawingml/2006/main">
              <a:prstDash val="solid"/>
            </a:ln>
          </spPr>
          <cat>
            <numRef>
              <f>'Overview'!$AF$18:$AL$18</f>
            </numRef>
          </cat>
          <val>
            <numRef>
              <f>'Overview'!$AF$21:$AL$21</f>
            </numRef>
          </val>
        </ser>
        <ser>
          <idx val="3"/>
          <order val="3"/>
          <tx>
            <strRef>
              <f>'Overview'!AE22</f>
            </strRef>
          </tx>
          <spPr>
            <a:ln xmlns:a="http://schemas.openxmlformats.org/drawingml/2006/main">
              <a:prstDash val="solid"/>
            </a:ln>
          </spPr>
          <cat>
            <numRef>
              <f>'Overview'!$AF$18:$AL$18</f>
            </numRef>
          </cat>
          <val>
            <numRef>
              <f>'Overview'!$AF$22:$AL$22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 (conv. from EUR)</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Bank Saderat Plc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'Overview'!AO26</f>
            </strRef>
          </tx>
          <spPr>
            <a:ln xmlns:a="http://schemas.openxmlformats.org/drawingml/2006/main">
              <a:prstDash val="solid"/>
            </a:ln>
          </spPr>
          <cat>
            <numRef>
              <f>'Overview'!$AP$25:$AV$25</f>
            </numRef>
          </cat>
          <val>
            <numRef>
              <f>'Overview'!$AP$26:$AV$26</f>
            </numRef>
          </val>
        </ser>
        <ser>
          <idx val="1"/>
          <order val="1"/>
          <tx>
            <strRef>
              <f>'Overview'!AO27</f>
            </strRef>
          </tx>
          <spPr>
            <a:ln xmlns:a="http://schemas.openxmlformats.org/drawingml/2006/main">
              <a:prstDash val="solid"/>
            </a:ln>
          </spPr>
          <cat>
            <numRef>
              <f>'Overview'!$AP$25:$AV$25</f>
            </numRef>
          </cat>
          <val>
            <numRef>
              <f>'Overview'!$AP$27:$AV$27</f>
            </numRef>
          </val>
        </ser>
        <ser>
          <idx val="2"/>
          <order val="2"/>
          <tx>
            <strRef>
              <f>'Overview'!AO28</f>
            </strRef>
          </tx>
          <spPr>
            <a:ln xmlns:a="http://schemas.openxmlformats.org/drawingml/2006/main">
              <a:prstDash val="solid"/>
            </a:ln>
          </spPr>
          <cat>
            <numRef>
              <f>'Overview'!$AP$25:$AV$25</f>
            </numRef>
          </cat>
          <val>
            <numRef>
              <f>'Overview'!$AP$28:$AV$28</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 (conv. from EUR)</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Bank Saderat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'Overview'!AY6</f>
            </strRef>
          </tx>
          <spPr>
            <a:ln xmlns:a="http://schemas.openxmlformats.org/drawingml/2006/main">
              <a:prstDash val="solid"/>
            </a:ln>
          </spPr>
          <marker>
            <symbol val="none"/>
            <spPr>
              <a:ln xmlns:a="http://schemas.openxmlformats.org/drawingml/2006/main">
                <a:prstDash val="solid"/>
              </a:ln>
            </spPr>
          </marker>
          <cat>
            <numRef>
              <f>'Overview'!$AZ$5:$BF$5</f>
            </numRef>
          </cat>
          <val>
            <numRef>
              <f>'Overview'!$AZ$6:$BF$6</f>
            </numRef>
          </val>
          <smooth val="0"/>
        </ser>
        <ser>
          <idx val="1"/>
          <order val="1"/>
          <tx>
            <strRef>
              <f>'Overview'!AY7</f>
            </strRef>
          </tx>
          <spPr>
            <a:ln xmlns:a="http://schemas.openxmlformats.org/drawingml/2006/main">
              <a:prstDash val="solid"/>
            </a:ln>
          </spPr>
          <marker>
            <symbol val="none"/>
            <spPr>
              <a:ln xmlns:a="http://schemas.openxmlformats.org/drawingml/2006/main">
                <a:prstDash val="solid"/>
              </a:ln>
            </spPr>
          </marker>
          <cat>
            <numRef>
              <f>'Overview'!$AZ$5:$BF$5</f>
            </numRef>
          </cat>
          <val>
            <numRef>
              <f>'Overview'!$AZ$7:$BF$7</f>
            </numRef>
          </val>
          <smooth val="0"/>
        </ser>
        <ser>
          <idx val="2"/>
          <order val="2"/>
          <tx>
            <strRef>
              <f>'Overview'!AY8</f>
            </strRef>
          </tx>
          <spPr>
            <a:ln xmlns:a="http://schemas.openxmlformats.org/drawingml/2006/main">
              <a:prstDash val="solid"/>
            </a:ln>
          </spPr>
          <marker>
            <symbol val="none"/>
            <spPr>
              <a:ln xmlns:a="http://schemas.openxmlformats.org/drawingml/2006/main">
                <a:prstDash val="solid"/>
              </a:ln>
            </spPr>
          </marker>
          <cat>
            <numRef>
              <f>'Overview'!$AZ$5:$BF$5</f>
            </numRef>
          </cat>
          <val>
            <numRef>
              <f>'Overview'!$AZ$8:$BF$8</f>
            </numRef>
          </val>
          <smooth val="0"/>
        </ser>
        <ser>
          <idx val="3"/>
          <order val="3"/>
          <tx>
            <strRef>
              <f>'Overview'!AY9</f>
            </strRef>
          </tx>
          <spPr>
            <a:ln xmlns:a="http://schemas.openxmlformats.org/drawingml/2006/main">
              <a:prstDash val="solid"/>
            </a:ln>
          </spPr>
          <marker>
            <symbol val="none"/>
            <spPr>
              <a:ln xmlns:a="http://schemas.openxmlformats.org/drawingml/2006/main">
                <a:prstDash val="solid"/>
              </a:ln>
            </spPr>
          </marker>
          <cat>
            <numRef>
              <f>'Overview'!$AZ$5:$BF$5</f>
            </numRef>
          </cat>
          <val>
            <numRef>
              <f>'Overview'!$AZ$9:$BF$9</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39</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61</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83</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105</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127</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F37"/>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s>
  <sheetData>
    <row r="1">
      <c r="A1" s="1" t="inlineStr">
        <is>
          <t>Bank Saderat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(£m (conv. from EUR))</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L5" t="inlineStr">
        <is>
          <t>FY2019</t>
        </is>
      </c>
      <c r="M5" t="inlineStr">
        <is>
          <t>FY2020</t>
        </is>
      </c>
      <c r="N5" t="inlineStr">
        <is>
          <t>FY2021</t>
        </is>
      </c>
      <c r="O5" t="inlineStr">
        <is>
          <t>FY2022</t>
        </is>
      </c>
      <c r="P5" t="inlineStr">
        <is>
          <t>FY2023</t>
        </is>
      </c>
      <c r="Q5" t="inlineStr">
        <is>
          <t>FY2024</t>
        </is>
      </c>
      <c r="R5" t="inlineStr">
        <is>
          <t>FY2025</t>
        </is>
      </c>
      <c r="AZ5" t="inlineStr">
        <is>
          <t>FY2019</t>
        </is>
      </c>
      <c r="BA5" t="inlineStr">
        <is>
          <t>FY2020</t>
        </is>
      </c>
      <c r="BB5" t="inlineStr">
        <is>
          <t>FY2021</t>
        </is>
      </c>
      <c r="BC5" t="inlineStr">
        <is>
          <t>FY2022</t>
        </is>
      </c>
      <c r="BD5" t="inlineStr">
        <is>
          <t>FY2023</t>
        </is>
      </c>
      <c r="BE5" t="inlineStr">
        <is>
          <t>FY2024</t>
        </is>
      </c>
      <c r="BF5" t="inlineStr">
        <is>
          <t>FY2025</t>
        </is>
      </c>
    </row>
    <row r="6">
      <c r="A6" s="5" t="inlineStr">
        <is>
          <t>Total assets</t>
        </is>
      </c>
      <c r="B6" s="5" t="n">
        <v>197.34</v>
      </c>
      <c r="C6" s="5" t="n">
        <v>187.68</v>
      </c>
      <c r="D6" s="5" t="n">
        <v>194.12</v>
      </c>
      <c r="E6" s="5" t="n">
        <v>197.11</v>
      </c>
      <c r="F6" s="5" t="n">
        <v>186.36</v>
      </c>
      <c r="G6" s="5" t="n">
        <v>201.94</v>
      </c>
      <c r="H6" s="5" t="n">
        <v>191.82</v>
      </c>
      <c r="K6" t="inlineStr">
        <is>
          <t>Total assets</t>
        </is>
      </c>
      <c r="L6" t="n">
        <v>191.82</v>
      </c>
      <c r="M6" t="n">
        <v>201.94</v>
      </c>
      <c r="N6" t="n">
        <v>186.36</v>
      </c>
      <c r="O6" t="n">
        <v>197.11</v>
      </c>
      <c r="P6" t="n">
        <v>194.12</v>
      </c>
      <c r="Q6" t="n">
        <v>187.68</v>
      </c>
      <c r="R6" t="n">
        <v>197.34</v>
      </c>
      <c r="AY6" t="inlineStr">
        <is>
          <t>CET1 Ratio</t>
        </is>
      </c>
      <c r="AZ6" t="n">
        <v>81</v>
      </c>
      <c r="BA6" t="n">
        <v>83.44</v>
      </c>
      <c r="BB6" t="n">
        <v>83.56999999999999</v>
      </c>
      <c r="BC6" t="n">
        <v>90.31</v>
      </c>
      <c r="BD6" t="n">
        <v>86.62</v>
      </c>
      <c r="BE6" t="n">
        <v>92.33</v>
      </c>
      <c r="BF6" t="n">
        <v>88.7</v>
      </c>
    </row>
    <row r="7">
      <c r="A7" s="5" t="inlineStr">
        <is>
          <t>Loans and advances to customers</t>
        </is>
      </c>
      <c r="B7" s="5" t="n">
        <v>9.02</v>
      </c>
      <c r="C7" s="5" t="n">
        <v>1.53</v>
      </c>
      <c r="D7" s="5" t="n">
        <v>10.32</v>
      </c>
      <c r="E7" s="5" t="n">
        <v>12.44</v>
      </c>
      <c r="F7" s="5" t="n">
        <v>14.72</v>
      </c>
      <c r="G7" s="5" t="n">
        <v>20.86</v>
      </c>
      <c r="H7" s="5" t="n">
        <v>20.09</v>
      </c>
      <c r="K7" t="inlineStr">
        <is>
          <t>Loans and advances to customers</t>
        </is>
      </c>
      <c r="L7" t="n">
        <v>20.09</v>
      </c>
      <c r="M7" t="n">
        <v>20.86</v>
      </c>
      <c r="N7" t="n">
        <v>14.72</v>
      </c>
      <c r="O7" t="n">
        <v>12.44</v>
      </c>
      <c r="P7" t="n">
        <v>10.32</v>
      </c>
      <c r="Q7" t="n">
        <v>1.53</v>
      </c>
      <c r="R7" t="n">
        <v>9.02</v>
      </c>
      <c r="AY7" t="inlineStr">
        <is>
          <t>Tier 1 Ratio</t>
        </is>
      </c>
      <c r="AZ7" t="n">
        <v>84.40000000000001</v>
      </c>
      <c r="BA7" t="n">
        <v>83.44</v>
      </c>
      <c r="BB7" t="n">
        <v>83.56999999999999</v>
      </c>
      <c r="BC7" t="n">
        <v>90.31</v>
      </c>
      <c r="BD7" t="n">
        <v>86.62</v>
      </c>
      <c r="BE7" t="n">
        <v>92.33</v>
      </c>
      <c r="BF7" t="n">
        <v>88.7</v>
      </c>
    </row>
    <row r="8">
      <c r="A8" s="5" t="inlineStr">
        <is>
          <t>Customer accounts</t>
        </is>
      </c>
      <c r="B8" s="5" t="n">
        <v>2.91</v>
      </c>
      <c r="C8" s="5" t="n">
        <v>2.92</v>
      </c>
      <c r="D8" s="5" t="n">
        <v>2.95</v>
      </c>
      <c r="E8" s="5" t="n">
        <v>3.08</v>
      </c>
      <c r="F8" s="5" t="n">
        <v>2.9</v>
      </c>
      <c r="G8" s="5" t="n">
        <v>2.94</v>
      </c>
      <c r="H8" s="5" t="n">
        <v>2.98</v>
      </c>
      <c r="K8" t="inlineStr">
        <is>
          <t>Customer accounts</t>
        </is>
      </c>
      <c r="L8" t="n">
        <v>2.98</v>
      </c>
      <c r="M8" t="n">
        <v>2.94</v>
      </c>
      <c r="N8" t="n">
        <v>2.9</v>
      </c>
      <c r="O8" t="n">
        <v>3.08</v>
      </c>
      <c r="P8" t="n">
        <v>2.95</v>
      </c>
      <c r="Q8" t="n">
        <v>2.92</v>
      </c>
      <c r="R8" t="n">
        <v>2.91</v>
      </c>
      <c r="AY8" t="inlineStr">
        <is>
          <t>Total Capital Ratio</t>
        </is>
      </c>
      <c r="AZ8" t="n">
        <v>84.40000000000001</v>
      </c>
      <c r="BA8" t="n">
        <v>83.44</v>
      </c>
      <c r="BB8" t="n">
        <v>83.56999999999999</v>
      </c>
      <c r="BC8" t="n">
        <v>90.31</v>
      </c>
      <c r="BD8" t="n">
        <v>86.62</v>
      </c>
      <c r="BE8" t="n">
        <v>92.33</v>
      </c>
      <c r="BF8" t="n">
        <v>88.7</v>
      </c>
    </row>
    <row r="9">
      <c r="A9" s="5" t="inlineStr">
        <is>
          <t>Total equity</t>
        </is>
      </c>
      <c r="B9" s="5" t="n">
        <v>171.35</v>
      </c>
      <c r="C9" s="5" t="n">
        <v>162.07</v>
      </c>
      <c r="D9" s="5" t="n">
        <v>168.53</v>
      </c>
      <c r="E9" s="5" t="n">
        <v>171.34</v>
      </c>
      <c r="F9" s="5" t="n">
        <v>161.75</v>
      </c>
      <c r="G9" s="5" t="n">
        <v>172.51</v>
      </c>
      <c r="H9" s="5" t="n">
        <v>162.54</v>
      </c>
      <c r="K9" t="inlineStr">
        <is>
          <t>Total equity</t>
        </is>
      </c>
      <c r="L9" t="n">
        <v>162.54</v>
      </c>
      <c r="M9" t="n">
        <v>172.51</v>
      </c>
      <c r="N9" t="n">
        <v>161.75</v>
      </c>
      <c r="O9" t="n">
        <v>171.34</v>
      </c>
      <c r="P9" t="n">
        <v>168.53</v>
      </c>
      <c r="Q9" t="n">
        <v>162.07</v>
      </c>
      <c r="R9" t="n">
        <v>171.35</v>
      </c>
      <c r="AY9" t="inlineStr">
        <is>
          <t>LCR</t>
        </is>
      </c>
      <c r="BB9" t="n">
        <v>376</v>
      </c>
      <c r="BC9" t="n">
        <v>368</v>
      </c>
      <c r="BD9" t="n">
        <v>334</v>
      </c>
      <c r="BE9" t="n">
        <v>331</v>
      </c>
      <c r="BF9" t="n">
        <v>477</v>
      </c>
    </row>
    <row r="11">
      <c r="A11" s="3" t="inlineStr">
        <is>
          <t>Profit &amp; Loss Summary (£m (conv. from EUR))</t>
        </is>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V12" t="inlineStr">
        <is>
          <t>FY2019</t>
        </is>
      </c>
      <c r="W12" t="inlineStr">
        <is>
          <t>FY2020</t>
        </is>
      </c>
      <c r="X12" t="inlineStr">
        <is>
          <t>FY2021</t>
        </is>
      </c>
      <c r="Y12" t="inlineStr">
        <is>
          <t>FY2022</t>
        </is>
      </c>
      <c r="Z12" t="inlineStr">
        <is>
          <t>FY2023</t>
        </is>
      </c>
      <c r="AA12" t="inlineStr">
        <is>
          <t>FY2024</t>
        </is>
      </c>
      <c r="AB12" t="inlineStr">
        <is>
          <t>FY2025</t>
        </is>
      </c>
    </row>
    <row r="13">
      <c r="A13" s="5" t="inlineStr">
        <is>
          <t>Net interest income</t>
        </is>
      </c>
      <c r="B13" s="5" t="n">
        <v>3.87</v>
      </c>
      <c r="C13" s="5" t="n">
        <v>5.64</v>
      </c>
      <c r="D13" s="5" t="n">
        <v>4.74</v>
      </c>
      <c r="E13" s="5" t="n">
        <v>4.03</v>
      </c>
      <c r="F13" s="5" t="n">
        <v>4.4</v>
      </c>
      <c r="G13" s="5" t="n">
        <v>4.13</v>
      </c>
      <c r="H13" s="5" t="n">
        <v>3.63</v>
      </c>
      <c r="U13" t="inlineStr">
        <is>
          <t>Net interest income</t>
        </is>
      </c>
      <c r="V13" t="n">
        <v>3.63</v>
      </c>
      <c r="W13" t="n">
        <v>4.13</v>
      </c>
      <c r="X13" t="n">
        <v>4.4</v>
      </c>
      <c r="Y13" t="n">
        <v>4.03</v>
      </c>
      <c r="Z13" t="n">
        <v>4.74</v>
      </c>
      <c r="AA13" t="n">
        <v>5.64</v>
      </c>
      <c r="AB13" t="n">
        <v>3.87</v>
      </c>
    </row>
    <row r="14">
      <c r="A14" s="5" t="inlineStr">
        <is>
          <t>Administrative expenses</t>
        </is>
      </c>
      <c r="B14" s="5" t="n">
        <v>-2.65</v>
      </c>
      <c r="C14" s="5" t="n">
        <v>-2.82</v>
      </c>
      <c r="D14" s="5" t="n">
        <v>-2.76</v>
      </c>
      <c r="E14" s="5" t="n">
        <v>-2.76</v>
      </c>
      <c r="F14" s="5" t="n">
        <v>-3.23</v>
      </c>
      <c r="G14" s="5" t="n">
        <v>-2.68</v>
      </c>
      <c r="H14" s="5" t="n">
        <v>-3.2</v>
      </c>
      <c r="U14" t="inlineStr">
        <is>
          <t>Administrative expenses</t>
        </is>
      </c>
      <c r="V14" t="n">
        <v>-3.2</v>
      </c>
      <c r="W14" t="n">
        <v>-2.68</v>
      </c>
      <c r="X14" t="n">
        <v>-3.23</v>
      </c>
      <c r="Y14" t="n">
        <v>-2.76</v>
      </c>
      <c r="Z14" t="n">
        <v>-2.76</v>
      </c>
      <c r="AA14" t="n">
        <v>-2.82</v>
      </c>
      <c r="AB14" t="n">
        <v>-2.65</v>
      </c>
    </row>
    <row r="15">
      <c r="A15" s="5" t="inlineStr">
        <is>
          <t>Profit/(loss) after taxation</t>
        </is>
      </c>
      <c r="B15" s="5" t="n">
        <v>0.15</v>
      </c>
      <c r="C15" s="5" t="n">
        <v>1.37</v>
      </c>
      <c r="D15" s="5" t="n">
        <v>1.08</v>
      </c>
      <c r="E15" s="5" t="n">
        <v>0.53</v>
      </c>
      <c r="F15" s="5" t="n">
        <v>0.6899999999999999</v>
      </c>
      <c r="G15" s="5" t="n">
        <v>0.61</v>
      </c>
      <c r="H15" s="5" t="n">
        <v>0.33</v>
      </c>
      <c r="U15" t="inlineStr">
        <is>
          <t>Profit/(loss) after taxation</t>
        </is>
      </c>
      <c r="V15" t="n">
        <v>0.33</v>
      </c>
      <c r="W15" t="n">
        <v>0.61</v>
      </c>
      <c r="X15" t="n">
        <v>0.6899999999999999</v>
      </c>
      <c r="Y15" t="n">
        <v>0.53</v>
      </c>
      <c r="Z15" t="n">
        <v>1.08</v>
      </c>
      <c r="AA15" t="n">
        <v>1.37</v>
      </c>
      <c r="AB15" t="n">
        <v>0.15</v>
      </c>
    </row>
    <row r="17">
      <c r="A17" s="3" t="inlineStr">
        <is>
          <t>Statement of Changes in Equity Summary (£m (conv. from EUR))</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H18" s="4" t="inlineStr">
        <is>
          <t>FY2019</t>
        </is>
      </c>
      <c r="AF18" t="inlineStr">
        <is>
          <t>FY2019</t>
        </is>
      </c>
      <c r="AG18" t="inlineStr">
        <is>
          <t>FY2020</t>
        </is>
      </c>
      <c r="AH18" t="inlineStr">
        <is>
          <t>FY2021</t>
        </is>
      </c>
      <c r="AI18" t="inlineStr">
        <is>
          <t>FY2022</t>
        </is>
      </c>
      <c r="AJ18" t="inlineStr">
        <is>
          <t>FY2023</t>
        </is>
      </c>
      <c r="AK18" t="inlineStr">
        <is>
          <t>FY2024</t>
        </is>
      </c>
      <c r="AL18" t="inlineStr">
        <is>
          <t>FY2025</t>
        </is>
      </c>
    </row>
    <row r="19">
      <c r="A19" s="5" t="inlineStr">
        <is>
          <t>Opening equity</t>
        </is>
      </c>
      <c r="B19" s="5" t="n">
        <v>162.07</v>
      </c>
      <c r="C19" s="5" t="n">
        <v>168.53</v>
      </c>
      <c r="D19" s="5" t="n">
        <v>171.34</v>
      </c>
      <c r="E19" s="5" t="n">
        <v>161.75</v>
      </c>
      <c r="F19" s="5" t="n">
        <v>172.51</v>
      </c>
      <c r="G19" s="5" t="n">
        <v>162.54</v>
      </c>
      <c r="H19" s="5" t="n">
        <v>171.32</v>
      </c>
      <c r="AE19" t="inlineStr">
        <is>
          <t>Opening equity</t>
        </is>
      </c>
      <c r="AF19" t="n">
        <v>171.32</v>
      </c>
      <c r="AG19" t="n">
        <v>162.54</v>
      </c>
      <c r="AH19" t="n">
        <v>172.51</v>
      </c>
      <c r="AI19" t="n">
        <v>161.75</v>
      </c>
      <c r="AJ19" t="n">
        <v>171.34</v>
      </c>
      <c r="AK19" t="n">
        <v>168.53</v>
      </c>
      <c r="AL19" t="n">
        <v>162.07</v>
      </c>
    </row>
    <row r="20">
      <c r="A20" s="5" t="inlineStr">
        <is>
          <t>Total comprehensive income for the year</t>
        </is>
      </c>
      <c r="B20" s="5" t="n">
        <v>0.15</v>
      </c>
      <c r="C20" s="5" t="n">
        <v>1.37</v>
      </c>
      <c r="D20" s="5" t="n">
        <v>1.08</v>
      </c>
      <c r="E20" s="5" t="n">
        <v>0.53</v>
      </c>
      <c r="F20" s="5" t="n">
        <v>0.6899999999999999</v>
      </c>
      <c r="G20" s="5" t="n">
        <v>0.61</v>
      </c>
      <c r="H20" s="5" t="n">
        <v>0.33</v>
      </c>
      <c r="AE20" t="inlineStr">
        <is>
          <t>Total comprehensive income for the year</t>
        </is>
      </c>
      <c r="AF20" t="n">
        <v>0.33</v>
      </c>
      <c r="AG20" t="n">
        <v>0.61</v>
      </c>
      <c r="AH20" t="n">
        <v>0.6899999999999999</v>
      </c>
      <c r="AI20" t="n">
        <v>0.53</v>
      </c>
      <c r="AJ20" t="n">
        <v>1.08</v>
      </c>
      <c r="AK20" t="n">
        <v>1.37</v>
      </c>
      <c r="AL20" t="n">
        <v>0.15</v>
      </c>
    </row>
    <row r="21">
      <c r="A21" s="5" t="inlineStr">
        <is>
          <t>Other movements, net (FX translation effect)</t>
        </is>
      </c>
      <c r="B21" s="5" t="n">
        <v>9.130000000000001</v>
      </c>
      <c r="C21" s="5" t="n">
        <v>-7.83</v>
      </c>
      <c r="D21" s="5" t="n">
        <v>-3.89</v>
      </c>
      <c r="E21" s="5" t="n">
        <v>9.06</v>
      </c>
      <c r="F21" s="5" t="n">
        <v>-11.45</v>
      </c>
      <c r="G21" s="5" t="n">
        <v>9.359999999999999</v>
      </c>
      <c r="H21" s="5" t="n">
        <v>-9.109999999999999</v>
      </c>
      <c r="AE21" t="inlineStr">
        <is>
          <t>Other movements, net (FX translation effect)</t>
        </is>
      </c>
      <c r="AF21" t="n">
        <v>-9.109999999999999</v>
      </c>
      <c r="AG21" t="n">
        <v>9.359999999999999</v>
      </c>
      <c r="AH21" t="n">
        <v>-11.45</v>
      </c>
      <c r="AI21" t="n">
        <v>9.06</v>
      </c>
      <c r="AJ21" t="n">
        <v>-3.89</v>
      </c>
      <c r="AK21" t="n">
        <v>-7.83</v>
      </c>
      <c r="AL21" t="n">
        <v>9.130000000000001</v>
      </c>
    </row>
    <row r="22">
      <c r="A22" s="5" t="inlineStr">
        <is>
          <t>Closing equity</t>
        </is>
      </c>
      <c r="B22" s="5" t="n">
        <v>171.35</v>
      </c>
      <c r="C22" s="5" t="n">
        <v>162.07</v>
      </c>
      <c r="D22" s="5" t="n">
        <v>168.53</v>
      </c>
      <c r="E22" s="5" t="n">
        <v>171.34</v>
      </c>
      <c r="F22" s="5" t="n">
        <v>161.75</v>
      </c>
      <c r="G22" s="5" t="n">
        <v>172.51</v>
      </c>
      <c r="H22" s="5" t="n">
        <v>162.54</v>
      </c>
      <c r="AE22" t="inlineStr">
        <is>
          <t>Closing equity</t>
        </is>
      </c>
      <c r="AF22" t="n">
        <v>162.54</v>
      </c>
      <c r="AG22" t="n">
        <v>172.51</v>
      </c>
      <c r="AH22" t="n">
        <v>161.75</v>
      </c>
      <c r="AI22" t="n">
        <v>171.34</v>
      </c>
      <c r="AJ22" t="n">
        <v>168.53</v>
      </c>
      <c r="AK22" t="n">
        <v>162.07</v>
      </c>
      <c r="AL22" t="n">
        <v>171.35</v>
      </c>
    </row>
    <row r="24">
      <c r="A24" s="3" t="inlineStr">
        <is>
          <t>Cash Flow Summary (£m (conv. from EUR))</t>
        </is>
      </c>
    </row>
    <row r="25">
      <c r="A25" s="4" t="inlineStr">
        <is>
          <t>Line item</t>
        </is>
      </c>
      <c r="B25" s="4" t="inlineStr">
        <is>
          <t>FY2025</t>
        </is>
      </c>
      <c r="C25" s="4" t="inlineStr">
        <is>
          <t>FY2024</t>
        </is>
      </c>
      <c r="D25" s="4" t="inlineStr">
        <is>
          <t>FY2023</t>
        </is>
      </c>
      <c r="E25" s="4" t="inlineStr">
        <is>
          <t>FY2022</t>
        </is>
      </c>
      <c r="F25" s="4" t="inlineStr">
        <is>
          <t>FY2021</t>
        </is>
      </c>
      <c r="G25" s="4" t="inlineStr">
        <is>
          <t>FY2020</t>
        </is>
      </c>
      <c r="H25" s="4" t="inlineStr">
        <is>
          <t>FY2019</t>
        </is>
      </c>
      <c r="AP25" t="inlineStr">
        <is>
          <t>FY2019</t>
        </is>
      </c>
      <c r="AQ25" t="inlineStr">
        <is>
          <t>FY2020</t>
        </is>
      </c>
      <c r="AR25" t="inlineStr">
        <is>
          <t>FY2021</t>
        </is>
      </c>
      <c r="AS25" t="inlineStr">
        <is>
          <t>FY2022</t>
        </is>
      </c>
      <c r="AT25" t="inlineStr">
        <is>
          <t>FY2023</t>
        </is>
      </c>
      <c r="AU25" t="inlineStr">
        <is>
          <t>FY2024</t>
        </is>
      </c>
      <c r="AV25" t="inlineStr">
        <is>
          <t>FY2025</t>
        </is>
      </c>
    </row>
    <row r="26">
      <c r="A26" s="5" t="inlineStr">
        <is>
          <t>Net cash generated from/(used in) operating activities</t>
        </is>
      </c>
      <c r="B26" s="5" t="n">
        <v>-60.75</v>
      </c>
      <c r="C26" s="5" t="n">
        <v>20.85</v>
      </c>
      <c r="D26" s="5" t="n">
        <v>26.15</v>
      </c>
      <c r="E26" s="5" t="n">
        <v>22.95</v>
      </c>
      <c r="F26" s="5" t="n">
        <v>0.52</v>
      </c>
      <c r="G26" s="5" t="n">
        <v>-0.07000000000000001</v>
      </c>
      <c r="H26" s="5" t="n">
        <v>0.04</v>
      </c>
      <c r="AO26" t="inlineStr">
        <is>
          <t>Net cash generated from/(used in) operating activities</t>
        </is>
      </c>
      <c r="AP26" t="n">
        <v>0.04</v>
      </c>
      <c r="AQ26" t="n">
        <v>-0.07000000000000001</v>
      </c>
      <c r="AR26" t="n">
        <v>0.52</v>
      </c>
      <c r="AS26" t="n">
        <v>22.95</v>
      </c>
      <c r="AT26" t="n">
        <v>26.15</v>
      </c>
      <c r="AU26" t="n">
        <v>20.85</v>
      </c>
      <c r="AV26" t="n">
        <v>-60.75</v>
      </c>
    </row>
    <row r="27">
      <c r="A27" s="5" t="inlineStr">
        <is>
          <t>Net cash used in investing activities</t>
        </is>
      </c>
      <c r="B27" s="5" t="n">
        <v>0</v>
      </c>
      <c r="C27" s="5" t="n">
        <v>0</v>
      </c>
      <c r="D27" s="5" t="n">
        <v>0</v>
      </c>
      <c r="E27" s="5" t="n">
        <v>-0.15</v>
      </c>
      <c r="F27" s="5" t="n">
        <v>-0.53</v>
      </c>
      <c r="G27" s="5" t="n">
        <v>-0.01</v>
      </c>
      <c r="H27" s="5" t="n">
        <v>-0</v>
      </c>
      <c r="AO27" t="inlineStr">
        <is>
          <t>Net cash used in investing activities</t>
        </is>
      </c>
      <c r="AP27" t="n">
        <v>-0</v>
      </c>
      <c r="AQ27" t="n">
        <v>-0.01</v>
      </c>
      <c r="AR27" t="n">
        <v>-0.53</v>
      </c>
      <c r="AS27" t="n">
        <v>-0.15</v>
      </c>
      <c r="AT27" t="n">
        <v>0</v>
      </c>
      <c r="AU27" t="n">
        <v>0</v>
      </c>
      <c r="AV27" t="n">
        <v>0</v>
      </c>
    </row>
    <row r="28">
      <c r="A28" s="5" t="inlineStr">
        <is>
          <t>Cash and cash equivalents at year-end</t>
        </is>
      </c>
      <c r="B28" s="5" t="n">
        <v>116.83</v>
      </c>
      <c r="C28" s="5" t="n">
        <v>169.25</v>
      </c>
      <c r="D28" s="5" t="n">
        <v>156.1</v>
      </c>
      <c r="E28" s="5" t="n">
        <v>133.02</v>
      </c>
      <c r="F28" s="5" t="n">
        <v>103.54</v>
      </c>
      <c r="G28" s="5" t="n">
        <v>1.45</v>
      </c>
      <c r="H28" s="5" t="n">
        <v>1.47</v>
      </c>
      <c r="AO28" t="inlineStr">
        <is>
          <t>Cash and cash equivalents at year-end</t>
        </is>
      </c>
      <c r="AP28" t="n">
        <v>1.47</v>
      </c>
      <c r="AQ28" t="n">
        <v>1.45</v>
      </c>
      <c r="AR28" t="n">
        <v>103.54</v>
      </c>
      <c r="AS28" t="n">
        <v>133.02</v>
      </c>
      <c r="AT28" t="n">
        <v>156.1</v>
      </c>
      <c r="AU28" t="n">
        <v>169.25</v>
      </c>
      <c r="AV28" t="n">
        <v>116.83</v>
      </c>
    </row>
    <row r="30">
      <c r="A30" s="3" t="inlineStr">
        <is>
          <t>Pillar 3 Key Metrics</t>
        </is>
      </c>
    </row>
    <row r="31">
      <c r="A31" s="4" t="inlineStr">
        <is>
          <t>Line item</t>
        </is>
      </c>
      <c r="B31" s="4" t="inlineStr">
        <is>
          <t>FY2025</t>
        </is>
      </c>
      <c r="C31" s="4" t="inlineStr">
        <is>
          <t>FY2024</t>
        </is>
      </c>
      <c r="D31" s="4" t="inlineStr">
        <is>
          <t>FY2023</t>
        </is>
      </c>
      <c r="E31" s="4" t="inlineStr">
        <is>
          <t>FY2022</t>
        </is>
      </c>
      <c r="F31" s="4" t="inlineStr">
        <is>
          <t>FY2021</t>
        </is>
      </c>
      <c r="G31" s="4" t="inlineStr">
        <is>
          <t>FY2020</t>
        </is>
      </c>
      <c r="H31" s="4" t="inlineStr">
        <is>
          <t>FY2019</t>
        </is>
      </c>
    </row>
    <row r="32">
      <c r="A32" s="6" t="inlineStr">
        <is>
          <t>CET1 Ratio</t>
        </is>
      </c>
      <c r="B32" s="6" t="inlineStr">
        <is>
          <t>88.70%</t>
        </is>
      </c>
      <c r="C32" s="6" t="inlineStr">
        <is>
          <t>92.33%</t>
        </is>
      </c>
      <c r="D32" s="6" t="inlineStr">
        <is>
          <t>86.62%</t>
        </is>
      </c>
      <c r="E32" s="6" t="inlineStr">
        <is>
          <t>90.31%</t>
        </is>
      </c>
      <c r="F32" s="6" t="inlineStr">
        <is>
          <t>83.57%</t>
        </is>
      </c>
      <c r="G32" s="6" t="inlineStr">
        <is>
          <t>83.44%</t>
        </is>
      </c>
      <c r="H32" s="6" t="inlineStr">
        <is>
          <t>81.0%</t>
        </is>
      </c>
    </row>
    <row r="33">
      <c r="A33" s="6" t="inlineStr">
        <is>
          <t>Tier 1 Ratio</t>
        </is>
      </c>
      <c r="B33" s="6" t="inlineStr">
        <is>
          <t>88.70%</t>
        </is>
      </c>
      <c r="C33" s="6" t="inlineStr">
        <is>
          <t>92.33%</t>
        </is>
      </c>
      <c r="D33" s="6" t="inlineStr">
        <is>
          <t>86.62%</t>
        </is>
      </c>
      <c r="E33" s="6" t="inlineStr">
        <is>
          <t>90.31%</t>
        </is>
      </c>
      <c r="F33" s="6" t="inlineStr">
        <is>
          <t>83.57%</t>
        </is>
      </c>
      <c r="G33" s="6" t="inlineStr">
        <is>
          <t>83.44%</t>
        </is>
      </c>
      <c r="H33" s="6" t="inlineStr">
        <is>
          <t>84.4%</t>
        </is>
      </c>
    </row>
    <row r="34">
      <c r="A34" s="6" t="inlineStr">
        <is>
          <t>Total Capital Ratio</t>
        </is>
      </c>
      <c r="B34" s="6" t="inlineStr">
        <is>
          <t>88.70%</t>
        </is>
      </c>
      <c r="C34" s="6" t="inlineStr">
        <is>
          <t>92.33%</t>
        </is>
      </c>
      <c r="D34" s="6" t="inlineStr">
        <is>
          <t>86.62%</t>
        </is>
      </c>
      <c r="E34" s="6" t="inlineStr">
        <is>
          <t>90.31%</t>
        </is>
      </c>
      <c r="F34" s="6" t="inlineStr">
        <is>
          <t>83.57%</t>
        </is>
      </c>
      <c r="G34" s="6" t="inlineStr">
        <is>
          <t>83.44%</t>
        </is>
      </c>
      <c r="H34" s="6" t="inlineStr">
        <is>
          <t>84.4%</t>
        </is>
      </c>
    </row>
    <row r="35">
      <c r="A35" s="6" t="inlineStr">
        <is>
          <t>LCR</t>
        </is>
      </c>
      <c r="B35" s="6" t="inlineStr">
        <is>
          <t>477%</t>
        </is>
      </c>
      <c r="C35" s="6" t="inlineStr">
        <is>
          <t>331%</t>
        </is>
      </c>
      <c r="D35" s="6" t="inlineStr">
        <is>
          <t>334%</t>
        </is>
      </c>
      <c r="E35" s="6" t="inlineStr">
        <is>
          <t>368%</t>
        </is>
      </c>
      <c r="F35" s="6" t="inlineStr">
        <is>
          <t>376%</t>
        </is>
      </c>
      <c r="G35" s="6" t="n"/>
      <c r="H35" s="6" t="n"/>
    </row>
    <row r="37" ht="91" customHeight="1">
      <c r="A37" s="7" t="inlineStr">
        <is>
          <t>Note: Figures are duplicated from the detail sheets for at-a-glance trend viewing. ALL £ figures in this workbook are converted from Bank Saderat Plc's native EUR reporting - see the Cash Flow Statement sheet's source note for the full FX methodology and rates used. Ratios (%) are shown exactly as reported in EUR and were not converted. CHANGED 2026-09-15: the CET1/Tier 1/Total Capital Ratio rows now carry the genuine CRR ratio (own funds / total risk exposure amount), transcribed from the Bank's own Pillar 3 disclosures for FY2019-FY2023 and from the Annual Report narrative for FY2025. They previously carried the Bank's 'Capital Cover' metric, which reads in the 300s because it measures capital against the capital REQUIREMENT rather than against risk exposure, and so was not comparable with any other bank in this project; Capital Cover is still shown, labelled, as the second row on each ratio detail sheet. FY2024 is blank here because no Pillar 3 edition exists for it - it is not zero, and its Capital Cover of 349% is on the detail sheets. FY2019's CET1 cell (81.0%) differs from its Tier 1/Total cells (84.4%) because the 2019 Pillar 3 prints them that way - see the ratio sheets' note. FY2025 was also materially affected by UK 'snapback' sanctions from 29 September 2025 - see ENTITY_NOTE. Leverage Ratio, NSFR and MREL Ratio are not publicly disclosed for this entity and are omitted from this chart.</t>
        </is>
      </c>
    </row>
  </sheetData>
  <mergeCells count="1">
    <mergeCell ref="A37:H37"/>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3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Bank Saderat Plc — Statement of Financial Position</t>
        </is>
      </c>
    </row>
    <row r="2">
      <c r="A2" s="2" t="inlineStr">
        <is>
          <t>£m, converted from EUR - see source note at bottom for FX methodology and rates used.</t>
        </is>
      </c>
    </row>
    <row r="3">
      <c r="A3" s="4" t="inlineStr">
        <is>
          <t>Line item</t>
        </is>
      </c>
      <c r="B3" s="4" t="inlineStr">
        <is>
          <t>FY2025 (£m, conv. from EUR)</t>
        </is>
      </c>
      <c r="C3" s="4" t="inlineStr">
        <is>
          <t>FY2024 (£m, conv. from EUR)</t>
        </is>
      </c>
      <c r="D3" s="4" t="inlineStr">
        <is>
          <t>FY2023 (£m, conv. from EUR)</t>
        </is>
      </c>
      <c r="E3" s="4" t="inlineStr">
        <is>
          <t>FY2022 (£m, conv. from EUR)</t>
        </is>
      </c>
      <c r="F3" s="4" t="inlineStr">
        <is>
          <t>FY2021 (£m, conv. from EUR)</t>
        </is>
      </c>
      <c r="G3" s="4" t="inlineStr">
        <is>
          <t>FY2020 (£m, conv. from EUR)</t>
        </is>
      </c>
      <c r="H3" s="4" t="inlineStr">
        <is>
          <t>FY2019 (£m, conv. from EUR)</t>
        </is>
      </c>
    </row>
    <row r="4">
      <c r="A4" s="5" t="inlineStr">
        <is>
          <t>Assets</t>
        </is>
      </c>
      <c r="B4" s="6" t="n"/>
      <c r="C4" s="6" t="n"/>
      <c r="D4" s="6" t="n"/>
      <c r="E4" s="6" t="n"/>
      <c r="F4" s="6" t="n"/>
      <c r="G4" s="6" t="n"/>
      <c r="H4" s="6" t="n"/>
    </row>
    <row r="5">
      <c r="A5" s="6" t="inlineStr">
        <is>
          <t>Cash and balances at central banks</t>
        </is>
      </c>
      <c r="B5" s="6" t="n">
        <v>1.47</v>
      </c>
      <c r="C5" s="6" t="n">
        <v>1.44</v>
      </c>
      <c r="D5" s="6" t="n">
        <v>1.48</v>
      </c>
      <c r="E5" s="6" t="n">
        <v>1.5</v>
      </c>
      <c r="F5" s="6" t="n">
        <v>1.46</v>
      </c>
      <c r="G5" s="6" t="n">
        <v>1.45</v>
      </c>
      <c r="H5" s="6" t="n">
        <v>1.47</v>
      </c>
    </row>
    <row r="6">
      <c r="A6" s="6" t="inlineStr">
        <is>
          <t>Loans and advances to banks</t>
        </is>
      </c>
      <c r="B6" s="6" t="n">
        <v>174.42</v>
      </c>
      <c r="C6" s="6" t="n">
        <v>173.03</v>
      </c>
      <c r="D6" s="6" t="n">
        <v>170.49</v>
      </c>
      <c r="E6" s="6" t="n">
        <v>170.49</v>
      </c>
      <c r="F6" s="6" t="n">
        <v>158.25</v>
      </c>
      <c r="G6" s="6" t="n">
        <v>167.73</v>
      </c>
      <c r="H6" s="6" t="n">
        <v>159.38</v>
      </c>
    </row>
    <row r="7">
      <c r="A7" s="6" t="inlineStr">
        <is>
          <t>Loans and advances to customers</t>
        </is>
      </c>
      <c r="B7" s="6" t="n">
        <v>9.02</v>
      </c>
      <c r="C7" s="6" t="n">
        <v>1.53</v>
      </c>
      <c r="D7" s="6" t="n">
        <v>10.32</v>
      </c>
      <c r="E7" s="6" t="n">
        <v>12.44</v>
      </c>
      <c r="F7" s="6" t="n">
        <v>14.72</v>
      </c>
      <c r="G7" s="6" t="n">
        <v>20.86</v>
      </c>
      <c r="H7" s="6" t="n">
        <v>20.09</v>
      </c>
    </row>
    <row r="8">
      <c r="A8" s="6" t="inlineStr">
        <is>
          <t>Tangible fixed assets</t>
        </is>
      </c>
      <c r="B8" s="6" t="n">
        <v>10.39</v>
      </c>
      <c r="C8" s="6" t="n">
        <v>9.960000000000001</v>
      </c>
      <c r="D8" s="6" t="n">
        <v>10.57</v>
      </c>
      <c r="E8" s="6" t="n">
        <v>10.95</v>
      </c>
      <c r="F8" s="6" t="n">
        <v>10.33</v>
      </c>
      <c r="G8" s="6" t="n">
        <v>11.14</v>
      </c>
      <c r="H8" s="6" t="n">
        <v>10.61</v>
      </c>
    </row>
    <row r="9">
      <c r="A9" s="6" t="inlineStr">
        <is>
          <t>Intangible fixed assets</t>
        </is>
      </c>
      <c r="B9" s="6" t="n">
        <v>0.15</v>
      </c>
      <c r="C9" s="6" t="n">
        <v>0.22</v>
      </c>
      <c r="D9" s="6" t="n">
        <v>0.3</v>
      </c>
      <c r="E9" s="6" t="n">
        <v>0.38</v>
      </c>
      <c r="F9" s="6" t="n">
        <v>0.52</v>
      </c>
      <c r="G9" s="6" t="n">
        <v>0</v>
      </c>
      <c r="H9" s="6" t="n">
        <v>0</v>
      </c>
    </row>
    <row r="10">
      <c r="A10" s="6" t="inlineStr">
        <is>
          <t>Other assets</t>
        </is>
      </c>
      <c r="B10" s="6" t="n">
        <v>0.5600000000000001</v>
      </c>
      <c r="C10" s="6" t="n">
        <v>0.55</v>
      </c>
      <c r="D10" s="6" t="n">
        <v>0.03</v>
      </c>
      <c r="E10" s="6" t="n">
        <v>0.37</v>
      </c>
      <c r="F10" s="6" t="n">
        <v>0.26</v>
      </c>
      <c r="G10" s="6" t="n">
        <v>0.11</v>
      </c>
      <c r="H10" s="6" t="n">
        <v>0.03</v>
      </c>
    </row>
    <row r="11">
      <c r="A11" s="6" t="inlineStr">
        <is>
          <t>Deferred tax assets</t>
        </is>
      </c>
      <c r="B11" s="6" t="n">
        <v>0.05</v>
      </c>
      <c r="C11" s="6" t="n">
        <v>0.05</v>
      </c>
      <c r="D11" s="6" t="n"/>
      <c r="E11" s="6" t="n"/>
      <c r="F11" s="6" t="n"/>
      <c r="G11" s="6" t="n">
        <v>0.06</v>
      </c>
      <c r="H11" s="6" t="n">
        <v>0.05</v>
      </c>
    </row>
    <row r="12">
      <c r="A12" s="6" t="inlineStr">
        <is>
          <t>Prepayments and accrued income</t>
        </is>
      </c>
      <c r="B12" s="6" t="n">
        <v>1.28</v>
      </c>
      <c r="C12" s="6" t="n">
        <v>0.91</v>
      </c>
      <c r="D12" s="6" t="n">
        <v>0.9399999999999999</v>
      </c>
      <c r="E12" s="6" t="n">
        <v>0.98</v>
      </c>
      <c r="F12" s="6" t="n">
        <v>0.9</v>
      </c>
      <c r="G12" s="6" t="n">
        <v>0.25</v>
      </c>
      <c r="H12" s="6" t="n">
        <v>0.19</v>
      </c>
    </row>
    <row r="13">
      <c r="A13" s="5" t="inlineStr">
        <is>
          <t>Total assets</t>
        </is>
      </c>
      <c r="B13" s="5" t="n">
        <v>197.34</v>
      </c>
      <c r="C13" s="5" t="n">
        <v>187.68</v>
      </c>
      <c r="D13" s="5" t="n">
        <v>194.12</v>
      </c>
      <c r="E13" s="5" t="n">
        <v>197.11</v>
      </c>
      <c r="F13" s="5" t="n">
        <v>186.36</v>
      </c>
      <c r="G13" s="5" t="n">
        <v>201.94</v>
      </c>
      <c r="H13" s="5" t="n">
        <v>191.82</v>
      </c>
    </row>
    <row r="14">
      <c r="A14" s="5" t="inlineStr">
        <is>
          <t>Liabilities</t>
        </is>
      </c>
      <c r="B14" s="6" t="n"/>
      <c r="C14" s="6" t="n"/>
      <c r="D14" s="6" t="n"/>
      <c r="E14" s="6" t="n"/>
      <c r="F14" s="6" t="n"/>
      <c r="G14" s="6" t="n"/>
      <c r="H14" s="6" t="n"/>
    </row>
    <row r="15">
      <c r="A15" s="6" t="inlineStr">
        <is>
          <t>Deposits by banks</t>
        </is>
      </c>
      <c r="B15" s="6" t="n">
        <v>19.36</v>
      </c>
      <c r="C15" s="6" t="n">
        <v>19.62</v>
      </c>
      <c r="D15" s="6" t="n">
        <v>20.1</v>
      </c>
      <c r="E15" s="6" t="n">
        <v>20.57</v>
      </c>
      <c r="F15" s="6" t="n">
        <v>19.61</v>
      </c>
      <c r="G15" s="6" t="n">
        <v>24.89</v>
      </c>
      <c r="H15" s="6" t="n">
        <v>24.82</v>
      </c>
    </row>
    <row r="16">
      <c r="A16" s="6" t="inlineStr">
        <is>
          <t>Customer accounts</t>
        </is>
      </c>
      <c r="B16" s="6" t="n">
        <v>2.91</v>
      </c>
      <c r="C16" s="6" t="n">
        <v>2.92</v>
      </c>
      <c r="D16" s="6" t="n">
        <v>2.95</v>
      </c>
      <c r="E16" s="6" t="n">
        <v>3.08</v>
      </c>
      <c r="F16" s="6" t="n">
        <v>2.9</v>
      </c>
      <c r="G16" s="6" t="n">
        <v>2.94</v>
      </c>
      <c r="H16" s="6" t="n">
        <v>2.98</v>
      </c>
    </row>
    <row r="17">
      <c r="A17" s="6" t="inlineStr">
        <is>
          <t>Deferred tax liability</t>
        </is>
      </c>
      <c r="B17" s="6" t="n"/>
      <c r="C17" s="6" t="n"/>
      <c r="D17" s="6" t="n">
        <v>0.02</v>
      </c>
      <c r="E17" s="6" t="n">
        <v>0.06</v>
      </c>
      <c r="F17" s="6" t="n">
        <v>0.03</v>
      </c>
      <c r="G17" s="6" t="n"/>
      <c r="H17" s="6" t="n"/>
    </row>
    <row r="18">
      <c r="A18" s="6" t="inlineStr">
        <is>
          <t>Other liabilities (and payables)</t>
        </is>
      </c>
      <c r="B18" s="6" t="n">
        <v>0.89</v>
      </c>
      <c r="C18" s="6" t="n">
        <v>3.07</v>
      </c>
      <c r="D18" s="6" t="n">
        <v>2.51</v>
      </c>
      <c r="E18" s="6" t="n">
        <v>2.07</v>
      </c>
      <c r="F18" s="6" t="n">
        <v>2.07</v>
      </c>
      <c r="G18" s="6" t="n">
        <v>1.6</v>
      </c>
      <c r="H18" s="6" t="n">
        <v>1.47</v>
      </c>
    </row>
    <row r="19">
      <c r="A19" s="6" t="inlineStr">
        <is>
          <t>Accruals and deferred income</t>
        </is>
      </c>
      <c r="B19" s="6" t="n">
        <v>2.83</v>
      </c>
      <c r="C19" s="6" t="n"/>
      <c r="D19" s="6" t="n"/>
      <c r="E19" s="6" t="n"/>
      <c r="F19" s="6" t="n"/>
      <c r="G19" s="6" t="n"/>
      <c r="H19" s="6" t="n"/>
    </row>
    <row r="20">
      <c r="A20" s="5" t="inlineStr">
        <is>
          <t>Total liabilities</t>
        </is>
      </c>
      <c r="B20" s="5" t="n">
        <v>25.99</v>
      </c>
      <c r="C20" s="5" t="n">
        <v>25.61</v>
      </c>
      <c r="D20" s="5" t="n">
        <v>25.59</v>
      </c>
      <c r="E20" s="5" t="n">
        <v>25.77</v>
      </c>
      <c r="F20" s="5" t="n">
        <v>24.61</v>
      </c>
      <c r="G20" s="5" t="n">
        <v>29.43</v>
      </c>
      <c r="H20" s="5" t="n">
        <v>29.28</v>
      </c>
    </row>
    <row r="21">
      <c r="A21" s="5" t="inlineStr">
        <is>
          <t>Shareholders' funds</t>
        </is>
      </c>
      <c r="B21" s="6" t="n"/>
      <c r="C21" s="6" t="n"/>
      <c r="D21" s="6" t="n"/>
      <c r="E21" s="6" t="n"/>
      <c r="F21" s="6" t="n"/>
      <c r="G21" s="6" t="n"/>
      <c r="H21" s="6" t="n"/>
    </row>
    <row r="22">
      <c r="A22" s="6" t="inlineStr">
        <is>
          <t>Called up share capital</t>
        </is>
      </c>
      <c r="B22" s="6" t="n">
        <v>159.96</v>
      </c>
      <c r="C22" s="6" t="n">
        <v>151.43</v>
      </c>
      <c r="D22" s="6" t="n">
        <v>158.78</v>
      </c>
      <c r="E22" s="6" t="n">
        <v>162.47</v>
      </c>
      <c r="F22" s="6" t="n">
        <v>153.88</v>
      </c>
      <c r="G22" s="6" t="n">
        <v>164.8</v>
      </c>
      <c r="H22" s="6" t="n">
        <v>155.84</v>
      </c>
    </row>
    <row r="23">
      <c r="A23" s="6" t="inlineStr">
        <is>
          <t>General banking risk reserve</t>
        </is>
      </c>
      <c r="B23" s="6" t="n">
        <v>5.24</v>
      </c>
      <c r="C23" s="6" t="n">
        <v>4.96</v>
      </c>
      <c r="D23" s="6" t="n">
        <v>5.2</v>
      </c>
      <c r="E23" s="6" t="n">
        <v>5.32</v>
      </c>
      <c r="F23" s="6" t="n">
        <v>5.04</v>
      </c>
      <c r="G23" s="6" t="n">
        <v>5.4</v>
      </c>
      <c r="H23" s="6" t="n">
        <v>5.1</v>
      </c>
    </row>
    <row r="24">
      <c r="A24" s="6" t="inlineStr">
        <is>
          <t>Retained earnings</t>
        </is>
      </c>
      <c r="B24" s="6" t="n">
        <v>6.15</v>
      </c>
      <c r="C24" s="6" t="n">
        <v>5.68</v>
      </c>
      <c r="D24" s="6" t="n">
        <v>4.55</v>
      </c>
      <c r="E24" s="6" t="n">
        <v>3.55</v>
      </c>
      <c r="F24" s="6" t="n">
        <v>2.84</v>
      </c>
      <c r="G24" s="6" t="n">
        <v>2.31</v>
      </c>
      <c r="H24" s="6" t="n">
        <v>1.6</v>
      </c>
    </row>
    <row r="25">
      <c r="A25" s="5" t="inlineStr">
        <is>
          <t>Total equity (Shareholders' funds)</t>
        </is>
      </c>
      <c r="B25" s="5" t="n">
        <v>171.35</v>
      </c>
      <c r="C25" s="5" t="n">
        <v>162.07</v>
      </c>
      <c r="D25" s="5" t="n">
        <v>168.53</v>
      </c>
      <c r="E25" s="5" t="n">
        <v>171.34</v>
      </c>
      <c r="F25" s="5" t="n">
        <v>161.75</v>
      </c>
      <c r="G25" s="5" t="n">
        <v>172.51</v>
      </c>
      <c r="H25" s="5" t="n">
        <v>162.54</v>
      </c>
    </row>
    <row r="26">
      <c r="A26" s="5" t="inlineStr">
        <is>
          <t>Total liabilities and equity</t>
        </is>
      </c>
      <c r="B26" s="5" t="n">
        <v>197.34</v>
      </c>
      <c r="C26" s="5" t="n">
        <v>187.68</v>
      </c>
      <c r="D26" s="5" t="n">
        <v>194.12</v>
      </c>
      <c r="E26" s="5" t="n">
        <v>197.11</v>
      </c>
      <c r="F26" s="5" t="n">
        <v>186.36</v>
      </c>
      <c r="G26" s="5" t="n">
        <v>201.94</v>
      </c>
      <c r="H26" s="5" t="n">
        <v>191.82</v>
      </c>
    </row>
    <row r="28" ht="409" customHeight="1">
      <c r="A28" s="8" t="inlineStr">
        <is>
          <t>Sources - Bank Saderat Plc's own Statement of Comprehensive Income / Statement of Financial Position / Statement of Changes in Equity, converted from EUR to £ (see FX conversion note below):
FY2025/FY2024: Full accounts made up to 31 December 2025, pp.29-31 - https://find-and-update.company-information.service.gov.uk/company/01126618/filing-history/MzUyNzI0MjU2MGFkaXF6a2N4/document?format=pdf&amp;download=0
FY2024/FY2023: Full accounts made up to 31 December 2024, pp.27-29 - https://find-and-update.company-information.service.gov.uk/company/01126618/filing-history/MzQ2MzQ4MDU2OWFkaXF6a2N4/document?format=pdf&amp;download=0 (FY2024's own primary report used per project convention, in preference to the FY2025 report's FY2024 comparative column, which reclassifies the Other liabilities/Deferred tax liability lines differently - see PRESENTATION_NOTE)
FY2022/FY2021: Full accounts made up to 31 December 2022, pp.21-23 - https://find-and-update.company-information.service.gov.uk/company/01126618/filing-history/MzM3Nzc2OTA1NGFkaXF6a2N4/document?format=pdf&amp;download=0
FY2020: Full accounts made up to 31 December 2020, pp.17-19 - https://find-and-update.company-information.service.gov.uk/company/01126618/filing-history/MzI5OTI5MzU3NGFkaXF6a2N4/document?format=pdf&amp;download=0
FY2019: Full accounts made up to 31 December 2019, pp.15-17 - https://find-and-update.company-information.service.gov.uk/company/01126618/filing-history/MzI2MzQzNDY1MmFkaXF6a2N4/document?format=pdf&amp;download=0
ENTITY NOTE: Bank Saderat Plc, FRN 204488, company 01126618 (incorporated 1973 as Iran Overseas Investment Bank, renamed 2002), wholly-owned UK subsidiary of Bank Saderat Iran. The Bank operated under EU sanctions until October 2016 and has faced correspondent-banking/SWIFT access difficulties since a second round of OFAC sanctions in 2018, but remains an active, going-concern entity throughout the period covered here - Companies House confirms Active status with accounts filed every year through FY2025 (filed 25 Jun 2026), and does NOT take the FRS 101/102 cash-flow-statement exemption (a full Statement of Cash Flows is published every year). IMPORTANT: the UK imposed 'snapback' sanctions affecting the Bank's business activities from 29 September 2025 (mid-way through FY2025) - the Bank's own FY2025 Annual Report states the relevant authorities have granted licenses permitting it to continue essential operations and ordinary-course payments, so this is NOT treated as a going-concern/skip situation (contrast VTB Capital plc elsewhere in this project, which IS in insolvency administration), but it materially affects FY2025's figures - operating cash flow swings to a large outflow (see Cash Flow Statement) and interest income fell sharply. Flagged prominently here since it's a genuinely new, still-unfolding development, not a historical footnote.
CAPITAL RATIO CAVEAT (SUBSTANTIALLY RESOLVED 2026-09-15 - this bank DOES publish Pillar 3 disclosures): the Bank's own Annual Reports give a 'Capital Cover' percentage every year, and earlier passes used it as the CET1/Tier 1/Total Capital Ratio series while flagging that it is not a conventional CET1/RWA ratio. That flag was right and the reason is now confirmed: 'Capital Cover' measures capital against the Bank's total capital REQUIREMENT (Pillar 1 plus a Pillar 2A add-on), not against the risk exposure amount, which is why it reads in the 300s where the CRR ratio reads in the 80s-90s for the same year. The genuine CRR ratios and the risk exposure amounts they divide into are now carried for FY2019-FY2023, transcribed from the Bank's own standalone Pillar 3 disclosures, which are published on its live website and had simply not been found by earlier passes (see the detailed correction note on the Total RWAs and RWA Breakdown sheets). The ratio sheets therefore now carry TWO labelled rows - the CRR ratio, comparable with every other bank in this project, and the Bank's own Capital Cover metric, retained because it is the only measure available for all seven years. FY2024 has neither a Pillar 3 edition nor a disclosed risk exposure amount, so its CRR row is blank; FY2025's CRR ratio comes from the Annual Report's own narrative. No RWA is back-solved from a ratio in any year. One caveat specific to FY2019: the 2019 edition prints a CET1 ratio (81.0%) different from its Tier 1 and total capital ratios (84.4%) despite nil Tier 2, so those sheets' FY2019 cells differ from each other - as printed, and explained in full on each ratio sheet's own note.
LIQUIDITY RATIO CAVEAT: the Bank's LCR disclosure is genuinely inconsistent across filing vintages - each year's OWN report is used as the primary figure below (project convention), but later reports' comparative columns for the SAME years show materially different values: FY2022 368% (own report) vs. 328% (per the FY2024 report's comparative); FY2023 334% (own report) vs. 375% (per the FY2025 report's comparative); FY2024 331% (own report) vs. 323% (per the FY2025 report's comparative). This is a larger and more persistent cross-vintage discrepancy than the single-instance restatements seen elsewhere in this project (e.g. Bank of Ceylon, BNY Mellon) - plausibly reflecting a genuinely unstable LCR calculation methodology at this bank (new core banking/regulatory reporting software went live during this period) rather than a one-off correction. The FY2024/FY2025 reports also separately break LCR out by currency (GBP: 582-674%; EUR: 158-212%) - the 'All currencies' figure is used here as the single comparable metric, consistent with every other bank in this project.</t>
        </is>
      </c>
    </row>
    <row r="30" ht="409" customHeight="1">
      <c r="A30" s="8" t="inlineStr">
        <is>
          <t>(continued)
FX CONVERSION NOTE: Bank Saderat Plc reports in Euros (its functional currency) - the second EUR-reporting workbook in this series after Arab Bank Europe Plc, using the identical methodology and (for FY2020-FY2024) the identical Bank of England GBP/EUR reference rates: point-in-time/balance figures use the SPOT rate as at that fiscal year-end (31 December); flow figures use the AVERAGE rate over that calendar year. Rates used (£1 = €X): 31 Dec 2020 spot 1.1118 (FY2021 opening cash only); FY2021 spot 1.1907 / avg 1.1628; FY2022 spot 1.1277 / avg 1.1717; FY2023 spot 1.1539 / avg 1.1520; FY2024 spot 1.2099 / avg 1.1824; FY2025 spot 1.1454 (confirmed, poundsterlinglive.com BoE archive) / avg ~1.168 (approximate - a mid-month sample average, not a full daily-series mean, since extracting the complete 2025 daily series wasn't practical; flagged here rather than presented as precise). All % ratios (Capital Cover, LCR - see ENTITY_NOTE) are shown EXACTLY as reported in EUR and were NOT converted - a ratio is dimensionless and currency-invariant. Because stocks and flows are converted at different rates, a programmatically-computed 'Effect of GBP/EUR translation' reconciling line is included so opening + all flows + this line = closing exactly in £ terms.
PRESENTATION NOTE: this Bank's own statement formats changed between the FY2021/22 report and the FY2023-25 reports. P&amp;L: FY2021/22 has no 'Net operating Income' subtotal (Depreciation and Provisions are both deducted together, straight from Operating Income, to reach Profit before Taxation) and labels 'Other operating income' as a positive line, vs. FY2023-25's 'Other operating loss' (negative) plus a separate 'Net operating Income' subtotal before Provisions - both structures are reproduced as disclosed, with the FY2021/22 'Net operating income' cell left blank rather than back-calculated. Balance Sheet: 'Deferred tax assets' only appears as its own line FY2024-25 (nil/absent FY2021-23); FY2021-23's own reports show a single 'Deferred Tax Liability' line, which FY2025's own report restructures (for FY2025/24) into two lines, 'Other liabilities and Payables' + 'Accruals and Deferred Income' - FY2024's own primary report (used here, not FY2025's restated comparative) still uses a single undifferentiated 'Other liabilities' line, so FY2024's 'Accruals and deferred income' cell is left blank rather than split. Both totals are unaffected by these reclassifications and tie out exactly in every year.</t>
        </is>
      </c>
    </row>
  </sheetData>
  <mergeCells count="2">
    <mergeCell ref="A28:H28"/>
    <mergeCell ref="A30:H3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Bank Saderat Plc — Statement of Comprehensive Income</t>
        </is>
      </c>
    </row>
    <row r="2">
      <c r="A2" s="2" t="inlineStr">
        <is>
          <t>£m, converted from EUR - see source note at bottom for FX methodology and rates used.</t>
        </is>
      </c>
    </row>
    <row r="3">
      <c r="A3" s="4" t="inlineStr">
        <is>
          <t>Line item</t>
        </is>
      </c>
      <c r="B3" s="4" t="inlineStr">
        <is>
          <t>FY2025 (£m, conv. from EUR)</t>
        </is>
      </c>
      <c r="C3" s="4" t="inlineStr">
        <is>
          <t>FY2024 (£m, conv. from EUR)</t>
        </is>
      </c>
      <c r="D3" s="4" t="inlineStr">
        <is>
          <t>FY2023 (£m, conv. from EUR)</t>
        </is>
      </c>
      <c r="E3" s="4" t="inlineStr">
        <is>
          <t>FY2022 (£m, conv. from EUR)</t>
        </is>
      </c>
      <c r="F3" s="4" t="inlineStr">
        <is>
          <t>FY2021 (£m, conv. from EUR)</t>
        </is>
      </c>
      <c r="G3" s="4" t="inlineStr">
        <is>
          <t>FY2020 (£m, conv. from EUR)</t>
        </is>
      </c>
      <c r="H3" s="4" t="inlineStr">
        <is>
          <t>FY2019 (£m, conv. from EUR)</t>
        </is>
      </c>
    </row>
    <row r="4">
      <c r="A4" s="5" t="inlineStr">
        <is>
          <t>Income</t>
        </is>
      </c>
      <c r="B4" s="6" t="n"/>
      <c r="C4" s="6" t="n"/>
      <c r="D4" s="6" t="n"/>
      <c r="E4" s="6" t="n"/>
      <c r="F4" s="6" t="n"/>
      <c r="G4" s="6" t="n"/>
      <c r="H4" s="6" t="n"/>
    </row>
    <row r="5">
      <c r="A5" s="6" t="inlineStr">
        <is>
          <t>Interest receivable and similar income</t>
        </is>
      </c>
      <c r="B5" s="6" t="n">
        <v>3.91</v>
      </c>
      <c r="C5" s="6" t="n">
        <v>5.69</v>
      </c>
      <c r="D5" s="6" t="n">
        <v>4.78</v>
      </c>
      <c r="E5" s="6" t="n">
        <v>4.06</v>
      </c>
      <c r="F5" s="6" t="n">
        <v>4.43</v>
      </c>
      <c r="G5" s="6" t="n">
        <v>4.17</v>
      </c>
      <c r="H5" s="6" t="n">
        <v>3.68</v>
      </c>
    </row>
    <row r="6">
      <c r="A6" s="6" t="inlineStr">
        <is>
          <t>Interest payable and similar expenses</t>
        </is>
      </c>
      <c r="B6" s="6" t="n">
        <v>-0.05</v>
      </c>
      <c r="C6" s="6" t="n">
        <v>-0.05</v>
      </c>
      <c r="D6" s="6" t="n">
        <v>-0.03</v>
      </c>
      <c r="E6" s="6" t="n">
        <v>-0.03</v>
      </c>
      <c r="F6" s="6" t="n">
        <v>-0.03</v>
      </c>
      <c r="G6" s="6" t="n">
        <v>-0.04</v>
      </c>
      <c r="H6" s="6" t="n">
        <v>-0.05</v>
      </c>
    </row>
    <row r="7">
      <c r="A7" s="5" t="inlineStr">
        <is>
          <t>Net interest income</t>
        </is>
      </c>
      <c r="B7" s="5" t="n">
        <v>3.87</v>
      </c>
      <c r="C7" s="5" t="n">
        <v>5.64</v>
      </c>
      <c r="D7" s="5" t="n">
        <v>4.74</v>
      </c>
      <c r="E7" s="5" t="n">
        <v>4.03</v>
      </c>
      <c r="F7" s="5" t="n">
        <v>4.4</v>
      </c>
      <c r="G7" s="5" t="n">
        <v>4.13</v>
      </c>
      <c r="H7" s="5" t="n">
        <v>3.63</v>
      </c>
    </row>
    <row r="8">
      <c r="A8" s="6" t="inlineStr">
        <is>
          <t>Fees and commissions receivable</t>
        </is>
      </c>
      <c r="B8" s="6" t="n">
        <v>0.03</v>
      </c>
      <c r="C8" s="6" t="n">
        <v>0.02</v>
      </c>
      <c r="D8" s="6" t="n">
        <v>0.06</v>
      </c>
      <c r="E8" s="6" t="n">
        <v>0.02</v>
      </c>
      <c r="F8" s="6" t="n">
        <v>0.02</v>
      </c>
      <c r="G8" s="6" t="n">
        <v>0.01</v>
      </c>
      <c r="H8" s="6" t="n">
        <v>0.05</v>
      </c>
    </row>
    <row r="9">
      <c r="A9" s="6" t="inlineStr">
        <is>
          <t>Other operating income/(loss)</t>
        </is>
      </c>
      <c r="B9" s="6" t="n">
        <v>-0.07000000000000001</v>
      </c>
      <c r="C9" s="6" t="n">
        <v>-0.04</v>
      </c>
      <c r="D9" s="6" t="n">
        <v>-0.13</v>
      </c>
      <c r="E9" s="6" t="n">
        <v>0.06</v>
      </c>
      <c r="F9" s="6" t="n">
        <v>0.05</v>
      </c>
      <c r="G9" s="6" t="n">
        <v>-0.05</v>
      </c>
      <c r="H9" s="6" t="n">
        <v>0.01</v>
      </c>
    </row>
    <row r="10">
      <c r="A10" s="5" t="inlineStr">
        <is>
          <t>Operating income/profit</t>
        </is>
      </c>
      <c r="B10" s="5" t="n">
        <v>3.82</v>
      </c>
      <c r="C10" s="5" t="n">
        <v>5.62</v>
      </c>
      <c r="D10" s="5" t="n">
        <v>4.67</v>
      </c>
      <c r="E10" s="5" t="n">
        <v>4.1</v>
      </c>
      <c r="F10" s="5" t="n">
        <v>4.47</v>
      </c>
      <c r="G10" s="5" t="n">
        <v>4.09</v>
      </c>
      <c r="H10" s="5" t="n">
        <v>3.69</v>
      </c>
    </row>
    <row r="11">
      <c r="A11" s="6" t="inlineStr">
        <is>
          <t>Administrative expenses</t>
        </is>
      </c>
      <c r="B11" s="6" t="n">
        <v>-2.65</v>
      </c>
      <c r="C11" s="6" t="n">
        <v>-2.82</v>
      </c>
      <c r="D11" s="6" t="n">
        <v>-2.76</v>
      </c>
      <c r="E11" s="6" t="n">
        <v>-2.76</v>
      </c>
      <c r="F11" s="6" t="n">
        <v>-3.23</v>
      </c>
      <c r="G11" s="6" t="n">
        <v>-2.68</v>
      </c>
      <c r="H11" s="6" t="n">
        <v>-3.2</v>
      </c>
    </row>
    <row r="12">
      <c r="A12" s="6" t="inlineStr">
        <is>
          <t>Depreciation &amp; amortisation</t>
        </is>
      </c>
      <c r="B12" s="6" t="n">
        <v>-0.2</v>
      </c>
      <c r="C12" s="6" t="n">
        <v>-0.2</v>
      </c>
      <c r="D12" s="6" t="n">
        <v>-0.2</v>
      </c>
      <c r="E12" s="6" t="n">
        <v>-0.19</v>
      </c>
      <c r="F12" s="6" t="n">
        <v>-0.14</v>
      </c>
      <c r="G12" s="6" t="n">
        <v>-0.1</v>
      </c>
      <c r="H12" s="6" t="n">
        <v>-0.09</v>
      </c>
    </row>
    <row r="13">
      <c r="A13" s="5" t="inlineStr">
        <is>
          <t>Net operating income</t>
        </is>
      </c>
      <c r="B13" s="5" t="n">
        <v>0.97</v>
      </c>
      <c r="C13" s="5" t="n">
        <v>2.6</v>
      </c>
      <c r="D13" s="5" t="n">
        <v>1.71</v>
      </c>
      <c r="E13" s="5" t="n"/>
      <c r="F13" s="5" t="n"/>
      <c r="G13" s="5" t="n"/>
      <c r="H13" s="5" t="n"/>
    </row>
    <row r="14">
      <c r="A14" s="6" t="inlineStr">
        <is>
          <t>Provisions for the year</t>
        </is>
      </c>
      <c r="B14" s="6" t="n">
        <v>-0.83</v>
      </c>
      <c r="C14" s="6" t="n">
        <v>-0.66</v>
      </c>
      <c r="D14" s="6" t="n">
        <v>-0.27</v>
      </c>
      <c r="E14" s="6" t="n">
        <v>-0.46</v>
      </c>
      <c r="F14" s="6" t="n">
        <v>-0.27</v>
      </c>
      <c r="G14" s="6" t="n">
        <v>-0.53</v>
      </c>
      <c r="H14" s="6" t="n">
        <v>0.03</v>
      </c>
    </row>
    <row r="15">
      <c r="A15" s="5" t="inlineStr">
        <is>
          <t>Profit before taxation</t>
        </is>
      </c>
      <c r="B15" s="5" t="n">
        <v>0.15</v>
      </c>
      <c r="C15" s="5" t="n">
        <v>1.94</v>
      </c>
      <c r="D15" s="5" t="n">
        <v>1.44</v>
      </c>
      <c r="E15" s="5" t="n">
        <v>0.68</v>
      </c>
      <c r="F15" s="5" t="n">
        <v>0.84</v>
      </c>
      <c r="G15" s="5" t="n">
        <v>0.78</v>
      </c>
      <c r="H15" s="5" t="n">
        <v>0.42</v>
      </c>
    </row>
    <row r="16">
      <c r="A16" s="6" t="inlineStr">
        <is>
          <t>Tax on profit</t>
        </is>
      </c>
      <c r="B16" s="6" t="n">
        <v>0.01</v>
      </c>
      <c r="C16" s="6" t="n">
        <v>-0.57</v>
      </c>
      <c r="D16" s="6" t="n">
        <v>-0.36</v>
      </c>
      <c r="E16" s="6" t="n">
        <v>-0.15</v>
      </c>
      <c r="F16" s="6" t="n">
        <v>-0.15</v>
      </c>
      <c r="G16" s="6" t="n">
        <v>-0.17</v>
      </c>
      <c r="H16" s="6" t="n">
        <v>-0.1</v>
      </c>
    </row>
    <row r="17">
      <c r="A17" s="5" t="inlineStr">
        <is>
          <t>Profit after taxation</t>
        </is>
      </c>
      <c r="B17" s="5" t="n">
        <v>0.15</v>
      </c>
      <c r="C17" s="5" t="n">
        <v>1.37</v>
      </c>
      <c r="D17" s="5" t="n">
        <v>1.08</v>
      </c>
      <c r="E17" s="5" t="n">
        <v>0.53</v>
      </c>
      <c r="F17" s="5" t="n">
        <v>0.6899999999999999</v>
      </c>
      <c r="G17" s="5" t="n">
        <v>0.61</v>
      </c>
      <c r="H17" s="5" t="n">
        <v>0.33</v>
      </c>
    </row>
    <row r="18">
      <c r="A18" s="5" t="inlineStr">
        <is>
          <t>Other comprehensive income</t>
        </is>
      </c>
      <c r="B18" s="6" t="n"/>
      <c r="C18" s="6" t="n"/>
      <c r="D18" s="6" t="n"/>
      <c r="E18" s="6" t="n"/>
      <c r="F18" s="6" t="n"/>
      <c r="G18" s="6" t="n"/>
      <c r="H18" s="6" t="n"/>
    </row>
    <row r="19">
      <c r="A19" s="6" t="inlineStr">
        <is>
          <t>Other comprehensive income</t>
        </is>
      </c>
      <c r="B19" s="6" t="n">
        <v>0</v>
      </c>
      <c r="C19" s="6" t="n">
        <v>0</v>
      </c>
      <c r="D19" s="6" t="n">
        <v>0</v>
      </c>
      <c r="E19" s="6" t="n">
        <v>0</v>
      </c>
      <c r="F19" s="6" t="n">
        <v>0</v>
      </c>
      <c r="G19" s="6" t="n">
        <v>0</v>
      </c>
      <c r="H19" s="6" t="n">
        <v>0</v>
      </c>
    </row>
    <row r="20">
      <c r="A20" s="5" t="inlineStr">
        <is>
          <t>Total comprehensive income for the year</t>
        </is>
      </c>
      <c r="B20" s="5" t="n">
        <v>0.15</v>
      </c>
      <c r="C20" s="5" t="n">
        <v>1.37</v>
      </c>
      <c r="D20" s="5" t="n">
        <v>1.08</v>
      </c>
      <c r="E20" s="5" t="n">
        <v>0.53</v>
      </c>
      <c r="F20" s="5" t="n">
        <v>0.6899999999999999</v>
      </c>
      <c r="G20" s="5" t="n">
        <v>0.61</v>
      </c>
      <c r="H20" s="5" t="n">
        <v>0.33</v>
      </c>
    </row>
    <row r="22" ht="409" customHeight="1">
      <c r="A22" s="8" t="inlineStr">
        <is>
          <t>Sources - Bank Saderat Plc's own Statement of Comprehensive Income / Statement of Financial Position / Statement of Changes in Equity, converted from EUR to £ (see FX conversion note below):
FY2025/FY2024: Full accounts made up to 31 December 2025, pp.29-31 - https://find-and-update.company-information.service.gov.uk/company/01126618/filing-history/MzUyNzI0MjU2MGFkaXF6a2N4/document?format=pdf&amp;download=0
FY2024/FY2023: Full accounts made up to 31 December 2024, pp.27-29 - https://find-and-update.company-information.service.gov.uk/company/01126618/filing-history/MzQ2MzQ4MDU2OWFkaXF6a2N4/document?format=pdf&amp;download=0 (FY2024's own primary report used per project convention, in preference to the FY2025 report's FY2024 comparative column, which reclassifies the Other liabilities/Deferred tax liability lines differently - see PRESENTATION_NOTE)
FY2022/FY2021: Full accounts made up to 31 December 2022, pp.21-23 - https://find-and-update.company-information.service.gov.uk/company/01126618/filing-history/MzM3Nzc2OTA1NGFkaXF6a2N4/document?format=pdf&amp;download=0
FY2020: Full accounts made up to 31 December 2020, pp.17-19 - https://find-and-update.company-information.service.gov.uk/company/01126618/filing-history/MzI5OTI5MzU3NGFkaXF6a2N4/document?format=pdf&amp;download=0
FY2019: Full accounts made up to 31 December 2019, pp.15-17 - https://find-and-update.company-information.service.gov.uk/company/01126618/filing-history/MzI2MzQzNDY1MmFkaXF6a2N4/document?format=pdf&amp;download=0
ENTITY NOTE: Bank Saderat Plc, FRN 204488, company 01126618 (incorporated 1973 as Iran Overseas Investment Bank, renamed 2002), wholly-owned UK subsidiary of Bank Saderat Iran. The Bank operated under EU sanctions until October 2016 and has faced correspondent-banking/SWIFT access difficulties since a second round of OFAC sanctions in 2018, but remains an active, going-concern entity throughout the period covered here - Companies House confirms Active status with accounts filed every year through FY2025 (filed 25 Jun 2026), and does NOT take the FRS 101/102 cash-flow-statement exemption (a full Statement of Cash Flows is published every year). IMPORTANT: the UK imposed 'snapback' sanctions affecting the Bank's business activities from 29 September 2025 (mid-way through FY2025) - the Bank's own FY2025 Annual Report states the relevant authorities have granted licenses permitting it to continue essential operations and ordinary-course payments, so this is NOT treated as a going-concern/skip situation (contrast VTB Capital plc elsewhere in this project, which IS in insolvency administration), but it materially affects FY2025's figures - operating cash flow swings to a large outflow (see Cash Flow Statement) and interest income fell sharply. Flagged prominently here since it's a genuinely new, still-unfolding development, not a historical footnote.
CAPITAL RATIO CAVEAT (SUBSTANTIALLY RESOLVED 2026-09-15 - this bank DOES publish Pillar 3 disclosures): the Bank's own Annual Reports give a 'Capital Cover' percentage every year, and earlier passes used it as the CET1/Tier 1/Total Capital Ratio series while flagging that it is not a conventional CET1/RWA ratio. That flag was right and the reason is now confirmed: 'Capital Cover' measures capital against the Bank's total capital REQUIREMENT (Pillar 1 plus a Pillar 2A add-on), not against the risk exposure amount, which is why it reads in the 300s where the CRR ratio reads in the 80s-90s for the same year. The genuine CRR ratios and the risk exposure amounts they divide into are now carried for FY2019-FY2023, transcribed from the Bank's own standalone Pillar 3 disclosures, which are published on its live website and had simply not been found by earlier passes (see the detailed correction note on the Total RWAs and RWA Breakdown sheets). The ratio sheets therefore now carry TWO labelled rows - the CRR ratio, comparable with every other bank in this project, and the Bank's own Capital Cover metric, retained because it is the only measure available for all seven years. FY2024 has neither a Pillar 3 edition nor a disclosed risk exposure amount, so its CRR row is blank; FY2025's CRR ratio comes from the Annual Report's own narrative. No RWA is back-solved from a ratio in any year. One caveat specific to FY2019: the 2019 edition prints a CET1 ratio (81.0%) different from its Tier 1 and total capital ratios (84.4%) despite nil Tier 2, so those sheets' FY2019 cells differ from each other - as printed, and explained in full on each ratio sheet's own note.
LIQUIDITY RATIO CAVEAT: the Bank's LCR disclosure is genuinely inconsistent across filing vintages - each year's OWN report is used as the primary figure below (project convention), but later reports' comparative columns for the SAME years show materially different values: FY2022 368% (own report) vs. 328% (per the FY2024 report's comparative); FY2023 334% (own report) vs. 375% (per the FY2025 report's comparative); FY2024 331% (own report) vs. 323% (per the FY2025 report's comparative). This is a larger and more persistent cross-vintage discrepancy than the single-instance restatements seen elsewhere in this project (e.g. Bank of Ceylon, BNY Mellon) - plausibly reflecting a genuinely unstable LCR calculation methodology at this bank (new core banking/regulatory reporting software went live during this period) rather than a one-off correction. The FY2024/FY2025 reports also separately break LCR out by currency (GBP: 582-674%; EUR: 158-212%) - the 'All currencies' figure is used here as the single comparable metric, consistent with every other bank in this project.</t>
        </is>
      </c>
    </row>
    <row r="24" ht="409" customHeight="1">
      <c r="A24" s="8" t="inlineStr">
        <is>
          <t>(continued)
FX CONVERSION NOTE: Bank Saderat Plc reports in Euros (its functional currency) - the second EUR-reporting workbook in this series after Arab Bank Europe Plc, using the identical methodology and (for FY2020-FY2024) the identical Bank of England GBP/EUR reference rates: point-in-time/balance figures use the SPOT rate as at that fiscal year-end (31 December); flow figures use the AVERAGE rate over that calendar year. Rates used (£1 = €X): 31 Dec 2020 spot 1.1118 (FY2021 opening cash only); FY2021 spot 1.1907 / avg 1.1628; FY2022 spot 1.1277 / avg 1.1717; FY2023 spot 1.1539 / avg 1.1520; FY2024 spot 1.2099 / avg 1.1824; FY2025 spot 1.1454 (confirmed, poundsterlinglive.com BoE archive) / avg ~1.168 (approximate - a mid-month sample average, not a full daily-series mean, since extracting the complete 2025 daily series wasn't practical; flagged here rather than presented as precise). All % ratios (Capital Cover, LCR - see ENTITY_NOTE) are shown EXACTLY as reported in EUR and were NOT converted - a ratio is dimensionless and currency-invariant. Because stocks and flows are converted at different rates, a programmatically-computed 'Effect of GBP/EUR translation' reconciling line is included so opening + all flows + this line = closing exactly in £ terms.
PRESENTATION NOTE: this Bank's own statement formats changed between the FY2021/22 report and the FY2023-25 reports. P&amp;L: FY2021/22 has no 'Net operating Income' subtotal (Depreciation and Provisions are both deducted together, straight from Operating Income, to reach Profit before Taxation) and labels 'Other operating income' as a positive line, vs. FY2023-25's 'Other operating loss' (negative) plus a separate 'Net operating Income' subtotal before Provisions - both structures are reproduced as disclosed, with the FY2021/22 'Net operating income' cell left blank rather than back-calculated. Balance Sheet: 'Deferred tax assets' only appears as its own line FY2024-25 (nil/absent FY2021-23); FY2021-23's own reports show a single 'Deferred Tax Liability' line, which FY2025's own report restructures (for FY2025/24) into two lines, 'Other liabilities and Payables' + 'Accruals and Deferred Income' - FY2024's own primary report (used here, not FY2025's restated comparative) still uses a single undifferentiated 'Other liabilities' line, so FY2024's 'Accruals and deferred income' cell is left blank rather than split. Both totals are unaffected by these reclassifications and tie out exactly in every year.</t>
        </is>
      </c>
    </row>
  </sheetData>
  <mergeCells count="2">
    <mergeCell ref="A24:H24"/>
    <mergeCell ref="A22:H2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2"/>
  <sheetViews>
    <sheetView workbookViewId="0">
      <pane ySplit="4" topLeftCell="A5" activePane="bottomLeft" state="frozen"/>
      <selection pane="bottomLeft" activeCell="A1" sqref="A1"/>
    </sheetView>
  </sheetViews>
  <sheetFormatPr baseColWidth="8" defaultRowHeight="15"/>
  <cols>
    <col width="52" customWidth="1" min="1" max="1"/>
    <col width="15" customWidth="1" min="2" max="2"/>
    <col width="15" customWidth="1" min="3" max="3"/>
    <col width="15" customWidth="1" min="4" max="4"/>
    <col width="15" customWidth="1" min="5" max="5"/>
  </cols>
  <sheetData>
    <row r="1">
      <c r="A1" s="1" t="inlineStr">
        <is>
          <t>Bank Saderat Plc — Statement of Changes in Equity</t>
        </is>
      </c>
    </row>
    <row r="2">
      <c r="A2" s="2" t="inlineStr">
        <is>
          <t>£m, converted from EUR - see source note at bottom for FX methodology; an 'FX translation effect' row is included since equity components that are EUR-constant still shift in £ terms because each snapshot is converted at that period's own spot rate.</t>
        </is>
      </c>
    </row>
    <row r="3">
      <c r="A3" s="4" t="inlineStr">
        <is>
          <t>Movement</t>
        </is>
      </c>
      <c r="B3" s="4" t="inlineStr">
        <is>
          <t>Called up share capital</t>
        </is>
      </c>
      <c r="C3" s="4" t="inlineStr">
        <is>
          <t>General banking risk reserve</t>
        </is>
      </c>
      <c r="D3" s="4" t="inlineStr">
        <is>
          <t>Retained earnings</t>
        </is>
      </c>
      <c r="E3" s="4" t="inlineStr">
        <is>
          <t>Total</t>
        </is>
      </c>
    </row>
    <row r="4">
      <c r="A4" s="5" t="inlineStr">
        <is>
          <t>At 1 January 2021</t>
        </is>
      </c>
      <c r="B4" s="5" t="n">
        <v>164.57</v>
      </c>
      <c r="C4" s="5" t="n">
        <v>5.39</v>
      </c>
      <c r="D4" s="5" t="n">
        <v>1.36</v>
      </c>
      <c r="E4" s="5" t="n">
        <v>171.32</v>
      </c>
    </row>
    <row r="5">
      <c r="A5" s="6" t="inlineStr">
        <is>
          <t>Profit and total comprehensive income for the year (FY2019)</t>
        </is>
      </c>
      <c r="B5" s="6" t="n"/>
      <c r="C5" s="6" t="n"/>
      <c r="D5" s="6" t="n">
        <v>0.33</v>
      </c>
      <c r="E5" s="6" t="n">
        <v>0.33</v>
      </c>
    </row>
    <row r="6">
      <c r="A6" s="6" t="inlineStr">
        <is>
          <t>FX translation effect on equity, net</t>
        </is>
      </c>
      <c r="B6" s="6" t="n">
        <v>-8.73</v>
      </c>
      <c r="C6" s="6" t="n">
        <v>-0.29</v>
      </c>
      <c r="D6" s="6" t="n">
        <v>-0.09</v>
      </c>
      <c r="E6" s="6" t="n">
        <v>-9.109999999999999</v>
      </c>
    </row>
    <row r="7">
      <c r="A7" s="5" t="inlineStr">
        <is>
          <t>At 31 Dec. 2019</t>
        </is>
      </c>
      <c r="B7" s="5" t="n">
        <v>155.84</v>
      </c>
      <c r="C7" s="5" t="n">
        <v>5.1</v>
      </c>
      <c r="D7" s="5" t="n">
        <v>1.6</v>
      </c>
      <c r="E7" s="5" t="n">
        <v>162.54</v>
      </c>
    </row>
    <row r="8">
      <c r="A8" s="6" t="inlineStr">
        <is>
          <t>Profit and total comprehensive income for the year (FY2020)</t>
        </is>
      </c>
      <c r="B8" s="6" t="n"/>
      <c r="C8" s="6" t="n"/>
      <c r="D8" s="6" t="n">
        <v>0.61</v>
      </c>
      <c r="E8" s="6" t="n">
        <v>0.61</v>
      </c>
    </row>
    <row r="9">
      <c r="A9" s="6" t="inlineStr">
        <is>
          <t>FX translation effect on equity, net</t>
        </is>
      </c>
      <c r="B9" s="6" t="n">
        <v>8.960000000000001</v>
      </c>
      <c r="C9" s="6" t="n">
        <v>0.3</v>
      </c>
      <c r="D9" s="6" t="n">
        <v>0.1</v>
      </c>
      <c r="E9" s="6" t="n">
        <v>9.359999999999999</v>
      </c>
    </row>
    <row r="10">
      <c r="A10" s="5" t="inlineStr">
        <is>
          <t>At 31 Dec. 2020</t>
        </is>
      </c>
      <c r="B10" s="5" t="n">
        <v>164.8</v>
      </c>
      <c r="C10" s="5" t="n">
        <v>5.4</v>
      </c>
      <c r="D10" s="5" t="n">
        <v>2.31</v>
      </c>
      <c r="E10" s="5" t="n">
        <v>172.51</v>
      </c>
    </row>
    <row r="11">
      <c r="A11" s="5" t="inlineStr">
        <is>
          <t>At 1 January 2021</t>
        </is>
      </c>
      <c r="B11" s="5" t="n">
        <v>164.8</v>
      </c>
      <c r="C11" s="5" t="n">
        <v>5.4</v>
      </c>
      <c r="D11" s="5" t="n">
        <v>2.31</v>
      </c>
      <c r="E11" s="5" t="n">
        <v>172.51</v>
      </c>
    </row>
    <row r="12">
      <c r="A12" s="6" t="inlineStr">
        <is>
          <t>Profit and total comprehensive income for the year (FY2021)</t>
        </is>
      </c>
      <c r="B12" s="6" t="n"/>
      <c r="C12" s="6" t="n"/>
      <c r="D12" s="6" t="n">
        <v>0.6899999999999999</v>
      </c>
      <c r="E12" s="6" t="n">
        <v>0.6899999999999999</v>
      </c>
    </row>
    <row r="13">
      <c r="A13" s="6" t="inlineStr">
        <is>
          <t>FX translation effect on equity, net</t>
        </is>
      </c>
      <c r="B13" s="6" t="n">
        <v>-10.92</v>
      </c>
      <c r="C13" s="6" t="n">
        <v>-0.36</v>
      </c>
      <c r="D13" s="6" t="n">
        <v>-0.16</v>
      </c>
      <c r="E13" s="6" t="n">
        <v>-11.45</v>
      </c>
    </row>
    <row r="14">
      <c r="A14" s="5" t="inlineStr">
        <is>
          <t>At 31 Dec. 2021</t>
        </is>
      </c>
      <c r="B14" s="5" t="n">
        <v>153.88</v>
      </c>
      <c r="C14" s="5" t="n">
        <v>5.04</v>
      </c>
      <c r="D14" s="5" t="n">
        <v>2.84</v>
      </c>
      <c r="E14" s="5" t="n">
        <v>161.75</v>
      </c>
    </row>
    <row r="15">
      <c r="A15" s="6" t="inlineStr">
        <is>
          <t>Profit and total comprehensive income for the year (FY2022)</t>
        </is>
      </c>
      <c r="B15" s="6" t="n"/>
      <c r="C15" s="6" t="n"/>
      <c r="D15" s="6" t="n">
        <v>0.53</v>
      </c>
      <c r="E15" s="6" t="n">
        <v>0.53</v>
      </c>
    </row>
    <row r="16">
      <c r="A16" s="6" t="inlineStr">
        <is>
          <t>FX translation effect on equity, net</t>
        </is>
      </c>
      <c r="B16" s="6" t="n">
        <v>8.59</v>
      </c>
      <c r="C16" s="6" t="n">
        <v>0.28</v>
      </c>
      <c r="D16" s="6" t="n">
        <v>0.18</v>
      </c>
      <c r="E16" s="6" t="n">
        <v>9.06</v>
      </c>
    </row>
    <row r="17">
      <c r="A17" s="5" t="inlineStr">
        <is>
          <t>At 31 Dec. 2022</t>
        </is>
      </c>
      <c r="B17" s="5" t="n">
        <v>162.47</v>
      </c>
      <c r="C17" s="5" t="n">
        <v>5.32</v>
      </c>
      <c r="D17" s="5" t="n">
        <v>3.55</v>
      </c>
      <c r="E17" s="5" t="n">
        <v>171.34</v>
      </c>
    </row>
    <row r="18">
      <c r="A18" s="6" t="inlineStr">
        <is>
          <t>Profit and total comprehensive income for the year (FY2023)</t>
        </is>
      </c>
      <c r="B18" s="6" t="n"/>
      <c r="C18" s="6" t="n"/>
      <c r="D18" s="6" t="n">
        <v>1.08</v>
      </c>
      <c r="E18" s="6" t="n">
        <v>1.08</v>
      </c>
    </row>
    <row r="19">
      <c r="A19" s="6" t="inlineStr">
        <is>
          <t>FX translation effect on equity, net</t>
        </is>
      </c>
      <c r="B19" s="6" t="n">
        <v>-3.69</v>
      </c>
      <c r="C19" s="6" t="n">
        <v>-0.12</v>
      </c>
      <c r="D19" s="6" t="n">
        <v>-0.08</v>
      </c>
      <c r="E19" s="6" t="n">
        <v>-3.89</v>
      </c>
    </row>
    <row r="20">
      <c r="A20" s="5" t="inlineStr">
        <is>
          <t>At 31 Dec. 2023</t>
        </is>
      </c>
      <c r="B20" s="5" t="n">
        <v>158.78</v>
      </c>
      <c r="C20" s="5" t="n">
        <v>5.2</v>
      </c>
      <c r="D20" s="5" t="n">
        <v>4.55</v>
      </c>
      <c r="E20" s="5" t="n">
        <v>168.53</v>
      </c>
    </row>
    <row r="21">
      <c r="A21" s="6" t="inlineStr">
        <is>
          <t>Profit and total comprehensive income for the year (FY2024)</t>
        </is>
      </c>
      <c r="B21" s="6" t="n"/>
      <c r="C21" s="6" t="n"/>
      <c r="D21" s="6" t="n">
        <v>1.37</v>
      </c>
      <c r="E21" s="6" t="n">
        <v>1.37</v>
      </c>
    </row>
    <row r="22">
      <c r="A22" s="6" t="inlineStr">
        <is>
          <t>FX translation effect on equity, net</t>
        </is>
      </c>
      <c r="B22" s="6" t="n">
        <v>-7.35</v>
      </c>
      <c r="C22" s="6" t="n">
        <v>-0.24</v>
      </c>
      <c r="D22" s="6" t="n">
        <v>-0.24</v>
      </c>
      <c r="E22" s="6" t="n">
        <v>-7.83</v>
      </c>
    </row>
    <row r="23">
      <c r="A23" s="5" t="inlineStr">
        <is>
          <t>At 31 Dec. 2024</t>
        </is>
      </c>
      <c r="B23" s="5" t="n">
        <v>151.43</v>
      </c>
      <c r="C23" s="5" t="n">
        <v>4.96</v>
      </c>
      <c r="D23" s="5" t="n">
        <v>5.68</v>
      </c>
      <c r="E23" s="5" t="n">
        <v>162.07</v>
      </c>
    </row>
    <row r="24">
      <c r="A24" s="6" t="inlineStr">
        <is>
          <t>Profit and total comprehensive income for the year (FY2025)</t>
        </is>
      </c>
      <c r="B24" s="6" t="n"/>
      <c r="C24" s="6" t="n"/>
      <c r="D24" s="6" t="n">
        <v>0.15</v>
      </c>
      <c r="E24" s="6" t="n">
        <v>0.15</v>
      </c>
    </row>
    <row r="25">
      <c r="A25" s="6" t="inlineStr">
        <is>
          <t>FX translation effect on equity, net</t>
        </is>
      </c>
      <c r="B25" s="6" t="n">
        <v>8.529999999999999</v>
      </c>
      <c r="C25" s="6" t="n">
        <v>0.28</v>
      </c>
      <c r="D25" s="6" t="n">
        <v>0.32</v>
      </c>
      <c r="E25" s="6" t="n">
        <v>9.130000000000001</v>
      </c>
    </row>
    <row r="26">
      <c r="A26" s="5" t="inlineStr">
        <is>
          <t>At 31 Dec. 2025</t>
        </is>
      </c>
      <c r="B26" s="5" t="n">
        <v>159.96</v>
      </c>
      <c r="C26" s="5" t="n">
        <v>5.24</v>
      </c>
      <c r="D26" s="5" t="n">
        <v>6.15</v>
      </c>
      <c r="E26" s="5" t="n">
        <v>171.35</v>
      </c>
    </row>
    <row r="28" ht="409" customHeight="1">
      <c r="A28" s="8" t="inlineStr">
        <is>
          <t>Sources - Bank Saderat Plc's own Statement of Comprehensive Income / Statement of Financial Position / Statement of Changes in Equity, converted from EUR to £ (see FX conversion note below):
FY2025/FY2024: Full accounts made up to 31 December 2025, pp.29-31 - https://find-and-update.company-information.service.gov.uk/company/01126618/filing-history/MzUyNzI0MjU2MGFkaXF6a2N4/document?format=pdf&amp;download=0
FY2024/FY2023: Full accounts made up to 31 December 2024, pp.27-29 - https://find-and-update.company-information.service.gov.uk/company/01126618/filing-history/MzQ2MzQ4MDU2OWFkaXF6a2N4/document?format=pdf&amp;download=0 (FY2024's own primary report used per project convention, in preference to the FY2025 report's FY2024 comparative column, which reclassifies the Other liabilities/Deferred tax liability lines differently - see PRESENTATION_NOTE)
FY2022/FY2021: Full accounts made up to 31 December 2022, pp.21-23 - https://find-and-update.company-information.service.gov.uk/company/01126618/filing-history/MzM3Nzc2OTA1NGFkaXF6a2N4/document?format=pdf&amp;download=0
FY2020: Full accounts made up to 31 December 2020, pp.17-19 - https://find-and-update.company-information.service.gov.uk/company/01126618/filing-history/MzI5OTI5MzU3NGFkaXF6a2N4/document?format=pdf&amp;download=0
FY2019: Full accounts made up to 31 December 2019, pp.15-17 - https://find-and-update.company-information.service.gov.uk/company/01126618/filing-history/MzI2MzQzNDY1MmFkaXF6a2N4/document?format=pdf&amp;download=0
ENTITY NOTE: Bank Saderat Plc, FRN 204488, company 01126618 (incorporated 1973 as Iran Overseas Investment Bank, renamed 2002), wholly-owned UK subsidiary of Bank Saderat Iran. The Bank operated under EU sanctions until October 2016 and has faced correspondent-banking/SWIFT access difficulties since a second round of OFAC sanctions in 2018, but remains an active, going-concern entity throughout the period covered here - Companies House confirms Active status with accounts filed every year through FY2025 (filed 25 Jun 2026), and does NOT take the FRS 101/102 cash-flow-statement exemption (a full Statement of Cash Flows is published every year). IMPORTANT: the UK imposed 'snapback' sanctions affecting the Bank's business activities from 29 September 2025 (mid-way through FY2025) - the Bank's own FY2025 Annual Report states the relevant authorities have granted licenses permitting it to continue essential operations and ordinary-course payments, so this is NOT treated as a going-concern/skip situation (contrast VTB Capital plc elsewhere in this project, which IS in insolvency administration), but it materially affects FY2025's figures - operating cash flow swings to a large outflow (see Cash Flow Statement) and interest income fell sharply. Flagged prominently here since it's a genuinely new, still-unfolding development, not a historical footnote.</t>
        </is>
      </c>
    </row>
    <row r="30" ht="409" customHeight="1">
      <c r="A30" s="8" t="inlineStr">
        <is>
          <t>(continued)
CAPITAL RATIO CAVEAT (SUBSTANTIALLY RESOLVED 2026-09-15 - this bank DOES publish Pillar 3 disclosures): the Bank's own Annual Reports give a 'Capital Cover' percentage every year, and earlier passes used it as the CET1/Tier 1/Total Capital Ratio series while flagging that it is not a conventional CET1/RWA ratio. That flag was right and the reason is now confirmed: 'Capital Cover' measures capital against the Bank's total capital REQUIREMENT (Pillar 1 plus a Pillar 2A add-on), not against the risk exposure amount, which is why it reads in the 300s where the CRR ratio reads in the 80s-90s for the same year. The genuine CRR ratios and the risk exposure amounts they divide into are now carried for FY2019-FY2023, transcribed from the Bank's own standalone Pillar 3 disclosures, which are published on its live website and had simply not been found by earlier passes (see the detailed correction note on the Total RWAs and RWA Breakdown sheets). The ratio sheets therefore now carry TWO labelled rows - the CRR ratio, comparable with every other bank in this project, and the Bank's own Capital Cover metric, retained because it is the only measure available for all seven years. FY2024 has neither a Pillar 3 edition nor a disclosed risk exposure amount, so its CRR row is blank; FY2025's CRR ratio comes from the Annual Report's own narrative. No RWA is back-solved from a ratio in any year. One caveat specific to FY2019: the 2019 edition prints a CET1 ratio (81.0%) different from its Tier 1 and total capital ratios (84.4%) despite nil Tier 2, so those sheets' FY2019 cells differ from each other - as printed, and explained in full on each ratio sheet's own note.
LIQUIDITY RATIO CAVEAT: the Bank's LCR disclosure is genuinely inconsistent across filing vintages - each year's OWN report is used as the primary figure below (project convention), but later reports' comparative columns for the SAME years show materially different values: FY2022 368% (own report) vs. 328% (per the FY2024 report's comparative); FY2023 334% (own report) vs. 375% (per the FY2025 report's comparative); FY2024 331% (own report) vs. 323% (per the FY2025 report's comparative). This is a larger and more persistent cross-vintage discrepancy than the single-instance restatements seen elsewhere in this project (e.g. Bank of Ceylon, BNY Mellon) - plausibly reflecting a genuinely unstable LCR calculation methodology at this bank (new core banking/regulatory reporting software went live during this period) rather than a one-off correction. The FY2024/FY2025 reports also separately break LCR out by currency (GBP: 582-674%; EUR: 158-212%) - the 'All currencies' figure is used here as the single comparable metric, consistent with every other bank in this project.
FX CONVERSION NOTE: Bank Saderat Plc reports in Euros (its functional currency) - the second EUR-reporting workbook in this series after Arab Bank Europe Plc, using the identical methodology and (for FY2020-FY2024) the identical Bank of England GBP/EUR reference rates: point-in-time/balance figures use the SPOT rate as at that fiscal year-end (31 December); flow figures use the AVERAGE rate over that calendar year. Rates used (£1 = €X): 31 Dec 2020 spot 1.1118 (FY2021 opening cash only); FY2021 spot 1.1907 / avg 1.1628; FY2022 spot 1.1277 / avg 1.1717; FY2023 spot 1.1539 / avg 1.1520; FY2024 spot 1.2099 / avg 1.1824; FY2025 spot 1.1454 (confirmed, poundsterlinglive.com BoE archive) / avg ~1.168 (approximate - a mid-month sample average, not a full daily-series mean, since extracting the complete 2025 daily series wasn't practical; flagged here rather than presented as precise). All % ratios (Capital Cover, LCR - see ENTITY_NOTE) are shown EXACTLY as reported in EUR and were NOT converted - a ratio is dimensionless and currency-invariant. Because stocks and flows are converted at different rates, a programmatically-computed 'Effect of GBP/EUR translation' reconciling line is included so opening + all flows + this line = closing exactly in £ terms.</t>
        </is>
      </c>
    </row>
    <row r="32" ht="409" customHeight="1">
      <c r="A32" s="8" t="inlineStr">
        <is>
          <t>(continued)
PRESENTATION NOTE: this Bank's own statement formats changed between the FY2021/22 report and the FY2023-25 reports. P&amp;L: FY2021/22 has no 'Net operating Income' subtotal (Depreciation and Provisions are both deducted together, straight from Operating Income, to reach Profit before Taxation) and labels 'Other operating income' as a positive line, vs. FY2023-25's 'Other operating loss' (negative) plus a separate 'Net operating Income' subtotal before Provisions - both structures are reproduced as disclosed, with the FY2021/22 'Net operating income' cell left blank rather than back-calculated. Balance Sheet: 'Deferred tax assets' only appears as its own line FY2024-25 (nil/absent FY2021-23); FY2021-23's own reports show a single 'Deferred Tax Liability' line, which FY2025's own report restructures (for FY2025/24) into two lines, 'Other liabilities and Payables' + 'Accruals and Deferred Income' - FY2024's own primary report (used here, not FY2025's restated comparative) still uses a single undifferentiated 'Other liabilities' line, so FY2024's 'Accruals and deferred income' cell is left blank rather than split. Both totals are unaffected by these reclassifications and tie out exactly in every year.
Note: 'Total' £m figures are converted independently from the raw EUR total (not summed from the rounded component columns), so a ~£0.01m rounding gap vs. summing the displayed component cells, or vs. the Balance Sheet's own Total equity row, is expected and immaterial.</t>
        </is>
      </c>
    </row>
  </sheetData>
  <mergeCells count="3">
    <mergeCell ref="A30:E30"/>
    <mergeCell ref="A28:E28"/>
    <mergeCell ref="A32:E3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0"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Bank Saderat Plc — Statement of Cash Flows</t>
        </is>
      </c>
    </row>
    <row r="2">
      <c r="A2" s="2" t="inlineStr">
        <is>
          <t>£m, converted from EUR - see source note at bottom for FX methodology and rates used. No Financing Activities section - none is presented in any of the Bank's own source statements.</t>
        </is>
      </c>
    </row>
    <row r="3">
      <c r="A3" s="4" t="inlineStr">
        <is>
          <t>Line item</t>
        </is>
      </c>
      <c r="B3" s="4" t="inlineStr">
        <is>
          <t>FY2025 (£m, conv. from EUR)</t>
        </is>
      </c>
      <c r="C3" s="4" t="inlineStr">
        <is>
          <t>FY2024 (£m, conv. from EUR)</t>
        </is>
      </c>
      <c r="D3" s="4" t="inlineStr">
        <is>
          <t>FY2023 (£m, conv. from EUR)</t>
        </is>
      </c>
      <c r="E3" s="4" t="inlineStr">
        <is>
          <t>FY2022 (£m, conv. from EUR)</t>
        </is>
      </c>
      <c r="F3" s="4" t="inlineStr">
        <is>
          <t>FY2021 (£m, conv. from EUR)</t>
        </is>
      </c>
      <c r="G3" s="4" t="inlineStr">
        <is>
          <t>FY2020 (£m, conv. from EUR)</t>
        </is>
      </c>
      <c r="H3" s="4" t="inlineStr">
        <is>
          <t>FY2019 (£m, conv. from EUR)</t>
        </is>
      </c>
    </row>
    <row r="4">
      <c r="A4" s="5" t="inlineStr">
        <is>
          <t>Operating activities</t>
        </is>
      </c>
      <c r="B4" s="6" t="n"/>
      <c r="C4" s="6" t="n"/>
      <c r="D4" s="6" t="n"/>
      <c r="E4" s="6" t="n"/>
      <c r="F4" s="6" t="n"/>
      <c r="G4" s="6" t="n"/>
      <c r="H4" s="6" t="n"/>
    </row>
    <row r="5">
      <c r="A5" s="6" t="inlineStr">
        <is>
          <t>Cash flow from operations (note 22)</t>
        </is>
      </c>
      <c r="B5" s="6" t="n">
        <v>-60.61</v>
      </c>
      <c r="C5" s="6" t="n">
        <v>21.23</v>
      </c>
      <c r="D5" s="6" t="n">
        <v>26.26</v>
      </c>
      <c r="E5" s="6" t="n">
        <v>23.1</v>
      </c>
      <c r="F5" s="6" t="n">
        <v>0.57</v>
      </c>
      <c r="G5" s="6" t="n">
        <v>0.04</v>
      </c>
      <c r="H5" s="6" t="n">
        <v>0.19</v>
      </c>
    </row>
    <row r="6">
      <c r="A6" s="6" t="inlineStr">
        <is>
          <t>Taxation paid</t>
        </is>
      </c>
      <c r="B6" s="6" t="n">
        <v>-0.14</v>
      </c>
      <c r="C6" s="6" t="n">
        <v>-0.38</v>
      </c>
      <c r="D6" s="6" t="n">
        <v>-0.11</v>
      </c>
      <c r="E6" s="6" t="n">
        <v>-0.15</v>
      </c>
      <c r="F6" s="6" t="n">
        <v>-0.05</v>
      </c>
      <c r="G6" s="6" t="n">
        <v>-0.11</v>
      </c>
      <c r="H6" s="6" t="n">
        <v>-0.14</v>
      </c>
    </row>
    <row r="7">
      <c r="A7" s="5" t="inlineStr">
        <is>
          <t>Net cash generated from/(used in) operating activities</t>
        </is>
      </c>
      <c r="B7" s="5" t="n">
        <v>-60.75</v>
      </c>
      <c r="C7" s="5" t="n">
        <v>20.85</v>
      </c>
      <c r="D7" s="5" t="n">
        <v>26.15</v>
      </c>
      <c r="E7" s="5" t="n">
        <v>22.95</v>
      </c>
      <c r="F7" s="5" t="n">
        <v>0.52</v>
      </c>
      <c r="G7" s="5" t="n">
        <v>-0.07000000000000001</v>
      </c>
      <c r="H7" s="5" t="n">
        <v>0.04</v>
      </c>
    </row>
    <row r="8">
      <c r="A8" s="5" t="inlineStr">
        <is>
          <t>Investing activities</t>
        </is>
      </c>
      <c r="B8" s="6" t="n"/>
      <c r="C8" s="6" t="n"/>
      <c r="D8" s="6" t="n"/>
      <c r="E8" s="6" t="n"/>
      <c r="F8" s="6" t="n"/>
      <c r="G8" s="6" t="n"/>
      <c r="H8" s="6" t="n"/>
    </row>
    <row r="9">
      <c r="A9" s="6" t="inlineStr">
        <is>
          <t>Purchase of tangible fixed assets (note 12)</t>
        </is>
      </c>
      <c r="B9" s="6" t="n">
        <v>0</v>
      </c>
      <c r="C9" s="6" t="n">
        <v>0</v>
      </c>
      <c r="D9" s="6" t="n">
        <v>0</v>
      </c>
      <c r="E9" s="6" t="n">
        <v>-0.15</v>
      </c>
      <c r="F9" s="6" t="n">
        <v>-0.53</v>
      </c>
      <c r="G9" s="6" t="n">
        <v>-0.01</v>
      </c>
      <c r="H9" s="6" t="n">
        <v>-0</v>
      </c>
    </row>
    <row r="10">
      <c r="A10" s="5" t="inlineStr">
        <is>
          <t>Net cash used in investing activities</t>
        </is>
      </c>
      <c r="B10" s="5" t="n">
        <v>0</v>
      </c>
      <c r="C10" s="5" t="n">
        <v>0</v>
      </c>
      <c r="D10" s="5" t="n">
        <v>0</v>
      </c>
      <c r="E10" s="5" t="n">
        <v>-0.15</v>
      </c>
      <c r="F10" s="5" t="n">
        <v>-0.53</v>
      </c>
      <c r="G10" s="5" t="n">
        <v>-0.01</v>
      </c>
      <c r="H10" s="5" t="n">
        <v>-0</v>
      </c>
    </row>
    <row r="11">
      <c r="A11" s="5" t="inlineStr">
        <is>
          <t>Increase/(decrease) in cash and cash equivalents</t>
        </is>
      </c>
      <c r="B11" s="5" t="n">
        <v>-60.75</v>
      </c>
      <c r="C11" s="5" t="n">
        <v>20.85</v>
      </c>
      <c r="D11" s="5" t="n">
        <v>26.15</v>
      </c>
      <c r="E11" s="5" t="n">
        <v>22.8</v>
      </c>
      <c r="F11" s="5" t="n">
        <v>-0.01</v>
      </c>
      <c r="G11" s="5" t="n">
        <v>-0.08</v>
      </c>
      <c r="H11" s="5" t="n">
        <v>0.04</v>
      </c>
    </row>
    <row r="12">
      <c r="A12" s="6" t="inlineStr">
        <is>
          <t>Effect of GBP/EUR translation (£ conversion artefact - see FX note)</t>
        </is>
      </c>
      <c r="B12" s="6" t="n">
        <v>8.33</v>
      </c>
      <c r="C12" s="6" t="n">
        <v>-7.7</v>
      </c>
      <c r="D12" s="6" t="n">
        <v>-3.07</v>
      </c>
      <c r="E12" s="6" t="n">
        <v>6.68</v>
      </c>
      <c r="F12" s="6" t="n">
        <v>-7.35</v>
      </c>
      <c r="G12" s="6" t="n">
        <v>0.06</v>
      </c>
      <c r="H12" s="6" t="n">
        <v>-0.06</v>
      </c>
    </row>
    <row r="13">
      <c r="A13" s="6" t="inlineStr">
        <is>
          <t>Cash and cash equivalents at the beginning of the year</t>
        </is>
      </c>
      <c r="B13" s="6" t="n">
        <v>169.25</v>
      </c>
      <c r="C13" s="6" t="n">
        <v>156.1</v>
      </c>
      <c r="D13" s="6" t="n">
        <v>133.02</v>
      </c>
      <c r="E13" s="6" t="n">
        <v>103.54</v>
      </c>
      <c r="F13" s="6" t="n">
        <v>110.9</v>
      </c>
      <c r="G13" s="6" t="n">
        <v>1.47</v>
      </c>
      <c r="H13" s="6" t="n">
        <v>1.49</v>
      </c>
    </row>
    <row r="14">
      <c r="A14" s="5" t="inlineStr">
        <is>
          <t>Cash and cash equivalents at year-end</t>
        </is>
      </c>
      <c r="B14" s="5" t="n">
        <v>116.83</v>
      </c>
      <c r="C14" s="5" t="n">
        <v>169.25</v>
      </c>
      <c r="D14" s="5" t="n">
        <v>156.1</v>
      </c>
      <c r="E14" s="5" t="n">
        <v>133.02</v>
      </c>
      <c r="F14" s="5" t="n">
        <v>103.54</v>
      </c>
      <c r="G14" s="5" t="n">
        <v>1.45</v>
      </c>
      <c r="H14" s="5" t="n">
        <v>1.47</v>
      </c>
    </row>
    <row r="16" ht="409" customHeight="1">
      <c r="A16" s="8" t="inlineStr">
        <is>
          <t>Sources - all figures are Bank Saderat Plc's own Statement of Cash Flows, converted from EUR to £m (see FX conversion note below):
FY2025/FY2024 (2024 comparative confirmed unchanged): Full accounts made up to 31 December 2025, p.32 (Statement of Cash Flows) - https://find-and-update.company-information.service.gov.uk/company/01126618/filing-history/MzUyNzI0MjU2MGFkaXF6a2N4/document?format=pdf&amp;download=0
FY2024/FY2023: Full accounts made up to 31 December 2024, p.30 (Statement of Cash Flows) - https://find-and-update.company-information.service.gov.uk/company/01126618/filing-history/MzQ2MzQ4MDU2OWFkaXF6a2N4/document?format=pdf&amp;download=0
FY2022/FY2021: Full accounts made up to 31 December 2022, p.24 (Statement of Cash Flows) - https://find-and-update.company-information.service.gov.uk/company/01126618/filing-history/MzM3Nzc2OTA1NGFkaXF6a2N4/document?format=pdf&amp;download=0
FY2020/FY2019: FY2020 accounts p.20 and FY2019 accounts p.18 - https://find-and-update.company-information.service.gov.uk/company/01126618/filing-history/MzI5OTI5MzU3NGFkaXF6a2N4/document?format=pdf&amp;download=0 / https://find-and-update.company-information.service.gov.uk/company/01126618/filing-history/MzI2MzQzNDY1MmFkaXF6a2N4/document?format=pdf&amp;download=0. Note: this filing states 'The 2021 cash flow stands amended' - the FY2021 column here is that amended figure, not the original FY2021 filing's figure (not separately sourced).
ENTITY NOTE: Bank Saderat Plc, FRN 204488, company 01126618 (incorporated 1973 as Iran Overseas Investment Bank, renamed 2002), wholly-owned UK subsidiary of Bank Saderat Iran. The Bank operated under EU sanctions until October 2016 and has faced correspondent-banking/SWIFT access difficulties since a second round of OFAC sanctions in 2018, but remains an active, going-concern entity throughout the period covered here - Companies House confirms Active status with accounts filed every year through FY2025 (filed 25 Jun 2026), and does NOT take the FRS 101/102 cash-flow-statement exemption (a full Statement of Cash Flows is published every year). IMPORTANT: the UK imposed 'snapback' sanctions affecting the Bank's business activities from 29 September 2025 (mid-way through FY2025) - the Bank's own FY2025 Annual Report states the relevant authorities have granted licenses permitting it to continue essential operations and ordinary-course payments, so this is NOT treated as a going-concern/skip situation (contrast VTB Capital plc elsewhere in this project, which IS in insolvency administration), but it materially affects FY2025's figures - operating cash flow swings to a large outflow (see Cash Flow Statement) and interest income fell sharply. Flagged prominently here since it's a genuinely new, still-unfolding development, not a historical footnote.
CAPITAL RATIO CAVEAT (SUBSTANTIALLY RESOLVED 2026-09-15 - this bank DOES publish Pillar 3 disclosures): the Bank's own Annual Reports give a 'Capital Cover' percentage every year, and earlier passes used it as the CET1/Tier 1/Total Capital Ratio series while flagging that it is not a conventional CET1/RWA ratio. That flag was right and the reason is now confirmed: 'Capital Cover' measures capital against the Bank's total capital REQUIREMENT (Pillar 1 plus a Pillar 2A add-on), not against the risk exposure amount, which is why it reads in the 300s where the CRR ratio reads in the 80s-90s for the same year. The genuine CRR ratios and the risk exposure amounts they divide into are now carried for FY2019-FY2023, transcribed from the Bank's own standalone Pillar 3 disclosures, which are published on its live website and had simply not been found by earlier passes (see the detailed correction note on the Total RWAs and RWA Breakdown sheets). The ratio sheets therefore now carry TWO labelled rows - the CRR ratio, comparable with every other bank in this project, and the Bank's own Capital Cover metric, retained because it is the only measure available for all seven years. FY2024 has neither a Pillar 3 edition nor a disclosed risk exposure amount, so its CRR row is blank; FY2025's CRR ratio comes from the Annual Report's own narrative. No RWA is back-solved from a ratio in any year. One caveat specific to FY2019: the 2019 edition prints a CET1 ratio (81.0%) different from its Tier 1 and total capital ratios (84.4%) despite nil Tier 2, so those sheets' FY2019 cells differ from each other - as printed, and explained in full on each ratio sheet's own note.
LIQUIDITY RATIO CAVEAT: the Bank's LCR disclosure is genuinely inconsistent across filing vintages - each year's OWN report is used as the primary figure below (project convention), but later reports' comparative columns for the SAME years show materially different values: FY2022 368% (own report) vs. 328% (per the FY2024 report's comparative); FY2023 334% (own report) vs. 375% (per the FY2025 report's comparative); FY2024 331% (own report) vs. 323% (per the FY2025 report's comparative). This is a larger and more persistent cross-vintage discrepancy than the single-instance restatements seen elsewhere in this project (e.g. Bank of Ceylon, BNY Mellon) - plausibly reflecting a genuinely unstable LCR calculation methodology at this bank (new core banking/regulatory reporting software went live during this period) rather than a one-off correction. The FY2024/FY2025 reports also separately break LCR out by currency (GBP: 582-674%; EUR: 158-212%) - the 'All currencies' figure is used here as the single comparable metric, consistent with every other bank in this project.</t>
        </is>
      </c>
    </row>
    <row r="18" ht="409" customHeight="1">
      <c r="A18" s="8" t="inlineStr">
        <is>
          <t>(continued)
FX CONVERSION NOTE: Bank Saderat Plc reports in Euros (its functional currency) - the second EUR-reporting workbook in this series after Arab Bank Europe Plc, using the identical methodology and (for FY2020-FY2024) the identical Bank of England GBP/EUR reference rates: point-in-time/balance figures use the SPOT rate as at that fiscal year-end (31 December); flow figures use the AVERAGE rate over that calendar year. Rates used (£1 = €X): 31 Dec 2020 spot 1.1118 (FY2021 opening cash only); FY2021 spot 1.1907 / avg 1.1628; FY2022 spot 1.1277 / avg 1.1717; FY2023 spot 1.1539 / avg 1.1520; FY2024 spot 1.2099 / avg 1.1824; FY2025 spot 1.1454 (confirmed, poundsterlinglive.com BoE archive) / avg ~1.168 (approximate - a mid-month sample average, not a full daily-series mean, since extracting the complete 2025 daily series wasn't practical; flagged here rather than presented as precise). All % ratios (Capital Cover, LCR - see ENTITY_NOTE) are shown EXACTLY as reported in EUR and were NOT converted - a ratio is dimensionless and currency-invariant. Because stocks and flows are converted at different rates, a programmatically-computed 'Effect of GBP/EUR translation' reconciling line is included so opening + all flows + this line = closing exactly in £ terms.</t>
        </is>
      </c>
    </row>
  </sheetData>
  <mergeCells count="2">
    <mergeCell ref="A18:H18"/>
    <mergeCell ref="A16:H1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Bank Saderat Plc — Asset Quality / Credit Risk Disclosures</t>
        </is>
      </c>
    </row>
    <row r="2">
      <c r="A2" s="2" t="inlineStr">
        <is>
          <t>£m, converted from EUR. The Bank does not disclose an IFRS 9 stage or by-product loan-book split - remaining-maturity (its own actual disclosure) is used as the breakdown instead.</t>
        </is>
      </c>
    </row>
    <row r="3">
      <c r="A3" s="4" t="inlineStr">
        <is>
          <t>Line item</t>
        </is>
      </c>
      <c r="B3" s="4" t="inlineStr">
        <is>
          <t>FY2025 (£m, conv. from EUR)</t>
        </is>
      </c>
      <c r="C3" s="4" t="inlineStr">
        <is>
          <t>FY2024 (£m, conv. from EUR)</t>
        </is>
      </c>
      <c r="D3" s="4" t="inlineStr">
        <is>
          <t>FY2023 (£m, conv. from EUR)</t>
        </is>
      </c>
      <c r="E3" s="4" t="inlineStr">
        <is>
          <t>FY2022 (£m, conv. from EUR)</t>
        </is>
      </c>
      <c r="F3" s="4" t="inlineStr">
        <is>
          <t>FY2021 (£m, conv. from EUR)</t>
        </is>
      </c>
      <c r="G3" s="4" t="inlineStr">
        <is>
          <t>FY2020 (£m, conv. from EUR)</t>
        </is>
      </c>
      <c r="H3" s="4" t="inlineStr">
        <is>
          <t>FY2019 (£m, conv. from EUR)</t>
        </is>
      </c>
    </row>
    <row r="4">
      <c r="A4" s="5" t="inlineStr">
        <is>
          <t>Loans and advances to customers, by remaining maturity</t>
        </is>
      </c>
      <c r="B4" s="6" t="n"/>
      <c r="C4" s="6" t="n"/>
      <c r="D4" s="6" t="n"/>
      <c r="E4" s="6" t="n"/>
      <c r="F4" s="6" t="n"/>
      <c r="G4" s="6" t="n"/>
      <c r="H4" s="6" t="n"/>
    </row>
    <row r="5">
      <c r="A5" s="6" t="inlineStr">
        <is>
          <t>Three months or less</t>
        </is>
      </c>
      <c r="B5" s="6" t="n">
        <v>9.960000000000001</v>
      </c>
      <c r="C5" s="6" t="n">
        <v>8.83</v>
      </c>
      <c r="D5" s="6" t="n">
        <v>14.76</v>
      </c>
      <c r="E5" s="6" t="n">
        <v>12.85</v>
      </c>
      <c r="F5" s="6" t="n">
        <v>11.36</v>
      </c>
      <c r="G5" s="6" t="n">
        <v>14.55</v>
      </c>
      <c r="H5" s="6" t="n">
        <v>11.29</v>
      </c>
    </row>
    <row r="6">
      <c r="A6" s="6" t="inlineStr">
        <is>
          <t>One year or less but over three months</t>
        </is>
      </c>
      <c r="B6" s="6" t="n">
        <v>0</v>
      </c>
      <c r="C6" s="6" t="n">
        <v>0.74</v>
      </c>
      <c r="D6" s="6" t="n">
        <v>2.27</v>
      </c>
      <c r="E6" s="6" t="n">
        <v>2.06</v>
      </c>
      <c r="F6" s="6" t="n">
        <v>1.95</v>
      </c>
      <c r="G6" s="6" t="n">
        <v>2.9</v>
      </c>
      <c r="H6" s="6" t="n">
        <v>1.52</v>
      </c>
    </row>
    <row r="7">
      <c r="A7" s="6" t="inlineStr">
        <is>
          <t>Five years or less but over one year</t>
        </is>
      </c>
      <c r="B7" s="6" t="n">
        <v>9.300000000000001</v>
      </c>
      <c r="C7" s="6" t="n">
        <v>0.25</v>
      </c>
      <c r="D7" s="6" t="n">
        <v>1.29</v>
      </c>
      <c r="E7" s="6" t="n">
        <v>4.92</v>
      </c>
      <c r="F7" s="6" t="n">
        <v>8.06</v>
      </c>
      <c r="G7" s="6" t="n">
        <v>37.38</v>
      </c>
      <c r="H7" s="6" t="n">
        <v>13.08</v>
      </c>
    </row>
    <row r="8">
      <c r="A8" s="5" t="inlineStr">
        <is>
          <t>Gross loans and advances to customers</t>
        </is>
      </c>
      <c r="B8" s="5" t="n">
        <v>19.26</v>
      </c>
      <c r="C8" s="5" t="n">
        <v>9.82</v>
      </c>
      <c r="D8" s="5" t="n">
        <v>18.32</v>
      </c>
      <c r="E8" s="5" t="n">
        <v>19.83</v>
      </c>
      <c r="F8" s="5" t="n">
        <v>21.37</v>
      </c>
      <c r="G8" s="5" t="n">
        <v>54.83</v>
      </c>
      <c r="H8" s="5" t="n">
        <v>25.9</v>
      </c>
    </row>
    <row r="9">
      <c r="A9" s="6" t="inlineStr">
        <is>
          <t>Less: allowance for losses</t>
        </is>
      </c>
      <c r="B9" s="6" t="n">
        <v>-10.25</v>
      </c>
      <c r="C9" s="6" t="n">
        <v>-8.279999999999999</v>
      </c>
      <c r="D9" s="6" t="n">
        <v>-8.01</v>
      </c>
      <c r="E9" s="6" t="n">
        <v>-7.02</v>
      </c>
      <c r="F9" s="6" t="n">
        <v>-6.19</v>
      </c>
      <c r="G9" s="6" t="n">
        <v>-6.98</v>
      </c>
      <c r="H9" s="6" t="n">
        <v>-5.8</v>
      </c>
    </row>
    <row r="10">
      <c r="A10" s="6" t="inlineStr">
        <is>
          <t>Less: interest suspended</t>
        </is>
      </c>
      <c r="B10" s="6" t="n"/>
      <c r="C10" s="6" t="n"/>
      <c r="D10" s="6" t="n"/>
      <c r="E10" s="6" t="n">
        <v>-0.37</v>
      </c>
      <c r="F10" s="6" t="n">
        <v>-0.45</v>
      </c>
      <c r="G10" s="6" t="n"/>
      <c r="H10" s="6" t="n"/>
    </row>
    <row r="11">
      <c r="A11" s="5" t="inlineStr">
        <is>
          <t>Net loans and advances to customers</t>
        </is>
      </c>
      <c r="B11" s="5" t="n">
        <v>9.02</v>
      </c>
      <c r="C11" s="5" t="n">
        <v>1.53</v>
      </c>
      <c r="D11" s="5" t="n">
        <v>10.32</v>
      </c>
      <c r="E11" s="5" t="n">
        <v>12.44</v>
      </c>
      <c r="F11" s="5" t="n">
        <v>14.72</v>
      </c>
      <c r="G11" s="5" t="n">
        <v>47.85</v>
      </c>
      <c r="H11" s="5" t="n">
        <v>20.09</v>
      </c>
    </row>
    <row r="12">
      <c r="A12" s="5" t="inlineStr">
        <is>
          <t>Impaired / not impaired split (FY2021-FY2022 only - not disclosed at this granularity FY2023-25)</t>
        </is>
      </c>
      <c r="B12" s="6" t="n"/>
      <c r="C12" s="6" t="n"/>
      <c r="D12" s="6" t="n"/>
      <c r="E12" s="6" t="n"/>
      <c r="F12" s="6" t="n"/>
      <c r="G12" s="6" t="n"/>
      <c r="H12" s="6" t="n"/>
    </row>
    <row r="13">
      <c r="A13" s="6" t="inlineStr">
        <is>
          <t>Impaired exposure</t>
        </is>
      </c>
      <c r="B13" s="6" t="n"/>
      <c r="C13" s="6" t="n"/>
      <c r="D13" s="6" t="n"/>
      <c r="E13" s="6" t="n">
        <v>6.98</v>
      </c>
      <c r="F13" s="6" t="n">
        <v>6.42</v>
      </c>
      <c r="G13" s="6" t="n"/>
      <c r="H13" s="6" t="n"/>
    </row>
    <row r="14">
      <c r="A14" s="6" t="inlineStr">
        <is>
          <t>Neither past due nor impaired / past due not impaired</t>
        </is>
      </c>
      <c r="B14" s="6" t="n"/>
      <c r="C14" s="6" t="n"/>
      <c r="D14" s="6" t="n"/>
      <c r="E14" s="6" t="n">
        <v>5.46</v>
      </c>
      <c r="F14" s="6" t="n">
        <v>8.300000000000001</v>
      </c>
      <c r="G14" s="6" t="n"/>
      <c r="H14" s="6" t="n"/>
    </row>
    <row r="15">
      <c r="A15" s="6" t="inlineStr">
        <is>
          <t>Allowance coverage ratio (allowance / gross loans)</t>
        </is>
      </c>
      <c r="B15" s="6" t="inlineStr">
        <is>
          <t>53.2%</t>
        </is>
      </c>
      <c r="C15" s="6" t="inlineStr">
        <is>
          <t>84.4%</t>
        </is>
      </c>
      <c r="D15" s="6" t="inlineStr">
        <is>
          <t>43.7%</t>
        </is>
      </c>
      <c r="E15" s="6" t="inlineStr">
        <is>
          <t>35.4%</t>
        </is>
      </c>
      <c r="F15" s="6" t="inlineStr">
        <is>
          <t>29.0%</t>
        </is>
      </c>
      <c r="G15" s="6" t="inlineStr">
        <is>
          <t>12.7%</t>
        </is>
      </c>
      <c r="H15" s="6" t="inlineStr">
        <is>
          <t>22.4%</t>
        </is>
      </c>
    </row>
    <row r="16">
      <c r="A16" s="6" t="inlineStr">
        <is>
          <t>Impaired exposure ratio (impaired / total exposure)</t>
        </is>
      </c>
      <c r="B16" s="6" t="n"/>
      <c r="C16" s="6" t="n"/>
      <c r="D16" s="6" t="n"/>
      <c r="E16" s="6" t="inlineStr">
        <is>
          <t>56.1%</t>
        </is>
      </c>
      <c r="F16" s="6" t="inlineStr">
        <is>
          <t>43.6%</t>
        </is>
      </c>
      <c r="G16" s="6" t="n"/>
      <c r="H16" s="6" t="n"/>
    </row>
    <row r="18" ht="380" customHeight="1">
      <c r="A18" s="8" t="inlineStr">
        <is>
          <t>Sources - Bank Saderat Plc's own Note 10 (Loans and advances to customers) and Note 15.7/15.8 (impaired loans and advances, FY2021/FY2022 only):
FY2025/FY2024: Full accounts made up to 31 December 2025, p.48 - https://find-and-update.company-information.service.gov.uk/company/01126618/filing-history/MzUyNzI0MjU2MGFkaXF6a2N4/document?format=pdf&amp;download=0
FY2024/FY2023: Full accounts made up to 31 December 2024, p.44 - https://find-and-update.company-information.service.gov.uk/company/01126618/filing-history/MzQ2MzQ4MDU2OWFkaXF6a2N4/document?format=pdf&amp;download=0
FY2022/FY2021: Full accounts made up to 31 December 2022, pp.30,37 - https://find-and-update.company-information.service.gov.uk/company/01126618/filing-history/MzM3Nzc2OTA1NGFkaXF6a2N4/document?format=pdf&amp;download=0
FY2020/FY2019: own Notes 9-11, FY2020 pp.25-26 and FY2019 p.24 - https://find-and-update.company-information.service.gov.uk/company/01126618/filing-history/MzI5OTI5MzU3NGFkaXF6a2N4/document?format=pdf&amp;download=0 / https://find-and-update.company-information.service.gov.uk/company/01126618/filing-history/MzI2MzQzNDY1MmFkaXF6a2N4/document?format=pdf&amp;download=0
ENTITY NOTE: Bank Saderat Plc, FRN 204488, company 01126618 (incorporated 1973 as Iran Overseas Investment Bank, renamed 2002), wholly-owned UK subsidiary of Bank Saderat Iran. The Bank operated under EU sanctions until October 2016 and has faced correspondent-banking/SWIFT access difficulties since a second round of OFAC sanctions in 2018, but remains an active, going-concern entity throughout the period covered here - Companies House confirms Active status with accounts filed every year through FY2025 (filed 25 Jun 2026), and does NOT take the FRS 101/102 cash-flow-statement exemption (a full Statement of Cash Flows is published every year). IMPORTANT: the UK imposed 'snapback' sanctions affecting the Bank's business activities from 29 September 2025 (mid-way through FY2025) - the Bank's own FY2025 Annual Report states the relevant authorities have granted licenses permitting it to continue essential operations and ordinary-course payments, so this is NOT treated as a going-concern/skip situation (contrast VTB Capital plc elsewhere in this project, which IS in insolvency administration), but it materially affects FY2025's figures - operating cash flow swings to a large outflow (see Cash Flow Statement) and interest income fell sharply. Flagged prominently here since it's a genuinely new, still-unfolding development, not a historical footnote.
CAPITAL RATIO CAVEAT (SUBSTANTIALLY RESOLVED 2026-09-15 - this bank DOES publish Pillar 3 disclosures): the Bank's own Annual Reports give a 'Capital Cover' percentage every year, and earlier passes used it as the CET1/Tier 1/Total Capital Ratio series while flagging that it is not a conventional CET1/RWA ratio. That flag was right and the reason is now confirmed: 'Capital Cover' measures capital against the Bank's total capital REQUIREMENT (Pillar 1 plus a Pillar 2A add-on), not against the risk exposure amount, which is why it reads in the 300s where the CRR ratio reads in the 80s-90s for the same year. The genuine CRR ratios and the risk exposure amounts they divide into are now carried for FY2019-FY2023, transcribed from the Bank's own standalone Pillar 3 disclosures, which are published on its live website and had simply not been found by earlier passes (see the detailed correction note on the Total RWAs and RWA Breakdown sheets). The ratio sheets therefore now carry TWO labelled rows - the CRR ratio, comparable with every other bank in this project, and the Bank's own Capital Cover metric, retained because it is the only measure available for all seven years. FY2024 has neither a Pillar 3 edition nor a disclosed risk exposure amount, so its CRR row is blank; FY2025's CRR ratio comes from the Annual Report's own narrative. No RWA is back-solved from a ratio in any year. One caveat specific to FY2019: the 2019 edition prints a CET1 ratio (81.0%) different from its Tier 1 and total capital ratios (84.4%) despite nil Tier 2, so those sheets' FY2019 cells differ from each other - as printed, and explained in full on each ratio sheet's own note.
LIQUIDITY RATIO CAVEAT: the Bank's LCR disclosure is genuinely inconsistent across filing vintages - each year's OWN report is used as the primary figure below (project convention), but later reports' comparative columns for the SAME years show materially different values: FY2022 368% (own report) vs. 328% (per the FY2024 report's comparative); FY2023 334% (own report) vs. 375% (per the FY2025 report's comparative); FY2024 331% (own report) vs. 323% (per the FY2025 report's comparative). This is a larger and more persistent cross-vintage discrepancy than the single-instance restatements seen elsewhere in this project (e.g. Bank of Ceylon, BNY Mellon) - plausibly reflecting a genuinely unstable LCR calculation methodology at this bank (new core banking/regulatory reporting software went live during this period) rather than a one-off correction. The FY2024/FY2025 reports also separately break LCR out by currency (GBP: 582-674%; EUR: 158-212%) - the 'All currencies' figure is used here as the single comparable metric, consistent with every other bank in this project.</t>
        </is>
      </c>
    </row>
    <row r="20" ht="380" customHeight="1">
      <c r="A20" s="8" t="inlineStr">
        <is>
          <t>(continued)
FX CONVERSION NOTE: Bank Saderat Plc reports in Euros (its functional currency) - the second EUR-reporting workbook in this series after Arab Bank Europe Plc, using the identical methodology and (for FY2020-FY2024) the identical Bank of England GBP/EUR reference rates: point-in-time/balance figures use the SPOT rate as at that fiscal year-end (31 December); flow figures use the AVERAGE rate over that calendar year. Rates used (£1 = €X): 31 Dec 2020 spot 1.1118 (FY2021 opening cash only); FY2021 spot 1.1907 / avg 1.1628; FY2022 spot 1.1277 / avg 1.1717; FY2023 spot 1.1539 / avg 1.1520; FY2024 spot 1.2099 / avg 1.1824; FY2025 spot 1.1454 (confirmed, poundsterlinglive.com BoE archive) / avg ~1.168 (approximate - a mid-month sample average, not a full daily-series mean, since extracting the complete 2025 daily series wasn't practical; flagged here rather than presented as precise). All % ratios (Capital Cover, LCR - see ENTITY_NOTE) are shown EXACTLY as reported in EUR and were NOT converted - a ratio is dimensionless and currency-invariant. Because stocks and flows are converted at different rates, a programmatically-computed 'Effect of GBP/EUR translation' reconciling line is included so opening + all flows + this line = closing exactly in £ terms.</t>
        </is>
      </c>
    </row>
  </sheetData>
  <mergeCells count="2">
    <mergeCell ref="A18:H18"/>
    <mergeCell ref="A20:H2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Bank Saderat PLC — KM1 Key Metrics</t>
        </is>
      </c>
    </row>
    <row r="2">
      <c r="A2" s="2" t="inlineStr">
        <is>
          <t>Not applicable — the Bank publishes Pillar 3 disclosures (a continuous series back to 2010, newest edition 2023) but none of them contains the UK KM1 key-metrics template. Its capital disclosure is a bespoke single-column table of the Bank's own design, which is a different thing; see the source note below for the test applied and the individual Pillar 3 metric sheets for what that table does disclose.</t>
        </is>
      </c>
    </row>
    <row r="3">
      <c r="A3" s="4" t="inlineStr">
        <is>
          <t>Line item</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UK KM1 key-metrics template</t>
        </is>
      </c>
      <c r="B4" s="6" t="inlineStr">
        <is>
          <t>Not used in any Pillar 3 edition</t>
        </is>
      </c>
      <c r="C4" s="6" t="inlineStr">
        <is>
          <t>Not used in any Pillar 3 edition</t>
        </is>
      </c>
      <c r="D4" s="6" t="inlineStr">
        <is>
          <t>Not used in any Pillar 3 edition</t>
        </is>
      </c>
      <c r="E4" s="6" t="inlineStr">
        <is>
          <t>Not used in any Pillar 3 edition</t>
        </is>
      </c>
      <c r="F4" s="6" t="inlineStr">
        <is>
          <t>Not used in any Pillar 3 edition</t>
        </is>
      </c>
      <c r="G4" s="6" t="inlineStr">
        <is>
          <t>Not used in any Pillar 3 edition</t>
        </is>
      </c>
      <c r="H4" s="6" t="inlineStr">
        <is>
          <t>Not used in any Pillar 3 edition</t>
        </is>
      </c>
    </row>
    <row r="6" ht="300" customHeight="1">
      <c r="A6" s="8" t="inlineStr">
        <is>
          <t>Sources — none. Bank Saderat PLC publishes Pillar 3 disclosures, but no edition contains the UK KM1 key-metrics template, so there is nothing to reproduce on this sheet.
Latest-edition check, 2026-09-16: the Bank's own Reports index at https://www.saderat-plc.com/Reports was read directly. It lists a continuous Pillar 3 series — Basel II editions for 2010–2015, Basel III for 2016–2019, and untitled-series editions for 2020, 2021, 2022 and 2023. THE NEWEST IS 2023; there is no 2024 or 2025 Pillar 3 document, which is why those years are blank or Annual-Report-sourced on the metric sheets. Checked, none newer.
WHY THIS IS 'NO KM1' RATHER THAN 'NO PILLAR 3'. The FY2020–FY2023 editions were downloaded and read (HTTP 200, Content-Type application/pdf, %PDF magic bytes verified). Each carries a capital disclosure of the Bank's own design: a single undated column listing share capital, general reserve, reserves, CET1 capital, Tier 1 capital and total own funds; then risk-weighted assets split into credit, FX and operational risk; then a Pillar 1 minimum and a long Pillar 2A add-on build-up by risk type (settlement/residual, market, concentration by single name/country/sector, operational, IRRBB, sanction risk, payment risk, and financial risk due to climate change); then a buffer stack (capital conservation, PRA buffer, countercyclical) and the Bank's own 'Capital Cover' measure.
That is a genuine Pillar 3 capital disclosure, and every figure this workbook takes from it is on the individual metric sheets. But it is NOT the KM1 template: it has no template row numbers, no capital-ratio block in rows 5-7 form, no UK 7a-7d SREP rows, no UK 11a overall capital requirement row, and no rows 15-20 for LCR or NSFR. The string 'KM1' appears nowhere in any edition, and neither do the template's own row captions.
The test this project applies is the ROW SET, not the title and not the numbering — a bank that prints the template headed merely 'Key metrics', with no row numbers, still has a KM1 (Allica and Europe Arab Bank both do). Bank Saderat's table fails that test on every count, so mapping it onto KM1 row numbers would assert a correspondence the Bank never published. Nothing has been reconstructed here.</t>
        </is>
      </c>
    </row>
  </sheetData>
  <mergeCells count="1">
    <mergeCell ref="A6:H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Bank Saderat Plc — CET1 Capital</t>
        </is>
      </c>
    </row>
    <row r="2">
      <c r="A2" s="2" t="inlineStr">
        <is>
          <t>£m (Bank's disclosed capital base, consisting of CET1 Capital)</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Common Equity Tier 1 (CET1) capital</t>
        </is>
      </c>
      <c r="B4" s="6" t="n">
        <v>171.32</v>
      </c>
      <c r="C4" s="6" t="n">
        <v>162.23</v>
      </c>
      <c r="D4" s="6" t="n">
        <v>168.53</v>
      </c>
      <c r="E4" s="6" t="n">
        <v>171.34</v>
      </c>
      <c r="F4" s="6" t="n">
        <v>161.75</v>
      </c>
      <c r="G4" s="6" t="n">
        <v>172.51</v>
      </c>
      <c r="H4" s="6" t="n">
        <v>162.54</v>
      </c>
    </row>
    <row r="6" ht="260" customHeight="1">
      <c r="A6" s="8" t="inlineStr">
        <is>
          <t>Sources - Bank Saderat Plc's own Annual Report, Strategic Report 'Key performance indicators' / 'Share capital and regulatory capital base' sections (see ENTITY_NOTE on the Cash Flow Statement sheet for important caveats on how these ratios are defined and their cross-vintage consistency):
FY2025: Full accounts made up to 31 December 2025, p.13-14 - https://find-and-update.company-information.service.gov.uk/company/01126618/filing-history/MzUyNzI0MjU2MGFkaXF6a2N4/document?format=pdf&amp;download=0
FY2024/FY2023: Full accounts made up to 31 December 2024, p.13-14 - https://find-and-update.company-information.service.gov.uk/company/01126618/filing-history/MzQ2MzQ4MDU2OWFkaXF6a2N4/document?format=pdf&amp;download=0
FY2022/FY2021: Full accounts made up to 31 December 2022, p.9 - https://find-and-update.company-information.service.gov.uk/company/01126618/filing-history/MzM3Nzc2OTA1NGFkaXF6a2N4/document?format=pdf&amp;download=0
FY2020/FY2019: own Capital management Note 15, FY2020 p.35 and FY2019 p.35 - https://find-and-update.company-information.service.gov.uk/company/01126618/filing-history/MzI5OTI5MzU3NGFkaXF6a2N4/document?format=pdf&amp;download=0 / https://find-and-update.company-information.service.gov.uk/company/01126618/filing-history/MzI2MzQzNDY1MmFkaXF6a2N4/document?format=pdf&amp;download=0
FY2019-FY2023 CRR capital ratios and risk exposure amounts: each year's own standalone Pillar 3 disclosure, from the Bank's Basel Disclosures Archive - https://www.saderat-plc.com/Basel_Disclosures.htm (see the detailed source note on the Total RWAs and RWA Breakdown sheets, including the FY2019 CET1-ratio caveat)</t>
        </is>
      </c>
    </row>
  </sheetData>
  <mergeCells count="1">
    <mergeCell ref="A6:H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Bank Saderat Plc — CET1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CET1 capital ratio (CRR: own funds / total risk exposure amount)</t>
        </is>
      </c>
      <c r="B4" s="6" t="inlineStr">
        <is>
          <t>88.70%</t>
        </is>
      </c>
      <c r="C4" s="6" t="inlineStr">
        <is>
          <t>92.33%</t>
        </is>
      </c>
      <c r="D4" s="6" t="inlineStr">
        <is>
          <t>86.62%</t>
        </is>
      </c>
      <c r="E4" s="6" t="inlineStr">
        <is>
          <t>90.31%</t>
        </is>
      </c>
      <c r="F4" s="6" t="inlineStr">
        <is>
          <t>83.57%</t>
        </is>
      </c>
      <c r="G4" s="6" t="inlineStr">
        <is>
          <t>83.44%</t>
        </is>
      </c>
      <c r="H4" s="6" t="inlineStr">
        <is>
          <t>81.0%</t>
        </is>
      </c>
    </row>
    <row r="5">
      <c r="A5" s="6" t="inlineStr">
        <is>
          <t>Capital Cover (Bank's own metric - NOT a CRR ratio)</t>
        </is>
      </c>
      <c r="B5" s="6" t="inlineStr">
        <is>
          <t>331%</t>
        </is>
      </c>
      <c r="C5" s="6" t="inlineStr">
        <is>
          <t>349%</t>
        </is>
      </c>
      <c r="D5" s="6" t="inlineStr">
        <is>
          <t>325%</t>
        </is>
      </c>
      <c r="E5" s="6" t="inlineStr">
        <is>
          <t>339%</t>
        </is>
      </c>
      <c r="F5" s="6" t="inlineStr">
        <is>
          <t>313%</t>
        </is>
      </c>
      <c r="G5" s="6" t="inlineStr">
        <is>
          <t>330%</t>
        </is>
      </c>
      <c r="H5" s="6" t="inlineStr">
        <is>
          <t>324%</t>
        </is>
      </c>
    </row>
    <row r="6" ht="364" customHeight="1">
      <c r="A6" s="7" t="inlineStr">
        <is>
          <t>Note: TWO ROWS, TWO DIFFERENT MEASURES - read the labels before comparing.
ROW 1 is the genuine CRR ratio (own funds divided by the total risk exposure amount), the measure every other bank in this project reports on these sheets. FY2019-FY2023 are transcribed from each year's own standalone Pillar 3 disclosure, 'Capital Requirement, Resources &amp; Ratios' table (and its section 4.3 'Capital Buffers' restatement, where the edition has one); FY2025 is from the Annual Report's own narrative ('The CET1 capital ratio to the total risk exposure is 88.70%'). Each Pillar 3 ratio reconciles against that same document's own capital and total-risk-exposure figures: FY2023 194,469/224,516 = 86.62%, FY2021 192,598/230,466 = 83.57% and FY2020 191,794/229,855 = 83.44% reproduce the printed values exactly, FY2022 193,221/213,927 = 90.32% against a printed 90.31% (a 0.01pp rounding difference inside the Bank's own figures; the printed value is carried, nothing is back-solved). FY2024 was blank here until 2026-09-18 and is now 92.33%, taken from the FY2024 Annual Report's own narrative ('The CET1 capital ratio to the total risk exposure is 92.33%', Strategic Report, PDF p.12 of 60) - the identical sentence in the identical section that already sources FY2025. It had been missed because that report is an image-only scan with no text layer, so every text search of it returned zero; the sentence is legible only after OCR, and was confirmed against a 200 DPI render of the page rather than trusted from OCR. There is still NO Pillar 3 edition for FY2024, so this ratio has no published denominator to tie to - see the Total RWAs sheet.
THE FY2024 REPORT PRINTS CAPITAL COVER THREE TIMES, AT THREE DIFFERENT VALUES, AND THAT IS THE BANK'S OWN INCONSISTENCY, NOT A TRANSCRIPTION CHOICE: the Capital Cover chart on PDF p.13 reads 349%, the narrative beneath it says the cover 'has increased from 325% in 2023 to 347% in the year 2024', and the Strategic Report on p.12 says 'a capital cover of 346.77%'. Row 2 carries 349%, the CHART value, because the chart is the series every other year on this sheet is transcribed from (FY2023 325%, FY2022 339%, and so on) - so the row stays internally comparable across years. The other two values are recorded here rather than reconciled away. The same report likewise prints two different capital bases - EUR196,091,098 as shareholders' funds and net assets, and EUR196,287,187 as 'the Bank's capital base' - and the CET1 Capital sheet carries the latter, which is the one the Bank labels as its capital base.
FY2019 IS THE ONE YEAR WHERE THE THREE RATIO SHEETS DIFFER, AND THAT IS AS PRINTED. The 2019 Pillar 3's ratio table gives a CET1 capital ratio of 81.0% but a Tier 1 capital ratio and total capital ratio of 84.4%, even though the same table shows Tier 2 capital as nil - so on the CRR definitions all three should be identical, as they are in every other year. Reconstructing both: 191,102/226,309 = 84.44%, matching the Tier 1 and total figures; 183,220/226,309 = 80.96%, matching the CET1 figure - i.e. the printed CET1 ratio appears to have been computed on SHARE CAPITAL ALONE (EUR183,220k), excluding the general banking risk reserve and profit and loss account that the same table includes in CET1 capital. The 2020 edition does not repeat this: it prints all three at 83.44% on the full CET1 base. The figures are carried here exactly as printed in each sheet's own line and NOT restated to 84.4%, per this project's transcribe-as-reported convention - but treat FY2019's CET1 Ratio cell as the Bank's own presentation quirk rather than a real 3.4pp gap between its CET1 and Tier 1 ratios.
ROW 2 is the Bank's own 'Capital Cover' percentage, disclosed every year as a Strategic Report chart. It is NOT a CET1/RWA ratio - it measures capital against the Bank's total capital REQUIREMENT (Pillar 1 plus a Pillar 2A add-on), which is why it reads in the 300s while the CRR ratio reads in the 80s-90s for the same year. It is retained because it is the only measure available for all seven years and was the series these sheets previously carried; it must not be compared with other banks' ratio sheets.
Capital = CET1 = Tier 1 = Total Capital throughout, per the Bank's own statement that it holds no Tier 2 or Tier 3 capital, so one printed ratio serves all three sheets - the FY2021 Pillar 3 confirms this by printing the CET1, Tier 1 and Total capital ratios all at 83.57%.
UNRESOLVED, RECORDED NOT SILENTLY CORRECTED: the FY2025 Annual Report's narrative (p.14, confirmed by page-image reading at 450 dpi) states a capital cover of 333.16%, where the Capital Cover row carries 331% for FY2025 sourced from the Strategic Report chart. Charts and narrative may legitimately differ in rounding or vintage within the same filing, and the chart itself was not re-read at image level this session, so the existing 331% is left untouched and the discrepancy is flagged here instead.</t>
        </is>
      </c>
    </row>
    <row r="8" ht="260" customHeight="1">
      <c r="A8" s="8" t="inlineStr">
        <is>
          <t>Sources - Bank Saderat Plc's own Annual Report, Strategic Report 'Key performance indicators' / 'Share capital and regulatory capital base' sections (see ENTITY_NOTE on the Cash Flow Statement sheet for important caveats on how these ratios are defined and their cross-vintage consistency):
FY2025: Full accounts made up to 31 December 2025, p.13-14 - https://find-and-update.company-information.service.gov.uk/company/01126618/filing-history/MzUyNzI0MjU2MGFkaXF6a2N4/document?format=pdf&amp;download=0
FY2024/FY2023: Full accounts made up to 31 December 2024, p.13-14 - https://find-and-update.company-information.service.gov.uk/company/01126618/filing-history/MzQ2MzQ4MDU2OWFkaXF6a2N4/document?format=pdf&amp;download=0
FY2022/FY2021: Full accounts made up to 31 December 2022, p.9 - https://find-and-update.company-information.service.gov.uk/company/01126618/filing-history/MzM3Nzc2OTA1NGFkaXF6a2N4/document?format=pdf&amp;download=0
FY2020/FY2019: own Capital management Note 15, FY2020 p.35 and FY2019 p.35 - https://find-and-update.company-information.service.gov.uk/company/01126618/filing-history/MzI5OTI5MzU3NGFkaXF6a2N4/document?format=pdf&amp;download=0 / https://find-and-update.company-information.service.gov.uk/company/01126618/filing-history/MzI2MzQzNDY1MmFkaXF6a2N4/document?format=pdf&amp;download=0
FY2019-FY2023 CRR capital ratios and risk exposure amounts: each year's own standalone Pillar 3 disclosure, from the Bank's Basel Disclosures Archive - https://www.saderat-plc.com/Basel_Disclosures.htm (see the detailed source note on the Total RWAs and RWA Breakdown sheets, including the FY2019 CET1-ratio caveat)</t>
        </is>
      </c>
    </row>
  </sheetData>
  <mergeCells count="2">
    <mergeCell ref="A8:H8"/>
    <mergeCell ref="A6:H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Bank Saderat Plc — Tier 1 Capital</t>
        </is>
      </c>
    </row>
    <row r="2">
      <c r="A2" s="2" t="inlineStr">
        <is>
          <t>£m (= CET1 Capital; no AT1 instruments)</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Tier 1 capital</t>
        </is>
      </c>
      <c r="B4" s="6" t="n">
        <v>171.32</v>
      </c>
      <c r="C4" s="6" t="n">
        <v>162.23</v>
      </c>
      <c r="D4" s="6" t="n">
        <v>168.53</v>
      </c>
      <c r="E4" s="6" t="n">
        <v>171.34</v>
      </c>
      <c r="F4" s="6" t="n">
        <v>161.75</v>
      </c>
      <c r="G4" s="6" t="n">
        <v>172.51</v>
      </c>
      <c r="H4" s="6" t="n">
        <v>162.54</v>
      </c>
    </row>
    <row r="6" ht="260" customHeight="1">
      <c r="A6" s="8" t="inlineStr">
        <is>
          <t>Sources - Bank Saderat Plc's own Annual Report, Strategic Report 'Key performance indicators' / 'Share capital and regulatory capital base' sections (see ENTITY_NOTE on the Cash Flow Statement sheet for important caveats on how these ratios are defined and their cross-vintage consistency):
FY2025: Full accounts made up to 31 December 2025, p.13-14 - https://find-and-update.company-information.service.gov.uk/company/01126618/filing-history/MzUyNzI0MjU2MGFkaXF6a2N4/document?format=pdf&amp;download=0
FY2024/FY2023: Full accounts made up to 31 December 2024, p.13-14 - https://find-and-update.company-information.service.gov.uk/company/01126618/filing-history/MzQ2MzQ4MDU2OWFkaXF6a2N4/document?format=pdf&amp;download=0
FY2022/FY2021: Full accounts made up to 31 December 2022, p.9 - https://find-and-update.company-information.service.gov.uk/company/01126618/filing-history/MzM3Nzc2OTA1NGFkaXF6a2N4/document?format=pdf&amp;download=0
FY2020/FY2019: own Capital management Note 15, FY2020 p.35 and FY2019 p.35 - https://find-and-update.company-information.service.gov.uk/company/01126618/filing-history/MzI5OTI5MzU3NGFkaXF6a2N4/document?format=pdf&amp;download=0 / https://find-and-update.company-information.service.gov.uk/company/01126618/filing-history/MzI2MzQzNDY1MmFkaXF6a2N4/document?format=pdf&amp;download=0
FY2019-FY2023 CRR capital ratios and risk exposure amounts: each year's own standalone Pillar 3 disclosure, from the Bank's Basel Disclosures Archive - https://www.saderat-plc.com/Basel_Disclosures.htm (see the detailed source note on the Total RWAs and RWA Breakdown sheets, including the FY2019 CET1-ratio caveat)</t>
        </is>
      </c>
    </row>
  </sheetData>
  <mergeCells count="1">
    <mergeCell ref="A6:H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Bank Saderat Plc — Tier 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Tier 1 capital ratio (CRR: own funds / total risk exposure amount)</t>
        </is>
      </c>
      <c r="B4" s="6" t="inlineStr">
        <is>
          <t>88.70%</t>
        </is>
      </c>
      <c r="C4" s="6" t="inlineStr">
        <is>
          <t>92.33%</t>
        </is>
      </c>
      <c r="D4" s="6" t="inlineStr">
        <is>
          <t>86.62%</t>
        </is>
      </c>
      <c r="E4" s="6" t="inlineStr">
        <is>
          <t>90.31%</t>
        </is>
      </c>
      <c r="F4" s="6" t="inlineStr">
        <is>
          <t>83.57%</t>
        </is>
      </c>
      <c r="G4" s="6" t="inlineStr">
        <is>
          <t>83.44%</t>
        </is>
      </c>
      <c r="H4" s="6" t="inlineStr">
        <is>
          <t>84.4%</t>
        </is>
      </c>
    </row>
    <row r="5">
      <c r="A5" s="6" t="inlineStr">
        <is>
          <t>Capital Cover (Bank's own metric - NOT a CRR ratio)</t>
        </is>
      </c>
      <c r="B5" s="6" t="inlineStr">
        <is>
          <t>331%</t>
        </is>
      </c>
      <c r="C5" s="6" t="inlineStr">
        <is>
          <t>349%</t>
        </is>
      </c>
      <c r="D5" s="6" t="inlineStr">
        <is>
          <t>325%</t>
        </is>
      </c>
      <c r="E5" s="6" t="inlineStr">
        <is>
          <t>339%</t>
        </is>
      </c>
      <c r="F5" s="6" t="inlineStr">
        <is>
          <t>313%</t>
        </is>
      </c>
      <c r="G5" s="6" t="inlineStr">
        <is>
          <t>330%</t>
        </is>
      </c>
      <c r="H5" s="6" t="inlineStr">
        <is>
          <t>324%</t>
        </is>
      </c>
    </row>
    <row r="6" ht="364" customHeight="1">
      <c r="A6" s="7" t="inlineStr">
        <is>
          <t>Note: TWO ROWS, TWO DIFFERENT MEASURES - read the labels before comparing.
ROW 1 is the genuine CRR ratio (own funds divided by the total risk exposure amount), the measure every other bank in this project reports on these sheets. FY2019-FY2023 are transcribed from each year's own standalone Pillar 3 disclosure, 'Capital Requirement, Resources &amp; Ratios' table (and its section 4.3 'Capital Buffers' restatement, where the edition has one); FY2025 is from the Annual Report's own narrative ('The CET1 capital ratio to the total risk exposure is 88.70%'). Each Pillar 3 ratio reconciles against that same document's own capital and total-risk-exposure figures: FY2023 194,469/224,516 = 86.62%, FY2021 192,598/230,466 = 83.57% and FY2020 191,794/229,855 = 83.44% reproduce the printed values exactly, FY2022 193,221/213,927 = 90.32% against a printed 90.31% (a 0.01pp rounding difference inside the Bank's own figures; the printed value is carried, nothing is back-solved). FY2024 was blank here until 2026-09-18 and is now 92.33%, taken from the FY2024 Annual Report's own narrative ('The CET1 capital ratio to the total risk exposure is 92.33%', Strategic Report, PDF p.12 of 60) - the identical sentence in the identical section that already sources FY2025. It had been missed because that report is an image-only scan with no text layer, so every text search of it returned zero; the sentence is legible only after OCR, and was confirmed against a 200 DPI render of the page rather than trusted from OCR. There is still NO Pillar 3 edition for FY2024, so this ratio has no published denominator to tie to - see the Total RWAs sheet.
THE FY2024 REPORT PRINTS CAPITAL COVER THREE TIMES, AT THREE DIFFERENT VALUES, AND THAT IS THE BANK'S OWN INCONSISTENCY, NOT A TRANSCRIPTION CHOICE: the Capital Cover chart on PDF p.13 reads 349%, the narrative beneath it says the cover 'has increased from 325% in 2023 to 347% in the year 2024', and the Strategic Report on p.12 says 'a capital cover of 346.77%'. Row 2 carries 349%, the CHART value, because the chart is the series every other year on this sheet is transcribed from (FY2023 325%, FY2022 339%, and so on) - so the row stays internally comparable across years. The other two values are recorded here rather than reconciled away. The same report likewise prints two different capital bases - EUR196,091,098 as shareholders' funds and net assets, and EUR196,287,187 as 'the Bank's capital base' - and the CET1 Capital sheet carries the latter, which is the one the Bank labels as its capital base.
FY2019 IS THE ONE YEAR WHERE THE THREE RATIO SHEETS DIFFER, AND THAT IS AS PRINTED. The 2019 Pillar 3's ratio table gives a CET1 capital ratio of 81.0% but a Tier 1 capital ratio and total capital ratio of 84.4%, even though the same table shows Tier 2 capital as nil - so on the CRR definitions all three should be identical, as they are in every other year. Reconstructing both: 191,102/226,309 = 84.44%, matching the Tier 1 and total figures; 183,220/226,309 = 80.96%, matching the CET1 figure - i.e. the printed CET1 ratio appears to have been computed on SHARE CAPITAL ALONE (EUR183,220k), excluding the general banking risk reserve and profit and loss account that the same table includes in CET1 capital. The 2020 edition does not repeat this: it prints all three at 83.44% on the full CET1 base. The figures are carried here exactly as printed in each sheet's own line and NOT restated to 84.4%, per this project's transcribe-as-reported convention - but treat FY2019's CET1 Ratio cell as the Bank's own presentation quirk rather than a real 3.4pp gap between its CET1 and Tier 1 ratios.
ROW 2 is the Bank's own 'Capital Cover' percentage, disclosed every year as a Strategic Report chart. It is NOT a CET1/RWA ratio - it measures capital against the Bank's total capital REQUIREMENT (Pillar 1 plus a Pillar 2A add-on), which is why it reads in the 300s while the CRR ratio reads in the 80s-90s for the same year. It is retained because it is the only measure available for all seven years and was the series these sheets previously carried; it must not be compared with other banks' ratio sheets.
Capital = CET1 = Tier 1 = Total Capital throughout, per the Bank's own statement that it holds no Tier 2 or Tier 3 capital, so one printed ratio serves all three sheets - the FY2021 Pillar 3 confirms this by printing the CET1, Tier 1 and Total capital ratios all at 83.57%.
UNRESOLVED, RECORDED NOT SILENTLY CORRECTED: the FY2025 Annual Report's narrative (p.14, confirmed by page-image reading at 450 dpi) states a capital cover of 333.16%, where the Capital Cover row carries 331% for FY2025 sourced from the Strategic Report chart. Charts and narrative may legitimately differ in rounding or vintage within the same filing, and the chart itself was not re-read at image level this session, so the existing 331% is left untouched and the discrepancy is flagged here instead.</t>
        </is>
      </c>
    </row>
    <row r="8" ht="260" customHeight="1">
      <c r="A8" s="8" t="inlineStr">
        <is>
          <t>Sources - Bank Saderat Plc's own Annual Report, Strategic Report 'Key performance indicators' / 'Share capital and regulatory capital base' sections (see ENTITY_NOTE on the Cash Flow Statement sheet for important caveats on how these ratios are defined and their cross-vintage consistency):
FY2025: Full accounts made up to 31 December 2025, p.13-14 - https://find-and-update.company-information.service.gov.uk/company/01126618/filing-history/MzUyNzI0MjU2MGFkaXF6a2N4/document?format=pdf&amp;download=0
FY2024/FY2023: Full accounts made up to 31 December 2024, p.13-14 - https://find-and-update.company-information.service.gov.uk/company/01126618/filing-history/MzQ2MzQ4MDU2OWFkaXF6a2N4/document?format=pdf&amp;download=0
FY2022/FY2021: Full accounts made up to 31 December 2022, p.9 - https://find-and-update.company-information.service.gov.uk/company/01126618/filing-history/MzM3Nzc2OTA1NGFkaXF6a2N4/document?format=pdf&amp;download=0
FY2020/FY2019: own Capital management Note 15, FY2020 p.35 and FY2019 p.35 - https://find-and-update.company-information.service.gov.uk/company/01126618/filing-history/MzI5OTI5MzU3NGFkaXF6a2N4/document?format=pdf&amp;download=0 / https://find-and-update.company-information.service.gov.uk/company/01126618/filing-history/MzI2MzQzNDY1MmFkaXF6a2N4/document?format=pdf&amp;download=0
FY2019-FY2023 CRR capital ratios and risk exposure amounts: each year's own standalone Pillar 3 disclosure, from the Bank's Basel Disclosures Archive - https://www.saderat-plc.com/Basel_Disclosures.htm (see the detailed source note on the Total RWAs and RWA Breakdown sheets, including the FY2019 CET1-ratio caveat)</t>
        </is>
      </c>
    </row>
  </sheetData>
  <mergeCells count="2">
    <mergeCell ref="A8:H8"/>
    <mergeCell ref="A6:H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Bank Saderat Plc — Total Capital</t>
        </is>
      </c>
    </row>
    <row r="2">
      <c r="A2" s="2" t="inlineStr">
        <is>
          <t>£m (= CET1 Capital; no Tier 2 instruments)</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Total capital</t>
        </is>
      </c>
      <c r="B4" s="6" t="n">
        <v>171.32</v>
      </c>
      <c r="C4" s="6" t="n">
        <v>162.23</v>
      </c>
      <c r="D4" s="6" t="n">
        <v>168.53</v>
      </c>
      <c r="E4" s="6" t="n">
        <v>171.34</v>
      </c>
      <c r="F4" s="6" t="n">
        <v>161.75</v>
      </c>
      <c r="G4" s="6" t="n">
        <v>172.51</v>
      </c>
      <c r="H4" s="6" t="n">
        <v>162.54</v>
      </c>
    </row>
    <row r="6" ht="260" customHeight="1">
      <c r="A6" s="8" t="inlineStr">
        <is>
          <t>Sources - Bank Saderat Plc's own Annual Report, Strategic Report 'Key performance indicators' / 'Share capital and regulatory capital base' sections (see ENTITY_NOTE on the Cash Flow Statement sheet for important caveats on how these ratios are defined and their cross-vintage consistency):
FY2025: Full accounts made up to 31 December 2025, p.13-14 - https://find-and-update.company-information.service.gov.uk/company/01126618/filing-history/MzUyNzI0MjU2MGFkaXF6a2N4/document?format=pdf&amp;download=0
FY2024/FY2023: Full accounts made up to 31 December 2024, p.13-14 - https://find-and-update.company-information.service.gov.uk/company/01126618/filing-history/MzQ2MzQ4MDU2OWFkaXF6a2N4/document?format=pdf&amp;download=0
FY2022/FY2021: Full accounts made up to 31 December 2022, p.9 - https://find-and-update.company-information.service.gov.uk/company/01126618/filing-history/MzM3Nzc2OTA1NGFkaXF6a2N4/document?format=pdf&amp;download=0
FY2020/FY2019: own Capital management Note 15, FY2020 p.35 and FY2019 p.35 - https://find-and-update.company-information.service.gov.uk/company/01126618/filing-history/MzI5OTI5MzU3NGFkaXF6a2N4/document?format=pdf&amp;download=0 / https://find-and-update.company-information.service.gov.uk/company/01126618/filing-history/MzI2MzQzNDY1MmFkaXF6a2N4/document?format=pdf&amp;download=0
FY2019-FY2023 CRR capital ratios and risk exposure amounts: each year's own standalone Pillar 3 disclosure, from the Bank's Basel Disclosures Archive - https://www.saderat-plc.com/Basel_Disclosures.htm (see the detailed source note on the Total RWAs and RWA Breakdown sheets, including the FY2019 CET1-ratio caveat)</t>
        </is>
      </c>
    </row>
  </sheetData>
  <mergeCells count="1">
    <mergeCell ref="A6:H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Bank Saderat Plc — Total Capital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Total capital ratio (CRR: own funds / total risk exposure amount)</t>
        </is>
      </c>
      <c r="B4" s="6" t="inlineStr">
        <is>
          <t>88.70%</t>
        </is>
      </c>
      <c r="C4" s="6" t="inlineStr">
        <is>
          <t>92.33%</t>
        </is>
      </c>
      <c r="D4" s="6" t="inlineStr">
        <is>
          <t>86.62%</t>
        </is>
      </c>
      <c r="E4" s="6" t="inlineStr">
        <is>
          <t>90.31%</t>
        </is>
      </c>
      <c r="F4" s="6" t="inlineStr">
        <is>
          <t>83.57%</t>
        </is>
      </c>
      <c r="G4" s="6" t="inlineStr">
        <is>
          <t>83.44%</t>
        </is>
      </c>
      <c r="H4" s="6" t="inlineStr">
        <is>
          <t>84.4%</t>
        </is>
      </c>
    </row>
    <row r="5">
      <c r="A5" s="6" t="inlineStr">
        <is>
          <t>Capital Cover (Bank's own metric - NOT a CRR ratio)</t>
        </is>
      </c>
      <c r="B5" s="6" t="inlineStr">
        <is>
          <t>331%</t>
        </is>
      </c>
      <c r="C5" s="6" t="inlineStr">
        <is>
          <t>349%</t>
        </is>
      </c>
      <c r="D5" s="6" t="inlineStr">
        <is>
          <t>325%</t>
        </is>
      </c>
      <c r="E5" s="6" t="inlineStr">
        <is>
          <t>339%</t>
        </is>
      </c>
      <c r="F5" s="6" t="inlineStr">
        <is>
          <t>313%</t>
        </is>
      </c>
      <c r="G5" s="6" t="inlineStr">
        <is>
          <t>330%</t>
        </is>
      </c>
      <c r="H5" s="6" t="inlineStr">
        <is>
          <t>324%</t>
        </is>
      </c>
    </row>
    <row r="6" ht="364" customHeight="1">
      <c r="A6" s="7" t="inlineStr">
        <is>
          <t>Note: TWO ROWS, TWO DIFFERENT MEASURES - read the labels before comparing.
ROW 1 is the genuine CRR ratio (own funds divided by the total risk exposure amount), the measure every other bank in this project reports on these sheets. FY2019-FY2023 are transcribed from each year's own standalone Pillar 3 disclosure, 'Capital Requirement, Resources &amp; Ratios' table (and its section 4.3 'Capital Buffers' restatement, where the edition has one); FY2025 is from the Annual Report's own narrative ('The CET1 capital ratio to the total risk exposure is 88.70%'). Each Pillar 3 ratio reconciles against that same document's own capital and total-risk-exposure figures: FY2023 194,469/224,516 = 86.62%, FY2021 192,598/230,466 = 83.57% and FY2020 191,794/229,855 = 83.44% reproduce the printed values exactly, FY2022 193,221/213,927 = 90.32% against a printed 90.31% (a 0.01pp rounding difference inside the Bank's own figures; the printed value is carried, nothing is back-solved). FY2024 was blank here until 2026-09-18 and is now 92.33%, taken from the FY2024 Annual Report's own narrative ('The CET1 capital ratio to the total risk exposure is 92.33%', Strategic Report, PDF p.12 of 60) - the identical sentence in the identical section that already sources FY2025. It had been missed because that report is an image-only scan with no text layer, so every text search of it returned zero; the sentence is legible only after OCR, and was confirmed against a 200 DPI render of the page rather than trusted from OCR. There is still NO Pillar 3 edition for FY2024, so this ratio has no published denominator to tie to - see the Total RWAs sheet.
THE FY2024 REPORT PRINTS CAPITAL COVER THREE TIMES, AT THREE DIFFERENT VALUES, AND THAT IS THE BANK'S OWN INCONSISTENCY, NOT A TRANSCRIPTION CHOICE: the Capital Cover chart on PDF p.13 reads 349%, the narrative beneath it says the cover 'has increased from 325% in 2023 to 347% in the year 2024', and the Strategic Report on p.12 says 'a capital cover of 346.77%'. Row 2 carries 349%, the CHART value, because the chart is the series every other year on this sheet is transcribed from (FY2023 325%, FY2022 339%, and so on) - so the row stays internally comparable across years. The other two values are recorded here rather than reconciled away. The same report likewise prints two different capital bases - EUR196,091,098 as shareholders' funds and net assets, and EUR196,287,187 as 'the Bank's capital base' - and the CET1 Capital sheet carries the latter, which is the one the Bank labels as its capital base.
FY2019 IS THE ONE YEAR WHERE THE THREE RATIO SHEETS DIFFER, AND THAT IS AS PRINTED. The 2019 Pillar 3's ratio table gives a CET1 capital ratio of 81.0% but a Tier 1 capital ratio and total capital ratio of 84.4%, even though the same table shows Tier 2 capital as nil - so on the CRR definitions all three should be identical, as they are in every other year. Reconstructing both: 191,102/226,309 = 84.44%, matching the Tier 1 and total figures; 183,220/226,309 = 80.96%, matching the CET1 figure - i.e. the printed CET1 ratio appears to have been computed on SHARE CAPITAL ALONE (EUR183,220k), excluding the general banking risk reserve and profit and loss account that the same table includes in CET1 capital. The 2020 edition does not repeat this: it prints all three at 83.44% on the full CET1 base. The figures are carried here exactly as printed in each sheet's own line and NOT restated to 84.4%, per this project's transcribe-as-reported convention - but treat FY2019's CET1 Ratio cell as the Bank's own presentation quirk rather than a real 3.4pp gap between its CET1 and Tier 1 ratios.
ROW 2 is the Bank's own 'Capital Cover' percentage, disclosed every year as a Strategic Report chart. It is NOT a CET1/RWA ratio - it measures capital against the Bank's total capital REQUIREMENT (Pillar 1 plus a Pillar 2A add-on), which is why it reads in the 300s while the CRR ratio reads in the 80s-90s for the same year. It is retained because it is the only measure available for all seven years and was the series these sheets previously carried; it must not be compared with other banks' ratio sheets.
Capital = CET1 = Tier 1 = Total Capital throughout, per the Bank's own statement that it holds no Tier 2 or Tier 3 capital, so one printed ratio serves all three sheets - the FY2021 Pillar 3 confirms this by printing the CET1, Tier 1 and Total capital ratios all at 83.57%.
UNRESOLVED, RECORDED NOT SILENTLY CORRECTED: the FY2025 Annual Report's narrative (p.14, confirmed by page-image reading at 450 dpi) states a capital cover of 333.16%, where the Capital Cover row carries 331% for FY2025 sourced from the Strategic Report chart. Charts and narrative may legitimately differ in rounding or vintage within the same filing, and the chart itself was not re-read at image level this session, so the existing 331% is left untouched and the discrepancy is flagged here instead.</t>
        </is>
      </c>
    </row>
    <row r="8" ht="260" customHeight="1">
      <c r="A8" s="8" t="inlineStr">
        <is>
          <t>Sources - Bank Saderat Plc's own Annual Report, Strategic Report 'Key performance indicators' / 'Share capital and regulatory capital base' sections (see ENTITY_NOTE on the Cash Flow Statement sheet for important caveats on how these ratios are defined and their cross-vintage consistency):
FY2025: Full accounts made up to 31 December 2025, p.13-14 - https://find-and-update.company-information.service.gov.uk/company/01126618/filing-history/MzUyNzI0MjU2MGFkaXF6a2N4/document?format=pdf&amp;download=0
FY2024/FY2023: Full accounts made up to 31 December 2024, p.13-14 - https://find-and-update.company-information.service.gov.uk/company/01126618/filing-history/MzQ2MzQ4MDU2OWFkaXF6a2N4/document?format=pdf&amp;download=0
FY2022/FY2021: Full accounts made up to 31 December 2022, p.9 - https://find-and-update.company-information.service.gov.uk/company/01126618/filing-history/MzM3Nzc2OTA1NGFkaXF6a2N4/document?format=pdf&amp;download=0
FY2020/FY2019: own Capital management Note 15, FY2020 p.35 and FY2019 p.35 - https://find-and-update.company-information.service.gov.uk/company/01126618/filing-history/MzI5OTI5MzU3NGFkaXF6a2N4/document?format=pdf&amp;download=0 / https://find-and-update.company-information.service.gov.uk/company/01126618/filing-history/MzI2MzQzNDY1MmFkaXF6a2N4/document?format=pdf&amp;download=0
FY2019-FY2023 CRR capital ratios and risk exposure amounts: each year's own standalone Pillar 3 disclosure, from the Bank's Basel Disclosures Archive - https://www.saderat-plc.com/Basel_Disclosures.htm (see the detailed source note on the Total RWAs and RWA Breakdown sheets, including the FY2019 CET1-ratio caveat)</t>
        </is>
      </c>
    </row>
  </sheetData>
  <mergeCells count="2">
    <mergeCell ref="A8:H8"/>
    <mergeCell ref="A6:H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Bank Saderat Plc — Total RWAs</t>
        </is>
      </c>
    </row>
    <row r="2">
      <c r="A2" s="2" t="inlineStr">
        <is>
          <t>£m (converted from €'000 at each year's own period-end spot rate)</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Total risk exposure amount</t>
        </is>
      </c>
      <c r="B4" s="6" t="inlineStr">
        <is>
          <t>Not published - no Pillar 3 edition for this year; the Annual Report prints no risk exposure amount (not derived from capital/ratio)</t>
        </is>
      </c>
      <c r="C4" s="6" t="inlineStr">
        <is>
          <t>Not published - no Pillar 3 edition for this year; the Annual Report prints no risk exposure amount (not derived from capital/ratio)</t>
        </is>
      </c>
      <c r="D4" s="6" t="n">
        <v>194.57</v>
      </c>
      <c r="E4" s="6" t="n">
        <v>189.7</v>
      </c>
      <c r="F4" s="6" t="n">
        <v>193.56</v>
      </c>
      <c r="G4" s="6" t="n">
        <v>206.74</v>
      </c>
      <c r="H4" s="6" t="n">
        <v>192.49</v>
      </c>
    </row>
    <row r="5" ht="117" customHeight="1">
      <c r="A5" s="7" t="inlineStr">
        <is>
          <t>Note: FY2019-FY2023 are the total risk exposure amount printed in each year's own standalone Pillar 3 disclosure (EUR '000, converted to £m at that year's period-end spot rate per this workbook's FX convention): FY2023 EUR224,516k, FY2022 EUR213,927k, FY2021 EUR230,466k, FY2020 EUR229,855k, FY2019 EUR226,309k. Each reconciles against that document's own capital figure and printed capital ratio (see the CET1 Ratio sheet), and each year's Pillar 3 capital amount reproduces the statutory-accounts capital base on the CET1 Capital sheet to the euro - which is what confirms these are the same entity and basis. FY2019 and FY2020 were added 2026-09-15 from the 2019 and 2020 Pillar 3 editions, which the earlier pass on this bank had recorded as non-existent; they are linked from the same archive page as the others (see the RWA Breakdown sheet's note). FY2024 and FY2025 carry an explicit statement in place of a figure, re-verified 2026-09-18 from both sides: the Bank's OWN live Basel disclosures index (fetched that day - plain curl returns HTTP 403, only a browser User-Agent plus an Accept header returns 200, so a 403 here means a host refusing the client and NOT a missing page) still lists nothing newer than the 2023 edition; and both Annual Reports, which are image-only scans with no text layer and had to be OCR'd before they could be searched at all, disclose no risk exposure amount anywhere. NOT back-solved from the printed CET1 ratios (FY2024 92.33% on CET1 of EUR196,091,098; FY2025 88.70% on EUR196,228,824), even though dividing one by the other would yield a number for both years - a derived denominator would sit in this column indistinguishable from one the Bank actually published.</t>
        </is>
      </c>
    </row>
    <row r="7" ht="260" customHeight="1">
      <c r="A7" s="8" t="inlineStr">
        <is>
          <t>Sources - Bank Saderat Plc's own Annual Report, Strategic Report 'Key performance indicators' / 'Share capital and regulatory capital base' sections (see ENTITY_NOTE on the Cash Flow Statement sheet for important caveats on how these ratios are defined and their cross-vintage consistency):
FY2025: Full accounts made up to 31 December 2025, p.13-14 - https://find-and-update.company-information.service.gov.uk/company/01126618/filing-history/MzUyNzI0MjU2MGFkaXF6a2N4/document?format=pdf&amp;download=0
FY2024/FY2023: Full accounts made up to 31 December 2024, p.13-14 - https://find-and-update.company-information.service.gov.uk/company/01126618/filing-history/MzQ2MzQ4MDU2OWFkaXF6a2N4/document?format=pdf&amp;download=0
FY2022/FY2021: Full accounts made up to 31 December 2022, p.9 - https://find-and-update.company-information.service.gov.uk/company/01126618/filing-history/MzM3Nzc2OTA1NGFkaXF6a2N4/document?format=pdf&amp;download=0
FY2020/FY2019: own Capital management Note 15, FY2020 p.35 and FY2019 p.35 - https://find-and-update.company-information.service.gov.uk/company/01126618/filing-history/MzI5OTI5MzU3NGFkaXF6a2N4/document?format=pdf&amp;download=0 / https://find-and-update.company-information.service.gov.uk/company/01126618/filing-history/MzI2MzQzNDY1MmFkaXF6a2N4/document?format=pdf&amp;download=0
FY2019-FY2023 CRR capital ratios and risk exposure amounts: each year's own standalone Pillar 3 disclosure, from the Bank's Basel Disclosures Archive - https://www.saderat-plc.com/Basel_Disclosures.htm (see the detailed source note on the Total RWAs and RWA Breakdown sheets, including the FY2019 CET1-ratio caveat)</t>
        </is>
      </c>
    </row>
  </sheetData>
  <mergeCells count="2">
    <mergeCell ref="A7:H7"/>
    <mergeCell ref="A5:H5"/>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Bank Saderat Plc — RWA Breakdown</t>
        </is>
      </c>
    </row>
    <row r="2">
      <c r="A2" s="2" t="inlineStr">
        <is>
          <t>FY2019-FY2023 from each year's own Pillar 3 disclosure (EUR '000 converted to £m at period-end spot). FY2024/FY2025 state the reason for the absence in place of figures - see note below.</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row>
    <row r="4">
      <c r="A4" s="5" t="inlineStr">
        <is>
          <t>Risk exposure amount by risk type (Bank's own Pillar 3 presentation)</t>
        </is>
      </c>
      <c r="B4" s="6" t="n"/>
      <c r="C4" s="6" t="n"/>
      <c r="D4" s="6" t="n"/>
      <c r="E4" s="6" t="n"/>
      <c r="F4" s="6" t="n"/>
      <c r="G4" s="6" t="n"/>
      <c r="H4" s="6" t="n"/>
    </row>
    <row r="5">
      <c r="A5" s="6" t="inlineStr">
        <is>
          <t>Credit risk (risk weighted assets)</t>
        </is>
      </c>
      <c r="B5" s="6" t="inlineStr">
        <is>
          <t>Not published - no Pillar 3 edition for this year; the Annual Report prints no risk exposure amount (not derived from capital/ratio)</t>
        </is>
      </c>
      <c r="C5" s="6" t="inlineStr">
        <is>
          <t>Not published - no Pillar 3 edition for this year; the Annual Report prints no risk exposure amount (not derived from capital/ratio)</t>
        </is>
      </c>
      <c r="D5" s="6" t="n">
        <v>185.58</v>
      </c>
      <c r="E5" s="6" t="n">
        <v>180.95</v>
      </c>
      <c r="F5" s="6" t="n">
        <v>185.45</v>
      </c>
      <c r="G5" s="6" t="n">
        <v>198.31</v>
      </c>
      <c r="H5" s="6" t="n">
        <v>184.51</v>
      </c>
    </row>
    <row r="6">
      <c r="A6" s="6" t="inlineStr">
        <is>
          <t>Foreign exchange (FX) risk</t>
        </is>
      </c>
      <c r="B6" s="6" t="inlineStr">
        <is>
          <t>Not published - no Pillar 3 edition for this year; the Annual Report prints no risk exposure amount (not derived from capital/ratio)</t>
        </is>
      </c>
      <c r="C6" s="6" t="inlineStr">
        <is>
          <t>Not published - no Pillar 3 edition for this year; the Annual Report prints no risk exposure amount (not derived from capital/ratio)</t>
        </is>
      </c>
      <c r="D6" s="6" t="n">
        <v>0.66</v>
      </c>
      <c r="E6" s="6" t="n">
        <v>0.66</v>
      </c>
      <c r="F6" s="6" t="n">
        <v>0.61</v>
      </c>
      <c r="G6" s="6" t="n">
        <v>0.59</v>
      </c>
      <c r="H6" s="6" t="n">
        <v>0.93</v>
      </c>
    </row>
    <row r="7">
      <c r="A7" s="6" t="inlineStr">
        <is>
          <t>Operational risk</t>
        </is>
      </c>
      <c r="B7" s="6" t="inlineStr">
        <is>
          <t>Not published - no Pillar 3 edition for this year; the Annual Report prints no risk exposure amount (not derived from capital/ratio)</t>
        </is>
      </c>
      <c r="C7" s="6" t="inlineStr">
        <is>
          <t>Not published - no Pillar 3 edition for this year; the Annual Report prints no risk exposure amount (not derived from capital/ratio)</t>
        </is>
      </c>
      <c r="D7" s="6" t="n">
        <v>8.33</v>
      </c>
      <c r="E7" s="6" t="n">
        <v>8.09</v>
      </c>
      <c r="F7" s="6" t="n">
        <v>7.5</v>
      </c>
      <c r="G7" s="6" t="n">
        <v>7.84</v>
      </c>
      <c r="H7" s="6" t="n">
        <v>7.05</v>
      </c>
    </row>
    <row r="8">
      <c r="A8" s="5" t="inlineStr">
        <is>
          <t>Total risk exposure amount</t>
        </is>
      </c>
      <c r="B8" s="5" t="inlineStr">
        <is>
          <t>Not published - no Pillar 3 edition for this year; the Annual Report prints no risk exposure amount (not derived from capital/ratio)</t>
        </is>
      </c>
      <c r="C8" s="5" t="inlineStr">
        <is>
          <t>Not published - no Pillar 3 edition for this year; the Annual Report prints no risk exposure amount (not derived from capital/ratio)</t>
        </is>
      </c>
      <c r="D8" s="5" t="n">
        <v>194.57</v>
      </c>
      <c r="E8" s="5" t="n">
        <v>189.7</v>
      </c>
      <c r="F8" s="5" t="n">
        <v>193.56</v>
      </c>
      <c r="G8" s="5" t="n">
        <v>206.74</v>
      </c>
      <c r="H8" s="5" t="n">
        <v>192.49</v>
      </c>
    </row>
    <row r="10" ht="390" customHeight="1">
      <c r="A10" s="8" t="inlineStr">
        <is>
          <t>Sources - Bank Saderat Plc's own Annual Report, Strategic Report 'Key performance indicators' / 'Share capital and regulatory capital base' sections (see ENTITY_NOTE on the Cash Flow Statement sheet for important caveats on how these ratios are defined and their cross-vintage consistency):
FY2025: Full accounts made up to 31 December 2025, p.13-14 - https://find-and-update.company-information.service.gov.uk/company/01126618/filing-history/MzUyNzI0MjU2MGFkaXF6a2N4/document?format=pdf&amp;download=0
FY2024/FY2023: Full accounts made up to 31 December 2024, p.13-14 - https://find-and-update.company-information.service.gov.uk/company/01126618/filing-history/MzQ2MzQ4MDU2OWFkaXF6a2N4/document?format=pdf&amp;download=0
FY2022/FY2021: Full accounts made up to 31 December 2022, p.9 - https://find-and-update.company-information.service.gov.uk/company/01126618/filing-history/MzM3Nzc2OTA1NGFkaXF6a2N4/document?format=pdf&amp;download=0
FY2020/FY2019: own Capital management Note 15, FY2020 p.35 and FY2019 p.35 - https://find-and-update.company-information.service.gov.uk/company/01126618/filing-history/MzI5OTI5MzU3NGFkaXF6a2N4/document?format=pdf&amp;download=0 / https://find-and-update.company-information.service.gov.uk/company/01126618/filing-history/MzI2MzQzNDY1MmFkaXF6a2N4/document?format=pdf&amp;download=0
FY2019-FY2023 CRR capital ratios and risk exposure amounts: each year's own standalone Pillar 3 disclosure, from the Bank's Basel Disclosures Archive - https://www.saderat-plc.com/Basel_Disclosures.htm (see the detailed source note on the Total RWAs and RWA Breakdown sheets, including the FY2019 CET1-ratio caveat)
PRIOR CLAIM CORRECTED (2026-09-15): earlier passes on this bank recorded that "no standalone Pillar 3 document was found" and attributed the absence to correspondent-banking/website constraints. That was wrong. Bank Saderat Plc publishes a 'Basel Disclosures Archive' page, linked from the top-level navigation of its own live site (https://www.saderat-plc.com/Basel_Disclosures.htm), carrying every Pillar 3 edition from 2010 to 2023 as downloadable PDFs with full text layers. The FY2019-FY2023 editions were downloaded and read directly:
FY2023: Bank Saderat PLC Pillar 3 disclosures 2023, p.12 (capital and risk exposure table) and p.13 (section 4.3 'Capital Buffers', ratio table) - https://www.saderat-plc.com/Reports/Pillar%203%20Disclosures%202023.pdf
FY2022: Bank Saderat PLC Pillar 3 disclosures 2022, p.12 and section 4.3 - https://www.saderat-plc.com/Reports/Pillar%203%20%20%20disclosures%202022.pdf
FY2021: Bank Saderat PLC Pillar 3 disclosures 2021, capital resources/capital ratios table and section 4.3 - https://www.saderat-plc.com/Reports/Pillar%203%20disclosures%202021.pdf
FY2020: Bank Saderat PLC Pillar 3 disclosures 2020 (ver 7), pp.14-15, 'Capital Requirement, Resources &amp; Ratios' table and section 4.3 - https://www.saderat-plc.com/Reports/Pillar%203%20%20%20disclosures%202020%20ver%207.pdf
FY2019: Bank Saderat PLC Basel III Pillar 3 Disclosures 2019, pp.6-7, 'Capital Requirement, Resources &amp; Ratios' table - https://www.saderat-plc.com/Reports/Basel%20III%20Pillar%203%20Disclosures%202019.pdf
FY2019 AND FY2020 ADDED 2026-09-15, CORRECTING A SECOND CLAIM ON THIS BANK. The pass that found the archive read only the 2021-2023 files and left a note here saying FY2019/FY2020 had no Pillar 3 edition. The archive page links both directly - 'Basel III Pillar 3 Disclosures 2019.pdf' and 'Pillar 3   disclosures 2020 ver 7.pdf' - and both return HTTP 200 with a full text layer. What is genuinely absent is only FY2024/FY2025, the years after the archive stops.
VALIDATION: each Pillar 3's own funds figure reproduces the CAPITAL_BASE figure already carried on the CET1 Capital sheet from the statutory accounts, to the euro (FY2023 EUR194,469k vs 194,469,375; FY2022 EUR193,221k vs 193,220,561; FY2021 EUR192,598k vs 192,597,935; FY2020 EUR191,794k vs 191,793,736; FY2019 EUR191,102k vs 191,101,891) - independent confirmation of entity and year before any new figure was accepted. The risk-type components foot exactly to the printed total in all five years (FY2023 214,136+765+9,615 = 224,516; FY2022 204,055+748+9,124 = 213,927; FY2021 220,810+722+8,934 = 230,466; FY2020 220,485+655+8,715 = 229,855; FY2019 216,933+1,088+8,288 = 226,309).
ONE INTERNAL INCONSISTENCY IN THE 2020 EDITION, RECORDED NOT CORRECTED: its section 8 operational-risk table derives an operational risk exposure of EUR7,839k (three-year average income EUR4,181k x 15% = EUR627k capital, / 8%), while its capital table on p.14 - the source used here - carries EUR8,715k with a capital requirement of EUR697k. Only the p.14 figure foots to that document's own printed total risk exposure amount of EUR229,855k, which in turn reproduces the printed 83.44% ratio against the known capital base, so the p.14 figure is the one carried. The 2019 edition has no such conflict.</t>
        </is>
      </c>
    </row>
    <row r="12" ht="300" customHeight="1">
      <c r="A12" s="8" t="inlineStr">
        <is>
          <t>(continued)
TAXONOMY: the Bank presents its risk exposure amount as credit risk / FX risk / operational risk, not as a UK OV1 template, so the RWA Breakdown sheet follows the Bank's own three-way presentation rather than mapping it onto OV1 categories it does not use.
FY2024 AND FY2025 ARE GENUINELY UNPUBLISHED, not unsourced: the archive page's newest entry is the 2023 edition, and eight filename permutations for 2024/2025 all return HTTP 404 from the same /Reports/ path that serves the 2023 file with HTTP 200 (checked 2026-09-15). Leverage Ratio, LCR and NSFR are absent from all five Pillar 3 editions as well - a case-insensitive search for 'leverage', 'liquidity coverage', 'LCR', 'net stable funding' and 'NSFR' across the full text of each returns no match - so those sheets remain on their existing Annual Report basis or blank. The LCR sheet's FY2019/FY2020 cells therefore stay blank: the Pillar 3 editions for those years do not carry the ratio, and the FY2021 edition prints no 2020 comparative for it either.</t>
        </is>
      </c>
    </row>
  </sheetData>
  <mergeCells count="2">
    <mergeCell ref="A12:H12"/>
    <mergeCell ref="A10:H10"/>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Bank Saderat Plc — Leverage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Leverage Ratio</t>
        </is>
      </c>
      <c r="B4" s="6" t="inlineStr">
        <is>
          <t>Not published – no leverage ratio in the FY2025 Annual Report (OCR search, 2026-09-16); no FY2025 Pillar 3 on the Bank's Basel Disclosures archive (newest 2023, re-checked 2026-09-19).</t>
        </is>
      </c>
      <c r="C4" s="6" t="inlineStr">
        <is>
          <t>Not published – no leverage ratio in the FY2024 Annual Report (OCR search, 2026-09-16); no FY2024 Pillar 3 on the Bank's Basel Disclosures archive (newest 2023, re-checked 2026-09-19).</t>
        </is>
      </c>
      <c r="D4" s="6" t="inlineStr">
        <is>
          <t>Not published – no leverage ratio in Bank Saderat Pillar 3 2023 or Annual Report (full-text/OCR search, 2026-09-16); no edition prints one.</t>
        </is>
      </c>
      <c r="E4" s="6" t="inlineStr">
        <is>
          <t>Not published – no leverage ratio in Bank Saderat Pillar 3 2022 or Annual Report (full-text/OCR search, 2026-09-16); no edition prints one.</t>
        </is>
      </c>
      <c r="F4" s="6" t="inlineStr">
        <is>
          <t>Not published – no leverage ratio in Bank Saderat Pillar 3 2021 or Annual Report (full-text/OCR search, 2026-09-16); no edition prints one.</t>
        </is>
      </c>
      <c r="G4" s="6" t="inlineStr">
        <is>
          <t>Not published – no leverage ratio in Bank Saderat Pillar 3 2020 or Annual Report (full-text/OCR search, 2026-09-16); no edition prints one.</t>
        </is>
      </c>
      <c r="H4" s="6" t="inlineStr">
        <is>
          <t>Not published – no leverage ratio in Bank Saderat Pillar 3 2019 or Annual Report (full-text/OCR search, 2026-09-16); no edition prints one.</t>
        </is>
      </c>
    </row>
    <row r="5" ht="52" customHeight="1">
      <c r="A5" s="7" t="inlineStr">
        <is>
          <t>Note: Not disclosed in the Bank's own Annual Reports, and absent from its standalone Pillar 3 disclosures for FY2021-FY2023 (which do exist - see the Total RWAs and RWA Breakdown sheets - but contain no leverage, LCR, NSFR or MREL figures). Verified 2026-09-16 by full-text search of all five Pillar 3 editions (FY2019-FY2023) and all five Annual Reports; the Annual Reports are scanned image-only, so they were searched via OCR rather than by text extraction, which returns almost nothing from them. The Strategic Report's capital/liquidity disclosure is limited to the 'Capital Cover' and Liquidity Coverage Ratio charts plus the CET1 capital base figure (see the other Pillar 3 sheets).</t>
        </is>
      </c>
    </row>
    <row r="7" ht="150" customHeight="1">
      <c r="A7" s="8" t="inlineStr">
        <is>
          <t>Sources - Bank Saderat Plc's own Annual Report, Strategic Report 'Key performance indicators' / 'Share capital and regulatory capital base' sections (see ENTITY_NOTE on the Cash Flow Statement sheet for important caveats on how these ratios are defined and their cross-vintage consistency):
FY2025: Full accounts made up to 31 December 2025, p.13-14 - https://find-and-update.company-information.service.gov.uk/company/01126618/filing-history/MzUyNzI0MjU2MGFkaXF6a2N4/document?format=pdf&amp;download=0
FY2024/FY2023: Full accounts made up to 31 December 2024, p.13-14 - https://find-and-update.company-information.service.gov.uk/company/01126618/filing-history/MzQ2MzQ4MDU2OWFkaXF6a2N4/document?format=pdf&amp;download=0
FY2022/FY2021: Full accounts made up to 31 December 2022, p.9 - https://find-and-update.company-information.service.gov.uk/company/01126618/filing-history/MzM3Nzc2OTA1NGFkaXF6a2N4/document?format=pdf&amp;download=0
FY2020/FY2019: own Capital management Note 15, FY2020 p.35 and FY2019 p.35 - https://find-and-update.company-information.service.gov.uk/company/01126618/filing-history/MzI5OTI5MzU3NGFkaXF6a2N4/document?format=pdf&amp;download=0 / https://find-and-update.company-information.service.gov.uk/company/01126618/filing-history/MzI2MzQzNDY1MmFkaXF6a2N4/document?format=pdf&amp;download=0
FY2019-FY2023 CRR capital ratios and risk exposure amounts: each year's own standalone Pillar 3 disclosure, from the Bank's Basel Disclosures Archive - https://www.saderat-plc.com/Basel_Disclosures.htm (see the detailed source note on the Total RWAs and RWA Breakdown sheets, including the FY2019 CET1-ratio caveat)</t>
        </is>
      </c>
    </row>
  </sheetData>
  <mergeCells count="2">
    <mergeCell ref="A7:H7"/>
    <mergeCell ref="A5:H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Bank Saderat Plc — LCR</t>
        </is>
      </c>
    </row>
    <row r="2">
      <c r="A2" s="2" t="inlineStr">
        <is>
          <t>%, all currencies</t>
        </is>
      </c>
    </row>
    <row r="3">
      <c r="A3" s="4" t="inlineStr">
        <is>
          <t>Metric</t>
        </is>
      </c>
      <c r="B3" s="4" t="inlineStr">
        <is>
          <t>FY2025</t>
        </is>
      </c>
      <c r="C3" s="4" t="inlineStr">
        <is>
          <t>FY2024</t>
        </is>
      </c>
      <c r="D3" s="4" t="inlineStr">
        <is>
          <t>FY2023</t>
        </is>
      </c>
      <c r="E3" s="4" t="inlineStr">
        <is>
          <t>FY2022</t>
        </is>
      </c>
      <c r="F3" s="4" t="inlineStr">
        <is>
          <t>FY2021</t>
        </is>
      </c>
    </row>
    <row r="4">
      <c r="A4" s="6" t="inlineStr">
        <is>
          <t>Liquidity Coverage Ratio</t>
        </is>
      </c>
      <c r="B4" s="6" t="inlineStr">
        <is>
          <t>477%</t>
        </is>
      </c>
      <c r="C4" s="6" t="inlineStr">
        <is>
          <t>331%</t>
        </is>
      </c>
      <c r="D4" s="6" t="inlineStr">
        <is>
          <t>334%</t>
        </is>
      </c>
      <c r="E4" s="6" t="inlineStr">
        <is>
          <t>368%</t>
        </is>
      </c>
      <c r="F4" s="6" t="inlineStr">
        <is>
          <t>376%</t>
        </is>
      </c>
    </row>
    <row r="5" ht="30" customHeight="1">
      <c r="A5" s="7" t="inlineStr">
        <is>
          <t>Note: See LIQUIDITY RATIO CAVEAT in the Cash Flow Statement sheet's ENTITY_NOTE - this bank's LCR series shows real cross-vintage inconsistency; each year's own originally-reported figure is used here.</t>
        </is>
      </c>
    </row>
    <row r="7" ht="260" customHeight="1">
      <c r="A7" s="8" t="inlineStr">
        <is>
          <t>Sources - Bank Saderat Plc's own Annual Report, Strategic Report 'Key performance indicators' / 'Share capital and regulatory capital base' sections (see ENTITY_NOTE on the Cash Flow Statement sheet for important caveats on how these ratios are defined and their cross-vintage consistency):
FY2025: Full accounts made up to 31 December 2025, p.13-14 - https://find-and-update.company-information.service.gov.uk/company/01126618/filing-history/MzUyNzI0MjU2MGFkaXF6a2N4/document?format=pdf&amp;download=0
FY2024/FY2023: Full accounts made up to 31 December 2024, p.13-14 - https://find-and-update.company-information.service.gov.uk/company/01126618/filing-history/MzQ2MzQ4MDU2OWFkaXF6a2N4/document?format=pdf&amp;download=0
FY2022/FY2021: Full accounts made up to 31 December 2022, p.9 - https://find-and-update.company-information.service.gov.uk/company/01126618/filing-history/MzM3Nzc2OTA1NGFkaXF6a2N4/document?format=pdf&amp;download=0
FY2020/FY2019: own Capital management Note 15, FY2020 p.35 and FY2019 p.35 - https://find-and-update.company-information.service.gov.uk/company/01126618/filing-history/MzI5OTI5MzU3NGFkaXF6a2N4/document?format=pdf&amp;download=0 / https://find-and-update.company-information.service.gov.uk/company/01126618/filing-history/MzI2MzQzNDY1MmFkaXF6a2N4/document?format=pdf&amp;download=0
FY2019-FY2023 CRR capital ratios and risk exposure amounts: each year's own standalone Pillar 3 disclosure, from the Bank's Basel Disclosures Archive - https://www.saderat-plc.com/Basel_Disclosures.htm (see the detailed source note on the Total RWAs and RWA Breakdown sheets, including the FY2019 CET1-ratio caveat)</t>
        </is>
      </c>
    </row>
  </sheetData>
  <mergeCells count="2">
    <mergeCell ref="A5:F5"/>
    <mergeCell ref="A7:F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Bank Saderat Plc — NSFR</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NSFR</t>
        </is>
      </c>
      <c r="B4" s="6" t="inlineStr">
        <is>
          <t>Not published – no NSFR in the FY2025 Annual Report (OCR search, 2026-09-16); no FY2025 Pillar 3 on the Bank's Basel Disclosures archive (newest 2023, re-checked 2026-09-19).</t>
        </is>
      </c>
      <c r="C4" s="6" t="inlineStr">
        <is>
          <t>Not published – no NSFR in the FY2024 Annual Report (OCR search, 2026-09-16); no FY2024 Pillar 3 on the Bank's Basel Disclosures archive (newest 2023, re-checked 2026-09-19).</t>
        </is>
      </c>
      <c r="D4" s="6" t="inlineStr">
        <is>
          <t>Not published – no NSFR in Bank Saderat Pillar 3 2023 or Annual Report (full-text/OCR search, 2026-09-16); no edition prints one.</t>
        </is>
      </c>
      <c r="E4" s="6" t="inlineStr">
        <is>
          <t>Not published – no NSFR in Bank Saderat Pillar 3 2022 or Annual Report (full-text/OCR search, 2026-09-16); no edition prints one.</t>
        </is>
      </c>
      <c r="F4" s="6" t="inlineStr">
        <is>
          <t>Not published – no NSFR in Bank Saderat Pillar 3 2021 or Annual Report (full-text/OCR search, 2026-09-16); no edition prints one.</t>
        </is>
      </c>
      <c r="G4" s="6" t="inlineStr">
        <is>
          <t>Not published – no NSFR in Bank Saderat Pillar 3 2020 or Annual Report (full-text/OCR search, 2026-09-16); no edition prints one.</t>
        </is>
      </c>
      <c r="H4" s="6" t="inlineStr">
        <is>
          <t>Not published – no NSFR in Bank Saderat Pillar 3 2019 or Annual Report (full-text/OCR search, 2026-09-16); no edition prints one.</t>
        </is>
      </c>
    </row>
    <row r="5" ht="52" customHeight="1">
      <c r="A5" s="7" t="inlineStr">
        <is>
          <t>Note: Not disclosed in the Bank's own Annual Reports, and absent from its standalone Pillar 3 disclosures for FY2021-FY2023 (which do exist - see the Total RWAs and RWA Breakdown sheets - but contain no leverage, LCR, NSFR or MREL figures). Verified 2026-09-16 by full-text search of all five Pillar 3 editions (FY2019-FY2023) and all five Annual Reports; the Annual Reports are scanned image-only, so they were searched via OCR rather than by text extraction, which returns almost nothing from them. The Strategic Report's capital/liquidity disclosure is limited to the 'Capital Cover' and Liquidity Coverage Ratio charts plus the CET1 capital base figure (see the other Pillar 3 sheets).</t>
        </is>
      </c>
    </row>
    <row r="7" ht="150" customHeight="1">
      <c r="A7" s="8" t="inlineStr">
        <is>
          <t>Sources - Bank Saderat Plc's own Annual Report, Strategic Report 'Key performance indicators' / 'Share capital and regulatory capital base' sections (see ENTITY_NOTE on the Cash Flow Statement sheet for important caveats on how these ratios are defined and their cross-vintage consistency):
FY2025: Full accounts made up to 31 December 2025, p.13-14 - https://find-and-update.company-information.service.gov.uk/company/01126618/filing-history/MzUyNzI0MjU2MGFkaXF6a2N4/document?format=pdf&amp;download=0
FY2024/FY2023: Full accounts made up to 31 December 2024, p.13-14 - https://find-and-update.company-information.service.gov.uk/company/01126618/filing-history/MzQ2MzQ4MDU2OWFkaXF6a2N4/document?format=pdf&amp;download=0
FY2022/FY2021: Full accounts made up to 31 December 2022, p.9 - https://find-and-update.company-information.service.gov.uk/company/01126618/filing-history/MzM3Nzc2OTA1NGFkaXF6a2N4/document?format=pdf&amp;download=0
FY2020/FY2019: own Capital management Note 15, FY2020 p.35 and FY2019 p.35 - https://find-and-update.company-information.service.gov.uk/company/01126618/filing-history/MzI5OTI5MzU3NGFkaXF6a2N4/document?format=pdf&amp;download=0 / https://find-and-update.company-information.service.gov.uk/company/01126618/filing-history/MzI2MzQzNDY1MmFkaXF6a2N4/document?format=pdf&amp;download=0
FY2019-FY2023 CRR capital ratios and risk exposure amounts: each year's own standalone Pillar 3 disclosure, from the Bank's Basel Disclosures Archive - https://www.saderat-plc.com/Basel_Disclosures.htm (see the detailed source note on the Total RWAs and RWA Breakdown sheets, including the FY2019 CET1-ratio caveat)</t>
        </is>
      </c>
    </row>
  </sheetData>
  <mergeCells count="2">
    <mergeCell ref="A7:H7"/>
    <mergeCell ref="A5:H5"/>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Bank Saderat Plc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MREL Ratio</t>
        </is>
      </c>
      <c r="B4" s="6" t="inlineStr">
        <is>
          <t>Not published – no MREL figure in the FY2025 Annual Report (OCR search, 2026-09-16); no FY2025 Pillar 3 on the Bank's Basel Disclosures archive (newest 2023, re-checked 2026-09-19).</t>
        </is>
      </c>
      <c r="C4" s="6" t="inlineStr">
        <is>
          <t>Not published – no MREL figure in the FY2024 Annual Report (OCR search, 2026-09-16); no FY2024 Pillar 3 on the Bank's Basel Disclosures archive (newest 2023, re-checked 2026-09-19).</t>
        </is>
      </c>
      <c r="D4" s="6" t="inlineStr">
        <is>
          <t>Not published – no MREL figure in Bank Saderat Pillar 3 2023 or Annual Report (full-text/OCR search, 2026-09-16); no edition prints one.</t>
        </is>
      </c>
      <c r="E4" s="6" t="inlineStr">
        <is>
          <t>Not published – no MREL figure in Bank Saderat Pillar 3 2022 or Annual Report (full-text/OCR search, 2026-09-16); no edition prints one.</t>
        </is>
      </c>
      <c r="F4" s="6" t="inlineStr">
        <is>
          <t>Not published – no MREL figure in Bank Saderat Pillar 3 2021 or Annual Report (full-text/OCR search, 2026-09-16); no edition prints one.</t>
        </is>
      </c>
      <c r="G4" s="6" t="inlineStr">
        <is>
          <t>Not published – no MREL figure in Bank Saderat Pillar 3 2020 or Annual Report (full-text/OCR search, 2026-09-16); no edition prints one.</t>
        </is>
      </c>
      <c r="H4" s="6" t="inlineStr">
        <is>
          <t>Not published – no MREL figure in Bank Saderat Pillar 3 2019 or Annual Report (full-text/OCR search, 2026-09-16); no edition prints one.</t>
        </is>
      </c>
    </row>
    <row r="5" ht="52" customHeight="1">
      <c r="A5" s="7" t="inlineStr">
        <is>
          <t>Note: Not disclosed in the Bank's own Annual Reports, and absent from its standalone Pillar 3 disclosures for FY2021-FY2023 (which do exist - see the Total RWAs and RWA Breakdown sheets - but contain no leverage, LCR, NSFR or MREL figures). Verified 2026-09-16 by full-text search of all five Pillar 3 editions (FY2019-FY2023) and all five Annual Reports; the Annual Reports are scanned image-only, so they were searched via OCR rather than by text extraction, which returns almost nothing from them. The Strategic Report's capital/liquidity disclosure is limited to the 'Capital Cover' and Liquidity Coverage Ratio charts plus the CET1 capital base figure (see the other Pillar 3 sheets).</t>
        </is>
      </c>
    </row>
    <row r="7" ht="150" customHeight="1">
      <c r="A7" s="8" t="inlineStr">
        <is>
          <t>Sources - Bank Saderat Plc's own Annual Report, Strategic Report 'Key performance indicators' / 'Share capital and regulatory capital base' sections (see ENTITY_NOTE on the Cash Flow Statement sheet for important caveats on how these ratios are defined and their cross-vintage consistency):
FY2025: Full accounts made up to 31 December 2025, p.13-14 - https://find-and-update.company-information.service.gov.uk/company/01126618/filing-history/MzUyNzI0MjU2MGFkaXF6a2N4/document?format=pdf&amp;download=0
FY2024/FY2023: Full accounts made up to 31 December 2024, p.13-14 - https://find-and-update.company-information.service.gov.uk/company/01126618/filing-history/MzQ2MzQ4MDU2OWFkaXF6a2N4/document?format=pdf&amp;download=0
FY2022/FY2021: Full accounts made up to 31 December 2022, p.9 - https://find-and-update.company-information.service.gov.uk/company/01126618/filing-history/MzM3Nzc2OTA1NGFkaXF6a2N4/document?format=pdf&amp;download=0
FY2020/FY2019: own Capital management Note 15, FY2020 p.35 and FY2019 p.35 - https://find-and-update.company-information.service.gov.uk/company/01126618/filing-history/MzI5OTI5MzU3NGFkaXF6a2N4/document?format=pdf&amp;download=0 / https://find-and-update.company-information.service.gov.uk/company/01126618/filing-history/MzI2MzQzNDY1MmFkaXF6a2N4/document?format=pdf&amp;download=0
FY2019-FY2023 CRR capital ratios and risk exposure amounts: each year's own standalone Pillar 3 disclosure, from the Bank's Basel Disclosures Archive - https://www.saderat-plc.com/Basel_Disclosures.htm (see the detailed source note on the Total RWAs and RWA Breakdown sheets, including the FY2019 CET1-ratio caveat)</t>
        </is>
      </c>
    </row>
  </sheetData>
  <mergeCells count="2">
    <mergeCell ref="A7:H7"/>
    <mergeCell ref="A5:H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2026-10-10T15:08:20Z</dcterms:created>
  <dcterms:modified xmlns:dcterms="http://purl.org/dc/terms/" xmlns:xsi="http://www.w3.org/2001/XMLSchema-instance" xsi:type="dcterms:W3CDTF">2026-10-10T15:08:21Z</dcterms:modified>
</cp:coreProperties>
</file>