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76773E"/>
        <bgColor rgb="0076773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3" fillId="2" borderId="1" applyAlignment="1" pivotButton="0" quotePrefix="0" xfId="0">
      <alignment horizontal="left" vertical="center"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Gatehouse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'Overview'!J6</f>
            </strRef>
          </tx>
          <spPr>
            <a:ln xmlns:a="http://schemas.openxmlformats.org/drawingml/2006/main">
              <a:prstDash val="solid"/>
            </a:ln>
          </spPr>
          <cat>
            <numRef>
              <f>'Overview'!$K$5:$P$5</f>
            </numRef>
          </cat>
          <val>
            <numRef>
              <f>'Overview'!$K$6:$P$6</f>
            </numRef>
          </val>
        </ser>
        <ser>
          <idx val="1"/>
          <order val="1"/>
          <tx>
            <strRef>
              <f>'Overview'!J7</f>
            </strRef>
          </tx>
          <spPr>
            <a:ln xmlns:a="http://schemas.openxmlformats.org/drawingml/2006/main">
              <a:prstDash val="solid"/>
            </a:ln>
          </spPr>
          <cat>
            <numRef>
              <f>'Overview'!$K$5:$P$5</f>
            </numRef>
          </cat>
          <val>
            <numRef>
              <f>'Overview'!$K$7:$P$7</f>
            </numRef>
          </val>
        </ser>
        <ser>
          <idx val="2"/>
          <order val="2"/>
          <tx>
            <strRef>
              <f>'Overview'!J8</f>
            </strRef>
          </tx>
          <spPr>
            <a:ln xmlns:a="http://schemas.openxmlformats.org/drawingml/2006/main">
              <a:prstDash val="solid"/>
            </a:ln>
          </spPr>
          <cat>
            <numRef>
              <f>'Overview'!$K$5:$P$5</f>
            </numRef>
          </cat>
          <val>
            <numRef>
              <f>'Overview'!$K$8:$P$8</f>
            </numRef>
          </val>
        </ser>
        <ser>
          <idx val="3"/>
          <order val="3"/>
          <tx>
            <strRef>
              <f>'Overview'!J9</f>
            </strRef>
          </tx>
          <spPr>
            <a:ln xmlns:a="http://schemas.openxmlformats.org/drawingml/2006/main">
              <a:prstDash val="solid"/>
            </a:ln>
          </spPr>
          <cat>
            <numRef>
              <f>'Overview'!$K$5:$P$5</f>
            </numRef>
          </cat>
          <val>
            <numRef>
              <f>'Overview'!$K$9:$P$9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Gatehouse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'Overview'!S13</f>
            </strRef>
          </tx>
          <spPr>
            <a:ln xmlns:a="http://schemas.openxmlformats.org/drawingml/2006/main">
              <a:prstDash val="solid"/>
            </a:ln>
          </spPr>
          <cat>
            <numRef>
              <f>'Overview'!$T$12:$Y$12</f>
            </numRef>
          </cat>
          <val>
            <numRef>
              <f>'Overview'!$T$13:$Y$13</f>
            </numRef>
          </val>
        </ser>
        <ser>
          <idx val="1"/>
          <order val="1"/>
          <tx>
            <strRef>
              <f>'Overview'!S14</f>
            </strRef>
          </tx>
          <spPr>
            <a:ln xmlns:a="http://schemas.openxmlformats.org/drawingml/2006/main">
              <a:prstDash val="solid"/>
            </a:ln>
          </spPr>
          <cat>
            <numRef>
              <f>'Overview'!$T$12:$Y$12</f>
            </numRef>
          </cat>
          <val>
            <numRef>
              <f>'Overview'!$T$14:$Y$14</f>
            </numRef>
          </val>
        </ser>
        <ser>
          <idx val="2"/>
          <order val="2"/>
          <tx>
            <strRef>
              <f>'Overview'!S15</f>
            </strRef>
          </tx>
          <spPr>
            <a:ln xmlns:a="http://schemas.openxmlformats.org/drawingml/2006/main">
              <a:prstDash val="solid"/>
            </a:ln>
          </spPr>
          <cat>
            <numRef>
              <f>'Overview'!$T$12:$Y$12</f>
            </numRef>
          </cat>
          <val>
            <numRef>
              <f>'Overview'!$T$15:$Y$15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Gatehouse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'Overview'!AB19</f>
            </strRef>
          </tx>
          <spPr>
            <a:ln xmlns:a="http://schemas.openxmlformats.org/drawingml/2006/main">
              <a:prstDash val="solid"/>
            </a:ln>
          </spPr>
          <cat>
            <numRef>
              <f>'Overview'!$AC$18:$AG$18</f>
            </numRef>
          </cat>
          <val>
            <numRef>
              <f>'Overview'!$AC$19:$AG$19</f>
            </numRef>
          </val>
        </ser>
        <ser>
          <idx val="1"/>
          <order val="1"/>
          <tx>
            <strRef>
              <f>'Overview'!AB20</f>
            </strRef>
          </tx>
          <spPr>
            <a:ln xmlns:a="http://schemas.openxmlformats.org/drawingml/2006/main">
              <a:prstDash val="solid"/>
            </a:ln>
          </spPr>
          <cat>
            <numRef>
              <f>'Overview'!$AC$18:$AG$18</f>
            </numRef>
          </cat>
          <val>
            <numRef>
              <f>'Overview'!$AC$20:$AG$20</f>
            </numRef>
          </val>
        </ser>
        <ser>
          <idx val="2"/>
          <order val="2"/>
          <tx>
            <strRef>
              <f>'Overview'!AB21</f>
            </strRef>
          </tx>
          <spPr>
            <a:ln xmlns:a="http://schemas.openxmlformats.org/drawingml/2006/main">
              <a:prstDash val="solid"/>
            </a:ln>
          </spPr>
          <cat>
            <numRef>
              <f>'Overview'!$AC$18:$AG$18</f>
            </numRef>
          </cat>
          <val>
            <numRef>
              <f>'Overview'!$AC$21:$AG$21</f>
            </numRef>
          </val>
        </ser>
        <ser>
          <idx val="3"/>
          <order val="3"/>
          <tx>
            <strRef>
              <f>'Overview'!AB22</f>
            </strRef>
          </tx>
          <spPr>
            <a:ln xmlns:a="http://schemas.openxmlformats.org/drawingml/2006/main">
              <a:prstDash val="solid"/>
            </a:ln>
          </spPr>
          <cat>
            <numRef>
              <f>'Overview'!$AC$18:$AG$18</f>
            </numRef>
          </cat>
          <val>
            <numRef>
              <f>'Overview'!$AC$22:$AG$22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Gatehouse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'Overview'!AJ26</f>
            </strRef>
          </tx>
          <spPr>
            <a:ln xmlns:a="http://schemas.openxmlformats.org/drawingml/2006/main">
              <a:prstDash val="solid"/>
            </a:ln>
          </spPr>
          <cat>
            <numRef>
              <f>'Overview'!$AK$25:$AP$25</f>
            </numRef>
          </cat>
          <val>
            <numRef>
              <f>'Overview'!$AK$26:$AP$26</f>
            </numRef>
          </val>
        </ser>
        <ser>
          <idx val="1"/>
          <order val="1"/>
          <tx>
            <strRef>
              <f>'Overview'!AJ27</f>
            </strRef>
          </tx>
          <spPr>
            <a:ln xmlns:a="http://schemas.openxmlformats.org/drawingml/2006/main">
              <a:prstDash val="solid"/>
            </a:ln>
          </spPr>
          <cat>
            <numRef>
              <f>'Overview'!$AK$25:$AP$25</f>
            </numRef>
          </cat>
          <val>
            <numRef>
              <f>'Overview'!$AK$27:$AP$27</f>
            </numRef>
          </val>
        </ser>
        <ser>
          <idx val="2"/>
          <order val="2"/>
          <tx>
            <strRef>
              <f>'Overview'!AJ28</f>
            </strRef>
          </tx>
          <spPr>
            <a:ln xmlns:a="http://schemas.openxmlformats.org/drawingml/2006/main">
              <a:prstDash val="solid"/>
            </a:ln>
          </spPr>
          <cat>
            <numRef>
              <f>'Overview'!$AK$25:$AP$25</f>
            </numRef>
          </cat>
          <val>
            <numRef>
              <f>'Overview'!$AK$28:$AP$28</f>
            </numRef>
          </val>
        </ser>
        <ser>
          <idx val="3"/>
          <order val="3"/>
          <tx>
            <strRef>
              <f>'Overview'!AJ29</f>
            </strRef>
          </tx>
          <spPr>
            <a:ln xmlns:a="http://schemas.openxmlformats.org/drawingml/2006/main">
              <a:prstDash val="solid"/>
            </a:ln>
          </spPr>
          <cat>
            <numRef>
              <f>'Overview'!$AK$25:$AP$25</f>
            </numRef>
          </cat>
          <val>
            <numRef>
              <f>'Overview'!$AK$29:$AP$29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Gatehouse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'Overview'!AS6</f>
            </strRef>
          </tx>
          <spPr>
            <a:ln xmlns:a="http://schemas.openxmlformats.org/drawingml/2006/main">
              <a:prstDash val="solid"/>
            </a:ln>
          </spPr>
          <marker>
            <symbol val="none"/>
            <spPr>
              <a:ln xmlns:a="http://schemas.openxmlformats.org/drawingml/2006/main">
                <a:prstDash val="solid"/>
              </a:ln>
            </spPr>
          </marker>
          <cat>
            <numRef>
              <f>'Overview'!$AT$5:$AY$5</f>
            </numRef>
          </cat>
          <val>
            <numRef>
              <f>'Overview'!$AT$6:$AY$6</f>
            </numRef>
          </val>
          <smooth val="0"/>
        </ser>
        <ser>
          <idx val="1"/>
          <order val="1"/>
          <tx>
            <strRef>
              <f>'Overview'!AS7</f>
            </strRef>
          </tx>
          <spPr>
            <a:ln xmlns:a="http://schemas.openxmlformats.org/drawingml/2006/main">
              <a:prstDash val="solid"/>
            </a:ln>
          </spPr>
          <marker>
            <symbol val="none"/>
            <spPr>
              <a:ln xmlns:a="http://schemas.openxmlformats.org/drawingml/2006/main">
                <a:prstDash val="solid"/>
              </a:ln>
            </spPr>
          </marker>
          <cat>
            <numRef>
              <f>'Overview'!$AT$5:$AY$5</f>
            </numRef>
          </cat>
          <val>
            <numRef>
              <f>'Overview'!$AT$7:$AY$7</f>
            </numRef>
          </val>
          <smooth val="0"/>
        </ser>
        <ser>
          <idx val="2"/>
          <order val="2"/>
          <tx>
            <strRef>
              <f>'Overview'!AS8</f>
            </strRef>
          </tx>
          <spPr>
            <a:ln xmlns:a="http://schemas.openxmlformats.org/drawingml/2006/main">
              <a:prstDash val="solid"/>
            </a:ln>
          </spPr>
          <marker>
            <symbol val="none"/>
            <spPr>
              <a:ln xmlns:a="http://schemas.openxmlformats.org/drawingml/2006/main">
                <a:prstDash val="solid"/>
              </a:ln>
            </spPr>
          </marker>
          <cat>
            <numRef>
              <f>'Overview'!$AT$5:$AY$5</f>
            </numRef>
          </cat>
          <val>
            <numRef>
              <f>'Overview'!$AT$8:$AY$8</f>
            </numRef>
          </val>
          <smooth val="0"/>
        </ser>
        <ser>
          <idx val="3"/>
          <order val="3"/>
          <tx>
            <strRef>
              <f>'Overview'!AS9</f>
            </strRef>
          </tx>
          <spPr>
            <a:ln xmlns:a="http://schemas.openxmlformats.org/drawingml/2006/main">
              <a:prstDash val="solid"/>
            </a:ln>
          </spPr>
          <marker>
            <symbol val="none"/>
            <spPr>
              <a:ln xmlns:a="http://schemas.openxmlformats.org/drawingml/2006/main">
                <a:prstDash val="solid"/>
              </a:ln>
            </spPr>
          </marker>
          <cat>
            <numRef>
              <f>'Overview'!$AT$5:$AY$5</f>
            </numRef>
          </cat>
          <val>
            <numRef>
              <f>'Overview'!$AT$9:$AY$9</f>
            </numRef>
          </val>
          <smooth val="0"/>
        </ser>
        <ser>
          <idx val="4"/>
          <order val="4"/>
          <tx>
            <strRef>
              <f>'Overview'!AS10</f>
            </strRef>
          </tx>
          <spPr>
            <a:ln xmlns:a="http://schemas.openxmlformats.org/drawingml/2006/main">
              <a:prstDash val="solid"/>
            </a:ln>
          </spPr>
          <marker>
            <symbol val="none"/>
            <spPr>
              <a:ln xmlns:a="http://schemas.openxmlformats.org/drawingml/2006/main">
                <a:prstDash val="solid"/>
              </a:ln>
            </spPr>
          </marker>
          <cat>
            <numRef>
              <f>'Overview'!$AT$5:$AY$5</f>
            </numRef>
          </cat>
          <val>
            <numRef>
              <f>'Overview'!$AT$10:$AY$10</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41</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63</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85</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107</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129</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Y3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s>
  <sheetData>
    <row r="1">
      <c r="A1" s="1" t="inlineStr">
        <is>
          <t>Gatehouse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FY2017</t>
        </is>
      </c>
      <c r="K5" t="inlineStr">
        <is>
          <t>FY2017</t>
        </is>
      </c>
      <c r="L5" t="inlineStr">
        <is>
          <t>FY2021</t>
        </is>
      </c>
      <c r="M5" t="inlineStr">
        <is>
          <t>FY2022</t>
        </is>
      </c>
      <c r="N5" t="inlineStr">
        <is>
          <t>FY2023</t>
        </is>
      </c>
      <c r="O5" t="inlineStr">
        <is>
          <t>FY2024</t>
        </is>
      </c>
      <c r="P5" t="inlineStr">
        <is>
          <t>FY2025</t>
        </is>
      </c>
      <c r="AT5" t="inlineStr">
        <is>
          <t>FY2017</t>
        </is>
      </c>
      <c r="AU5" t="inlineStr">
        <is>
          <t>FY2021</t>
        </is>
      </c>
      <c r="AV5" t="inlineStr">
        <is>
          <t>FY2022</t>
        </is>
      </c>
      <c r="AW5" t="inlineStr">
        <is>
          <t>FY2023</t>
        </is>
      </c>
      <c r="AX5" t="inlineStr">
        <is>
          <t>FY2024</t>
        </is>
      </c>
      <c r="AY5" t="inlineStr">
        <is>
          <t>FY2025</t>
        </is>
      </c>
    </row>
    <row r="6">
      <c r="A6" s="5" t="inlineStr">
        <is>
          <t>Total assets</t>
        </is>
      </c>
      <c r="B6" s="5" t="n">
        <v>1398211</v>
      </c>
      <c r="C6" s="5" t="n">
        <v>1415108</v>
      </c>
      <c r="D6" s="5" t="n">
        <v>1469773</v>
      </c>
      <c r="E6" s="5" t="n">
        <v>1335927</v>
      </c>
      <c r="F6" s="5" t="n">
        <v>1026358</v>
      </c>
      <c r="G6" s="5" t="n">
        <v>280526</v>
      </c>
      <c r="J6" t="inlineStr">
        <is>
          <t>Total assets</t>
        </is>
      </c>
      <c r="K6" t="n">
        <v>280526</v>
      </c>
      <c r="L6" t="n">
        <v>1026358</v>
      </c>
      <c r="M6" t="n">
        <v>1335927</v>
      </c>
      <c r="N6" t="n">
        <v>1469773</v>
      </c>
      <c r="O6" t="n">
        <v>1415108</v>
      </c>
      <c r="P6" t="n">
        <v>1398211</v>
      </c>
      <c r="AS6" t="inlineStr">
        <is>
          <t>CET1 Ratio</t>
        </is>
      </c>
      <c r="AT6" t="n">
        <v>37.3</v>
      </c>
      <c r="AU6" t="n">
        <v>18.1</v>
      </c>
      <c r="AV6" t="n">
        <v>17.4</v>
      </c>
      <c r="AW6" t="n">
        <v>16.8</v>
      </c>
      <c r="AX6" t="n">
        <v>17.1</v>
      </c>
      <c r="AY6" t="n">
        <v>15.74</v>
      </c>
    </row>
    <row r="7">
      <c r="A7" s="5" t="inlineStr">
        <is>
          <t>Financing and advances at amortised cost</t>
        </is>
      </c>
      <c r="B7" s="5" t="n">
        <v>1264559</v>
      </c>
      <c r="C7" s="5" t="n">
        <v>1315936</v>
      </c>
      <c r="D7" s="5" t="n">
        <v>1357803</v>
      </c>
      <c r="E7" s="5" t="n">
        <v>1227896</v>
      </c>
      <c r="F7" s="5" t="n">
        <v>901111</v>
      </c>
      <c r="G7" s="5" t="n">
        <v>85903</v>
      </c>
      <c r="J7" t="inlineStr">
        <is>
          <t>Financing and advances at amortised cost</t>
        </is>
      </c>
      <c r="K7" t="n">
        <v>85903</v>
      </c>
      <c r="L7" t="n">
        <v>901111</v>
      </c>
      <c r="M7" t="n">
        <v>1227896</v>
      </c>
      <c r="N7" t="n">
        <v>1357803</v>
      </c>
      <c r="O7" t="n">
        <v>1315936</v>
      </c>
      <c r="P7" t="n">
        <v>1264559</v>
      </c>
      <c r="AS7" t="inlineStr">
        <is>
          <t>Total Capital Ratio</t>
        </is>
      </c>
      <c r="AT7" t="n">
        <v>37.3</v>
      </c>
      <c r="AU7" t="n">
        <v>19.8</v>
      </c>
      <c r="AV7" t="n">
        <v>18.9</v>
      </c>
      <c r="AW7" t="n">
        <v>19.6</v>
      </c>
      <c r="AX7" t="n">
        <v>20</v>
      </c>
    </row>
    <row r="8">
      <c r="A8" s="5" t="inlineStr">
        <is>
          <t>Financial liabilities measured at amortised cost</t>
        </is>
      </c>
      <c r="B8" s="5" t="n">
        <v>1287404</v>
      </c>
      <c r="C8" s="5" t="n">
        <v>1288977</v>
      </c>
      <c r="D8" s="5" t="n">
        <v>1316609</v>
      </c>
      <c r="E8" s="5" t="n">
        <v>1168586</v>
      </c>
      <c r="F8" s="5" t="n">
        <v>895637</v>
      </c>
      <c r="G8" s="5" t="n">
        <v>150077</v>
      </c>
      <c r="J8" t="inlineStr">
        <is>
          <t>Financial liabilities measured at amortised cost</t>
        </is>
      </c>
      <c r="K8" t="n">
        <v>150077</v>
      </c>
      <c r="L8" t="n">
        <v>895637</v>
      </c>
      <c r="M8" t="n">
        <v>1168586</v>
      </c>
      <c r="N8" t="n">
        <v>1316609</v>
      </c>
      <c r="O8" t="n">
        <v>1288977</v>
      </c>
      <c r="P8" t="n">
        <v>1287404</v>
      </c>
      <c r="AS8" t="inlineStr">
        <is>
          <t>Leverage Ratio</t>
        </is>
      </c>
      <c r="AT8" t="n">
        <v>37.8</v>
      </c>
      <c r="AU8" t="n">
        <v>9.199999999999999</v>
      </c>
      <c r="AV8" t="n">
        <v>7.5</v>
      </c>
      <c r="AW8" t="n">
        <v>7.3</v>
      </c>
      <c r="AX8" t="n">
        <v>7.4</v>
      </c>
      <c r="AY8" t="n">
        <v>6.53</v>
      </c>
    </row>
    <row r="9">
      <c r="A9" s="5" t="inlineStr">
        <is>
          <t>Total equity</t>
        </is>
      </c>
      <c r="B9" s="5" t="n">
        <v>95766</v>
      </c>
      <c r="C9" s="5" t="n">
        <v>106372</v>
      </c>
      <c r="D9" s="5" t="n">
        <v>102228</v>
      </c>
      <c r="E9" s="5" t="n">
        <v>98784</v>
      </c>
      <c r="F9" s="5" t="n">
        <v>112652</v>
      </c>
      <c r="G9" s="5" t="n">
        <v>127462</v>
      </c>
      <c r="J9" t="inlineStr">
        <is>
          <t>Total equity</t>
        </is>
      </c>
      <c r="K9" t="n">
        <v>127462</v>
      </c>
      <c r="L9" t="n">
        <v>112652</v>
      </c>
      <c r="M9" t="n">
        <v>98784</v>
      </c>
      <c r="N9" t="n">
        <v>102228</v>
      </c>
      <c r="O9" t="n">
        <v>106372</v>
      </c>
      <c r="P9" t="n">
        <v>95766</v>
      </c>
      <c r="AS9" t="inlineStr">
        <is>
          <t>LCR</t>
        </is>
      </c>
      <c r="AT9" t="n">
        <v>641.3</v>
      </c>
      <c r="AU9" t="n">
        <v>365.4</v>
      </c>
      <c r="AV9" t="n">
        <v>350.7</v>
      </c>
      <c r="AW9" t="n">
        <v>691.6</v>
      </c>
      <c r="AX9" t="n">
        <v>447.6</v>
      </c>
    </row>
    <row r="10">
      <c r="AS10" t="inlineStr">
        <is>
          <t>NSFR</t>
        </is>
      </c>
      <c r="AV10" t="n">
        <v>150.6</v>
      </c>
      <c r="AW10" t="n">
        <v>151.1</v>
      </c>
      <c r="AX10" t="n">
        <v>153.5</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G12" s="4" t="inlineStr">
        <is>
          <t>FY2017</t>
        </is>
      </c>
      <c r="T12" t="inlineStr">
        <is>
          <t>FY2017</t>
        </is>
      </c>
      <c r="U12" t="inlineStr">
        <is>
          <t>FY2021</t>
        </is>
      </c>
      <c r="V12" t="inlineStr">
        <is>
          <t>FY2022</t>
        </is>
      </c>
      <c r="W12" t="inlineStr">
        <is>
          <t>FY2023</t>
        </is>
      </c>
      <c r="X12" t="inlineStr">
        <is>
          <t>FY2024</t>
        </is>
      </c>
      <c r="Y12" t="inlineStr">
        <is>
          <t>FY2025</t>
        </is>
      </c>
    </row>
    <row r="13">
      <c r="A13" s="5" t="inlineStr">
        <is>
          <t>Total operating income</t>
        </is>
      </c>
      <c r="B13" s="5" t="n">
        <v>13790</v>
      </c>
      <c r="C13" s="5" t="n">
        <v>19479</v>
      </c>
      <c r="D13" s="5" t="n">
        <v>34102</v>
      </c>
      <c r="E13" s="5" t="n">
        <v>32884</v>
      </c>
      <c r="F13" s="5" t="n">
        <v>31234</v>
      </c>
      <c r="G13" s="5" t="n">
        <v>10762</v>
      </c>
      <c r="S13" t="inlineStr">
        <is>
          <t>Total operating income</t>
        </is>
      </c>
      <c r="T13" t="n">
        <v>10762</v>
      </c>
      <c r="U13" t="n">
        <v>31234</v>
      </c>
      <c r="V13" t="n">
        <v>32884</v>
      </c>
      <c r="W13" t="n">
        <v>34102</v>
      </c>
      <c r="X13" t="n">
        <v>19479</v>
      </c>
      <c r="Y13" t="n">
        <v>13790</v>
      </c>
    </row>
    <row r="14">
      <c r="A14" s="5" t="inlineStr">
        <is>
          <t>Total operating expenses</t>
        </is>
      </c>
      <c r="B14" s="5" t="n">
        <v>-29028</v>
      </c>
      <c r="C14" s="5" t="n">
        <v>-22893</v>
      </c>
      <c r="D14" s="5" t="n">
        <v>-30949</v>
      </c>
      <c r="E14" s="5" t="n">
        <v>-30329</v>
      </c>
      <c r="F14" s="5" t="n">
        <v>-28521</v>
      </c>
      <c r="G14" s="5" t="n">
        <v>-11381</v>
      </c>
      <c r="S14" t="inlineStr">
        <is>
          <t>Total operating expenses</t>
        </is>
      </c>
      <c r="T14" t="n">
        <v>-11381</v>
      </c>
      <c r="U14" t="n">
        <v>-28521</v>
      </c>
      <c r="V14" t="n">
        <v>-30329</v>
      </c>
      <c r="W14" t="n">
        <v>-30949</v>
      </c>
      <c r="X14" t="n">
        <v>-22893</v>
      </c>
      <c r="Y14" t="n">
        <v>-29028</v>
      </c>
    </row>
    <row r="15">
      <c r="A15" s="5" t="inlineStr">
        <is>
          <t>(Loss)/profit for the year</t>
        </is>
      </c>
      <c r="B15" s="5" t="n">
        <v>-11367</v>
      </c>
      <c r="C15" s="5" t="n">
        <v>3800</v>
      </c>
      <c r="D15" s="5" t="n">
        <v>3157</v>
      </c>
      <c r="E15" s="5" t="n">
        <v>8128</v>
      </c>
      <c r="F15" s="5" t="n">
        <v>3464</v>
      </c>
      <c r="G15" s="5" t="n"/>
      <c r="S15" t="inlineStr">
        <is>
          <t>(Loss)/profit for the year</t>
        </is>
      </c>
      <c r="U15" t="n">
        <v>3464</v>
      </c>
      <c r="V15" t="n">
        <v>8128</v>
      </c>
      <c r="W15" t="n">
        <v>3157</v>
      </c>
      <c r="X15" t="n">
        <v>3800</v>
      </c>
      <c r="Y15" t="n">
        <v>-11367</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AC18" t="inlineStr">
        <is>
          <t>FY2021</t>
        </is>
      </c>
      <c r="AD18" t="inlineStr">
        <is>
          <t>FY2022</t>
        </is>
      </c>
      <c r="AE18" t="inlineStr">
        <is>
          <t>FY2023</t>
        </is>
      </c>
      <c r="AF18" t="inlineStr">
        <is>
          <t>FY2024</t>
        </is>
      </c>
      <c r="AG18" t="inlineStr">
        <is>
          <t>FY2025</t>
        </is>
      </c>
    </row>
    <row r="19">
      <c r="A19" s="5" t="inlineStr">
        <is>
          <t>Opening equity</t>
        </is>
      </c>
      <c r="B19" s="5" t="n">
        <v>106372</v>
      </c>
      <c r="C19" s="5" t="n">
        <v>102228</v>
      </c>
      <c r="D19" s="5" t="n">
        <v>98784</v>
      </c>
      <c r="E19" s="5" t="n">
        <v>92816</v>
      </c>
      <c r="F19" s="5" t="n">
        <v>109326</v>
      </c>
      <c r="AB19" t="inlineStr">
        <is>
          <t>Opening equity</t>
        </is>
      </c>
      <c r="AC19" t="n">
        <v>109326</v>
      </c>
      <c r="AD19" t="n">
        <v>92816</v>
      </c>
      <c r="AE19" t="n">
        <v>98784</v>
      </c>
      <c r="AF19" t="n">
        <v>102228</v>
      </c>
      <c r="AG19" t="n">
        <v>106372</v>
      </c>
    </row>
    <row r="20">
      <c r="A20" s="5" t="inlineStr">
        <is>
          <t>Total comprehensive (loss)/income for the year</t>
        </is>
      </c>
      <c r="B20" s="5" t="n">
        <v>-10606</v>
      </c>
      <c r="C20" s="5" t="n">
        <v>4144</v>
      </c>
      <c r="D20" s="5" t="n">
        <v>3711</v>
      </c>
      <c r="E20" s="5" t="n">
        <v>4797</v>
      </c>
      <c r="F20" s="5" t="n">
        <v>3326</v>
      </c>
      <c r="AB20" t="inlineStr">
        <is>
          <t>Total comprehensive (loss)/income for the year</t>
        </is>
      </c>
      <c r="AC20" t="n">
        <v>3326</v>
      </c>
      <c r="AD20" t="n">
        <v>4797</v>
      </c>
      <c r="AE20" t="n">
        <v>3711</v>
      </c>
      <c r="AF20" t="n">
        <v>4144</v>
      </c>
      <c r="AG20" t="n">
        <v>-10606</v>
      </c>
    </row>
    <row r="21">
      <c r="A21" s="5" t="inlineStr">
        <is>
          <t>Other equity movements, net</t>
        </is>
      </c>
      <c r="B21" s="5" t="n">
        <v>0</v>
      </c>
      <c r="C21" s="5" t="n">
        <v>0</v>
      </c>
      <c r="D21" s="5" t="n">
        <v>-267</v>
      </c>
      <c r="E21" s="5" t="n">
        <v>1171</v>
      </c>
      <c r="F21" s="5" t="n">
        <v>0</v>
      </c>
      <c r="AB21" t="inlineStr">
        <is>
          <t>Other equity movements, net</t>
        </is>
      </c>
      <c r="AC21" t="n">
        <v>0</v>
      </c>
      <c r="AD21" t="n">
        <v>1171</v>
      </c>
      <c r="AE21" t="n">
        <v>-267</v>
      </c>
      <c r="AF21" t="n">
        <v>0</v>
      </c>
      <c r="AG21" t="n">
        <v>0</v>
      </c>
    </row>
    <row r="22">
      <c r="A22" s="5" t="inlineStr">
        <is>
          <t>Closing equity</t>
        </is>
      </c>
      <c r="B22" s="5" t="n">
        <v>95766</v>
      </c>
      <c r="C22" s="5" t="n">
        <v>106372</v>
      </c>
      <c r="D22" s="5" t="n">
        <v>102228</v>
      </c>
      <c r="E22" s="5" t="n">
        <v>98784</v>
      </c>
      <c r="F22" s="5" t="n">
        <v>112652</v>
      </c>
      <c r="AB22" t="inlineStr">
        <is>
          <t>Closing equity</t>
        </is>
      </c>
      <c r="AC22" t="n">
        <v>112652</v>
      </c>
      <c r="AD22" t="n">
        <v>98784</v>
      </c>
      <c r="AE22" t="n">
        <v>102228</v>
      </c>
      <c r="AF22" t="n">
        <v>106372</v>
      </c>
      <c r="AG22" t="n">
        <v>95766</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FY2017</t>
        </is>
      </c>
      <c r="AK25" t="inlineStr">
        <is>
          <t>FY2017</t>
        </is>
      </c>
      <c r="AL25" t="inlineStr">
        <is>
          <t>FY2021</t>
        </is>
      </c>
      <c r="AM25" t="inlineStr">
        <is>
          <t>FY2022</t>
        </is>
      </c>
      <c r="AN25" t="inlineStr">
        <is>
          <t>FY2023</t>
        </is>
      </c>
      <c r="AO25" t="inlineStr">
        <is>
          <t>FY2024</t>
        </is>
      </c>
      <c r="AP25" t="inlineStr">
        <is>
          <t>FY2025</t>
        </is>
      </c>
    </row>
    <row r="26">
      <c r="A26" s="5" t="inlineStr">
        <is>
          <t>Net cash flow from/(used in) operating activities</t>
        </is>
      </c>
      <c r="B26" s="5" t="n">
        <v>4075</v>
      </c>
      <c r="C26" s="5" t="n">
        <v>1987</v>
      </c>
      <c r="D26" s="5" t="n">
        <v>4640</v>
      </c>
      <c r="E26" s="5" t="n">
        <v>-38927</v>
      </c>
      <c r="F26" s="5" t="n">
        <v>12357</v>
      </c>
      <c r="G26" s="5" t="n">
        <v>30046</v>
      </c>
      <c r="AJ26" t="inlineStr">
        <is>
          <t>Net cash flow from/(used in) operating activities</t>
        </is>
      </c>
      <c r="AK26" t="n">
        <v>30046</v>
      </c>
      <c r="AL26" t="n">
        <v>12357</v>
      </c>
      <c r="AM26" t="n">
        <v>-38927</v>
      </c>
      <c r="AN26" t="n">
        <v>4640</v>
      </c>
      <c r="AO26" t="n">
        <v>1987</v>
      </c>
      <c r="AP26" t="n">
        <v>4075</v>
      </c>
    </row>
    <row r="27">
      <c r="A27" s="5" t="inlineStr">
        <is>
          <t>Net cash flow from/(used in) investing activities</t>
        </is>
      </c>
      <c r="B27" s="5" t="n">
        <v>-7104</v>
      </c>
      <c r="C27" s="5" t="n">
        <v>1953</v>
      </c>
      <c r="D27" s="5" t="n">
        <v>-2234</v>
      </c>
      <c r="E27" s="5" t="n">
        <v>30204</v>
      </c>
      <c r="F27" s="5" t="n">
        <v>17325</v>
      </c>
      <c r="G27" s="5" t="n">
        <v>10353</v>
      </c>
      <c r="AJ27" t="inlineStr">
        <is>
          <t>Net cash flow from/(used in) investing activities</t>
        </is>
      </c>
      <c r="AK27" t="n">
        <v>10353</v>
      </c>
      <c r="AL27" t="n">
        <v>17325</v>
      </c>
      <c r="AM27" t="n">
        <v>30204</v>
      </c>
      <c r="AN27" t="n">
        <v>-2234</v>
      </c>
      <c r="AO27" t="n">
        <v>1953</v>
      </c>
      <c r="AP27" t="n">
        <v>-7104</v>
      </c>
    </row>
    <row r="28">
      <c r="A28" s="5" t="inlineStr">
        <is>
          <t>Net cash flow from/(used in) financing activities</t>
        </is>
      </c>
      <c r="B28" s="5" t="n">
        <v>-307</v>
      </c>
      <c r="C28" s="5" t="n">
        <v>-697</v>
      </c>
      <c r="D28" s="5" t="n">
        <v>-701</v>
      </c>
      <c r="E28" s="5" t="n">
        <v>-9890</v>
      </c>
      <c r="F28" s="5" t="n">
        <v>-724</v>
      </c>
      <c r="G28" s="5" t="n">
        <v>-36904</v>
      </c>
      <c r="AJ28" t="inlineStr">
        <is>
          <t>Net cash flow from/(used in) financing activities</t>
        </is>
      </c>
      <c r="AK28" t="n">
        <v>-36904</v>
      </c>
      <c r="AL28" t="n">
        <v>-724</v>
      </c>
      <c r="AM28" t="n">
        <v>-9890</v>
      </c>
      <c r="AN28" t="n">
        <v>-701</v>
      </c>
      <c r="AO28" t="n">
        <v>-697</v>
      </c>
      <c r="AP28" t="n">
        <v>-307</v>
      </c>
    </row>
    <row r="29">
      <c r="A29" s="5" t="inlineStr">
        <is>
          <t>Cash and cash equivalents at end of year</t>
        </is>
      </c>
      <c r="B29" s="5" t="n">
        <v>24599</v>
      </c>
      <c r="C29" s="5" t="n">
        <v>27823</v>
      </c>
      <c r="D29" s="5" t="n">
        <v>24596</v>
      </c>
      <c r="E29" s="5" t="n">
        <v>22845</v>
      </c>
      <c r="F29" s="5" t="n">
        <v>41598</v>
      </c>
      <c r="G29" s="5" t="n">
        <v>11900</v>
      </c>
      <c r="AJ29" t="inlineStr">
        <is>
          <t>Cash and cash equivalents at end of year</t>
        </is>
      </c>
      <c r="AK29" t="n">
        <v>11900</v>
      </c>
      <c r="AL29" t="n">
        <v>41598</v>
      </c>
      <c r="AM29" t="n">
        <v>22845</v>
      </c>
      <c r="AN29" t="n">
        <v>24596</v>
      </c>
      <c r="AO29" t="n">
        <v>27823</v>
      </c>
      <c r="AP29" t="n">
        <v>24599</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FY2017</t>
        </is>
      </c>
    </row>
    <row r="33">
      <c r="A33" s="6" t="inlineStr">
        <is>
          <t>CET1 Ratio</t>
        </is>
      </c>
      <c r="B33" s="6" t="inlineStr">
        <is>
          <t>15.74%</t>
        </is>
      </c>
      <c r="C33" s="6" t="inlineStr">
        <is>
          <t>17.1%</t>
        </is>
      </c>
      <c r="D33" s="6" t="inlineStr">
        <is>
          <t>16.8%</t>
        </is>
      </c>
      <c r="E33" s="6" t="inlineStr">
        <is>
          <t>17.4%</t>
        </is>
      </c>
      <c r="F33" s="6" t="inlineStr">
        <is>
          <t>18.1%</t>
        </is>
      </c>
      <c r="G33" s="6" t="inlineStr">
        <is>
          <t>37.3%</t>
        </is>
      </c>
    </row>
    <row r="34">
      <c r="A34" s="6" t="inlineStr">
        <is>
          <t>Total Capital Ratio</t>
        </is>
      </c>
      <c r="B34" s="6" t="n"/>
      <c r="C34" s="6" t="inlineStr">
        <is>
          <t>20.0%</t>
        </is>
      </c>
      <c r="D34" s="6" t="inlineStr">
        <is>
          <t>19.6%</t>
        </is>
      </c>
      <c r="E34" s="6" t="inlineStr">
        <is>
          <t>18.9%</t>
        </is>
      </c>
      <c r="F34" s="6" t="inlineStr">
        <is>
          <t>19.8%</t>
        </is>
      </c>
      <c r="G34" s="6" t="inlineStr">
        <is>
          <t>37.3%</t>
        </is>
      </c>
    </row>
    <row r="35">
      <c r="A35" s="6" t="inlineStr">
        <is>
          <t>Leverage Ratio</t>
        </is>
      </c>
      <c r="B35" s="6" t="inlineStr">
        <is>
          <t>6.53%</t>
        </is>
      </c>
      <c r="C35" s="6" t="inlineStr">
        <is>
          <t>7.4%</t>
        </is>
      </c>
      <c r="D35" s="6" t="inlineStr">
        <is>
          <t>7.3%</t>
        </is>
      </c>
      <c r="E35" s="6" t="inlineStr">
        <is>
          <t>7.5%</t>
        </is>
      </c>
      <c r="F35" s="6" t="inlineStr">
        <is>
          <t>9.2%</t>
        </is>
      </c>
      <c r="G35" s="6" t="inlineStr">
        <is>
          <t>37.8%</t>
        </is>
      </c>
    </row>
    <row r="36">
      <c r="A36" s="6" t="inlineStr">
        <is>
          <t>LCR</t>
        </is>
      </c>
      <c r="B36" s="6" t="n"/>
      <c r="C36" s="6" t="inlineStr">
        <is>
          <t>447.6%</t>
        </is>
      </c>
      <c r="D36" s="6" t="inlineStr">
        <is>
          <t>691.6%</t>
        </is>
      </c>
      <c r="E36" s="6" t="inlineStr">
        <is>
          <t>350.7%</t>
        </is>
      </c>
      <c r="F36" s="6" t="inlineStr">
        <is>
          <t>365.4%</t>
        </is>
      </c>
      <c r="G36" s="6" t="inlineStr">
        <is>
          <t>641.3%</t>
        </is>
      </c>
    </row>
    <row r="37">
      <c r="A37" s="6" t="inlineStr">
        <is>
          <t>NSFR</t>
        </is>
      </c>
      <c r="B37" s="6" t="n"/>
      <c r="C37" s="6" t="inlineStr">
        <is>
          <t>153.5%</t>
        </is>
      </c>
      <c r="D37" s="6" t="inlineStr">
        <is>
          <t>151.1%</t>
        </is>
      </c>
      <c r="E37" s="6" t="inlineStr">
        <is>
          <t>150.6%</t>
        </is>
      </c>
      <c r="F37" s="6" t="n"/>
      <c r="G37" s="6" t="n"/>
    </row>
    <row r="39" ht="65" customHeight="1">
      <c r="A39" s="7" t="inlineStr">
        <is>
          <t>Note: Gatehouse Bank Plc is a UK Shariah-compliant (Islamic) bank; 'profit paid/received' is the functional equivalent of interest paid/received. FY2025 Pillar 3 ratios and RWA Breakdown are blank - not yet published as at build date. Opening equity for FY2022 (GBP92,816k) is GBP19,836k lower than FY2021's own closing Total equity (GBP112,652k) - a genuine, disclosed restatement (a new Non-controlling interest acquisition reserve introduced from FY2022), see the Statement of Changes in Equity sheet's source note. See the Cash Flow Statement sheet's source note for the 3-era presentation change and the FY2021/FY2022 cash flow restatement notes. Figures are duplicated from the detail sheets for at-a-glance trend viewing.</t>
        </is>
      </c>
    </row>
  </sheetData>
  <mergeCells count="1">
    <mergeCell ref="A39:G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Gatehouse Bank Plc — Consolidated Balance Sheet</t>
        </is>
      </c>
    </row>
    <row r="2">
      <c r="A2" s="2" t="inlineStr">
        <is>
          <t>Consolidated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8" t="inlineStr">
        <is>
          <t>FY2017 (£'000)</t>
        </is>
      </c>
    </row>
    <row r="4">
      <c r="A4" s="5" t="inlineStr">
        <is>
          <t>Assets</t>
        </is>
      </c>
      <c r="B4" s="6" t="n"/>
      <c r="C4" s="6" t="n"/>
      <c r="D4" s="6" t="n"/>
      <c r="E4" s="6" t="n"/>
      <c r="F4" s="6" t="n"/>
    </row>
    <row r="5">
      <c r="A5" s="6" t="inlineStr">
        <is>
          <t>Cash and balances with banks</t>
        </is>
      </c>
      <c r="B5" s="6" t="n">
        <v>24599</v>
      </c>
      <c r="C5" s="6" t="n">
        <v>27823</v>
      </c>
      <c r="D5" s="6" t="n">
        <v>24596</v>
      </c>
      <c r="E5" s="6" t="n">
        <v>22845</v>
      </c>
      <c r="F5" s="6" t="n">
        <v>41598</v>
      </c>
      <c r="G5" s="6" t="n">
        <v>11900</v>
      </c>
    </row>
    <row r="6">
      <c r="A6" s="6" t="inlineStr">
        <is>
          <t>Due from financial institutions (FY2017 presentation only - see source note)</t>
        </is>
      </c>
      <c r="B6" s="6" t="n"/>
      <c r="C6" s="6" t="n"/>
      <c r="D6" s="6" t="n"/>
      <c r="E6" s="6" t="n"/>
      <c r="F6" s="6" t="n"/>
      <c r="G6" s="6" t="n">
        <v>77251</v>
      </c>
    </row>
    <row r="7">
      <c r="A7" s="6" t="inlineStr">
        <is>
          <t>Financing and advances at amortised cost</t>
        </is>
      </c>
      <c r="B7" s="6" t="n">
        <v>1264559</v>
      </c>
      <c r="C7" s="6" t="n">
        <v>1315936</v>
      </c>
      <c r="D7" s="6" t="n">
        <v>1357803</v>
      </c>
      <c r="E7" s="6" t="n">
        <v>1227896</v>
      </c>
      <c r="F7" s="6" t="n">
        <v>901111</v>
      </c>
      <c r="G7" s="6" t="n">
        <v>85903</v>
      </c>
    </row>
    <row r="8">
      <c r="A8" s="6" t="inlineStr">
        <is>
          <t>Derivative financial instruments (asset)</t>
        </is>
      </c>
      <c r="B8" s="6" t="n">
        <v>2348</v>
      </c>
      <c r="C8" s="6" t="n">
        <v>11337</v>
      </c>
      <c r="D8" s="6" t="n">
        <v>33032</v>
      </c>
      <c r="E8" s="6" t="n">
        <v>34138</v>
      </c>
      <c r="F8" s="6" t="n">
        <v>2619</v>
      </c>
      <c r="G8" s="6" t="n">
        <v>0</v>
      </c>
    </row>
    <row r="9">
      <c r="A9" s="6" t="inlineStr">
        <is>
          <t>Fair value of hedged assets in portfolio hedges of interest rate risk</t>
        </is>
      </c>
      <c r="B9" s="6" t="n">
        <v>2377</v>
      </c>
      <c r="C9" s="6" t="n">
        <v>-371</v>
      </c>
      <c r="D9" s="6" t="n"/>
      <c r="E9" s="6" t="n"/>
      <c r="F9" s="6" t="n"/>
    </row>
    <row r="10">
      <c r="A10" s="6" t="inlineStr">
        <is>
          <t>Financial assets held at FVTOCI</t>
        </is>
      </c>
      <c r="B10" s="6" t="n">
        <v>38098</v>
      </c>
      <c r="C10" s="6" t="n">
        <v>28282</v>
      </c>
      <c r="D10" s="6" t="n">
        <v>19512</v>
      </c>
      <c r="E10" s="6" t="n">
        <v>19351</v>
      </c>
      <c r="F10" s="6" t="n">
        <v>22951</v>
      </c>
      <c r="G10" s="6" t="n">
        <v>72095</v>
      </c>
    </row>
    <row r="11">
      <c r="A11" s="6" t="inlineStr">
        <is>
          <t>Financial assets held at FVTIS</t>
        </is>
      </c>
      <c r="B11" s="6" t="n">
        <v>2827</v>
      </c>
      <c r="C11" s="6" t="n">
        <v>8228</v>
      </c>
      <c r="D11" s="6" t="n">
        <v>18278</v>
      </c>
      <c r="E11" s="6" t="n">
        <v>17061</v>
      </c>
      <c r="F11" s="6" t="n">
        <v>26366</v>
      </c>
      <c r="G11" s="6" t="n">
        <v>0</v>
      </c>
    </row>
    <row r="12">
      <c r="A12" s="6" t="inlineStr">
        <is>
          <t>Investment in associate</t>
        </is>
      </c>
      <c r="B12" s="6" t="n"/>
      <c r="C12" s="6" t="n"/>
      <c r="D12" s="6" t="n"/>
      <c r="E12" s="6" t="n"/>
      <c r="F12" s="6" t="n">
        <v>14298</v>
      </c>
      <c r="G12" s="6" t="n">
        <v>15379</v>
      </c>
    </row>
    <row r="13">
      <c r="A13" s="6" t="inlineStr">
        <is>
          <t>Goodwill</t>
        </is>
      </c>
      <c r="B13" s="6" t="n"/>
      <c r="C13" s="6" t="n"/>
      <c r="D13" s="6" t="n">
        <v>4242</v>
      </c>
      <c r="E13" s="6" t="n">
        <v>4242</v>
      </c>
      <c r="F13" s="6" t="n">
        <v>4242</v>
      </c>
    </row>
    <row r="14">
      <c r="A14" s="6" t="inlineStr">
        <is>
          <t>Intangible assets</t>
        </is>
      </c>
      <c r="B14" s="6" t="n">
        <v>2849</v>
      </c>
      <c r="C14" s="6" t="n">
        <v>6644</v>
      </c>
      <c r="D14" s="6" t="n">
        <v>1879</v>
      </c>
      <c r="E14" s="6" t="n">
        <v>1812</v>
      </c>
      <c r="F14" s="6" t="n">
        <v>1389</v>
      </c>
      <c r="G14" s="6" t="n">
        <v>339</v>
      </c>
    </row>
    <row r="15">
      <c r="A15" s="6" t="inlineStr">
        <is>
          <t>Property, plant and equipment and right-of-use assets</t>
        </is>
      </c>
      <c r="B15" s="6" t="n">
        <v>1126</v>
      </c>
      <c r="C15" s="6" t="n">
        <v>945</v>
      </c>
      <c r="D15" s="6" t="n">
        <v>1155</v>
      </c>
      <c r="E15" s="6" t="n">
        <v>1486</v>
      </c>
      <c r="F15" s="6" t="n">
        <v>1714</v>
      </c>
      <c r="G15" s="6" t="n">
        <v>13031</v>
      </c>
    </row>
    <row r="16">
      <c r="A16" s="6" t="inlineStr">
        <is>
          <t>Assets in disposal groups classified as held for sale</t>
        </is>
      </c>
      <c r="B16" s="6" t="n">
        <v>13551</v>
      </c>
      <c r="C16" s="6" t="n"/>
      <c r="D16" s="6" t="n"/>
      <c r="E16" s="6" t="n"/>
      <c r="F16" s="6" t="n"/>
    </row>
    <row r="17">
      <c r="A17" s="6" t="inlineStr">
        <is>
          <t>Property held for sale</t>
        </is>
      </c>
      <c r="B17" s="6" t="n"/>
      <c r="C17" s="6" t="n"/>
      <c r="D17" s="6" t="n"/>
      <c r="E17" s="6" t="n"/>
      <c r="F17" s="6" t="n">
        <v>4537</v>
      </c>
    </row>
    <row r="18">
      <c r="A18" s="6" t="inlineStr">
        <is>
          <t>Other assets</t>
        </is>
      </c>
      <c r="B18" s="6" t="n">
        <v>36503</v>
      </c>
      <c r="C18" s="6" t="n">
        <v>8857</v>
      </c>
      <c r="D18" s="6" t="n">
        <v>4016</v>
      </c>
      <c r="E18" s="6" t="n">
        <v>2571</v>
      </c>
      <c r="F18" s="6" t="n">
        <v>5533</v>
      </c>
      <c r="G18" s="6" t="n">
        <v>4627</v>
      </c>
    </row>
    <row r="19">
      <c r="A19" s="6" t="inlineStr">
        <is>
          <t>Deferred tax assets</t>
        </is>
      </c>
      <c r="B19" s="6" t="n">
        <v>9374</v>
      </c>
      <c r="C19" s="6" t="n">
        <v>7427</v>
      </c>
      <c r="D19" s="6" t="n">
        <v>5260</v>
      </c>
      <c r="E19" s="6" t="n">
        <v>4525</v>
      </c>
      <c r="F19" s="6" t="n"/>
    </row>
    <row r="20">
      <c r="A20" s="5" t="inlineStr">
        <is>
          <t>Total assets</t>
        </is>
      </c>
      <c r="B20" s="5" t="n">
        <v>1398211</v>
      </c>
      <c r="C20" s="5" t="n">
        <v>1415108</v>
      </c>
      <c r="D20" s="5" t="n">
        <v>1469773</v>
      </c>
      <c r="E20" s="5" t="n">
        <v>1335927</v>
      </c>
      <c r="F20" s="5" t="n">
        <v>1026358</v>
      </c>
      <c r="G20" s="6" t="n">
        <v>280526</v>
      </c>
    </row>
    <row r="21">
      <c r="A21" s="5" t="inlineStr">
        <is>
          <t>Liabilities</t>
        </is>
      </c>
      <c r="B21" s="6" t="n"/>
      <c r="C21" s="6" t="n"/>
      <c r="D21" s="6" t="n"/>
      <c r="E21" s="6" t="n"/>
      <c r="F21" s="6" t="n"/>
    </row>
    <row r="22">
      <c r="A22" s="6" t="inlineStr">
        <is>
          <t>Financial liabilities measured at amortised cost</t>
        </is>
      </c>
      <c r="B22" s="6" t="n">
        <v>1287404</v>
      </c>
      <c r="C22" s="6" t="n">
        <v>1288977</v>
      </c>
      <c r="D22" s="6" t="n">
        <v>1316609</v>
      </c>
      <c r="E22" s="6" t="n">
        <v>1168586</v>
      </c>
      <c r="F22" s="6" t="n">
        <v>895637</v>
      </c>
      <c r="G22" s="6" t="n">
        <v>150077</v>
      </c>
    </row>
    <row r="23">
      <c r="A23" s="6" t="inlineStr">
        <is>
          <t>Financial liabilities held at FVTIS</t>
        </is>
      </c>
      <c r="B23" s="6" t="n"/>
      <c r="C23" s="6" t="n"/>
      <c r="D23" s="6" t="n"/>
      <c r="E23" s="6" t="n"/>
      <c r="F23" s="6" t="n">
        <v>1340</v>
      </c>
    </row>
    <row r="24">
      <c r="A24" s="6" t="inlineStr">
        <is>
          <t>Derivative financial instruments (liability)</t>
        </is>
      </c>
      <c r="B24" s="6" t="n">
        <v>2736</v>
      </c>
      <c r="C24" s="6" t="n">
        <v>11110</v>
      </c>
      <c r="D24" s="6" t="n">
        <v>44010</v>
      </c>
      <c r="E24" s="6" t="n">
        <v>61224</v>
      </c>
      <c r="F24" s="6" t="n">
        <v>5033</v>
      </c>
      <c r="G24" s="6" t="n">
        <v>506</v>
      </c>
    </row>
    <row r="25">
      <c r="A25" s="6" t="inlineStr">
        <is>
          <t>Other liabilities</t>
        </is>
      </c>
      <c r="B25" s="6" t="n">
        <v>7562</v>
      </c>
      <c r="C25" s="6" t="n">
        <v>8649</v>
      </c>
      <c r="D25" s="6" t="n">
        <v>6926</v>
      </c>
      <c r="E25" s="6" t="n">
        <v>7333</v>
      </c>
      <c r="F25" s="6" t="n">
        <v>11696</v>
      </c>
      <c r="G25" s="6" t="n">
        <v>2481</v>
      </c>
    </row>
    <row r="26">
      <c r="A26" s="6" t="inlineStr">
        <is>
          <t>Liabilities directly associated with assets in disposal groups classified as held for sale</t>
        </is>
      </c>
      <c r="B26" s="6" t="n">
        <v>4743</v>
      </c>
      <c r="C26" s="6" t="n"/>
      <c r="D26" s="6" t="n"/>
      <c r="E26" s="6" t="n"/>
      <c r="F26" s="6" t="n"/>
    </row>
    <row r="27">
      <c r="A27" s="5" t="inlineStr">
        <is>
          <t>Total liabilities</t>
        </is>
      </c>
      <c r="B27" s="5" t="n">
        <v>1302445</v>
      </c>
      <c r="C27" s="5" t="n">
        <v>1308736</v>
      </c>
      <c r="D27" s="5" t="n">
        <v>1367545</v>
      </c>
      <c r="E27" s="5" t="n">
        <v>1237143</v>
      </c>
      <c r="F27" s="5" t="n">
        <v>913706</v>
      </c>
      <c r="G27" s="6" t="n">
        <v>153065</v>
      </c>
    </row>
    <row r="28">
      <c r="A28" s="5" t="inlineStr">
        <is>
          <t>Equity</t>
        </is>
      </c>
      <c r="B28" s="6" t="n"/>
      <c r="C28" s="6" t="n"/>
      <c r="D28" s="6" t="n"/>
      <c r="E28" s="6" t="n"/>
      <c r="F28" s="6" t="n"/>
    </row>
    <row r="29">
      <c r="A29" s="6" t="inlineStr">
        <is>
          <t>Share capital</t>
        </is>
      </c>
      <c r="B29" s="6" t="n">
        <v>150049</v>
      </c>
      <c r="C29" s="6" t="n">
        <v>150049</v>
      </c>
      <c r="D29" s="6" t="n">
        <v>150049</v>
      </c>
      <c r="E29" s="6" t="n">
        <v>150049</v>
      </c>
      <c r="F29" s="6" t="n">
        <v>150049</v>
      </c>
      <c r="G29" s="6" t="n">
        <v>150049</v>
      </c>
    </row>
    <row r="30">
      <c r="A30" s="6" t="inlineStr">
        <is>
          <t>Fair value through other comprehensive income reserve</t>
        </is>
      </c>
      <c r="B30" s="6" t="n">
        <v>-3616</v>
      </c>
      <c r="C30" s="6" t="n">
        <v>-4377</v>
      </c>
      <c r="D30" s="6" t="n">
        <v>-4721</v>
      </c>
      <c r="E30" s="6" t="n">
        <v>-5275</v>
      </c>
      <c r="F30" s="6" t="n">
        <v>-3848</v>
      </c>
      <c r="G30" s="6" t="n">
        <v>-394</v>
      </c>
    </row>
    <row r="31">
      <c r="A31" s="6" t="inlineStr">
        <is>
          <t>Foreign currency translation reserve</t>
        </is>
      </c>
      <c r="B31" s="6" t="n"/>
      <c r="C31" s="6" t="n"/>
      <c r="D31" s="6" t="n"/>
      <c r="E31" s="6" t="n"/>
      <c r="F31" s="6" t="n">
        <v>1792</v>
      </c>
      <c r="G31" s="6" t="n">
        <v>1571</v>
      </c>
    </row>
    <row r="32">
      <c r="A32" s="6" t="inlineStr">
        <is>
          <t>Reserve as a result of subsidiary acquisition</t>
        </is>
      </c>
      <c r="B32" s="6" t="n">
        <v>-15917</v>
      </c>
      <c r="C32" s="6" t="n">
        <v>-15917</v>
      </c>
      <c r="D32" s="6" t="n">
        <v>-15917</v>
      </c>
      <c r="E32" s="6" t="n">
        <v>-15917</v>
      </c>
      <c r="F32" s="6" t="n"/>
    </row>
    <row r="33">
      <c r="A33" s="6" t="inlineStr">
        <is>
          <t>Retained earnings/(deficit)</t>
        </is>
      </c>
      <c r="B33" s="6" t="n">
        <v>-34750</v>
      </c>
      <c r="C33" s="6" t="n">
        <v>-23383</v>
      </c>
      <c r="D33" s="6" t="n">
        <v>-27183</v>
      </c>
      <c r="E33" s="6" t="n">
        <v>-30073</v>
      </c>
      <c r="F33" s="6" t="n">
        <v>-36644</v>
      </c>
      <c r="G33" s="6" t="n">
        <v>-23764</v>
      </c>
    </row>
    <row r="34">
      <c r="A34" s="5" t="inlineStr">
        <is>
          <t>Equity attributable to owners of the company</t>
        </is>
      </c>
      <c r="B34" s="5" t="n">
        <v>95766</v>
      </c>
      <c r="C34" s="5" t="n">
        <v>106372</v>
      </c>
      <c r="D34" s="5" t="n">
        <v>102228</v>
      </c>
      <c r="E34" s="5" t="n">
        <v>98784</v>
      </c>
      <c r="F34" s="5" t="n">
        <v>111349</v>
      </c>
      <c r="G34" s="6" t="n">
        <v>127462</v>
      </c>
    </row>
    <row r="35">
      <c r="A35" s="6" t="inlineStr">
        <is>
          <t>Non-controlling interest</t>
        </is>
      </c>
      <c r="B35" s="6" t="n"/>
      <c r="C35" s="6" t="n"/>
      <c r="D35" s="6" t="n">
        <v>0</v>
      </c>
      <c r="E35" s="6" t="n">
        <v>0</v>
      </c>
      <c r="F35" s="6" t="n">
        <v>1303</v>
      </c>
    </row>
    <row r="36">
      <c r="A36" s="5" t="inlineStr">
        <is>
          <t>Total equity</t>
        </is>
      </c>
      <c r="B36" s="5" t="n">
        <v>95766</v>
      </c>
      <c r="C36" s="5" t="n">
        <v>106372</v>
      </c>
      <c r="D36" s="5" t="n">
        <v>102228</v>
      </c>
      <c r="E36" s="5" t="n">
        <v>98784</v>
      </c>
      <c r="F36" s="5" t="n">
        <v>112652</v>
      </c>
      <c r="G36" s="6" t="n">
        <v>127462</v>
      </c>
    </row>
    <row r="37">
      <c r="A37" s="5" t="inlineStr">
        <is>
          <t>Total equity and liabilities</t>
        </is>
      </c>
      <c r="B37" s="5" t="n">
        <v>1398211</v>
      </c>
      <c r="C37" s="5" t="n">
        <v>1415108</v>
      </c>
      <c r="D37" s="5" t="n">
        <v>1469773</v>
      </c>
      <c r="E37" s="5" t="n">
        <v>1335927</v>
      </c>
      <c r="F37" s="5" t="n">
        <v>1026358</v>
      </c>
      <c r="G37" s="6" t="n">
        <v>280526</v>
      </c>
    </row>
    <row r="38"/>
    <row r="39" ht="380" customHeight="1">
      <c r="A39" s="9" t="inlineStr">
        <is>
          <t>Sources - Gatehouse Bank Plc's own Consolidated Statement of Financial Position / Consolidated Income Statement / Consolidated Statement of Changes in Equity:
FY2025/FY2024: Annual Report and Financial Statements 2025, p.56-59 - https://assets.gatehousebank.com/production/downloads/Gatehouse-Bank-Annual-Report-2025.pdf
FY2023/FY2022: Annual Report and Financial Statements 2023, p.59-63 - https://gatehousebank.com/downloads/gatehouse-bank-annual-report-2023
FY2021: Annual Report and Financial Statements 2021, p.46-50 - https://assets.gatehousebank.com/production/downloads/Gatehouse-Bank-Annual-Report-2021-FINAL-web.pdf
FY2017: Annual Report and Financial Statements 2017, pp.33-36 - https://assets.gatehousebank.com/production/downloads/gatehousebankannualreport2017-wesbite2.pdf
Each year's own originally-published figures used. The equity roll-forward ties exactly at every boundary EXCEPT one genuine, disclosed restatement: the FY2023 Annual Report's own FY2022 comparative equity statement opens at 'Balance at 1 January 2022 (restated)' of GBP92,816k (attributable GBP91,513k + NCI GBP1,303k) - GBP19,836k lower than FY2021's own originally-published closing Total Equity of GBP112,652k. The gap exactly matches a new 'Non-controlling interest acquisition reserve' column (GBP(19,836)k) introduced from FY2022 onward that wasn't present in FY2021's own equity statement - shown here as an explicit 'Prior period restatement' bridging row (reproducing the disclosed component, not force-reconciling it), consistent with FY2021 using its own originally-published figures throughout the rest of this workbook.
PRESENTATION NOTE: FY2021 carries a Foreign currency translation reserve and Investment in associate/Investment Properties lines that later years don't (associate/investment property disposed); FY2022-FY2023 introduce a Non-controlling interest acquisition reserve (renamed 'Reserve as a result of subsidiary acquisition' from FY2024) and a Goodwill balance sheet line (written off/absorbed by FY2024); FY2024-FY2025 introduce Assets/Liabilities in disposal groups classified as held for sale and a Deferred tax asset line not itemised in FY2021's own filing. The Non-controlling interest is fully bought out by FY2023 (nil from FY2023's own statement onward, not shown as a column at all from FY2024). Income statement structure also evolves: FY2021 shows Loss/Gain on property held for sale and Gain on investment properties (FY2021-only, associated with the investment property later disposed) and a below-the-line 'Net share of profit of associate' (FY2021-only); FY2022-FY2023 report Profit/(loss) for the year from continuing operations separately from Profit after tax from discontinued operations; FY2024-FY2025 relabel this split as Loss after tax from continuing operations / Discontinued operation. Each year's own line items are used unchanged, blank cells where a line genuinely doesn't apply that year.
FY2017 PRESENTATION AND CORRECTION (2026-09-16): the 2017 Consolidated Statement of Financial Position (printed p.35) reports in whole pounds; figures are shown here in GBP'000, and the FY2017 column's own internal rounding leaves 1 in Total equity and liabilities (153,065 + 127,462 = 280,527 vs the printed 280,526). Caption mapping: the 2017 statement predates IFRS 9, so 'Investment securities' 72,095,108 is carried on the 'Financial assets held at FVTOCI' row and the 'Available-for-sale reserve' (393,988) on the 'Fair value through other comprehensive income reserve' row; 'Financing arrangements' 85,903,292 is carried on 'Financing and advances at amortised cost'; and 'Financial liabilities measured at amortised cost' 150,077 combines the two disclosed lines 'Due to financial institutions' 76,742,889 and 'Due to customers' 73,334,272, matching the single combined caption Gatehouse's own later statements use.
Two FY2017 lines were being dropped entirely and have been added: 'Due from financial institutions' 77,251,048, which this ladder had no row for at all (later years do not present bank placements as a separate asset line), and the derivative financial instruments LIABILITY of 506,336. Without them the delivered FY2017 column did not add up - assets summed to 203,275 against a printed Total assets of 280,526, and liabilities to 152,558 against a printed Total liabilities of 153,065. With them both sections tie. The 'Due from financial institutions' row is FY2017-only by design and is blank, not zero, for every other year.
ENTITY NOTE: Gatehouse Bank Plc (FRN 475346, company 06260053) is a UK Shariah-compliant (Islamic) bank - 'profit paid/received' in the cash flow statement is the functional equivalent of conventional interest paid/received, and financing/advances line items are Shariah-compliant structures (Wakala, Murabaha, ijara) presented here as the standard cash flow line items they represent. Figures are the Bank's own Consolidated Statement of Cash Flows from its Companies House 'Group of companies' accounts' filings.</t>
        </is>
      </c>
    </row>
    <row r="40"/>
    <row r="41" ht="380" customHeight="1">
      <c r="A41" s="9" t="inlineStr">
        <is>
          <t>(continued)
GENUINE MID-SERIES PRESENTATION CHANGE across 3 distinct eras, each kept on its own originally-published line items (blank cells where a line doesn't apply that year, not a gap): FY2021 (single combined profit line, no separate cash-tax-paid line); FY2022-FY2023 (profit split continuing/discontinued, 'Share in profit of associate' adjustment, cash tax paid shown separately within the operating-liabilities block); FY2024-FY2025 (adds Held-For-Sale adjustment/asset lines and an 'Intercompany payable receivable' line reflecting a disclosed business restructuring, and introduces a 'Cash generated from operations' subtotal not shown in earlier years). The 'Fair value movement in financial instruments held at FVTIS (derivative financial instruments)' caption is used TWICE within the same year's own statement - once as a non-cash P&amp;L adjustment, once under operating-asset movements - kept as two distinct rows per the source, not a duplicate.
FY2021 RESTATEMENT: the FY2022 Annual Report's own FY2021 comparative column reclassifies several FY2021 operating/investing line items (e.g. splits continuing/discontinued profit differently, renames 'Net investment in financial assets held at FVTIS/FVTOCI' into the derivative-FVTIS captions used from FY2022 onward) versus FY2021's own originally-published Annual Report. The two vintages' Net cash flow from operating/investing activities totals differ (12,357/17,325 as originally published vs 12,643/17,039 restated) but their SUM and the overall net cash movement (28,958) are identical in both - a pure reclassification between sections, not a value correction (the same pattern seen at FCE Bank Plc in this project). FY2021's own originally-published Annual Report figures are used here, consistent with every other year using its own primary source rather than a later restated comparative.
FY2017: Annual Report and Financial Statements 2017, pp.33-36 - https://assets.gatehousebank.com/production/downloads/gatehousebankannualreport2017-wesbite2.pdf
FY2017 Pillar 3 key metrics are not in the 2017 annual report, but they ARE published - in the Bank's separate Pillar III Disclosure 2017, which was located and read on 2026-09-15 and now populates the FY2017 column of every regulatory metric sheet except NSFR - https://assets.gatehousebank.com/production/downloads/gatehousebankpillariiidisclosure2017.pdf
(This supersedes an earlier note here which said FY2017 regulatory cells were 'left blank rather than inferred from the financial statements'. Nothing needed to be inferred: the wrong document had been checked. See the FY2017 note on the metric sheets for the full derivation and cross-checks.)
Full opening-to-closing cash balance chain (including the separately-disclosed FX effect on cash) ties exactly across all available years.</t>
        </is>
      </c>
    </row>
  </sheetData>
  <mergeCells count="2">
    <mergeCell ref="A41:F41"/>
    <mergeCell ref="A39:F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s>
  <sheetData>
    <row r="1">
      <c r="A1" s="1" t="inlineStr">
        <is>
          <t>Gatehouse Bank Plc — Consolidated Income Statement</t>
        </is>
      </c>
    </row>
    <row r="2">
      <c r="A2" s="2" t="inlineStr">
        <is>
          <t>Consolidated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8" t="inlineStr">
        <is>
          <t>FY2017 (£'000)</t>
        </is>
      </c>
    </row>
    <row r="4">
      <c r="A4" s="5" t="inlineStr">
        <is>
          <t>Income</t>
        </is>
      </c>
      <c r="B4" s="6" t="n"/>
      <c r="C4" s="6" t="n"/>
      <c r="D4" s="6" t="n"/>
      <c r="E4" s="6" t="n"/>
      <c r="F4" s="6" t="n"/>
    </row>
    <row r="5">
      <c r="A5" s="6" t="inlineStr">
        <is>
          <t>Income from financial assets held at amortised cost</t>
        </is>
      </c>
      <c r="B5" s="6" t="n">
        <v>65700</v>
      </c>
      <c r="C5" s="6" t="n">
        <v>66694</v>
      </c>
      <c r="D5" s="6" t="n">
        <v>55745</v>
      </c>
      <c r="E5" s="6" t="n">
        <v>42738</v>
      </c>
      <c r="F5" s="6" t="n">
        <v>33889</v>
      </c>
      <c r="G5" s="6" t="n">
        <v>9072</v>
      </c>
    </row>
    <row r="6">
      <c r="A6" s="6" t="inlineStr">
        <is>
          <t>Charges to financial institutions and customers</t>
        </is>
      </c>
      <c r="B6" s="6" t="n">
        <v>-50933</v>
      </c>
      <c r="C6" s="6" t="n">
        <v>-51092</v>
      </c>
      <c r="D6" s="6" t="n">
        <v>-32736</v>
      </c>
      <c r="E6" s="6" t="n">
        <v>-18604</v>
      </c>
      <c r="F6" s="6" t="n">
        <v>-15332</v>
      </c>
      <c r="G6" s="6" t="n">
        <v>-3425</v>
      </c>
    </row>
    <row r="7">
      <c r="A7" s="6" t="inlineStr">
        <is>
          <t>Fees and commission income</t>
        </is>
      </c>
      <c r="B7" s="6" t="n">
        <v>2704</v>
      </c>
      <c r="C7" s="6" t="n">
        <v>917</v>
      </c>
      <c r="D7" s="6" t="n">
        <v>10130</v>
      </c>
      <c r="E7" s="6" t="n">
        <v>9078</v>
      </c>
      <c r="F7" s="6" t="n">
        <v>9954</v>
      </c>
      <c r="G7" s="6" t="n">
        <v>4062</v>
      </c>
    </row>
    <row r="8">
      <c r="A8" s="6" t="inlineStr">
        <is>
          <t>Fees and commission expense</t>
        </is>
      </c>
      <c r="B8" s="6" t="n"/>
      <c r="C8" s="6" t="n"/>
      <c r="D8" s="6" t="n">
        <v>-127</v>
      </c>
      <c r="E8" s="6" t="n">
        <v>-167</v>
      </c>
      <c r="F8" s="6" t="n">
        <v>-164</v>
      </c>
      <c r="G8" s="6" t="n">
        <v>0</v>
      </c>
    </row>
    <row r="9">
      <c r="A9" s="6" t="inlineStr">
        <is>
          <t>Foreign exchange gains/(losses)</t>
        </is>
      </c>
      <c r="B9" s="6" t="n">
        <v>211</v>
      </c>
      <c r="C9" s="6" t="n">
        <v>137</v>
      </c>
      <c r="D9" s="6" t="n">
        <v>19</v>
      </c>
      <c r="E9" s="6" t="n">
        <v>-834</v>
      </c>
      <c r="F9" s="6" t="n">
        <v>-516</v>
      </c>
      <c r="G9" s="6" t="n">
        <v>-276</v>
      </c>
    </row>
    <row r="10">
      <c r="A10" s="6" t="inlineStr">
        <is>
          <t>Net (losses)/gains from financial assets at FVTIS</t>
        </is>
      </c>
      <c r="B10" s="6" t="n">
        <v>-2052</v>
      </c>
      <c r="C10" s="6" t="n">
        <v>2287</v>
      </c>
      <c r="D10" s="6" t="n">
        <v>1952</v>
      </c>
      <c r="E10" s="6" t="n">
        <v>5676</v>
      </c>
      <c r="F10" s="6" t="n">
        <v>756</v>
      </c>
    </row>
    <row r="11">
      <c r="A11" s="6" t="inlineStr">
        <is>
          <t>Net gains from financial assets at FVTOCI</t>
        </is>
      </c>
      <c r="B11" s="6" t="n">
        <v>885</v>
      </c>
      <c r="C11" s="6" t="n">
        <v>344</v>
      </c>
      <c r="D11" s="6" t="n">
        <v>197</v>
      </c>
      <c r="E11" s="6" t="n">
        <v>376</v>
      </c>
      <c r="F11" s="6" t="n">
        <v>335</v>
      </c>
    </row>
    <row r="12">
      <c r="A12" s="6" t="inlineStr">
        <is>
          <t>Other income/(loss)</t>
        </is>
      </c>
      <c r="B12" s="6" t="n"/>
      <c r="C12" s="6" t="n"/>
      <c r="D12" s="6" t="n">
        <v>-231</v>
      </c>
      <c r="E12" s="6" t="n">
        <v>335</v>
      </c>
      <c r="F12" s="6" t="n">
        <v>2178</v>
      </c>
    </row>
    <row r="13">
      <c r="A13" s="6" t="inlineStr">
        <is>
          <t>(Loss)/gain on property held for sale</t>
        </is>
      </c>
      <c r="B13" s="6" t="n"/>
      <c r="C13" s="6" t="n"/>
      <c r="D13" s="6" t="n"/>
      <c r="E13" s="6" t="n"/>
      <c r="F13" s="6" t="n">
        <v>-472</v>
      </c>
    </row>
    <row r="14">
      <c r="A14" s="6" t="inlineStr">
        <is>
          <t>Gain on investment properties</t>
        </is>
      </c>
      <c r="B14" s="6" t="n"/>
      <c r="C14" s="6" t="n"/>
      <c r="D14" s="6" t="n"/>
      <c r="E14" s="6" t="n"/>
      <c r="F14" s="6" t="n">
        <v>1412</v>
      </c>
    </row>
    <row r="15">
      <c r="A15" s="6" t="inlineStr">
        <is>
          <t>Impairment (charge)/release</t>
        </is>
      </c>
      <c r="B15" s="6" t="n">
        <v>-2725</v>
      </c>
      <c r="C15" s="6" t="n">
        <v>192</v>
      </c>
      <c r="D15" s="6" t="n">
        <v>-847</v>
      </c>
      <c r="E15" s="6" t="n">
        <v>-5714</v>
      </c>
      <c r="F15" s="6" t="n">
        <v>-806</v>
      </c>
      <c r="G15" s="6" t="n">
        <v>-1671</v>
      </c>
    </row>
    <row r="16">
      <c r="A16" s="5" t="inlineStr">
        <is>
          <t>Total operating income</t>
        </is>
      </c>
      <c r="B16" s="5" t="n">
        <v>13790</v>
      </c>
      <c r="C16" s="5" t="n">
        <v>19479</v>
      </c>
      <c r="D16" s="5" t="n">
        <v>34102</v>
      </c>
      <c r="E16" s="5" t="n">
        <v>32884</v>
      </c>
      <c r="F16" s="5" t="n">
        <v>31234</v>
      </c>
      <c r="G16" s="6" t="n">
        <v>10762</v>
      </c>
    </row>
    <row r="17">
      <c r="A17" s="5" t="inlineStr">
        <is>
          <t>Expenses</t>
        </is>
      </c>
      <c r="B17" s="6" t="n"/>
      <c r="C17" s="6" t="n"/>
      <c r="D17" s="6" t="n"/>
      <c r="E17" s="6" t="n"/>
      <c r="F17" s="6" t="n"/>
    </row>
    <row r="18">
      <c r="A18" s="6" t="inlineStr">
        <is>
          <t>Staff costs</t>
        </is>
      </c>
      <c r="B18" s="6" t="n">
        <v>-19031</v>
      </c>
      <c r="C18" s="6" t="n">
        <v>-14881</v>
      </c>
      <c r="D18" s="6" t="n">
        <v>-20643</v>
      </c>
      <c r="E18" s="6" t="n">
        <v>-19889</v>
      </c>
      <c r="F18" s="6" t="n">
        <v>-18126</v>
      </c>
      <c r="G18" s="6" t="n">
        <v>-6790</v>
      </c>
    </row>
    <row r="19">
      <c r="A19" s="6" t="inlineStr">
        <is>
          <t>Depreciation and amortisation</t>
        </is>
      </c>
      <c r="B19" s="6" t="n">
        <v>-1043</v>
      </c>
      <c r="C19" s="6" t="n">
        <v>-931</v>
      </c>
      <c r="D19" s="6" t="n">
        <v>-1302</v>
      </c>
      <c r="E19" s="6" t="n">
        <v>-1319</v>
      </c>
      <c r="F19" s="6" t="n">
        <v>-1222</v>
      </c>
      <c r="G19" s="6" t="n">
        <v>-583</v>
      </c>
    </row>
    <row r="20">
      <c r="A20" s="6" t="inlineStr">
        <is>
          <t>Other operating expenses</t>
        </is>
      </c>
      <c r="B20" s="6" t="n">
        <v>-8954</v>
      </c>
      <c r="C20" s="6" t="n">
        <v>-7081</v>
      </c>
      <c r="D20" s="6" t="n">
        <v>-9004</v>
      </c>
      <c r="E20" s="6" t="n">
        <v>-9121</v>
      </c>
      <c r="F20" s="6" t="n">
        <v>-9173</v>
      </c>
      <c r="G20" s="6" t="n">
        <v>-4008</v>
      </c>
    </row>
    <row r="21">
      <c r="A21" s="5" t="inlineStr">
        <is>
          <t>Total operating expenses</t>
        </is>
      </c>
      <c r="B21" s="5" t="n">
        <v>-29028</v>
      </c>
      <c r="C21" s="5" t="n">
        <v>-22893</v>
      </c>
      <c r="D21" s="5" t="n">
        <v>-30949</v>
      </c>
      <c r="E21" s="5" t="n">
        <v>-30329</v>
      </c>
      <c r="F21" s="5" t="n">
        <v>-28521</v>
      </c>
      <c r="G21" s="6" t="n">
        <v>-11381</v>
      </c>
    </row>
    <row r="22">
      <c r="A22" s="5" t="inlineStr">
        <is>
          <t>Operating profit/(loss)</t>
        </is>
      </c>
      <c r="B22" s="5" t="n">
        <v>-15238</v>
      </c>
      <c r="C22" s="5" t="n">
        <v>-3414</v>
      </c>
      <c r="D22" s="5" t="n">
        <v>3153</v>
      </c>
      <c r="E22" s="5" t="n">
        <v>2555</v>
      </c>
      <c r="F22" s="5" t="n">
        <v>2713</v>
      </c>
      <c r="G22" s="6" t="n">
        <v>-620</v>
      </c>
    </row>
    <row r="23">
      <c r="A23" s="6" t="inlineStr">
        <is>
          <t>Net share of profit of associate</t>
        </is>
      </c>
      <c r="B23" s="6" t="n"/>
      <c r="C23" s="6" t="n"/>
      <c r="D23" s="6" t="n"/>
      <c r="E23" s="6" t="n"/>
      <c r="F23" s="6" t="n">
        <v>904</v>
      </c>
      <c r="G23" s="6" t="n">
        <v>1946</v>
      </c>
    </row>
    <row r="24">
      <c r="A24" s="5" t="inlineStr">
        <is>
          <t>Profit/(loss) before tax</t>
        </is>
      </c>
      <c r="B24" s="5" t="n">
        <v>-15238</v>
      </c>
      <c r="C24" s="5" t="n">
        <v>-3414</v>
      </c>
      <c r="D24" s="5" t="n">
        <v>3153</v>
      </c>
      <c r="E24" s="5" t="n">
        <v>2555</v>
      </c>
      <c r="F24" s="5" t="n">
        <v>3617</v>
      </c>
      <c r="G24" s="6" t="n">
        <v>-345</v>
      </c>
    </row>
    <row r="25">
      <c r="A25" s="6" t="inlineStr">
        <is>
          <t>Tax</t>
        </is>
      </c>
      <c r="B25" s="6" t="n">
        <v>1947</v>
      </c>
      <c r="C25" s="6" t="n">
        <v>2167</v>
      </c>
      <c r="D25" s="6" t="n">
        <v>4</v>
      </c>
      <c r="E25" s="6" t="n">
        <v>3933</v>
      </c>
      <c r="F25" s="6" t="n">
        <v>-153</v>
      </c>
      <c r="G25" s="6" t="n">
        <v>-7</v>
      </c>
    </row>
    <row r="26">
      <c r="A26" s="5" t="inlineStr">
        <is>
          <t>Profit/(loss) for the year from continuing operations</t>
        </is>
      </c>
      <c r="B26" s="5" t="n">
        <v>-13291</v>
      </c>
      <c r="C26" s="5" t="n">
        <v>-1247</v>
      </c>
      <c r="D26" s="5" t="n">
        <v>3157</v>
      </c>
      <c r="E26" s="5" t="n">
        <v>6488</v>
      </c>
      <c r="F26" s="5" t="n">
        <v>3464</v>
      </c>
      <c r="G26" s="6" t="n">
        <v>-351</v>
      </c>
    </row>
    <row r="27">
      <c r="A27" s="6" t="inlineStr">
        <is>
          <t>Profit for the year from discontinued operations</t>
        </is>
      </c>
      <c r="B27" s="6" t="n">
        <v>1924</v>
      </c>
      <c r="C27" s="6" t="n">
        <v>5047</v>
      </c>
      <c r="D27" s="6" t="n">
        <v>0</v>
      </c>
      <c r="E27" s="6" t="n">
        <v>1640</v>
      </c>
      <c r="F27" s="6" t="n"/>
    </row>
    <row r="28">
      <c r="A28" s="5" t="inlineStr">
        <is>
          <t>(Loss)/profit for the year</t>
        </is>
      </c>
      <c r="B28" s="5" t="n">
        <v>-11367</v>
      </c>
      <c r="C28" s="5" t="n">
        <v>3800</v>
      </c>
      <c r="D28" s="5" t="n">
        <v>3157</v>
      </c>
      <c r="E28" s="5" t="n">
        <v>8128</v>
      </c>
      <c r="F28" s="5" t="n">
        <v>3464</v>
      </c>
    </row>
    <row r="29">
      <c r="A29" s="5" t="inlineStr">
        <is>
          <t>Other comprehensive income</t>
        </is>
      </c>
      <c r="B29" s="6" t="n"/>
      <c r="C29" s="6" t="n"/>
      <c r="D29" s="6" t="n"/>
      <c r="E29" s="6" t="n"/>
      <c r="F29" s="6" t="n"/>
    </row>
    <row r="30">
      <c r="A30" s="6" t="inlineStr">
        <is>
          <t>Net gain/(loss) on FVTOCI investments</t>
        </is>
      </c>
      <c r="B30" s="6" t="n">
        <v>761</v>
      </c>
      <c r="C30" s="6" t="n">
        <v>344</v>
      </c>
      <c r="D30" s="6" t="n">
        <v>554</v>
      </c>
      <c r="E30" s="6" t="n">
        <v>-1539</v>
      </c>
      <c r="F30" s="6" t="n">
        <v>-382</v>
      </c>
    </row>
    <row r="31">
      <c r="A31" s="6" t="inlineStr">
        <is>
          <t>Foreign currency translation gains/(losses) from investment in associate (discontinued operation)</t>
        </is>
      </c>
      <c r="B31" s="6" t="n"/>
      <c r="C31" s="6" t="n"/>
      <c r="D31" s="6" t="n"/>
      <c r="E31" s="6" t="n">
        <v>-1792</v>
      </c>
      <c r="F31" s="6" t="n">
        <v>244</v>
      </c>
    </row>
    <row r="32">
      <c r="A32" s="5" t="inlineStr">
        <is>
          <t>Other comprehensive income/(loss) for the year</t>
        </is>
      </c>
      <c r="B32" s="5" t="n">
        <v>761</v>
      </c>
      <c r="C32" s="5" t="n">
        <v>344</v>
      </c>
      <c r="D32" s="5" t="n">
        <v>554</v>
      </c>
      <c r="E32" s="5" t="n">
        <v>-3331</v>
      </c>
      <c r="F32" s="5" t="n">
        <v>-138</v>
      </c>
      <c r="G32" s="6" t="n">
        <v>-1032</v>
      </c>
    </row>
    <row r="33">
      <c r="A33" s="5" t="inlineStr">
        <is>
          <t>Total comprehensive (loss)/income for the year</t>
        </is>
      </c>
      <c r="B33" s="5" t="n">
        <v>-10606</v>
      </c>
      <c r="C33" s="5" t="n">
        <v>4144</v>
      </c>
      <c r="D33" s="5" t="n">
        <v>3711</v>
      </c>
      <c r="E33" s="5" t="n">
        <v>4797</v>
      </c>
      <c r="F33" s="5" t="n">
        <v>3326</v>
      </c>
      <c r="G33" s="6" t="n">
        <v>-1383</v>
      </c>
    </row>
    <row r="34"/>
    <row r="35" ht="380" customHeight="1">
      <c r="A35" s="9" t="inlineStr">
        <is>
          <t>Sources - Gatehouse Bank Plc's own Consolidated Statement of Financial Position / Consolidated Income Statement / Consolidated Statement of Changes in Equity:
FY2025/FY2024: Annual Report and Financial Statements 2025, p.56-59 - https://assets.gatehousebank.com/production/downloads/Gatehouse-Bank-Annual-Report-2025.pdf
FY2023/FY2022: Annual Report and Financial Statements 2023, p.59-63 - https://gatehousebank.com/downloads/gatehouse-bank-annual-report-2023
FY2021: Annual Report and Financial Statements 2021, p.46-50 - https://assets.gatehousebank.com/production/downloads/Gatehouse-Bank-Annual-Report-2021-FINAL-web.pdf
FY2017: Annual Report and Financial Statements 2017, pp.33-36 - https://assets.gatehousebank.com/production/downloads/gatehousebankannualreport2017-wesbite2.pdf
Each year's own originally-published figures used. The equity roll-forward ties exactly at every boundary EXCEPT one genuine, disclosed restatement: the FY2023 Annual Report's own FY2022 comparative equity statement opens at 'Balance at 1 January 2022 (restated)' of GBP92,816k (attributable GBP91,513k + NCI GBP1,303k) - GBP19,836k lower than FY2021's own originally-published closing Total Equity of GBP112,652k. The gap exactly matches a new 'Non-controlling interest acquisition reserve' column (GBP(19,836)k) introduced from FY2022 onward that wasn't present in FY2021's own equity statement - shown here as an explicit 'Prior period restatement' bridging row (reproducing the disclosed component, not force-reconciling it), consistent with FY2021 using its own originally-published figures throughout the rest of this workbook.
PRESENTATION NOTE: FY2021 carries a Foreign currency translation reserve and Investment in associate/Investment Properties lines that later years don't (associate/investment property disposed); FY2022-FY2023 introduce a Non-controlling interest acquisition reserve (renamed 'Reserve as a result of subsidiary acquisition' from FY2024) and a Goodwill balance sheet line (written off/absorbed by FY2024); FY2024-FY2025 introduce Assets/Liabilities in disposal groups classified as held for sale and a Deferred tax asset line not itemised in FY2021's own filing. The Non-controlling interest is fully bought out by FY2023 (nil from FY2023's own statement onward, not shown as a column at all from FY2024). Income statement structure also evolves: FY2021 shows Loss/Gain on property held for sale and Gain on investment properties (FY2021-only, associated with the investment property later disposed) and a below-the-line 'Net share of profit of associate' (FY2021-only); FY2022-FY2023 report Profit/(loss) for the year from continuing operations separately from Profit after tax from discontinued operations; FY2024-FY2025 relabel this split as Loss after tax from continuing operations / Discontinued operation. Each year's own line items are used unchanged, blank cells where a line genuinely doesn't apply that year.
FY2017 PRESENTATION AND CORRECTION (2026-09-16): the 2017 Consolidated Statement of Financial Position (printed p.35) reports in whole pounds; figures are shown here in GBP'000, and the FY2017 column's own internal rounding leaves 1 in Total equity and liabilities (153,065 + 127,462 = 280,527 vs the printed 280,526). Caption mapping: the 2017 statement predates IFRS 9, so 'Investment securities' 72,095,108 is carried on the 'Financial assets held at FVTOCI' row and the 'Available-for-sale reserve' (393,988) on the 'Fair value through other comprehensive income reserve' row; 'Financing arrangements' 85,903,292 is carried on 'Financing and advances at amortised cost'; and 'Financial liabilities measured at amortised cost' 150,077 combines the two disclosed lines 'Due to financial institutions' 76,742,889 and 'Due to customers' 73,334,272, matching the single combined caption Gatehouse's own later statements use.
Two FY2017 lines were being dropped entirely and have been added: 'Due from financial institutions' 77,251,048, which this ladder had no row for at all (later years do not present bank placements as a separate asset line), and the derivative financial instruments LIABILITY of 506,336. Without them the delivered FY2017 column did not add up - assets summed to 203,275 against a printed Total assets of 280,526, and liabilities to 152,558 against a printed Total liabilities of 153,065. With them both sections tie. The 'Due from financial institutions' row is FY2017-only by design and is blank, not zero, for every other year.
ENTITY NOTE: Gatehouse Bank Plc (FRN 475346, company 06260053) is a UK Shariah-compliant (Islamic) bank - 'profit paid/received' in the cash flow statement is the functional equivalent of conventional interest paid/received, and financing/advances line items are Shariah-compliant structures (Wakala, Murabaha, ijara) presented here as the standard cash flow line items they represent. Figures are the Bank's own Consolidated Statement of Cash Flows from its Companies House 'Group of companies' accounts' filings.</t>
        </is>
      </c>
    </row>
    <row r="36"/>
    <row r="37" ht="380" customHeight="1">
      <c r="A37" s="9" t="inlineStr">
        <is>
          <t>(continued)
GENUINE MID-SERIES PRESENTATION CHANGE across 3 distinct eras, each kept on its own originally-published line items (blank cells where a line doesn't apply that year, not a gap): FY2021 (single combined profit line, no separate cash-tax-paid line); FY2022-FY2023 (profit split continuing/discontinued, 'Share in profit of associate' adjustment, cash tax paid shown separately within the operating-liabilities block); FY2024-FY2025 (adds Held-For-Sale adjustment/asset lines and an 'Intercompany payable receivable' line reflecting a disclosed business restructuring, and introduces a 'Cash generated from operations' subtotal not shown in earlier years). The 'Fair value movement in financial instruments held at FVTIS (derivative financial instruments)' caption is used TWICE within the same year's own statement - once as a non-cash P&amp;L adjustment, once under operating-asset movements - kept as two distinct rows per the source, not a duplicate.
FY2021 RESTATEMENT: the FY2022 Annual Report's own FY2021 comparative column reclassifies several FY2021 operating/investing line items (e.g. splits continuing/discontinued profit differently, renames 'Net investment in financial assets held at FVTIS/FVTOCI' into the derivative-FVTIS captions used from FY2022 onward) versus FY2021's own originally-published Annual Report. The two vintages' Net cash flow from operating/investing activities totals differ (12,357/17,325 as originally published vs 12,643/17,039 restated) but their SUM and the overall net cash movement (28,958) are identical in both - a pure reclassification between sections, not a value correction (the same pattern seen at FCE Bank Plc in this project). FY2021's own originally-published Annual Report figures are used here, consistent with every other year using its own primary source rather than a later restated comparative.
FY2017: Annual Report and Financial Statements 2017, pp.33-36 - https://assets.gatehousebank.com/production/downloads/gatehousebankannualreport2017-wesbite2.pdf
FY2017 Pillar 3 key metrics are not in the 2017 annual report, but they ARE published - in the Bank's separate Pillar III Disclosure 2017, which was located and read on 2026-09-15 and now populates the FY2017 column of every regulatory metric sheet except NSFR - https://assets.gatehousebank.com/production/downloads/gatehousebankpillariiidisclosure2017.pdf
(This supersedes an earlier note here which said FY2017 regulatory cells were 'left blank rather than inferred from the financial statements'. Nothing needed to be inferred: the wrong document had been checked. See the FY2017 note on the metric sheets for the full derivation and cross-checks.)
Full opening-to-closing cash balance chain (including the separately-disclosed FX effect on cash) ties exactly across all available years.</t>
        </is>
      </c>
    </row>
  </sheetData>
  <mergeCells count="2">
    <mergeCell ref="A35:F35"/>
    <mergeCell ref="A37:F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2"/>
  <sheetViews>
    <sheetView workbookViewId="0">
      <pane ySplit="4" topLeftCell="A5" activePane="bottomLeft" state="frozen"/>
      <selection pane="bottomLef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Gatehouse Bank Plc — Consolidated Statement of Changes in Equity</t>
        </is>
      </c>
    </row>
    <row r="2">
      <c r="A2" s="2" t="inlineStr">
        <is>
          <t>Consolidated basis, £'000, chronological. See source note at bottom.</t>
        </is>
      </c>
    </row>
    <row r="3">
      <c r="A3" s="4" t="inlineStr">
        <is>
          <t>Movement</t>
        </is>
      </c>
      <c r="B3" s="4" t="inlineStr">
        <is>
          <t>Share capital</t>
        </is>
      </c>
      <c r="C3" s="4" t="inlineStr">
        <is>
          <t>FVTOCI reserve</t>
        </is>
      </c>
      <c r="D3" s="4" t="inlineStr">
        <is>
          <t>Foreign currency translation reserve</t>
        </is>
      </c>
      <c r="E3" s="4" t="inlineStr">
        <is>
          <t>Reserve as a result of subsidiary acquisition</t>
        </is>
      </c>
      <c r="F3" s="4" t="inlineStr">
        <is>
          <t>Retained earnings/(deficit)</t>
        </is>
      </c>
      <c r="G3" s="4" t="inlineStr">
        <is>
          <t>Equity attributable to owners</t>
        </is>
      </c>
      <c r="H3" s="4" t="inlineStr">
        <is>
          <t>Non-controlling interest</t>
        </is>
      </c>
      <c r="I3" s="4" t="inlineStr">
        <is>
          <t>Total equity</t>
        </is>
      </c>
    </row>
    <row r="4">
      <c r="A4" s="5" t="inlineStr">
        <is>
          <t>At 1 January 2021</t>
        </is>
      </c>
      <c r="B4" s="5" t="n">
        <v>150049</v>
      </c>
      <c r="C4" s="5" t="n">
        <v>-3434</v>
      </c>
      <c r="D4" s="5" t="n">
        <v>1548</v>
      </c>
      <c r="E4" s="5" t="n"/>
      <c r="F4" s="5" t="n">
        <v>-39680</v>
      </c>
      <c r="G4" s="5" t="n">
        <v>108483</v>
      </c>
      <c r="H4" s="5" t="n">
        <v>843</v>
      </c>
      <c r="I4" s="5" t="n">
        <v>109326</v>
      </c>
    </row>
    <row r="5">
      <c r="A5" s="6" t="inlineStr">
        <is>
          <t>Recycle of gain on sale of OCI investments (FY2021)</t>
        </is>
      </c>
      <c r="B5" s="6" t="n"/>
      <c r="C5" s="6" t="n">
        <v>-32</v>
      </c>
      <c r="D5" s="6" t="n"/>
      <c r="E5" s="6" t="n"/>
      <c r="F5" s="6" t="n">
        <v>32</v>
      </c>
      <c r="G5" s="6" t="n">
        <v>0</v>
      </c>
      <c r="H5" s="6" t="n"/>
      <c r="I5" s="6" t="n">
        <v>0</v>
      </c>
    </row>
    <row r="6">
      <c r="A6" s="6" t="inlineStr">
        <is>
          <t>Unrealised loss on instruments at FVTOCI (FY2021)</t>
        </is>
      </c>
      <c r="B6" s="6" t="n"/>
      <c r="C6" s="6" t="n">
        <v>-382</v>
      </c>
      <c r="D6" s="6" t="n"/>
      <c r="E6" s="6" t="n"/>
      <c r="F6" s="6" t="n"/>
      <c r="G6" s="6" t="n">
        <v>-382</v>
      </c>
      <c r="H6" s="6" t="n"/>
      <c r="I6" s="6" t="n">
        <v>-382</v>
      </c>
    </row>
    <row r="7">
      <c r="A7" s="6" t="inlineStr">
        <is>
          <t>Foreign currency translation gains from associate investments (FY2021)</t>
        </is>
      </c>
      <c r="B7" s="6" t="n"/>
      <c r="C7" s="6" t="n"/>
      <c r="D7" s="6" t="n">
        <v>244</v>
      </c>
      <c r="E7" s="6" t="n"/>
      <c r="F7" s="6" t="n"/>
      <c r="G7" s="6" t="n">
        <v>244</v>
      </c>
      <c r="H7" s="6" t="n"/>
      <c r="I7" s="6" t="n">
        <v>244</v>
      </c>
    </row>
    <row r="8">
      <c r="A8" s="5" t="inlineStr">
        <is>
          <t>Subtotal after other comprehensive income (FY2021)</t>
        </is>
      </c>
      <c r="B8" s="5" t="n">
        <v>150049</v>
      </c>
      <c r="C8" s="5" t="n">
        <v>-3848</v>
      </c>
      <c r="D8" s="5" t="n">
        <v>1792</v>
      </c>
      <c r="E8" s="5" t="n"/>
      <c r="F8" s="5" t="n">
        <v>-39648</v>
      </c>
      <c r="G8" s="5" t="n">
        <v>108345</v>
      </c>
      <c r="H8" s="5" t="n">
        <v>843</v>
      </c>
      <c r="I8" s="5" t="n">
        <v>109188</v>
      </c>
    </row>
    <row r="9">
      <c r="A9" s="6" t="inlineStr">
        <is>
          <t>Profit for the year (FY2021)</t>
        </is>
      </c>
      <c r="B9" s="6" t="n"/>
      <c r="C9" s="6" t="n"/>
      <c r="D9" s="6" t="n"/>
      <c r="E9" s="6" t="n"/>
      <c r="F9" s="6" t="n">
        <v>3004</v>
      </c>
      <c r="G9" s="6" t="n">
        <v>3004</v>
      </c>
      <c r="H9" s="6" t="n">
        <v>460</v>
      </c>
      <c r="I9" s="6" t="n">
        <v>3464</v>
      </c>
    </row>
    <row r="10">
      <c r="A10" s="5" t="inlineStr">
        <is>
          <t>At 31 December 2021</t>
        </is>
      </c>
      <c r="B10" s="5" t="n">
        <v>150049</v>
      </c>
      <c r="C10" s="5" t="n">
        <v>-3848</v>
      </c>
      <c r="D10" s="5" t="n">
        <v>1792</v>
      </c>
      <c r="E10" s="5" t="n"/>
      <c r="F10" s="5" t="n">
        <v>-36644</v>
      </c>
      <c r="G10" s="5" t="n">
        <v>111349</v>
      </c>
      <c r="H10" s="5" t="n">
        <v>1303</v>
      </c>
      <c r="I10" s="5" t="n">
        <v>112652</v>
      </c>
    </row>
    <row r="11">
      <c r="A11" s="6" t="inlineStr">
        <is>
          <t>Prior period restatement — introduction of Non-controlling interest acquisition reserve (FY2022 opening)</t>
        </is>
      </c>
      <c r="B11" s="6" t="n"/>
      <c r="C11" s="6" t="n"/>
      <c r="D11" s="6" t="n"/>
      <c r="E11" s="6" t="n">
        <v>-19836</v>
      </c>
      <c r="F11" s="6" t="n"/>
      <c r="G11" s="6" t="n">
        <v>-19836</v>
      </c>
      <c r="H11" s="6" t="n"/>
      <c r="I11" s="6" t="n">
        <v>-19836</v>
      </c>
    </row>
    <row r="12">
      <c r="A12" s="5" t="inlineStr">
        <is>
          <t>At 1 January 2022 (restated)</t>
        </is>
      </c>
      <c r="B12" s="5" t="n">
        <v>150049</v>
      </c>
      <c r="C12" s="5" t="n">
        <v>-3848</v>
      </c>
      <c r="D12" s="5" t="n">
        <v>1792</v>
      </c>
      <c r="E12" s="5" t="n">
        <v>-19836</v>
      </c>
      <c r="F12" s="5" t="n">
        <v>-36644</v>
      </c>
      <c r="G12" s="5" t="n">
        <v>91513</v>
      </c>
      <c r="H12" s="5" t="n">
        <v>1303</v>
      </c>
      <c r="I12" s="5" t="n">
        <v>92816</v>
      </c>
    </row>
    <row r="13">
      <c r="A13" s="6" t="inlineStr">
        <is>
          <t>Recycle of gain on sale of OCI investments (FY2022)</t>
        </is>
      </c>
      <c r="B13" s="6" t="n"/>
      <c r="C13" s="6" t="n">
        <v>112</v>
      </c>
      <c r="D13" s="6" t="n"/>
      <c r="E13" s="6" t="n"/>
      <c r="F13" s="6" t="n">
        <v>-112</v>
      </c>
      <c r="G13" s="6" t="n">
        <v>0</v>
      </c>
      <c r="H13" s="6" t="n"/>
      <c r="I13" s="6" t="n">
        <v>0</v>
      </c>
    </row>
    <row r="14">
      <c r="A14" s="6" t="inlineStr">
        <is>
          <t>Unrealised loss on instruments at FVTOCI (FY2022)</t>
        </is>
      </c>
      <c r="B14" s="6" t="n"/>
      <c r="C14" s="6" t="n">
        <v>-1539</v>
      </c>
      <c r="D14" s="6" t="n"/>
      <c r="E14" s="6" t="n"/>
      <c r="F14" s="6" t="n"/>
      <c r="G14" s="6" t="n">
        <v>-1539</v>
      </c>
      <c r="H14" s="6" t="n"/>
      <c r="I14" s="6" t="n">
        <v>-1539</v>
      </c>
    </row>
    <row r="15">
      <c r="A15" s="6" t="inlineStr">
        <is>
          <t>Foreign currency translation losses from investment in associate — discontinued operation (FY2022)</t>
        </is>
      </c>
      <c r="B15" s="6" t="n"/>
      <c r="C15" s="6" t="n"/>
      <c r="D15" s="6" t="n">
        <v>-1792</v>
      </c>
      <c r="E15" s="6" t="n"/>
      <c r="F15" s="6" t="n"/>
      <c r="G15" s="6" t="n">
        <v>-1792</v>
      </c>
      <c r="H15" s="6" t="n"/>
      <c r="I15" s="6" t="n">
        <v>-1792</v>
      </c>
    </row>
    <row r="16">
      <c r="A16" s="5" t="inlineStr">
        <is>
          <t>Subtotal after other comprehensive income (FY2022)</t>
        </is>
      </c>
      <c r="B16" s="5" t="n">
        <v>150049</v>
      </c>
      <c r="C16" s="5" t="n">
        <v>-5275</v>
      </c>
      <c r="D16" s="5" t="n">
        <v>0</v>
      </c>
      <c r="E16" s="5" t="n">
        <v>-19836</v>
      </c>
      <c r="F16" s="5" t="n">
        <v>-36756</v>
      </c>
      <c r="G16" s="5" t="n">
        <v>88182</v>
      </c>
      <c r="H16" s="5" t="n">
        <v>1303</v>
      </c>
      <c r="I16" s="5" t="n">
        <v>89485</v>
      </c>
    </row>
    <row r="17">
      <c r="A17" s="6" t="inlineStr">
        <is>
          <t>Profit for the year — continuing operations (FY2022)</t>
        </is>
      </c>
      <c r="B17" s="6" t="n"/>
      <c r="C17" s="6" t="n"/>
      <c r="D17" s="6" t="n"/>
      <c r="E17" s="6" t="n">
        <v>228</v>
      </c>
      <c r="F17" s="6" t="n">
        <v>5043</v>
      </c>
      <c r="G17" s="6" t="n">
        <v>5271</v>
      </c>
      <c r="H17" s="6" t="n">
        <v>1217</v>
      </c>
      <c r="I17" s="6" t="n">
        <v>6488</v>
      </c>
    </row>
    <row r="18">
      <c r="A18" s="6" t="inlineStr">
        <is>
          <t>Profit for the year — discontinued operations (FY2022)</t>
        </is>
      </c>
      <c r="B18" s="6" t="n"/>
      <c r="C18" s="6" t="n"/>
      <c r="D18" s="6" t="n"/>
      <c r="E18" s="6" t="n"/>
      <c r="F18" s="6" t="n">
        <v>1640</v>
      </c>
      <c r="G18" s="6" t="n">
        <v>1640</v>
      </c>
      <c r="H18" s="6" t="n"/>
      <c r="I18" s="6" t="n">
        <v>1640</v>
      </c>
    </row>
    <row r="19">
      <c r="A19" s="6" t="inlineStr">
        <is>
          <t>Acquisition of a subsidiary (FY2022)</t>
        </is>
      </c>
      <c r="B19" s="6" t="n"/>
      <c r="C19" s="6" t="n"/>
      <c r="D19" s="6" t="n"/>
      <c r="E19" s="6" t="n">
        <v>3691</v>
      </c>
      <c r="F19" s="6" t="n"/>
      <c r="G19" s="6" t="n">
        <v>3691</v>
      </c>
      <c r="H19" s="6" t="n">
        <v>-2520</v>
      </c>
      <c r="I19" s="6" t="n">
        <v>1171</v>
      </c>
    </row>
    <row r="20">
      <c r="A20" s="5" t="inlineStr">
        <is>
          <t>At 31 December 2022</t>
        </is>
      </c>
      <c r="B20" s="5" t="n">
        <v>150049</v>
      </c>
      <c r="C20" s="5" t="n">
        <v>-5275</v>
      </c>
      <c r="D20" s="5" t="n">
        <v>0</v>
      </c>
      <c r="E20" s="5" t="n">
        <v>-15917</v>
      </c>
      <c r="F20" s="5" t="n">
        <v>-30073</v>
      </c>
      <c r="G20" s="5" t="n">
        <v>98784</v>
      </c>
      <c r="H20" s="5" t="n">
        <v>0</v>
      </c>
      <c r="I20" s="5" t="n">
        <v>98784</v>
      </c>
    </row>
    <row r="21">
      <c r="A21" s="5" t="inlineStr">
        <is>
          <t>At 1 January 2023</t>
        </is>
      </c>
      <c r="B21" s="5" t="n">
        <v>150049</v>
      </c>
      <c r="C21" s="5" t="n">
        <v>-5275</v>
      </c>
      <c r="D21" s="5" t="n"/>
      <c r="E21" s="5" t="n">
        <v>-15917</v>
      </c>
      <c r="F21" s="5" t="n">
        <v>-30073</v>
      </c>
      <c r="G21" s="5" t="n">
        <v>98784</v>
      </c>
      <c r="H21" s="5" t="n"/>
      <c r="I21" s="5" t="n">
        <v>98784</v>
      </c>
    </row>
    <row r="22">
      <c r="A22" s="6" t="inlineStr">
        <is>
          <t>Unrealised gain on instruments at FVTOCI (FY2023)</t>
        </is>
      </c>
      <c r="B22" s="6" t="n"/>
      <c r="C22" s="6" t="n">
        <v>554</v>
      </c>
      <c r="D22" s="6" t="n"/>
      <c r="E22" s="6" t="n"/>
      <c r="F22" s="6" t="n"/>
      <c r="G22" s="6" t="n">
        <v>554</v>
      </c>
      <c r="H22" s="6" t="n"/>
      <c r="I22" s="6" t="n">
        <v>554</v>
      </c>
    </row>
    <row r="23">
      <c r="A23" s="5" t="inlineStr">
        <is>
          <t>Subtotal after other comprehensive income (FY2023)</t>
        </is>
      </c>
      <c r="B23" s="5" t="n">
        <v>150049</v>
      </c>
      <c r="C23" s="5" t="n">
        <v>-4721</v>
      </c>
      <c r="D23" s="5" t="n"/>
      <c r="E23" s="5" t="n">
        <v>-15917</v>
      </c>
      <c r="F23" s="5" t="n">
        <v>-30073</v>
      </c>
      <c r="G23" s="5" t="n">
        <v>99338</v>
      </c>
      <c r="H23" s="5" t="n"/>
      <c r="I23" s="5" t="n">
        <v>99338</v>
      </c>
    </row>
    <row r="24">
      <c r="A24" s="6" t="inlineStr">
        <is>
          <t>Profit for the year (FY2023)</t>
        </is>
      </c>
      <c r="B24" s="6" t="n"/>
      <c r="C24" s="6" t="n"/>
      <c r="D24" s="6" t="n"/>
      <c r="E24" s="6" t="n"/>
      <c r="F24" s="6" t="n">
        <v>3157</v>
      </c>
      <c r="G24" s="6" t="n">
        <v>3157</v>
      </c>
      <c r="H24" s="6" t="n"/>
      <c r="I24" s="6" t="n">
        <v>3157</v>
      </c>
    </row>
    <row r="25">
      <c r="A25" s="6" t="inlineStr">
        <is>
          <t>Recycling of reserve on liquidation of subsidiary (FY2023)</t>
        </is>
      </c>
      <c r="B25" s="6" t="n"/>
      <c r="C25" s="6" t="n"/>
      <c r="D25" s="6" t="n"/>
      <c r="E25" s="6" t="n"/>
      <c r="F25" s="6" t="n">
        <v>-267</v>
      </c>
      <c r="G25" s="6" t="n">
        <v>-267</v>
      </c>
      <c r="H25" s="6" t="n"/>
      <c r="I25" s="6" t="n">
        <v>-267</v>
      </c>
    </row>
    <row r="26">
      <c r="A26" s="5" t="inlineStr">
        <is>
          <t>At 31 December 2023</t>
        </is>
      </c>
      <c r="B26" s="5" t="n">
        <v>150049</v>
      </c>
      <c r="C26" s="5" t="n">
        <v>-4721</v>
      </c>
      <c r="D26" s="5" t="n"/>
      <c r="E26" s="5" t="n">
        <v>-15917</v>
      </c>
      <c r="F26" s="5" t="n">
        <v>-27183</v>
      </c>
      <c r="G26" s="5" t="n">
        <v>102228</v>
      </c>
      <c r="H26" s="5" t="n"/>
      <c r="I26" s="5" t="n">
        <v>102228</v>
      </c>
    </row>
    <row r="27">
      <c r="A27" s="5" t="inlineStr">
        <is>
          <t>At 1 January 2024</t>
        </is>
      </c>
      <c r="B27" s="5" t="n">
        <v>150049</v>
      </c>
      <c r="C27" s="5" t="n">
        <v>-4721</v>
      </c>
      <c r="D27" s="5" t="n"/>
      <c r="E27" s="5" t="n">
        <v>-15917</v>
      </c>
      <c r="F27" s="5" t="n">
        <v>-27183</v>
      </c>
      <c r="G27" s="5" t="n">
        <v>102228</v>
      </c>
      <c r="H27" s="5" t="n"/>
      <c r="I27" s="5" t="n">
        <v>102228</v>
      </c>
    </row>
    <row r="28">
      <c r="A28" s="6" t="inlineStr">
        <is>
          <t>Loss for the year — continuing operations (FY2024)</t>
        </is>
      </c>
      <c r="B28" s="6" t="n"/>
      <c r="C28" s="6" t="n"/>
      <c r="D28" s="6" t="n"/>
      <c r="E28" s="6" t="n"/>
      <c r="F28" s="6" t="n">
        <v>-1247</v>
      </c>
      <c r="G28" s="6" t="n">
        <v>-1247</v>
      </c>
      <c r="H28" s="6" t="n"/>
      <c r="I28" s="6" t="n">
        <v>-1247</v>
      </c>
    </row>
    <row r="29">
      <c r="A29" s="6" t="inlineStr">
        <is>
          <t>Profit for the year — discontinued operations (FY2024)</t>
        </is>
      </c>
      <c r="B29" s="6" t="n"/>
      <c r="C29" s="6" t="n"/>
      <c r="D29" s="6" t="n"/>
      <c r="E29" s="6" t="n"/>
      <c r="F29" s="6" t="n">
        <v>5047</v>
      </c>
      <c r="G29" s="6" t="n">
        <v>5047</v>
      </c>
      <c r="H29" s="6" t="n"/>
      <c r="I29" s="6" t="n">
        <v>5047</v>
      </c>
    </row>
    <row r="30">
      <c r="A30" s="6" t="inlineStr">
        <is>
          <t>Other comprehensive income (FY2024)</t>
        </is>
      </c>
      <c r="B30" s="6" t="n"/>
      <c r="C30" s="6" t="n">
        <v>344</v>
      </c>
      <c r="D30" s="6" t="n"/>
      <c r="E30" s="6" t="n"/>
      <c r="F30" s="6" t="n"/>
      <c r="G30" s="6" t="n">
        <v>344</v>
      </c>
      <c r="H30" s="6" t="n"/>
      <c r="I30" s="6" t="n">
        <v>344</v>
      </c>
    </row>
    <row r="31">
      <c r="A31" s="5" t="inlineStr">
        <is>
          <t>Total comprehensive income for the year (FY2024)</t>
        </is>
      </c>
      <c r="B31" s="5" t="n"/>
      <c r="C31" s="5" t="n">
        <v>344</v>
      </c>
      <c r="D31" s="5" t="n"/>
      <c r="E31" s="5" t="n"/>
      <c r="F31" s="5" t="n">
        <v>3800</v>
      </c>
      <c r="G31" s="5" t="n">
        <v>4144</v>
      </c>
      <c r="H31" s="5" t="n"/>
      <c r="I31" s="5" t="n">
        <v>4144</v>
      </c>
    </row>
    <row r="32">
      <c r="A32" s="5" t="inlineStr">
        <is>
          <t>At 31 December 2024</t>
        </is>
      </c>
      <c r="B32" s="5" t="n">
        <v>150049</v>
      </c>
      <c r="C32" s="5" t="n">
        <v>-4377</v>
      </c>
      <c r="D32" s="5" t="n"/>
      <c r="E32" s="5" t="n">
        <v>-15917</v>
      </c>
      <c r="F32" s="5" t="n">
        <v>-23383</v>
      </c>
      <c r="G32" s="5" t="n">
        <v>106372</v>
      </c>
      <c r="H32" s="5" t="n"/>
      <c r="I32" s="5" t="n">
        <v>106372</v>
      </c>
    </row>
    <row r="33">
      <c r="A33" s="5" t="inlineStr">
        <is>
          <t>At 1 January 2025</t>
        </is>
      </c>
      <c r="B33" s="5" t="n">
        <v>150049</v>
      </c>
      <c r="C33" s="5" t="n">
        <v>-4377</v>
      </c>
      <c r="D33" s="5" t="n"/>
      <c r="E33" s="5" t="n">
        <v>-15917</v>
      </c>
      <c r="F33" s="5" t="n">
        <v>-23383</v>
      </c>
      <c r="G33" s="5" t="n">
        <v>106372</v>
      </c>
      <c r="H33" s="5" t="n"/>
      <c r="I33" s="5" t="n">
        <v>106372</v>
      </c>
    </row>
    <row r="34">
      <c r="A34" s="6" t="inlineStr">
        <is>
          <t>Loss for the year — continuing operations (FY2025)</t>
        </is>
      </c>
      <c r="B34" s="6" t="n"/>
      <c r="C34" s="6" t="n"/>
      <c r="D34" s="6" t="n"/>
      <c r="E34" s="6" t="n"/>
      <c r="F34" s="6" t="n">
        <v>-13291</v>
      </c>
      <c r="G34" s="6" t="n">
        <v>-13291</v>
      </c>
      <c r="H34" s="6" t="n"/>
      <c r="I34" s="6" t="n">
        <v>-13291</v>
      </c>
    </row>
    <row r="35">
      <c r="A35" s="6" t="inlineStr">
        <is>
          <t>Profit for the year — discontinued operations (FY2025)</t>
        </is>
      </c>
      <c r="B35" s="6" t="n"/>
      <c r="C35" s="6" t="n"/>
      <c r="D35" s="6" t="n"/>
      <c r="E35" s="6" t="n"/>
      <c r="F35" s="6" t="n">
        <v>1924</v>
      </c>
      <c r="G35" s="6" t="n">
        <v>1924</v>
      </c>
      <c r="H35" s="6" t="n"/>
      <c r="I35" s="6" t="n">
        <v>1924</v>
      </c>
    </row>
    <row r="36">
      <c r="A36" s="6" t="inlineStr">
        <is>
          <t>Other comprehensive income (FY2025)</t>
        </is>
      </c>
      <c r="B36" s="6" t="n"/>
      <c r="C36" s="6" t="n">
        <v>761</v>
      </c>
      <c r="D36" s="6" t="n"/>
      <c r="E36" s="6" t="n"/>
      <c r="F36" s="6" t="n"/>
      <c r="G36" s="6" t="n">
        <v>761</v>
      </c>
      <c r="H36" s="6" t="n"/>
      <c r="I36" s="6" t="n">
        <v>761</v>
      </c>
    </row>
    <row r="37">
      <c r="A37" s="5" t="inlineStr">
        <is>
          <t>Total comprehensive (loss)/income for the year (FY2025)</t>
        </is>
      </c>
      <c r="B37" s="5" t="n"/>
      <c r="C37" s="5" t="n">
        <v>761</v>
      </c>
      <c r="D37" s="5" t="n"/>
      <c r="E37" s="5" t="n"/>
      <c r="F37" s="5" t="n">
        <v>-11367</v>
      </c>
      <c r="G37" s="5" t="n">
        <v>-10606</v>
      </c>
      <c r="H37" s="5" t="n"/>
      <c r="I37" s="5" t="n">
        <v>-10606</v>
      </c>
    </row>
    <row r="38">
      <c r="A38" s="5" t="inlineStr">
        <is>
          <t>At 31 December 2025</t>
        </is>
      </c>
      <c r="B38" s="5" t="n">
        <v>150049</v>
      </c>
      <c r="C38" s="5" t="n">
        <v>-3616</v>
      </c>
      <c r="D38" s="5" t="n"/>
      <c r="E38" s="5" t="n">
        <v>-15917</v>
      </c>
      <c r="F38" s="5" t="n">
        <v>-34750</v>
      </c>
      <c r="G38" s="5" t="n">
        <v>95766</v>
      </c>
      <c r="H38" s="5" t="n"/>
      <c r="I38" s="5" t="n">
        <v>95766</v>
      </c>
    </row>
    <row r="40" ht="380" customHeight="1">
      <c r="A40" s="9" t="inlineStr">
        <is>
          <t>Sources - Gatehouse Bank Plc's own Consolidated Statement of Financial Position / Consolidated Income Statement / Consolidated Statement of Changes in Equity:
FY2025/FY2024: Annual Report and Financial Statements 2025, p.56-59 - https://assets.gatehousebank.com/production/downloads/Gatehouse-Bank-Annual-Report-2025.pdf
FY2023/FY2022: Annual Report and Financial Statements 2023, p.59-63 - https://gatehousebank.com/downloads/gatehouse-bank-annual-report-2023
FY2021: Annual Report and Financial Statements 2021, p.46-50 - https://assets.gatehousebank.com/production/downloads/Gatehouse-Bank-Annual-Report-2021-FINAL-web.pdf
FY2017: Annual Report and Financial Statements 2017, pp.33-36 - https://assets.gatehousebank.com/production/downloads/gatehousebankannualreport2017-wesbite2.pdf
Each year's own originally-published figures used. The equity roll-forward ties exactly at every boundary EXCEPT one genuine, disclosed restatement: the FY2023 Annual Report's own FY2022 comparative equity statement opens at 'Balance at 1 January 2022 (restated)' of GBP92,816k (attributable GBP91,513k + NCI GBP1,303k) - GBP19,836k lower than FY2021's own originally-published closing Total Equity of GBP112,652k. The gap exactly matches a new 'Non-controlling interest acquisition reserve' column (GBP(19,836)k) introduced from FY2022 onward that wasn't present in FY2021's own equity statement - shown here as an explicit 'Prior period restatement' bridging row (reproducing the disclosed component, not force-reconciling it), consistent with FY2021 using its own originally-published figures throughout the rest of this workbook.
PRESENTATION NOTE: FY2021 carries a Foreign currency translation reserve and Investment in associate/Investment Properties lines that later years don't (associate/investment property disposed); FY2022-FY2023 introduce a Non-controlling interest acquisition reserve (renamed 'Reserve as a result of subsidiary acquisition' from FY2024) and a Goodwill balance sheet line (written off/absorbed by FY2024); FY2024-FY2025 introduce Assets/Liabilities in disposal groups classified as held for sale and a Deferred tax asset line not itemised in FY2021's own filing. The Non-controlling interest is fully bought out by FY2023 (nil from FY2023's own statement onward, not shown as a column at all from FY2024). Income statement structure also evolves: FY2021 shows Loss/Gain on property held for sale and Gain on investment properties (FY2021-only, associated with the investment property later disposed) and a below-the-line 'Net share of profit of associate' (FY2021-only); FY2022-FY2023 report Profit/(loss) for the year from continuing operations separately from Profit after tax from discontinued operations; FY2024-FY2025 relabel this split as Loss after tax from continuing operations / Discontinued operation. Each year's own line items are used unchanged, blank cells where a line genuinely doesn't apply that year.
FY2017 PRESENTATION AND CORRECTION (2026-09-16): the 2017 Consolidated Statement of Financial Position (printed p.35) reports in whole pounds; figures are shown here in GBP'000, and the FY2017 column's own internal rounding leaves 1 in Total equity and liabilities (153,065 + 127,462 = 280,527 vs the printed 280,526). Caption mapping: the 2017 statement predates IFRS 9, so 'Investment securities' 72,095,108 is carried on the 'Financial assets held at FVTOCI' row and the 'Available-for-sale reserve' (393,988) on the 'Fair value through other comprehensive income reserve' row; 'Financing arrangements' 85,903,292 is carried on 'Financing and advances at amortised cost'; and 'Financial liabilities measured at amortised cost' 150,077 combines the two disclosed lines 'Due to financial institutions' 76,742,889 and 'Due to customers' 73,334,272, matching the single combined caption Gatehouse's own later statements use.
Two FY2017 lines were being dropped entirely and have been added: 'Due from financial institutions' 77,251,048, which this ladder had no row for at all (later years do not present bank placements as a separate asset line), and the derivative financial instruments LIABILITY of 506,336. Without them the delivered FY2017 column did not add up - assets summed to 203,275 against a printed Total assets of 280,526, and liabilities to 152,558 against a printed Total liabilities of 153,065. With them both sections tie. The 'Due from financial institutions' row is FY2017-only by design and is blank, not zero, for every other year.
ENTITY NOTE: Gatehouse Bank Plc (FRN 475346, company 06260053) is a UK Shariah-compliant (Islamic) bank - 'profit paid/received' in the cash flow statement is the functional equivalent of conventional interest paid/received, and financing/advances line items are Shariah-compliant structures (Wakala, Murabaha, ijara) presented here as the standard cash flow line items they represent. Figures are the Bank's own Consolidated Statement of Cash Flows from its Companies House 'Group of companies' accounts' filings.
GENUINE MID-SERIES PRESENTATION CHANGE across 3 distinct eras, each kept on its own originally-published line items (blank cells where a line doesn't apply that year, not a gap): FY2021 (single combined profit line, no separate cash-tax-paid line); FY2022-FY2023 (profit split continuing/discontinued, 'Share in profit of associate' adjustment, cash tax paid shown separately within the operating-liabilities block); FY2024-FY2025 (adds Held-For-Sale adjustment/asset lines and an 'Intercompany payable receivable' line reflecting a disclosed business restructuring, and introduces a 'Cash generated from operations' subtotal not shown in earlier years). The 'Fair value movement in financial instruments held at FVTIS (derivative financial instruments)' caption is used TWICE within the same year's own statement - once as a non-cash P&amp;L adjustment, once under operating-asset movements - kept as two distinct rows per the source, not a duplicate.</t>
        </is>
      </c>
    </row>
    <row r="42" ht="380" customHeight="1">
      <c r="A42" s="9" t="inlineStr">
        <is>
          <t>(continued)
FY2021 RESTATEMENT: the FY2022 Annual Report's own FY2021 comparative column reclassifies several FY2021 operating/investing line items (e.g. splits continuing/discontinued profit differently, renames 'Net investment in financial assets held at FVTIS/FVTOCI' into the derivative-FVTIS captions used from FY2022 onward) versus FY2021's own originally-published Annual Report. The two vintages' Net cash flow from operating/investing activities totals differ (12,357/17,325 as originally published vs 12,643/17,039 restated) but their SUM and the overall net cash movement (28,958) are identical in both - a pure reclassification between sections, not a value correction (the same pattern seen at FCE Bank Plc in this project). FY2021's own originally-published Annual Report figures are used here, consistent with every other year using its own primary source rather than a later restated comparative.
FY2017: Annual Report and Financial Statements 2017, pp.33-36 - https://assets.gatehousebank.com/production/downloads/gatehousebankannualreport2017-wesbite2.pdf
FY2017 Pillar 3 key metrics are not in the 2017 annual report, but they ARE published - in the Bank's separate Pillar III Disclosure 2017, which was located and read on 2026-09-15 and now populates the FY2017 column of every regulatory metric sheet except NSFR - https://assets.gatehousebank.com/production/downloads/gatehousebankpillariiidisclosure2017.pdf
(This supersedes an earlier note here which said FY2017 regulatory cells were 'left blank rather than inferred from the financial statements'. Nothing needed to be inferred: the wrong document had been checked. See the FY2017 note on the metric sheets for the full derivation and cross-checks.)
Full opening-to-closing cash balance chain (including the separately-disclosed FX effect on cash) ties exactly across all available years.</t>
        </is>
      </c>
    </row>
  </sheetData>
  <mergeCells count="2">
    <mergeCell ref="A40:I40"/>
    <mergeCell ref="A42:I4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s>
  <sheetData>
    <row r="1">
      <c r="A1" s="1" t="inlineStr">
        <is>
          <t>Gatehouse Bank Plc — Consolidated Cash Flow Statement</t>
        </is>
      </c>
    </row>
    <row r="2">
      <c r="A2" s="2" t="inlineStr">
        <is>
          <t>Consolidated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8" t="inlineStr">
        <is>
          <t>FY2017 (£'000)</t>
        </is>
      </c>
    </row>
    <row r="4">
      <c r="A4" s="5" t="inlineStr">
        <is>
          <t>Operating activities</t>
        </is>
      </c>
      <c r="B4" s="6" t="n"/>
      <c r="C4" s="6" t="n"/>
      <c r="D4" s="6" t="n"/>
      <c r="E4" s="6" t="n"/>
      <c r="F4" s="6" t="n"/>
    </row>
    <row r="5">
      <c r="A5" s="6" t="inlineStr">
        <is>
          <t>Profit/(loss) after tax from continuing operations</t>
        </is>
      </c>
      <c r="B5" s="6" t="n">
        <v>-13291</v>
      </c>
      <c r="C5" s="6" t="n">
        <v>-1248</v>
      </c>
      <c r="D5" s="6" t="n">
        <v>3157</v>
      </c>
      <c r="E5" s="6" t="n">
        <v>6488</v>
      </c>
      <c r="F5" s="6" t="n"/>
    </row>
    <row r="6">
      <c r="A6" s="6" t="inlineStr">
        <is>
          <t>Profit after tax from discontinued operations</t>
        </is>
      </c>
      <c r="B6" s="6" t="n">
        <v>1924</v>
      </c>
      <c r="C6" s="6" t="n">
        <v>5048</v>
      </c>
      <c r="D6" s="6" t="n">
        <v>0</v>
      </c>
      <c r="E6" s="6" t="n">
        <v>1640</v>
      </c>
      <c r="F6" s="6" t="n"/>
    </row>
    <row r="7">
      <c r="A7" s="6" t="inlineStr">
        <is>
          <t>Operating profit on ordinary activities after tax (combined, not split this year)</t>
        </is>
      </c>
      <c r="B7" s="6" t="n"/>
      <c r="C7" s="6" t="n"/>
      <c r="D7" s="6" t="n"/>
      <c r="E7" s="6" t="n"/>
      <c r="F7" s="6" t="n">
        <v>3464</v>
      </c>
    </row>
    <row r="8">
      <c r="A8" s="5" t="inlineStr">
        <is>
          <t>Profit/(loss) after tax for the year</t>
        </is>
      </c>
      <c r="B8" s="5" t="n">
        <v>-11367</v>
      </c>
      <c r="C8" s="5" t="n">
        <v>3800</v>
      </c>
      <c r="D8" s="5" t="n">
        <v>3157</v>
      </c>
      <c r="E8" s="5" t="n">
        <v>8128</v>
      </c>
      <c r="F8" s="5" t="n">
        <v>3464</v>
      </c>
    </row>
    <row r="9">
      <c r="A9" s="6" t="inlineStr">
        <is>
          <t>Depreciation and amortisation</t>
        </is>
      </c>
      <c r="B9" s="6" t="n">
        <v>1043</v>
      </c>
      <c r="C9" s="6" t="n">
        <v>930</v>
      </c>
      <c r="D9" s="6" t="n">
        <v>1302</v>
      </c>
      <c r="E9" s="6" t="n">
        <v>1319</v>
      </c>
      <c r="F9" s="6" t="n">
        <v>1222</v>
      </c>
    </row>
    <row r="10">
      <c r="A10" s="6" t="inlineStr">
        <is>
          <t>Impairment charge/(release)</t>
        </is>
      </c>
      <c r="B10" s="6" t="n">
        <v>2725</v>
      </c>
      <c r="C10" s="6" t="n">
        <v>-192</v>
      </c>
      <c r="D10" s="6" t="n">
        <v>847</v>
      </c>
      <c r="E10" s="6" t="n">
        <v>5714</v>
      </c>
      <c r="F10" s="6" t="n">
        <v>806</v>
      </c>
    </row>
    <row r="11">
      <c r="A11" s="6" t="inlineStr">
        <is>
          <t>(Negative)/positive revaluation of financial instruments held at FVTIS (unquoted investments)</t>
        </is>
      </c>
      <c r="B11" s="6" t="n">
        <v>207</v>
      </c>
      <c r="C11" s="6" t="n">
        <v>-1969</v>
      </c>
      <c r="D11" s="6" t="n">
        <v>-22</v>
      </c>
      <c r="E11" s="6" t="n">
        <v>-2904</v>
      </c>
      <c r="F11" s="6" t="n">
        <v>210</v>
      </c>
    </row>
    <row r="12">
      <c r="A12" s="6" t="inlineStr">
        <is>
          <t>Positive revaluation on investment properties</t>
        </is>
      </c>
      <c r="B12" s="6" t="n"/>
      <c r="C12" s="6" t="n"/>
      <c r="D12" s="6" t="n"/>
      <c r="E12" s="6" t="n"/>
      <c r="F12" s="6" t="n">
        <v>-1412</v>
      </c>
    </row>
    <row r="13">
      <c r="A13" s="6" t="inlineStr">
        <is>
          <t>Loss/(gain) on sale of property held for sale</t>
        </is>
      </c>
      <c r="B13" s="6" t="n"/>
      <c r="C13" s="6" t="n"/>
      <c r="D13" s="6" t="n"/>
      <c r="E13" s="6" t="n"/>
      <c r="F13" s="6" t="n">
        <v>472</v>
      </c>
    </row>
    <row r="14">
      <c r="A14" s="6" t="inlineStr">
        <is>
          <t>Share in profit of associate</t>
        </is>
      </c>
      <c r="B14" s="6" t="n"/>
      <c r="C14" s="6" t="n"/>
      <c r="D14" s="6" t="n">
        <v>0</v>
      </c>
      <c r="E14" s="6" t="n">
        <v>-1640</v>
      </c>
      <c r="F14" s="6" t="n">
        <v>-904</v>
      </c>
    </row>
    <row r="15">
      <c r="A15" s="6" t="inlineStr">
        <is>
          <t>Fair value movement in derivative financial instruments (non-cash adjustment)</t>
        </is>
      </c>
      <c r="B15" s="6" t="n">
        <v>1844</v>
      </c>
      <c r="C15" s="6" t="n">
        <v>341</v>
      </c>
      <c r="D15" s="6" t="n">
        <v>-1083</v>
      </c>
      <c r="E15" s="6" t="n">
        <v>-1634</v>
      </c>
      <c r="F15" s="6" t="n">
        <v>160</v>
      </c>
    </row>
    <row r="16">
      <c r="A16" s="6" t="inlineStr">
        <is>
          <t>Foreign exchange (gains)/losses</t>
        </is>
      </c>
      <c r="B16" s="6" t="n">
        <v>-321</v>
      </c>
      <c r="C16" s="6" t="n">
        <v>-120</v>
      </c>
      <c r="D16" s="6" t="n">
        <v>145</v>
      </c>
      <c r="E16" s="6" t="n">
        <v>-264</v>
      </c>
      <c r="F16" s="6" t="n">
        <v>461</v>
      </c>
    </row>
    <row r="17">
      <c r="A17" s="6" t="inlineStr">
        <is>
          <t>Taxation/income tax expense (non-cash adjustment)</t>
        </is>
      </c>
      <c r="B17" s="6" t="n">
        <v>-1947</v>
      </c>
      <c r="C17" s="6" t="n">
        <v>-2167</v>
      </c>
      <c r="D17" s="6" t="n">
        <v>-4</v>
      </c>
      <c r="E17" s="6" t="n">
        <v>-3933</v>
      </c>
      <c r="F17" s="6" t="n">
        <v>153</v>
      </c>
    </row>
    <row r="18">
      <c r="A18" s="6" t="inlineStr">
        <is>
          <t>Adjustment for assets/liabilities held for sale</t>
        </is>
      </c>
      <c r="B18" s="6" t="n">
        <v>3134</v>
      </c>
      <c r="C18" s="6" t="n">
        <v>3148</v>
      </c>
      <c r="D18" s="6" t="n"/>
      <c r="E18" s="6" t="n"/>
      <c r="F18" s="6" t="n"/>
    </row>
    <row r="19">
      <c r="A19" s="6" t="inlineStr">
        <is>
          <t>Net (increase)/decrease in other assets</t>
        </is>
      </c>
      <c r="B19" s="6" t="n">
        <v>-30867</v>
      </c>
      <c r="C19" s="6" t="n">
        <v>-964</v>
      </c>
      <c r="D19" s="6" t="n">
        <v>-1712</v>
      </c>
      <c r="E19" s="6" t="n">
        <v>3007</v>
      </c>
      <c r="F19" s="6" t="n">
        <v>-1816</v>
      </c>
    </row>
    <row r="20">
      <c r="A20" s="6" t="inlineStr">
        <is>
          <t>Changes in financing and advances at amortised cost</t>
        </is>
      </c>
      <c r="B20" s="6" t="n">
        <v>52974</v>
      </c>
      <c r="C20" s="6" t="n">
        <v>36152</v>
      </c>
      <c r="D20" s="6" t="n">
        <v>-130754</v>
      </c>
      <c r="E20" s="6" t="n">
        <v>-332498</v>
      </c>
      <c r="F20" s="6" t="n">
        <v>-199760</v>
      </c>
    </row>
    <row r="21">
      <c r="A21" s="6" t="inlineStr">
        <is>
          <t>Fair value movement in derivative financial instruments (operating assets)</t>
        </is>
      </c>
      <c r="B21" s="6" t="n">
        <v>-8196</v>
      </c>
      <c r="C21" s="6" t="n">
        <v>-4080</v>
      </c>
      <c r="D21" s="6" t="n">
        <v>-14824</v>
      </c>
      <c r="E21" s="6" t="n">
        <v>26558</v>
      </c>
      <c r="F21" s="6" t="n"/>
    </row>
    <row r="22">
      <c r="A22" s="6" t="inlineStr">
        <is>
          <t>Net investment in financial assets held at FVTIS</t>
        </is>
      </c>
      <c r="B22" s="6" t="n"/>
      <c r="C22" s="6" t="n"/>
      <c r="D22" s="6" t="n"/>
      <c r="E22" s="6" t="n"/>
      <c r="F22" s="6" t="n">
        <v>8683</v>
      </c>
    </row>
    <row r="23">
      <c r="A23" s="6" t="inlineStr">
        <is>
          <t>Net investment in financial assets held at FVTOCI</t>
        </is>
      </c>
      <c r="B23" s="6" t="n"/>
      <c r="C23" s="6" t="n"/>
      <c r="D23" s="6" t="n"/>
      <c r="E23" s="6" t="n"/>
      <c r="F23" s="6" t="n">
        <v>-286</v>
      </c>
    </row>
    <row r="24">
      <c r="A24" s="6" t="inlineStr">
        <is>
          <t>Changes in assets and liabilities held for sale</t>
        </is>
      </c>
      <c r="B24" s="6" t="n">
        <v>-4183</v>
      </c>
      <c r="C24" s="6" t="n">
        <v>-3876</v>
      </c>
      <c r="D24" s="6" t="n"/>
      <c r="E24" s="6" t="n"/>
      <c r="F24" s="6" t="n"/>
    </row>
    <row r="25">
      <c r="A25" s="6" t="inlineStr">
        <is>
          <t>Intercompany payable/receivable</t>
        </is>
      </c>
      <c r="B25" s="6" t="n">
        <v>51</v>
      </c>
      <c r="C25" s="6" t="n">
        <v>0</v>
      </c>
      <c r="D25" s="6" t="n"/>
      <c r="E25" s="6" t="n"/>
      <c r="F25" s="6" t="n"/>
    </row>
    <row r="26">
      <c r="A26" s="6" t="inlineStr">
        <is>
          <t>Changes in financial liabilities measured at amortised cost</t>
        </is>
      </c>
      <c r="B26" s="6" t="n">
        <v>-2094</v>
      </c>
      <c r="C26" s="6" t="n">
        <v>-27632</v>
      </c>
      <c r="D26" s="6" t="n">
        <v>-148024</v>
      </c>
      <c r="E26" s="6" t="n">
        <v>263503</v>
      </c>
      <c r="F26" s="6" t="n">
        <v>196339</v>
      </c>
    </row>
    <row r="27">
      <c r="A27" s="6" t="inlineStr">
        <is>
          <t>Net increase/(decrease) in other liabilities</t>
        </is>
      </c>
      <c r="B27" s="6" t="n">
        <v>2578</v>
      </c>
      <c r="C27" s="6" t="n">
        <v>-534</v>
      </c>
      <c r="D27" s="6" t="n">
        <v>156</v>
      </c>
      <c r="E27" s="6" t="n">
        <v>-3953</v>
      </c>
      <c r="F27" s="6" t="n">
        <v>4565</v>
      </c>
    </row>
    <row r="28">
      <c r="A28" s="5" t="inlineStr">
        <is>
          <t>Cash generated from operations</t>
        </is>
      </c>
      <c r="B28" s="5" t="n">
        <v>5581</v>
      </c>
      <c r="C28" s="5" t="n">
        <v>2837</v>
      </c>
      <c r="D28" s="5" t="n"/>
      <c r="E28" s="5" t="n"/>
      <c r="F28" s="5" t="n"/>
    </row>
    <row r="29">
      <c r="A29" s="6" t="inlineStr">
        <is>
          <t>Income tax paid (cash)</t>
        </is>
      </c>
      <c r="B29" s="6" t="n">
        <v>-1506</v>
      </c>
      <c r="C29" s="6" t="n">
        <v>-850</v>
      </c>
      <c r="D29" s="6" t="n">
        <v>-592</v>
      </c>
      <c r="E29" s="6" t="n">
        <v>-330</v>
      </c>
      <c r="F29" s="6" t="n"/>
    </row>
    <row r="30">
      <c r="A30" s="5" t="inlineStr">
        <is>
          <t>Net cash flow from/(used in) operating activities</t>
        </is>
      </c>
      <c r="B30" s="5" t="n">
        <v>4075</v>
      </c>
      <c r="C30" s="5" t="n">
        <v>1987</v>
      </c>
      <c r="D30" s="5" t="n">
        <v>4640</v>
      </c>
      <c r="E30" s="5" t="n">
        <v>-38927</v>
      </c>
      <c r="F30" s="5" t="n">
        <v>12357</v>
      </c>
      <c r="G30" s="6" t="n">
        <v>30046</v>
      </c>
    </row>
    <row r="31">
      <c r="A31" s="5" t="inlineStr">
        <is>
          <t>Investing activities</t>
        </is>
      </c>
      <c r="B31" s="6" t="n"/>
      <c r="C31" s="6" t="n"/>
      <c r="D31" s="6" t="n"/>
      <c r="E31" s="6" t="n"/>
      <c r="F31" s="6" t="n"/>
    </row>
    <row r="32">
      <c r="A32" s="6" t="inlineStr">
        <is>
          <t>Acquisitions of property, plant and equipment</t>
        </is>
      </c>
      <c r="B32" s="6" t="n">
        <v>-278</v>
      </c>
      <c r="C32" s="6" t="n">
        <v>-150</v>
      </c>
      <c r="D32" s="6" t="n">
        <v>-416</v>
      </c>
      <c r="E32" s="6" t="n">
        <v>-637</v>
      </c>
      <c r="F32" s="6" t="n">
        <v>-632</v>
      </c>
    </row>
    <row r="33">
      <c r="A33" s="6" t="inlineStr">
        <is>
          <t>Proceeds from sale of property, plant and equipment</t>
        </is>
      </c>
      <c r="B33" s="6" t="n">
        <v>57</v>
      </c>
      <c r="C33" s="6" t="n">
        <v>30</v>
      </c>
      <c r="D33" s="6" t="n"/>
      <c r="E33" s="6" t="n"/>
      <c r="F33" s="6" t="n"/>
    </row>
    <row r="34">
      <c r="A34" s="6" t="inlineStr">
        <is>
          <t>Acquisition of intangible assets</t>
        </is>
      </c>
      <c r="B34" s="6" t="n">
        <v>-1535</v>
      </c>
      <c r="C34" s="6" t="n">
        <v>-1057</v>
      </c>
      <c r="D34" s="6" t="n">
        <v>-623</v>
      </c>
      <c r="E34" s="6" t="n">
        <v>-878</v>
      </c>
      <c r="F34" s="6" t="n">
        <v>-320</v>
      </c>
    </row>
    <row r="35">
      <c r="A35" s="6" t="inlineStr">
        <is>
          <t>Purchases of financial assets held at FVOCI</t>
        </is>
      </c>
      <c r="B35" s="6" t="n">
        <v>-14050</v>
      </c>
      <c r="C35" s="6" t="n">
        <v>-15693</v>
      </c>
      <c r="D35" s="6" t="n"/>
      <c r="E35" s="6" t="n"/>
      <c r="F35" s="6" t="n">
        <v>-17000</v>
      </c>
    </row>
    <row r="36">
      <c r="A36" s="6" t="inlineStr">
        <is>
          <t>Proceeds from sale of financial assets held at FVTOCI</t>
        </is>
      </c>
      <c r="B36" s="6" t="n">
        <v>5098</v>
      </c>
      <c r="C36" s="6" t="n">
        <v>7254</v>
      </c>
      <c r="D36" s="6" t="n">
        <v>0</v>
      </c>
      <c r="E36" s="6" t="n">
        <v>2061</v>
      </c>
      <c r="F36" s="6" t="n">
        <v>11617</v>
      </c>
    </row>
    <row r="37">
      <c r="A37" s="6" t="inlineStr">
        <is>
          <t>Purchase of financial assets held at FVTIS (unquoted investments)</t>
        </is>
      </c>
      <c r="B37" s="6" t="n">
        <v>-143</v>
      </c>
      <c r="C37" s="6" t="n">
        <v>-1775</v>
      </c>
      <c r="D37" s="6" t="n">
        <v>-1195</v>
      </c>
      <c r="E37" s="6" t="n">
        <v>-600</v>
      </c>
      <c r="F37" s="6" t="n"/>
    </row>
    <row r="38">
      <c r="A38" s="6" t="inlineStr">
        <is>
          <t>Held for sale investing activities</t>
        </is>
      </c>
      <c r="B38" s="6" t="n">
        <v>-647</v>
      </c>
      <c r="C38" s="6" t="n">
        <v>-1391</v>
      </c>
      <c r="D38" s="6" t="n"/>
      <c r="E38" s="6" t="n"/>
      <c r="F38" s="6" t="n"/>
    </row>
    <row r="39">
      <c r="A39" s="6" t="inlineStr">
        <is>
          <t>Proceeds from sale of financial assets held at FVTIS (unquoted investments)</t>
        </is>
      </c>
      <c r="B39" s="6" t="n">
        <v>4394</v>
      </c>
      <c r="C39" s="6" t="n">
        <v>14735</v>
      </c>
      <c r="D39" s="6" t="n">
        <v>0</v>
      </c>
      <c r="E39" s="6" t="n">
        <v>11468</v>
      </c>
      <c r="F39" s="6" t="n">
        <v>23238</v>
      </c>
    </row>
    <row r="40">
      <c r="A40" s="6" t="inlineStr">
        <is>
          <t>Cash flow received from discontinued operations</t>
        </is>
      </c>
      <c r="B40" s="6" t="n"/>
      <c r="C40" s="6" t="n"/>
      <c r="D40" s="6" t="n">
        <v>0</v>
      </c>
      <c r="E40" s="6" t="n">
        <v>14253</v>
      </c>
      <c r="F40" s="6" t="n"/>
    </row>
    <row r="41">
      <c r="A41" s="6" t="inlineStr">
        <is>
          <t>Dividend received from associate</t>
        </is>
      </c>
      <c r="B41" s="6" t="n"/>
      <c r="C41" s="6" t="n"/>
      <c r="D41" s="6" t="n"/>
      <c r="E41" s="6" t="n"/>
      <c r="F41" s="6" t="n">
        <v>859</v>
      </c>
    </row>
    <row r="42">
      <c r="A42" s="6" t="inlineStr">
        <is>
          <t>Investments in subsidiaries</t>
        </is>
      </c>
      <c r="B42" s="6" t="n"/>
      <c r="C42" s="6" t="n"/>
      <c r="D42" s="6" t="n"/>
      <c r="E42" s="6" t="n"/>
      <c r="F42" s="6" t="n">
        <v>-437</v>
      </c>
    </row>
    <row r="43">
      <c r="A43" s="6" t="inlineStr">
        <is>
          <t>Net proceeds from disposal of property held for sale</t>
        </is>
      </c>
      <c r="B43" s="6" t="n"/>
      <c r="C43" s="6" t="n"/>
      <c r="D43" s="6" t="n">
        <v>0</v>
      </c>
      <c r="E43" s="6" t="n">
        <v>4537</v>
      </c>
      <c r="F43" s="6" t="n">
        <v>0</v>
      </c>
    </row>
    <row r="44">
      <c r="A44" s="5" t="inlineStr">
        <is>
          <t>Net cash flow from/(used in) investing activities</t>
        </is>
      </c>
      <c r="B44" s="5" t="n">
        <v>-7104</v>
      </c>
      <c r="C44" s="5" t="n">
        <v>1953</v>
      </c>
      <c r="D44" s="5" t="n">
        <v>-2234</v>
      </c>
      <c r="E44" s="5" t="n">
        <v>30204</v>
      </c>
      <c r="F44" s="5" t="n">
        <v>17325</v>
      </c>
      <c r="G44" s="6" t="n">
        <v>10353</v>
      </c>
    </row>
    <row r="45">
      <c r="A45" s="5" t="inlineStr">
        <is>
          <t>Financing activities</t>
        </is>
      </c>
      <c r="B45" s="6" t="n"/>
      <c r="C45" s="6" t="n"/>
      <c r="D45" s="6" t="n"/>
      <c r="E45" s="6" t="n"/>
      <c r="F45" s="6" t="n"/>
    </row>
    <row r="46">
      <c r="A46" s="6" t="inlineStr">
        <is>
          <t>Acquisition of subsidiaries</t>
        </is>
      </c>
      <c r="B46" s="6" t="n"/>
      <c r="C46" s="6" t="n"/>
      <c r="D46" s="6" t="n">
        <v>0</v>
      </c>
      <c r="E46" s="6" t="n">
        <v>-9218</v>
      </c>
      <c r="F46" s="6" t="n"/>
    </row>
    <row r="47">
      <c r="A47" s="6" t="inlineStr">
        <is>
          <t>Cash outflow for lease liabilities</t>
        </is>
      </c>
      <c r="B47" s="6" t="n">
        <v>-267</v>
      </c>
      <c r="C47" s="6" t="n">
        <v>-401</v>
      </c>
      <c r="D47" s="6" t="n">
        <v>-701</v>
      </c>
      <c r="E47" s="6" t="n">
        <v>-672</v>
      </c>
      <c r="F47" s="6" t="n">
        <v>-724</v>
      </c>
    </row>
    <row r="48">
      <c r="A48" s="6" t="inlineStr">
        <is>
          <t>Held for sale financing activities</t>
        </is>
      </c>
      <c r="B48" s="6" t="n">
        <v>-40</v>
      </c>
      <c r="C48" s="6" t="n">
        <v>-296</v>
      </c>
      <c r="D48" s="6" t="n"/>
      <c r="E48" s="6" t="n"/>
      <c r="F48" s="6" t="n"/>
    </row>
    <row r="49">
      <c r="A49" s="5" t="inlineStr">
        <is>
          <t>Net cash flow from/(used in) financing activities</t>
        </is>
      </c>
      <c r="B49" s="5" t="n">
        <v>-307</v>
      </c>
      <c r="C49" s="5" t="n">
        <v>-697</v>
      </c>
      <c r="D49" s="5" t="n">
        <v>-701</v>
      </c>
      <c r="E49" s="5" t="n">
        <v>-9890</v>
      </c>
      <c r="F49" s="5" t="n">
        <v>-724</v>
      </c>
      <c r="G49" s="6" t="n">
        <v>-36904</v>
      </c>
    </row>
    <row r="50">
      <c r="A50" s="5" t="inlineStr">
        <is>
          <t>Net (decrease)/increase in cash and cash equivalents</t>
        </is>
      </c>
      <c r="B50" s="5" t="n">
        <v>-3336</v>
      </c>
      <c r="C50" s="5" t="n">
        <v>3243</v>
      </c>
      <c r="D50" s="5" t="n">
        <v>1705</v>
      </c>
      <c r="E50" s="5" t="n">
        <v>-18613</v>
      </c>
      <c r="F50" s="5" t="n">
        <v>28958</v>
      </c>
      <c r="G50" s="6" t="n">
        <v>3494</v>
      </c>
    </row>
    <row r="51">
      <c r="A51" s="6" t="inlineStr">
        <is>
          <t>Cash and cash equivalents at beginning of year</t>
        </is>
      </c>
      <c r="B51" s="6" t="n">
        <v>27823</v>
      </c>
      <c r="C51" s="6" t="n">
        <v>24596</v>
      </c>
      <c r="D51" s="6" t="n">
        <v>22845</v>
      </c>
      <c r="E51" s="6" t="n">
        <v>41598</v>
      </c>
      <c r="F51" s="6" t="n">
        <v>12644</v>
      </c>
      <c r="G51" s="6" t="n">
        <v>8406</v>
      </c>
    </row>
    <row r="52">
      <c r="A52" s="6" t="inlineStr">
        <is>
          <t>Effect of exchange rate fluctuations on cash held</t>
        </is>
      </c>
      <c r="B52" s="6" t="n">
        <v>112</v>
      </c>
      <c r="C52" s="6" t="n">
        <v>-16</v>
      </c>
      <c r="D52" s="6" t="n">
        <v>46</v>
      </c>
      <c r="E52" s="6" t="n">
        <v>-140</v>
      </c>
      <c r="F52" s="6" t="n">
        <v>-4</v>
      </c>
    </row>
    <row r="53">
      <c r="A53" s="5" t="inlineStr">
        <is>
          <t>Cash and cash equivalents at end of year</t>
        </is>
      </c>
      <c r="B53" s="5" t="n">
        <v>24599</v>
      </c>
      <c r="C53" s="5" t="n">
        <v>27823</v>
      </c>
      <c r="D53" s="5" t="n">
        <v>24596</v>
      </c>
      <c r="E53" s="5" t="n">
        <v>22845</v>
      </c>
      <c r="F53" s="5" t="n">
        <v>41598</v>
      </c>
      <c r="G53" s="6" t="n">
        <v>11900</v>
      </c>
    </row>
    <row r="54">
      <c r="A54" s="5" t="inlineStr">
        <is>
          <t>Additional information on operational cash flows from profit and dividends</t>
        </is>
      </c>
      <c r="B54" s="6" t="n"/>
      <c r="C54" s="6" t="n"/>
      <c r="D54" s="6" t="n"/>
      <c r="E54" s="6" t="n"/>
      <c r="F54" s="6" t="n"/>
    </row>
    <row r="55">
      <c r="A55" s="6" t="inlineStr">
        <is>
          <t>Profit paid</t>
        </is>
      </c>
      <c r="B55" s="6" t="n">
        <v>48829</v>
      </c>
      <c r="C55" s="6" t="n">
        <v>53847</v>
      </c>
      <c r="D55" s="6" t="n">
        <v>23431</v>
      </c>
      <c r="E55" s="6" t="n">
        <v>14671</v>
      </c>
      <c r="F55" s="6" t="n"/>
    </row>
    <row r="56">
      <c r="A56" s="6" t="inlineStr">
        <is>
          <t>Profit received</t>
        </is>
      </c>
      <c r="B56" s="6" t="n">
        <v>65797</v>
      </c>
      <c r="C56" s="6" t="n">
        <v>65387</v>
      </c>
      <c r="D56" s="6" t="n">
        <v>55817</v>
      </c>
      <c r="E56" s="6" t="n">
        <v>43043</v>
      </c>
      <c r="F56" s="6" t="n"/>
    </row>
    <row r="57">
      <c r="A57" s="6" t="inlineStr">
        <is>
          <t>Dividend received</t>
        </is>
      </c>
      <c r="B57" s="6" t="n">
        <v>0</v>
      </c>
      <c r="C57" s="6" t="n">
        <v>659</v>
      </c>
      <c r="D57" s="6" t="n">
        <v>845</v>
      </c>
      <c r="E57" s="6" t="n">
        <v>844</v>
      </c>
      <c r="F57" s="6" t="n"/>
    </row>
    <row r="58"/>
    <row r="59" ht="377" customHeight="1">
      <c r="A59" s="9" t="inlineStr">
        <is>
          <t>Sources - all figures are Gatehouse Bank Plc's own Consolidated Statement of Cash Flows:
FY2025/FY2024: Annual Report and Financial Statements 2025, p.60-61 (Consolidated Statement of Cash Flows) - https://assets.gatehousebank.com/production/downloads/Gatehouse-Bank-Annual-Report-2025.pdf
FY2023/FY2022: Annual Report and Financial Statements 2023, p.64-65 (Consolidated Statement of Cash Flows) - https://gatehousebank.com/downloads/gatehouse-bank-annual-report-2023
FY2021: Annual Report and Financial Statements 2021, p.52 (Consolidated Statement of Cash Flows, own originally-published FY2021 column - see ENTITY NOTE on the later FY2022 report's restated comparative) - https://assets.gatehousebank.com/production/downloads/Gatehouse-Bank-Annual-Report-2021-FINAL-web.pdf
ENTITY NOTE: Gatehouse Bank Plc (FRN 475346, company 06260053) is a UK Shariah-compliant (Islamic) bank - 'profit paid/received' in the cash flow statement is the functional equivalent of conventional interest paid/received, and financing/advances line items are Shariah-compliant structures (Wakala, Murabaha, ijara) presented here as the standard cash flow line items they represent. Figures are the Bank's own Consolidated Statement of Cash Flows from its Companies House 'Group of companies' accounts' filings.
GENUINE MID-SERIES PRESENTATION CHANGE across 3 distinct eras, each kept on its own originally-published line items (blank cells where a line doesn't apply that year, not a gap): FY2021 (single combined profit line, no separate cash-tax-paid line); FY2022-FY2023 (profit split continuing/discontinued, 'Share in profit of associate' adjustment, cash tax paid shown separately within the operating-liabilities block); FY2024-FY2025 (adds Held-For-Sale adjustment/asset lines and an 'Intercompany payable receivable' line reflecting a disclosed business restructuring, and introduces a 'Cash generated from operations' subtotal not shown in earlier years). The 'Fair value movement in financial instruments held at FVTIS (derivative financial instruments)' caption is used TWICE within the same year's own statement - once as a non-cash P&amp;L adjustment, once under operating-asset movements - kept as two distinct rows per the source, not a duplicate.
FY2021 RESTATEMENT: the FY2022 Annual Report's own FY2021 comparative column reclassifies several FY2021 operating/investing line items (e.g. splits continuing/discontinued profit differently, renames 'Net investment in financial assets held at FVTIS/FVTOCI' into the derivative-FVTIS captions used from FY2022 onward) versus FY2021's own originally-published Annual Report. The two vintages' Net cash flow from operating/investing activities totals differ (12,357/17,325 as originally published vs 12,643/17,039 restated) but their SUM and the overall net cash movement (28,958) are identical in both - a pure reclassification between sections, not a value correction (the same pattern seen at FCE Bank Plc in this project). FY2021's own originally-published Annual Report figures are used here, consistent with every other year using its own primary source rather than a later restated comparative.
FY2017: Annual Report and Financial Statements 2017, pp.33-36 - https://assets.gatehousebank.com/production/downloads/gatehousebankannualreport2017-wesbite2.pdf
FY2017 Pillar 3 key metrics are not in the 2017 annual report, but they ARE published - in the Bank's separate Pillar III Disclosure 2017, which was located and read on 2026-09-15 and now populates the FY2017 column of every regulatory metric sheet except NSFR - https://assets.gatehousebank.com/production/downloads/gatehousebankpillariiidisclosure2017.pdf
(This supersedes an earlier note here which said FY2017 regulatory cells were 'left blank rather than inferred from the financial statements'. Nothing needed to be inferred: the wrong document had been checked. See the FY2017 note on the metric sheets for the full derivation and cross-checks.)
Full opening-to-closing cash balance chain (including the separately-disclosed FX effect on cash) ties exactly across all available years.</t>
        </is>
      </c>
    </row>
  </sheetData>
  <mergeCells count="1">
    <mergeCell ref="A59:F5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Gatehouse Bank Plc — Asset Quality</t>
        </is>
      </c>
    </row>
    <row r="2">
      <c r="A2" s="2" t="inlineStr">
        <is>
          <t>Financing and advances at amortised cost, by IFRS 9 stage, £'000. Consolidated basis.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Gross carrying value, by IFRS 9 stage</t>
        </is>
      </c>
      <c r="B4" s="6" t="n"/>
      <c r="C4" s="6" t="n"/>
      <c r="D4" s="6" t="n"/>
      <c r="E4" s="6" t="n"/>
      <c r="F4" s="6" t="n"/>
    </row>
    <row r="5">
      <c r="A5" s="6" t="inlineStr">
        <is>
          <t>Stage 1 (12m ECL)</t>
        </is>
      </c>
      <c r="B5" s="6" t="n">
        <v>1098978</v>
      </c>
      <c r="C5" s="6" t="n">
        <v>1155258</v>
      </c>
      <c r="D5" s="6" t="n">
        <v>1193879</v>
      </c>
      <c r="E5" s="6" t="n">
        <v>1113761</v>
      </c>
      <c r="F5" s="6" t="n">
        <v>812023</v>
      </c>
    </row>
    <row r="6">
      <c r="A6" s="6" t="inlineStr">
        <is>
          <t>Stage 2 (lifetime ECL)</t>
        </is>
      </c>
      <c r="B6" s="6" t="n">
        <v>94477</v>
      </c>
      <c r="C6" s="6" t="n">
        <v>91462</v>
      </c>
      <c r="D6" s="6" t="n">
        <v>116499</v>
      </c>
      <c r="E6" s="6" t="n">
        <v>106426</v>
      </c>
      <c r="F6" s="6" t="n">
        <v>79034</v>
      </c>
    </row>
    <row r="7">
      <c r="A7" s="6" t="inlineStr">
        <is>
          <t>Stage 3 (lifetime ECL)</t>
        </is>
      </c>
      <c r="B7" s="6" t="n">
        <v>83611</v>
      </c>
      <c r="C7" s="6" t="n">
        <v>79036</v>
      </c>
      <c r="D7" s="6" t="n">
        <v>57596</v>
      </c>
      <c r="E7" s="6" t="n">
        <v>17035</v>
      </c>
      <c r="F7" s="6" t="n">
        <v>13666</v>
      </c>
    </row>
    <row r="8">
      <c r="A8" s="5" t="inlineStr">
        <is>
          <t>Total gross carrying value</t>
        </is>
      </c>
      <c r="B8" s="5" t="n">
        <v>1277066</v>
      </c>
      <c r="C8" s="5" t="n">
        <v>1325756</v>
      </c>
      <c r="D8" s="5" t="n">
        <v>1367974</v>
      </c>
      <c r="E8" s="5" t="n">
        <v>1237222</v>
      </c>
      <c r="F8" s="5" t="n">
        <v>904723</v>
      </c>
    </row>
    <row r="9">
      <c r="A9" s="5" t="inlineStr">
        <is>
          <t>Loss allowance, by IFRS 9 stage</t>
        </is>
      </c>
      <c r="B9" s="6" t="n"/>
      <c r="C9" s="6" t="n"/>
      <c r="D9" s="6" t="n"/>
      <c r="E9" s="6" t="n"/>
      <c r="F9" s="6" t="n"/>
    </row>
    <row r="10">
      <c r="A10" s="6" t="inlineStr">
        <is>
          <t>Stage 1 (12m ECL)</t>
        </is>
      </c>
      <c r="B10" s="6" t="n">
        <v>-1363</v>
      </c>
      <c r="C10" s="6" t="n">
        <v>-790</v>
      </c>
      <c r="D10" s="6" t="n">
        <v>-1379</v>
      </c>
      <c r="E10" s="6" t="n">
        <v>-3108</v>
      </c>
      <c r="F10" s="6" t="n">
        <v>-413</v>
      </c>
    </row>
    <row r="11">
      <c r="A11" s="6" t="inlineStr">
        <is>
          <t>Stage 2 (lifetime ECL)</t>
        </is>
      </c>
      <c r="B11" s="6" t="n">
        <v>-512</v>
      </c>
      <c r="C11" s="6" t="n">
        <v>-497</v>
      </c>
      <c r="D11" s="6" t="n">
        <v>-1362</v>
      </c>
      <c r="E11" s="6" t="n">
        <v>-5586</v>
      </c>
      <c r="F11" s="6" t="n">
        <v>-2468</v>
      </c>
    </row>
    <row r="12">
      <c r="A12" s="6" t="inlineStr">
        <is>
          <t>Stage 3 (lifetime ECL)</t>
        </is>
      </c>
      <c r="B12" s="6" t="n">
        <v>-10632</v>
      </c>
      <c r="C12" s="6" t="n">
        <v>-8533</v>
      </c>
      <c r="D12" s="6" t="n">
        <v>-7430</v>
      </c>
      <c r="E12" s="6" t="n">
        <v>-632</v>
      </c>
      <c r="F12" s="6" t="n">
        <v>-731</v>
      </c>
    </row>
    <row r="13">
      <c r="A13" s="5" t="inlineStr">
        <is>
          <t>Total loss allowance</t>
        </is>
      </c>
      <c r="B13" s="5" t="n">
        <v>-12507</v>
      </c>
      <c r="C13" s="5" t="n">
        <v>-9820</v>
      </c>
      <c r="D13" s="5" t="n">
        <v>-10171</v>
      </c>
      <c r="E13" s="5" t="n">
        <v>-9326</v>
      </c>
      <c r="F13" s="5" t="n">
        <v>-3612</v>
      </c>
    </row>
    <row r="14">
      <c r="A14" s="5" t="inlineStr">
        <is>
          <t>Carrying value under IFRS 9, by stage</t>
        </is>
      </c>
      <c r="B14" s="6" t="n"/>
      <c r="C14" s="6" t="n"/>
      <c r="D14" s="6" t="n"/>
      <c r="E14" s="6" t="n"/>
      <c r="F14" s="6" t="n"/>
    </row>
    <row r="15">
      <c r="A15" s="6" t="inlineStr">
        <is>
          <t>Stage 1</t>
        </is>
      </c>
      <c r="B15" s="6" t="n">
        <v>1097615</v>
      </c>
      <c r="C15" s="6" t="n">
        <v>1154468</v>
      </c>
      <c r="D15" s="6" t="n">
        <v>1192500</v>
      </c>
      <c r="E15" s="6" t="n">
        <v>1110653</v>
      </c>
      <c r="F15" s="6" t="n">
        <v>811610</v>
      </c>
    </row>
    <row r="16">
      <c r="A16" s="6" t="inlineStr">
        <is>
          <t>Stage 2</t>
        </is>
      </c>
      <c r="B16" s="6" t="n">
        <v>93965</v>
      </c>
      <c r="C16" s="6" t="n">
        <v>90965</v>
      </c>
      <c r="D16" s="6" t="n">
        <v>115137</v>
      </c>
      <c r="E16" s="6" t="n">
        <v>100840</v>
      </c>
      <c r="F16" s="6" t="n">
        <v>76566</v>
      </c>
    </row>
    <row r="17">
      <c r="A17" s="6" t="inlineStr">
        <is>
          <t>Stage 3</t>
        </is>
      </c>
      <c r="B17" s="6" t="n">
        <v>72979</v>
      </c>
      <c r="C17" s="6" t="n">
        <v>70503</v>
      </c>
      <c r="D17" s="6" t="n">
        <v>50166</v>
      </c>
      <c r="E17" s="6" t="n">
        <v>16403</v>
      </c>
      <c r="F17" s="6" t="n">
        <v>12935</v>
      </c>
    </row>
    <row r="18">
      <c r="A18" s="5" t="inlineStr">
        <is>
          <t>Total carrying value (Financing and advances at amortised cost)</t>
        </is>
      </c>
      <c r="B18" s="5" t="n">
        <v>1264559</v>
      </c>
      <c r="C18" s="5" t="n">
        <v>1315936</v>
      </c>
      <c r="D18" s="5" t="n">
        <v>1357803</v>
      </c>
      <c r="E18" s="5" t="n">
        <v>1227896</v>
      </c>
      <c r="F18" s="5" t="n">
        <v>901111</v>
      </c>
    </row>
    <row r="19">
      <c r="A19" s="5" t="inlineStr">
        <is>
          <t>Derived ratios</t>
        </is>
      </c>
      <c r="B19" s="6" t="n"/>
      <c r="C19" s="6" t="n"/>
      <c r="D19" s="6" t="n"/>
      <c r="E19" s="6" t="n"/>
      <c r="F19" s="6" t="n"/>
    </row>
    <row r="20">
      <c r="A20" s="6" t="inlineStr">
        <is>
          <t>Stage 3 / total gross carrying value (NPL ratio)</t>
        </is>
      </c>
      <c r="B20" s="6" t="inlineStr">
        <is>
          <t>6.55%</t>
        </is>
      </c>
      <c r="C20" s="6" t="inlineStr">
        <is>
          <t>5.96%</t>
        </is>
      </c>
      <c r="D20" s="6" t="inlineStr">
        <is>
          <t>4.21%</t>
        </is>
      </c>
      <c r="E20" s="6" t="inlineStr">
        <is>
          <t>1.38%</t>
        </is>
      </c>
      <c r="F20" s="6" t="inlineStr">
        <is>
          <t>1.51%</t>
        </is>
      </c>
    </row>
    <row r="21">
      <c r="A21" s="6" t="inlineStr">
        <is>
          <t>Total loss allowance coverage (total allowance / total gross)</t>
        </is>
      </c>
      <c r="B21" s="6" t="inlineStr">
        <is>
          <t>0.98%</t>
        </is>
      </c>
      <c r="C21" s="6" t="inlineStr">
        <is>
          <t>0.74%</t>
        </is>
      </c>
      <c r="D21" s="6" t="inlineStr">
        <is>
          <t>0.74%</t>
        </is>
      </c>
      <c r="E21" s="6" t="inlineStr">
        <is>
          <t>0.75%</t>
        </is>
      </c>
      <c r="F21" s="6" t="inlineStr">
        <is>
          <t>0.40%</t>
        </is>
      </c>
    </row>
    <row r="22">
      <c r="A22" s="6" t="inlineStr">
        <is>
          <t>Stage 3 coverage (Stage 3 loss allowance / Stage 3 gross)</t>
        </is>
      </c>
      <c r="B22" s="6" t="inlineStr">
        <is>
          <t>12.72%</t>
        </is>
      </c>
      <c r="C22" s="6" t="inlineStr">
        <is>
          <t>10.80%</t>
        </is>
      </c>
      <c r="D22" s="6" t="inlineStr">
        <is>
          <t>12.90%</t>
        </is>
      </c>
      <c r="E22" s="6" t="inlineStr">
        <is>
          <t>3.71%</t>
        </is>
      </c>
      <c r="F22" s="6" t="inlineStr">
        <is>
          <t>5.35%</t>
        </is>
      </c>
    </row>
    <row r="24" ht="390" customHeight="1">
      <c r="A24" s="9" t="inlineStr">
        <is>
          <t>Sources - Gatehouse Bank Plc's own 'Financing and advances at amortised cost' note (Group), IFRS 9 stage split:
FY2025/FY2024: Annual Report and Financial Statements 2025, p.89-90 - https://assets.gatehousebank.com/production/downloads/Gatehouse-Bank-Annual-Report-2025.pdf
FY2023/FY2022: Annual Report and Financial Statements 2023, p.93 - https://gatehousebank.com/downloads/gatehouse-bank-annual-report-2023
FY2021: Annual Report and Financial Statements 2021, p.78 - https://assets.gatehousebank.com/production/downloads/Gatehouse-Bank-Annual-Report-2021-FINAL-web.pdf
Each year's own originally-published figures used - every stage split ties exactly to that year's own Total gross carrying value/loss allowance/carrying value and to the Balance Sheet's own Financing and advances at amortised cost line. Derived ratios independently computed from the disclosed stage figures (not restated). Note the growing Stage 3 balance/NPL ratio across the series reflects a genuine, disclosed deterioration in the Bank's property finance book, not a presentation change.
ENTITY NOTE: Gatehouse Bank Plc (FRN 475346, company 06260053) is a UK Shariah-compliant (Islamic) bank - 'profit paid/received' in the cash flow statement is the functional equivalent of conventional interest paid/received, and financing/advances line items are Shariah-compliant structures (Wakala, Murabaha, ijara) presented here as the standard cash flow line items they represent. Figures are the Bank's own Consolidated Statement of Cash Flows from its Companies House 'Group of companies' accounts' filings.
GENUINE MID-SERIES PRESENTATION CHANGE across 3 distinct eras, each kept on its own originally-published line items (blank cells where a line doesn't apply that year, not a gap): FY2021 (single combined profit line, no separate cash-tax-paid line); FY2022-FY2023 (profit split continuing/discontinued, 'Share in profit of associate' adjustment, cash tax paid shown separately within the operating-liabilities block); FY2024-FY2025 (adds Held-For-Sale adjustment/asset lines and an 'Intercompany payable receivable' line reflecting a disclosed business restructuring, and introduces a 'Cash generated from operations' subtotal not shown in earlier years). The 'Fair value movement in financial instruments held at FVTIS (derivative financial instruments)' caption is used TWICE within the same year's own statement - once as a non-cash P&amp;L adjustment, once under operating-asset movements - kept as two distinct rows per the source, not a duplicate.
FY2021 RESTATEMENT: the FY2022 Annual Report's own FY2021 comparative column reclassifies several FY2021 operating/investing line items (e.g. splits continuing/discontinued profit differently, renames 'Net investment in financial assets held at FVTIS/FVTOCI' into the derivative-FVTIS captions used from FY2022 onward) versus FY2021's own originally-published Annual Report. The two vintages' Net cash flow from operating/investing activities totals differ (12,357/17,325 as originally published vs 12,643/17,039 restated) but their SUM and the overall net cash movement (28,958) are identical in both - a pure reclassification between sections, not a value correction (the same pattern seen at FCE Bank Plc in this project). FY2021's own originally-published Annual Report figures are used here, consistent with every other year using its own primary source rather than a later restated comparative.
FY2017: Annual Report and Financial Statements 2017, pp.33-36 - https://assets.gatehousebank.com/production/downloads/gatehousebankannualreport2017-wesbite2.pdf
FY2017 Pillar 3 key metrics are not in the 2017 annual report, but they ARE published - in the Bank's separate Pillar III Disclosure 2017, which was located and read on 2026-09-15 and now populates the FY2017 column of every regulatory metric sheet except NSFR - https://assets.gatehousebank.com/production/downloads/gatehousebankpillariiidisclosure2017.pdf
(This supersedes an earlier note here which said FY2017 regulatory cells were 'left blank rather than inferred from the financial statements'. Nothing needed to be inferred: the wrong document had been checked. See the FY2017 note on the metric sheets for the full derivation and cross-checks.)
Full opening-to-closing cash balance chain (including the separately-disclosed FX effect on cash) ties exactly across all available years.</t>
        </is>
      </c>
    </row>
  </sheetData>
  <mergeCells count="1">
    <mergeCell ref="A24:F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Gatehouse Bank plc — KM1 Key Metrics</t>
        </is>
      </c>
    </row>
    <row r="2">
      <c r="A2" s="2" t="inlineStr">
        <is>
          <t>The Bank's own UK KM1 key-metrics template, reproduced in its own row order, row numbers, labels and precision. Amounts in £'m, ratios as printed (the source prints them without a percent sign, under a heading that states they are percentages). Each edition prints five quarterly columns; only column T - that edition's own year-end - is used. FY2021 is the FY2022 edition's 31 December 2021 comparative column. FY2025 carries no template figures: no FY2025 Pillar 3 has been published, and the top row states that in the column itself. FY2017 predates the template entirely.</t>
        </is>
      </c>
    </row>
    <row r="3">
      <c r="A3" s="4" t="inlineStr">
        <is>
          <t>Line item</t>
        </is>
      </c>
      <c r="B3" s="4" t="inlineStr">
        <is>
          <t>FY2025</t>
        </is>
      </c>
      <c r="C3" s="4" t="inlineStr">
        <is>
          <t>FY2024</t>
        </is>
      </c>
      <c r="D3" s="4" t="inlineStr">
        <is>
          <t>FY2023</t>
        </is>
      </c>
      <c r="E3" s="4" t="inlineStr">
        <is>
          <t>FY2022</t>
        </is>
      </c>
      <c r="F3" s="4" t="inlineStr">
        <is>
          <t>FY2021</t>
        </is>
      </c>
    </row>
    <row r="4">
      <c r="A4" s="6" t="inlineStr">
        <is>
          <t>[Edition status for this year - not a KM1 template row]</t>
        </is>
      </c>
      <c r="B4" s="6" t="inlineStr">
        <is>
          <t>Not published - no FY2025 Pillar III edition as at 19/09/2026</t>
        </is>
      </c>
      <c r="C4" s="6" t="n"/>
      <c r="D4" s="6" t="n"/>
      <c r="E4" s="6" t="n"/>
      <c r="F4" s="6" t="n"/>
    </row>
    <row r="5">
      <c r="A5" s="5" t="inlineStr">
        <is>
          <t>Available own funds (amounts)</t>
        </is>
      </c>
      <c r="B5" s="6" t="n"/>
      <c r="C5" s="6" t="n"/>
      <c r="D5" s="6" t="n"/>
      <c r="E5" s="6" t="n"/>
      <c r="F5" s="6" t="n"/>
    </row>
    <row r="6">
      <c r="A6" s="6" t="inlineStr">
        <is>
          <t>1  Common Equity Tier 1 (CET1) capital (£'m)</t>
        </is>
      </c>
      <c r="B6" s="6" t="n"/>
      <c r="C6" s="6" t="n">
        <v>108.6</v>
      </c>
      <c r="D6" s="6" t="n">
        <v>108.2</v>
      </c>
      <c r="E6" s="6" t="n">
        <v>103.2</v>
      </c>
      <c r="F6" s="6" t="n">
        <v>94.5</v>
      </c>
    </row>
    <row r="7">
      <c r="A7" s="6" t="inlineStr">
        <is>
          <t>2  Tier 1 capital (£'m)</t>
        </is>
      </c>
      <c r="B7" s="6" t="n"/>
      <c r="C7" s="6" t="n">
        <v>108.6</v>
      </c>
      <c r="D7" s="6" t="n">
        <v>108.2</v>
      </c>
      <c r="E7" s="6" t="n">
        <v>103.2</v>
      </c>
      <c r="F7" s="6" t="n">
        <v>94.5</v>
      </c>
    </row>
    <row r="8">
      <c r="A8" s="6" t="inlineStr">
        <is>
          <t>3  Total capital (£'m)</t>
        </is>
      </c>
      <c r="B8" s="6" t="n"/>
      <c r="C8" s="6" t="n">
        <v>127.1</v>
      </c>
      <c r="D8" s="6" t="n">
        <v>126.7</v>
      </c>
      <c r="E8" s="6" t="n">
        <v>112.2</v>
      </c>
      <c r="F8" s="6" t="n">
        <v>103.5</v>
      </c>
    </row>
    <row r="9">
      <c r="A9" s="5" t="inlineStr">
        <is>
          <t>Risk-weighted exposure amounts</t>
        </is>
      </c>
      <c r="B9" s="6" t="n"/>
      <c r="C9" s="6" t="n"/>
      <c r="D9" s="6" t="n"/>
      <c r="E9" s="6" t="n"/>
      <c r="F9" s="6" t="n"/>
    </row>
    <row r="10">
      <c r="A10" s="6" t="inlineStr">
        <is>
          <t>4  Total risk-weighted exposure amount (£'m)</t>
        </is>
      </c>
      <c r="B10" s="6" t="n"/>
      <c r="C10" s="6" t="n">
        <v>636.7</v>
      </c>
      <c r="D10" s="6" t="n">
        <v>644.8</v>
      </c>
      <c r="E10" s="6" t="n">
        <v>594.7</v>
      </c>
      <c r="F10" s="6" t="n">
        <v>523</v>
      </c>
    </row>
    <row r="11">
      <c r="A11" s="5" t="inlineStr">
        <is>
          <t>Capital ratios (as a percentage of risk-weighted exposure amount)</t>
        </is>
      </c>
      <c r="B11" s="6" t="n"/>
      <c r="C11" s="6" t="n"/>
      <c r="D11" s="6" t="n"/>
      <c r="E11" s="6" t="n"/>
      <c r="F11" s="6" t="n"/>
    </row>
    <row r="12">
      <c r="A12" s="6" t="inlineStr">
        <is>
          <t>5  Common Equity Tier 1 ratio (%)</t>
        </is>
      </c>
      <c r="B12" s="6" t="n"/>
      <c r="C12" s="6" t="n">
        <v>17.1</v>
      </c>
      <c r="D12" s="6" t="n">
        <v>16.8</v>
      </c>
      <c r="E12" s="6" t="n">
        <v>17.4</v>
      </c>
      <c r="F12" s="6" t="n">
        <v>18.1</v>
      </c>
    </row>
    <row r="13">
      <c r="A13" s="6" t="inlineStr">
        <is>
          <t>6  Tier 1 ratio (%)</t>
        </is>
      </c>
      <c r="B13" s="6" t="n"/>
      <c r="C13" s="6" t="n">
        <v>17.1</v>
      </c>
      <c r="D13" s="6" t="n">
        <v>16.8</v>
      </c>
      <c r="E13" s="6" t="n">
        <v>17.4</v>
      </c>
      <c r="F13" s="6" t="n">
        <v>18.1</v>
      </c>
    </row>
    <row r="14">
      <c r="A14" s="6" t="inlineStr">
        <is>
          <t>7  Total capital ratio (%)</t>
        </is>
      </c>
      <c r="B14" s="6" t="n"/>
      <c r="C14" s="6" t="n">
        <v>20</v>
      </c>
      <c r="D14" s="6" t="n">
        <v>19.6</v>
      </c>
      <c r="E14" s="6" t="n">
        <v>18.9</v>
      </c>
      <c r="F14" s="6" t="n">
        <v>19.8</v>
      </c>
    </row>
    <row r="15">
      <c r="A15" s="5" t="inlineStr">
        <is>
          <t>Additional own funds requirements based on SREP (as a percentage of risk-weighted exposure amount)</t>
        </is>
      </c>
      <c r="B15" s="6" t="n"/>
      <c r="C15" s="6" t="n"/>
      <c r="D15" s="6" t="n"/>
      <c r="E15" s="6" t="n"/>
      <c r="F15" s="6" t="n"/>
    </row>
    <row r="16">
      <c r="A16" s="6" t="inlineStr">
        <is>
          <t>UK 7a  Additional CET1 SREP requirements (%)</t>
        </is>
      </c>
      <c r="B16" s="6" t="n"/>
      <c r="C16" s="6" t="n">
        <v>7.3</v>
      </c>
      <c r="D16" s="6" t="n">
        <v>7.3</v>
      </c>
      <c r="E16" s="6" t="n">
        <v>2.8</v>
      </c>
      <c r="F16" s="6" t="n">
        <v>2</v>
      </c>
    </row>
    <row r="17">
      <c r="A17" s="6" t="inlineStr">
        <is>
          <t>UK 7d  Total SREP own funds requirements (%)</t>
        </is>
      </c>
      <c r="B17" s="6" t="n"/>
      <c r="C17" s="6" t="n">
        <v>13</v>
      </c>
      <c r="D17" s="6" t="n">
        <v>13</v>
      </c>
      <c r="E17" s="6" t="n">
        <v>13</v>
      </c>
      <c r="F17" s="6" t="n">
        <v>11.6</v>
      </c>
    </row>
    <row r="18">
      <c r="A18" s="5" t="inlineStr">
        <is>
          <t>Combined buffer requirement (as a percentage of risk-weighted exposure amount)</t>
        </is>
      </c>
      <c r="B18" s="6" t="n"/>
      <c r="C18" s="6" t="n"/>
      <c r="D18" s="6" t="n"/>
      <c r="E18" s="6" t="n"/>
      <c r="F18" s="6" t="n"/>
    </row>
    <row r="19">
      <c r="A19" s="6" t="inlineStr">
        <is>
          <t>8  Capital conservation buffer (%)</t>
        </is>
      </c>
      <c r="B19" s="6" t="n"/>
      <c r="C19" s="6" t="n">
        <v>2.5</v>
      </c>
      <c r="D19" s="6" t="n">
        <v>2.5</v>
      </c>
      <c r="E19" s="6" t="n">
        <v>2.5</v>
      </c>
      <c r="F19" s="6" t="n">
        <v>2.5</v>
      </c>
    </row>
    <row r="20">
      <c r="A20" s="6" t="inlineStr">
        <is>
          <t>9  Institution specific countercyclical capital buffer (%)</t>
        </is>
      </c>
      <c r="B20" s="6" t="n"/>
      <c r="C20" s="6" t="n">
        <v>1.5</v>
      </c>
      <c r="D20" s="6" t="n">
        <v>1.4</v>
      </c>
      <c r="E20" s="6" t="n">
        <v>0.7</v>
      </c>
      <c r="F20" s="6" t="n">
        <v>0</v>
      </c>
    </row>
    <row r="21">
      <c r="A21" s="6" t="inlineStr">
        <is>
          <t>UK 11a  Overall capital requirements (%)</t>
        </is>
      </c>
      <c r="B21" s="6" t="n"/>
      <c r="C21" s="6" t="n">
        <v>17</v>
      </c>
      <c r="D21" s="6" t="n">
        <v>16.9</v>
      </c>
      <c r="E21" s="6" t="n">
        <v>16.2</v>
      </c>
      <c r="F21" s="6" t="n">
        <v>14.2</v>
      </c>
    </row>
    <row r="22">
      <c r="A22" s="5" t="inlineStr">
        <is>
          <t>Leverage ratio</t>
        </is>
      </c>
      <c r="B22" s="6" t="n"/>
      <c r="C22" s="6" t="n"/>
      <c r="D22" s="6" t="n"/>
      <c r="E22" s="6" t="n"/>
      <c r="F22" s="6" t="n"/>
    </row>
    <row r="23">
      <c r="A23" s="6" t="inlineStr">
        <is>
          <t>13  Total exposure measure excluding claims on central banks (£'m)</t>
        </is>
      </c>
      <c r="B23" s="6" t="n"/>
      <c r="C23" s="6" t="n">
        <v>1460.6</v>
      </c>
      <c r="D23" s="6" t="n">
        <v>1487.9</v>
      </c>
      <c r="E23" s="6" t="n">
        <v>1382.5</v>
      </c>
      <c r="F23" s="6" t="n">
        <v>1028.4</v>
      </c>
    </row>
    <row r="24">
      <c r="A24" s="6" t="inlineStr">
        <is>
          <t>14  Leverage ratio excluding claims on central banks (%)</t>
        </is>
      </c>
      <c r="B24" s="6" t="n"/>
      <c r="C24" s="6" t="n">
        <v>7.4</v>
      </c>
      <c r="D24" s="6" t="n">
        <v>7.3</v>
      </c>
      <c r="E24" s="6" t="n">
        <v>7.5</v>
      </c>
      <c r="F24" s="6" t="n">
        <v>9.199999999999999</v>
      </c>
    </row>
    <row r="25">
      <c r="A25" s="5" t="inlineStr">
        <is>
          <t>Additional leverage ratio disclosure requirements</t>
        </is>
      </c>
      <c r="B25" s="6" t="n"/>
      <c r="C25" s="6" t="n"/>
      <c r="D25" s="6" t="n"/>
      <c r="E25" s="6" t="n"/>
      <c r="F25" s="6" t="n"/>
    </row>
    <row r="26">
      <c r="A26" s="6" t="inlineStr">
        <is>
          <t>14b  Leverage ratio including claims on central banks (%)</t>
        </is>
      </c>
      <c r="B26" s="6" t="n"/>
      <c r="C26" s="6" t="n">
        <v>7.4</v>
      </c>
      <c r="D26" s="6" t="n">
        <v>7.3</v>
      </c>
      <c r="E26" s="6" t="n">
        <v>7.5</v>
      </c>
      <c r="F26" s="6" t="n">
        <v>9.199999999999999</v>
      </c>
    </row>
    <row r="27">
      <c r="A27" s="5" t="inlineStr">
        <is>
          <t>Liquidity Coverage Ratio</t>
        </is>
      </c>
      <c r="B27" s="6" t="n"/>
      <c r="C27" s="6" t="n"/>
      <c r="D27" s="6" t="n"/>
      <c r="E27" s="6" t="n"/>
      <c r="F27" s="6" t="n"/>
    </row>
    <row r="28">
      <c r="A28" s="6" t="inlineStr">
        <is>
          <t>15  Total high-quality liquid assets (HQLA) (Weighted value -average) (£'m)</t>
        </is>
      </c>
      <c r="B28" s="6" t="n"/>
      <c r="C28" s="6" t="n">
        <v>39.8</v>
      </c>
      <c r="D28" s="6" t="n">
        <v>38.7</v>
      </c>
      <c r="E28" s="6" t="n">
        <v>39.4</v>
      </c>
      <c r="F28" s="6" t="n">
        <v>33.1</v>
      </c>
    </row>
    <row r="29">
      <c r="A29" s="6" t="inlineStr">
        <is>
          <t>UK 16a  Cash outflows - Total weighted value (£'m)</t>
        </is>
      </c>
      <c r="B29" s="6" t="n"/>
      <c r="C29" s="6" t="n">
        <v>35.5</v>
      </c>
      <c r="D29" s="6" t="n">
        <v>22.4</v>
      </c>
      <c r="E29" s="6" t="n">
        <v>44.9</v>
      </c>
      <c r="F29" s="6" t="n">
        <v>36.2</v>
      </c>
    </row>
    <row r="30">
      <c r="A30" s="6" t="inlineStr">
        <is>
          <t>UK 16b  Cash inflows - Total weighted value (£'m)</t>
        </is>
      </c>
      <c r="B30" s="6" t="n"/>
      <c r="C30" s="6" t="n">
        <v>94.40000000000001</v>
      </c>
      <c r="D30" s="6" t="n">
        <v>81.40000000000001</v>
      </c>
      <c r="E30" s="6" t="n">
        <v>115.3</v>
      </c>
      <c r="F30" s="6" t="n">
        <v>39.1</v>
      </c>
    </row>
    <row r="31">
      <c r="A31" s="6" t="inlineStr">
        <is>
          <t>16  Total net cash outflows (adjusted value) (£'m)</t>
        </is>
      </c>
      <c r="B31" s="6" t="n"/>
      <c r="C31" s="6" t="n">
        <v>8.9</v>
      </c>
      <c r="D31" s="6" t="n">
        <v>5.6</v>
      </c>
      <c r="E31" s="6" t="n">
        <v>11.2</v>
      </c>
      <c r="F31" s="6" t="n">
        <v>9</v>
      </c>
    </row>
    <row r="32">
      <c r="A32" s="6" t="inlineStr">
        <is>
          <t>17  Liquidity coverage ratio (%)</t>
        </is>
      </c>
      <c r="B32" s="6" t="n"/>
      <c r="C32" s="6" t="n">
        <v>447.6</v>
      </c>
      <c r="D32" s="6" t="n">
        <v>691.6</v>
      </c>
      <c r="E32" s="6" t="n">
        <v>350.7</v>
      </c>
      <c r="F32" s="6" t="n">
        <v>365.4</v>
      </c>
    </row>
    <row r="33">
      <c r="A33" s="5" t="inlineStr">
        <is>
          <t>Net Stable Funding Ratio (FY2021 prints '-' in the source: the CRR2 requirement took effect 1 January 2022)</t>
        </is>
      </c>
      <c r="B33" s="6" t="n"/>
      <c r="C33" s="6" t="n"/>
      <c r="D33" s="6" t="n"/>
      <c r="E33" s="6" t="n"/>
      <c r="F33" s="6" t="n"/>
    </row>
    <row r="34">
      <c r="A34" s="6" t="inlineStr">
        <is>
          <t>18  Total available stable funding (£'m)</t>
        </is>
      </c>
      <c r="B34" s="6" t="n"/>
      <c r="C34" s="6" t="n">
        <v>1331.2</v>
      </c>
      <c r="D34" s="6" t="n">
        <v>1370.4</v>
      </c>
      <c r="E34" s="6" t="n">
        <v>1201.5</v>
      </c>
      <c r="F34" s="6" t="inlineStr">
        <is>
          <t>-</t>
        </is>
      </c>
    </row>
    <row r="35">
      <c r="A35" s="6" t="inlineStr">
        <is>
          <t>19  Total required stable funding (£'m)</t>
        </is>
      </c>
      <c r="B35" s="6" t="n"/>
      <c r="C35" s="6" t="n">
        <v>866.9</v>
      </c>
      <c r="D35" s="6" t="n">
        <v>906.8</v>
      </c>
      <c r="E35" s="6" t="n">
        <v>797.9</v>
      </c>
      <c r="F35" s="6" t="inlineStr">
        <is>
          <t>-</t>
        </is>
      </c>
    </row>
    <row r="36">
      <c r="A36" s="6" t="inlineStr">
        <is>
          <t>20  NSFR ratio (%)</t>
        </is>
      </c>
      <c r="B36" s="6" t="n"/>
      <c r="C36" s="6" t="n">
        <v>153.5</v>
      </c>
      <c r="D36" s="6" t="n">
        <v>151.1</v>
      </c>
      <c r="E36" s="6" t="n">
        <v>150.6</v>
      </c>
      <c r="F36" s="6" t="inlineStr">
        <is>
          <t>-</t>
        </is>
      </c>
    </row>
    <row r="38" ht="409" customHeight="1">
      <c r="A38" s="9" t="inlineStr">
        <is>
          <t>Sources - Gatehouse Bank Plc Pillar 3 disclosures, Article 447 Key Metrics table, p.32:
FY2017: Pillar III Disclosure 2017 - Key Metrics table p.3, s.5 Capital Resources p.11, s.6 p.12, s.9 p.19, Appendix 1 (Own Funds Disclosure) p.26 and Appendix II (Analysis of Leverage Ratio) p.27. This is the CRD IV-era predecessor of the Article 447 template, not the template itself - https://assets.gatehousebank.com/production/downloads/gatehousebankpillariiidisclosure2017.pdf
FY2024: Pillar III Disclosure 2024 (Dec-24 column) - https://assets.gatehousebank.com/production/downloads/Gatehouse-Bank-Pillar-III-Disclosure-2024-FINAL.pdf
FY2023: Pillar III Disclosure 2023 (Dec-23 column) - https://assets.gatehousebank.com/production/downloads/Gatehouse-Bank-Pillar-III-Disclosure-2023-FINAL.pdf
FY2022: Pillar III Disclosure 2022 (Dec-22 column, own year's disclosure - see restatement note) - https://gatehousebank.com/downloads/gatehouse-bank-pillar-3-disclosure-2022
FY2021: Annual Report and Financial Statements 2021, s.5 Capital Resources, p.11 (own year-end capital resources note, cross-validated against the 2022 Pillar 3 disclosure's Dec-21 comparative column) - https://assets.gatehousebank.com/production/downloads/Gatehouse-Bank-Annual-Report-2021-FINAL-web.pdf
SDDT DATE TEST (checked 2026-09-15): the PRA's consolidated register of waivers and modifications ('Consolidated Waivers list for PRA-regulated firms - as of 1 July 2026', bankofengland.co.uk/prudential-regulation/authorisations/waivers-and-modifications-of-rules) records that Gatehouse Bank Plc (FRN 475346) holds a 'Modification by Consent - PRA Rulebook - CRR Firms - Rule 3.1 of the SDDT Regime - General Application Part', sub-rule 'Ru 3.1', starting 08/01/2026 with no end date. That modification removes the Pillar 3 disclosure obligation outright (a stronger relief than UK CRR Article 433b, which only reduces frequency and content for small and non-complex institutions).
Crucially, 08/01/2026 falls EIGHT DAYS AFTER the FY2025 year-end of 31 December 2025 (year-end confirmed 31 December throughout the Bank's Companies House accounts filing history, company 06260053). FY2025 therefore PREDATES the modification and is NOT structurally exempt - the Bank was still subject to the disclosure obligation for that year. This is corroborated independently by the fact that the FY2025 Pillar 3 document demonstrably EXISTS (the Annual Report says it is 'available on request', see below): the obligation was live and was met, just not by general publication. The FY2025 blanks below are therefore an ACCESS gap, not a structural one, and are recoverable by requesting the document from the Bank.
Forward-looking: FY2026 (year ending 31 December 2026) is the first year that falls after the modification took effect, so from FY2026 onward these blanks are expected to become structural.
FY2025: no FY2025 Pillar 3 disclosure has been published. The Bank's own Annual Report 2025 confirms the document is not on general release - 'Pillar 3 disclosures are presented in the "Pillar 3 Disclosures" document, available on request' (Notes to the Financial Statements, p.125) - and no 2025 file exists under the CDN naming pattern that serves every prior year, nor in the site's downloads sitemap, nor in the Wayback CDX index for the domain (newest Pillar 3 capture is the 2024 report, 11 June 2026).
RE-VERIFIED 2026-09-15 against the Bank's own LIVE publications index rather than by URL guessing - https://gatehousebank.com/about-us/corporate-governance. That page lists Pillar 3 disclosures for 2017, 2018, 2019, 2020, 2021, 2022, 2023 and 2024 and NO 2025 edition, while listing the Annual Report 2025 - i.e. the Bank has published its FY2025 annual report but not its FY2025 Pillar 3, exactly as the annual report says ('published as soon as practicable AFTER the publication of the annual report'). An unfiltered Wayback CDX sweep of the whole gatehousebank.com domain (6,938 captures) independently returns the same eight Pillar 3 documents and no 2025 one. So FY2025 is a live access gap that may simply close on its own when the Bank publishes; it is worth re-checking this index before requesting the document. The same index is what exposed the FY2017 disclosure this project had been missing.
RE-CHECKED 2026-09-18 (separate session, prior verdict treated as unproven) - UNCHANGED. The publications index was re-fetched and every document link parsed out: it still lists Pillar III Disclosures for 2017, 2018, 2019, 2020, 2021, 2022, 2023 and 2024 and no 2025 edition, alongside the Annual Report 2025. Two FY2025 filenames were then probed directly on the CDN that serves every prior year (Gatehouse-Bank-Pillar-III-Disclosure-2025-FINAL.pdf and Gatehouse-Bank-Pillar-III-Disclosure-2025.pdf); both returned HTTP 404 while a control fetch of the FY2024 filename on the same host returned HTTP 200, Content-Type application/pdf, first bytes '%PDF', 617,672 bytes. That control matters: the alternative gatehousebank.com/downloads/ route 404s even for the FY2024 document, so probing FY2025 on that route alone would have manufactured a false negative. The Annual Report 2025 was also re-read in full text this date and independently reproduces the AMOUNTS/RATIOS split described below.</t>
        </is>
      </c>
    </row>
    <row r="40" ht="409" customHeight="1">
      <c r="A40" s="9" t="inlineStr">
        <is>
          <t>(continued)
FY2025 is therefore populated ONLY where the Annual Report 2025 prints a figure that is provably on the same basis as the Pillar 3 series. That is true of the capital AMOUNTS and false of the RATIOS, so they are treated differently:
  - AMOUNTS (same basis, used): the regulatory capital note on p.126 gives Total regulatory capital of GBP111,120k for 2025 and GBP127,083k for 2024. That 2024 comparative equals the GBP127.1m this workbook already carries from the FY2024 Pillar 3 disclosure, so the note is like-for-like and FY2025 Total Capital is taken from it - https://assets.gatehousebank.com/production/downloads/Gatehouse-Bank-Annual-Report-2025.pdf
  - RATIOS (different basis, NOT used): the Annual Report's KPI table (p.21) gives a 2025 CET1 ratio of 15.74% and leverage ratio of 6.53%, but its own 2024 comparatives (16.56% and 7.29%) do NOT match the FY2024 Pillar 3 figures carried here (17.1% and 7.4%). The Annual Report defines its CET1 ratio as 'Tier 1 common equity / risk weighted assets' and its leverage ratio as 'Tier 1 Capital / Total exposures' on an accounting exposure measure, which is not the Article 447 basis. Mixing the two would create a false break in the series, so the CET1 Ratio, Tier 1 Ratio, Total Capital Ratio and Leverage Ratio sheets are left blank for FY2025 rather than blended.
  - NOT PRINTED AT ALL: the Annual Report gives no RWA total, no LCR and no NSFR for 2025, so those sheets are blank too. Its capital note also stops at components - Core Tier 1 subtotal GBP109,790k less Deductions from CET1 GBP(17,609)k, plus Tier 2 GBP18,939k, totalling GBP111,120k - without printing CET1 net of deductions, so the CET1 Capital and Tier 1 Capital sheets are blank for FY2025 rather than carrying a figure this project would have had to compute itself. (For reference, that subtraction on the 2024 column reproduces GBP108.6m, exactly the FY2024 Pillar 3 CET1 figure used here, so the missing FY2025 CET1 is recoverable the moment the Pillar 3 document is obtained - it is requestable from the Bank.)
RESTATEMENT NOTE: the FY2023 Pillar 3 disclosure's own Dec-22 comparative column shows CET1 capital of GBP98.0m / RWA of GBP579.1m / ratios of 16.9%/16.9%/18.5% / leverage 7.1% - different from the FY2022 disclosure's own Dec-22 ('T') figures used here (GBP103.2m / GBP594.7m / 17.4%/17.4%/18.9% / 7.5%). LCR and NSFR at Dec-22 match exactly between both vintages (350.7% and 150.6%), so only the capital-side figures were later restated. Each year's own primary disclosure is used throughout, consistent with the rest of this workbook.
KM1 key-metrics table by edition (printed folios, not PDF sheet indices): FY2024 = Pillar III Disclosures 2024, folio 32. FY2023 = Pillar III Disclosures 2023, folio 31. FY2022 = Pillar III Disclosures 2022, folios 32-33 (the table breaks across a page boundary: rows 18-20, the Net Stable Funding Ratio block, sit on folio 33). FY2021 = the 31 December 2021 (T-4) comparative column of that same 2022 edition.
LATEST-EDITION CHECK: the Bank's own corporate-governance publications index was read live on 2026-09-17. It lists Pillar III editions for 2017-2024 and no 2025 edition, while separately listing an Annual Report 2025. The newest Pillar III disclosure is therefore FY2024, and FY2025 is blank on this sheet because no FY2025 edition exists - not because none was looked for.
KM1 KEY METRICS SHEET - WHAT THIS IS AND HOW IT WAS BUILT
Gatehouse Bank prints the UK KM1 key-metrics template with the Bank's own row numbers (1-9, UK 7a, UK 7d, UK 11a, 13, 14, 14b, 15, UK 16a, UK 16b, 16-20). Those numbers are reproduced exactly as printed and are NOT renumbered onto the full template sequence.
ONLY COLUMN 'T' OF EACH EDITION IS USED. Each edition prints FIVE quarterly columns (T, T-1, T-2, T-3, T-4). Only column T - the edition's own year-end - is transcribed into that edition's FY column. The intermediate quarters are real disclosures but they are not year-ends and are not carried into a financial-year column. The editions corroborate each other on this reading: the 2024 edition's T-4 column (108.2) is exactly the 2023 edition's T column, and the 2022 edition's T-4 column (94.5) is the FY2021 year-end, so the column dating is confirmed from the documents themselves rather than assumed.</t>
        </is>
      </c>
    </row>
    <row r="42" ht="409" customHeight="1">
      <c r="A42" s="9" t="inlineStr">
        <is>
          <t>(continued)
FY2021 IS A COMPARATIVE COLUMN, NOT AN OWN EDITION. The FY2021 Pillar 3 edition does not carry the key-metrics template. The FY2021 column here is therefore the FY2022 edition's own 31 December 2021 (T-4) column, reproduced in that edition's row structure and flagged so it is never mistaken for a FY2021-edition disclosure.
ROWS 18, 19 AND 20 CARRY A DASH FOR FY2021 BECAUSE THAT IS WHAT THE SOURCE PRINTS. The FY2022 edition's NSFR block prints '-' in its 31 December 2021 column - re-read off folio 33 of that edition on 2026-09-18 - so those three cells carry a literal '-'. The CRR2 NSFR requirement took effect on 1 January 2022, so the Bank is stating that the ratio did not apply to it at that date rather than failing to publish a figure. That is a different statement from a BLANK cell on this sheet, which means the Bank printed nothing at all; and it is a different statement again from a printed zero, which would be a measured nil.
ROWS THE BANK DOES NOT PRINT ARE ABSENT, NOT ZERO. Rows 10, 11, 12, UK 7c and UK 14a-14f do not appear in any edition of this table. The Bank states in its own appendices that blank cells have been removed from its templates, so their absence is the Bank's presentation choice and is reproduced as absence. They are not filled in from any other source.
THE TOP ROW IS NOT PART OF THE TEMPLATE (added 2026-09-19). It is bracketed, unnumbered and labelled '[Edition status for this year - not a KM1 template row]'. It exists only so that the FY2025 column states in the grid what this note states in prose: there is no FY2025 edition to transcribe. It carries no figure, it is not one of the Bank's rows, and the Bank's own rows below it are untouched - same order, same numbers, same labels, same precision.
SOURCE DEFECT RECORDED, NOT CORRECTED: in the 2024 edition, row 13 prints '1433,3' in its T-2 column -a comma where a decimal point belongs. That column is not transcribed here (only column T is), but the defect is recorded so a later reader does not treat it as a transcription slip of this workbook's.</t>
        </is>
      </c>
    </row>
  </sheetData>
  <mergeCells count="3">
    <mergeCell ref="A38:F38"/>
    <mergeCell ref="A40:F40"/>
    <mergeCell ref="A42:F4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Gatehouse Bank Plc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FY2017</t>
        </is>
      </c>
    </row>
    <row r="4">
      <c r="A4" s="6" t="inlineStr">
        <is>
          <t>Common Equity Tier 1 (CET1) capital</t>
        </is>
      </c>
      <c r="B4" s="6" t="n"/>
      <c r="C4" s="6" t="n">
        <v>108.6</v>
      </c>
      <c r="D4" s="6" t="n">
        <v>108.2</v>
      </c>
      <c r="E4" s="6" t="n">
        <v>103.2</v>
      </c>
      <c r="F4" s="6" t="n">
        <v>94.5</v>
      </c>
      <c r="G4" s="6" t="n">
        <v>95.59999999999999</v>
      </c>
    </row>
    <row r="5">
      <c r="A5" s="6" t="inlineStr">
        <is>
          <t>Common Equity Tier 1 (CET1) capital — derived from Annual Report 2025 capital note components (memo, not Pillar 3)</t>
        </is>
      </c>
      <c r="B5" s="6" t="n">
        <v>92.2</v>
      </c>
      <c r="C5" s="6" t="n"/>
      <c r="D5" s="6" t="n"/>
      <c r="E5" s="6" t="n"/>
      <c r="F5" s="6" t="n"/>
      <c r="G5" s="6" t="n"/>
    </row>
    <row r="6" ht="221" customHeight="1">
      <c r="A6" s="7" t="inlineStr">
        <is>
          <t>Note: FY2017 RECOVERED 2026-09-15. These cells were previously blank on the stated ground that 'FY2017 Pillar 3 key metrics were not published in the 2017 annual report'. That was true of the annual report but the wrong document was checked: Gatehouse Bank published a standalone 'Pillar III Disclosure 2017', and it is listed on the Bank's own live publications index to this day (gatehousebank.com/about-us/corporate-governance, link 'gatehouse-bank-pillar-3-disclosure-2017'). It was retrieved and read this session. Its Key Metrics table (p.3) prints CET1 ratio 37.3%, Tier 1 ratio 37.3%, Total Capital Ratio 37.3%, Leverage Ratio 37.8% and LCR 641.3% at 31-Dec-17; s.5 Capital Resources (p.11) and Appendix 1 (Own Funds Disclosure, p.26) give Total regulatory capital of GBP95.6m; s.6 (p.12) states 'Total Risk Weighted assets as at 31 December 2017 amount to GBP256.2m'; Appendix II (p.27) gives Total leverage ratio exposure of GBP253.3m; and s.9 (p.19) gives a liquidity buffer of GBP25.4m against total net cash outflows of GBP4.0m.
All three ratios reconcile to the amounts: 95.6/256.2 = 37.3%, 95.6/253.3 = 37.7% and the LCR buffer/outflow pair is consistent with 641.3% at the disclosed rounding of the outflow figure. BASIS NOTE: FY2017 predates the Bank's Article 447/UK KM1 template series (which begins FY2021 here), so the FY2017 figures come from the equivalent CRD IV-era disclosure rather than the KM1 template. The capital stack also differs in shape - in FY2017 the Bank held no Tier 2 at all, so CET1, Tier 1 and Total capital are all GBP95.6m and all three ratios are identically 37.3%; the GBP(19.7)m deduction for the significant investment in Gatehouse Capital is a FY2017-specific item that does not recur in the later years.
FY2025 MEMO ROW (added 2026-09-15). The Pillar 3 row above is deliberately blank for FY2025 because no FY2025 Pillar 3 disclosure has been published (see the source note). The Annual Report 2025 regulatory capital note (p.126) does not print CET1 net of deductions either, but it does print every component of it: Core Tier 1 subtotal GBP109,790k less Deductions from CET1 GBP(17,609)k = GBP92,181k, which plus Tier 2 GBP18,939k gives the GBP111,120k Total regulatory capital the note states. The same subtraction on that note's 2024 column yields GBP108,583k = the GBP108.6m FY2024 Pillar 3 CET1 figure carried above, exactly - so the arithmetic is validated against a known year. It is shown as a separate, clearly labelled memo row rather than merged into the Pillar 3 series: this is a subtotal completed from disclosed components of a single table, NOT a figure back-solved from a ratio, but it is still not the Bank's own published Pillar 3 number.</t>
        </is>
      </c>
    </row>
    <row r="8" ht="325" customHeight="1">
      <c r="A8" s="9" t="inlineStr">
        <is>
          <t>Sources - Gatehouse Bank Plc Pillar 3 disclosures, Article 447 Key Metrics table, p.32:
FY2017: Pillar III Disclosure 2017 - Key Metrics table p.3, s.5 Capital Resources p.11, s.6 p.12, s.9 p.19, Appendix 1 (Own Funds Disclosure) p.26 and Appendix II (Analysis of Leverage Ratio) p.27. This is the CRD IV-era predecessor of the Article 447 template, not the template itself - https://assets.gatehousebank.com/production/downloads/gatehousebankpillariiidisclosure2017.pdf
FY2024: Pillar III Disclosure 2024 (Dec-24 column) - https://assets.gatehousebank.com/production/downloads/Gatehouse-Bank-Pillar-III-Disclosure-2024-FINAL.pdf
FY2023: Pillar III Disclosure 2023 (Dec-23 column) - https://assets.gatehousebank.com/production/downloads/Gatehouse-Bank-Pillar-III-Disclosure-2023-FINAL.pdf
FY2022: Pillar III Disclosure 2022 (Dec-22 column, own year's disclosure - see restatement note) - https://gatehousebank.com/downloads/gatehouse-bank-pillar-3-disclosure-2022
FY2021: Annual Report and Financial Statements 2021, s.5 Capital Resources, p.11 (own year-end capital resources note, cross-validated against the 2022 Pillar 3 disclosure's Dec-21 comparative column) - https://assets.gatehousebank.com/production/downloads/Gatehouse-Bank-Annual-Report-2021-FINAL-web.pdf
SDDT DATE TEST (checked 2026-09-15): the PRA's consolidated register of waivers and modifications ('Consolidated Waivers list for PRA-regulated firms - as of 1 July 2026', bankofengland.co.uk/prudential-regulation/authorisations/waivers-and-modifications-of-rules) records that Gatehouse Bank Plc (FRN 475346) holds a 'Modification by Consent - PRA Rulebook - CRR Firms - Rule 3.1 of the SDDT Regime - General Application Part', sub-rule 'Ru 3.1', starting 08/01/2026 with no end date. That modification removes the Pillar 3 disclosure obligation outright (a stronger relief than UK CRR Article 433b, which only reduces frequency and content for small and non-complex institutions).
Crucially, 08/01/2026 falls EIGHT DAYS AFTER the FY2025 year-end of 31 December 2025 (year-end confirmed 31 December throughout the Bank's Companies House accounts filing history, company 06260053). FY2025 therefore PREDATES the modification and is NOT structurally exempt - the Bank was still subject to the disclosure obligation for that year. This is corroborated independently by the fact that the FY2025 Pillar 3 document demonstrably EXISTS (the Annual Report says it is 'available on request', see below): the obligation was live and was met, just not by general publication. The FY2025 blanks below are therefore an ACCESS gap, not a structural one, and are recoverable by requesting the document from the Bank.
Forward-looking: FY2026 (year ending 31 December 2026) is the first year that falls after the modification took effect, so from FY2026 onward these blanks are expected to become structural.
FY2025: no FY2025 Pillar 3 disclosure has been published. The Bank's own Annual Report 2025 confirms the document is not on general release - 'Pillar 3 disclosures are presented in the "Pillar 3 Disclosures" document, available on request' (Notes to the Financial Statements, p.125) - and no 2025 file exists under the CDN naming pattern that serves every prior year, nor in the site's downloads sitemap, nor in the Wayback CDX index for the domain (newest Pillar 3 capture is the 2024 report, 11 June 2026).
RE-VERIFIED 2026-09-15 against the Bank's own LIVE publications index rather than by URL guessing - https://gatehousebank.com/about-us/corporate-governance. That page lists Pillar 3 disclosures for 2017, 2018, 2019, 2020, 2021, 2022, 2023 and 2024 and NO 2025 edition, while listing the Annual Report 2025 - i.e. the Bank has published its FY2025 annual report but not its FY2025 Pillar 3, exactly as the annual report says ('published as soon as practicable AFTER the publication of the annual report'). An unfiltered Wayback CDX sweep of the whole gatehousebank.com domain (6,938 captures) independently returns the same eight Pillar 3 documents and no 2025 one. So FY2025 is a live access gap that may simply close on its own when the Bank publishes; it is worth re-checking this index before requesting the document. The same index is what exposed the FY2017 disclosure this project had been missing.</t>
        </is>
      </c>
    </row>
    <row r="10" ht="299" customHeight="1">
      <c r="A10" s="9" t="inlineStr">
        <is>
          <t>(continued)
RE-CHECKED 2026-09-18 (separate session, prior verdict treated as unproven) - UNCHANGED. The publications index was re-fetched and every document link parsed out: it still lists Pillar III Disclosures for 2017, 2018, 2019, 2020, 2021, 2022, 2023 and 2024 and no 2025 edition, alongside the Annual Report 2025. Two FY2025 filenames were then probed directly on the CDN that serves every prior year (Gatehouse-Bank-Pillar-III-Disclosure-2025-FINAL.pdf and Gatehouse-Bank-Pillar-III-Disclosure-2025.pdf); both returned HTTP 404 while a control fetch of the FY2024 filename on the same host returned HTTP 200, Content-Type application/pdf, first bytes '%PDF', 617,672 bytes. That control matters: the alternative gatehousebank.com/downloads/ route 404s even for the FY2024 document, so probing FY2025 on that route alone would have manufactured a false negative. The Annual Report 2025 was also re-read in full text this date and independently reproduces the AMOUNTS/RATIOS split described below.
FY2025 is therefore populated ONLY where the Annual Report 2025 prints a figure that is provably on the same basis as the Pillar 3 series. That is true of the capital AMOUNTS and false of the RATIOS, so they are treated differently:
  - AMOUNTS (same basis, used): the regulatory capital note on p.126 gives Total regulatory capital of GBP111,120k for 2025 and GBP127,083k for 2024. That 2024 comparative equals the GBP127.1m this workbook already carries from the FY2024 Pillar 3 disclosure, so the note is like-for-like and FY2025 Total Capital is taken from it - https://assets.gatehousebank.com/production/downloads/Gatehouse-Bank-Annual-Report-2025.pdf
  - RATIOS (different basis, NOT used): the Annual Report's KPI table (p.21) gives a 2025 CET1 ratio of 15.74% and leverage ratio of 6.53%, but its own 2024 comparatives (16.56% and 7.29%) do NOT match the FY2024 Pillar 3 figures carried here (17.1% and 7.4%). The Annual Report defines its CET1 ratio as 'Tier 1 common equity / risk weighted assets' and its leverage ratio as 'Tier 1 Capital / Total exposures' on an accounting exposure measure, which is not the Article 447 basis. Mixing the two would create a false break in the series, so the CET1 Ratio, Tier 1 Ratio, Total Capital Ratio and Leverage Ratio sheets are left blank for FY2025 rather than blended.
  - NOT PRINTED AT ALL: the Annual Report gives no RWA total, no LCR and no NSFR for 2025, so those sheets are blank too. Its capital note also stops at components - Core Tier 1 subtotal GBP109,790k less Deductions from CET1 GBP(17,609)k, plus Tier 2 GBP18,939k, totalling GBP111,120k - without printing CET1 net of deductions, so the CET1 Capital and Tier 1 Capital sheets are blank for FY2025 rather than carrying a figure this project would have had to compute itself. (For reference, that subtraction on the 2024 column reproduces GBP108.6m, exactly the FY2024 Pillar 3 CET1 figure used here, so the missing FY2025 CET1 is recoverable the moment the Pillar 3 document is obtained - it is requestable from the Bank.)
RESTATEMENT NOTE: the FY2023 Pillar 3 disclosure's own Dec-22 comparative column shows CET1 capital of GBP98.0m / RWA of GBP579.1m / ratios of 16.9%/16.9%/18.5% / leverage 7.1% - different from the FY2022 disclosure's own Dec-22 ('T') figures used here (GBP103.2m / GBP594.7m / 17.4%/17.4%/18.9% / 7.5%). LCR and NSFR at Dec-22 match exactly between both vintages (350.7% and 150.6%), so only the capital-side figures were later restated. Each year's own primary disclosure is used throughout, consistent with the rest of this workbook.</t>
        </is>
      </c>
    </row>
  </sheetData>
  <mergeCells count="3">
    <mergeCell ref="A8:G8"/>
    <mergeCell ref="A6:G6"/>
    <mergeCell ref="A10:G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Gatehouse Bank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FY2017</t>
        </is>
      </c>
    </row>
    <row r="4">
      <c r="A4" s="6" t="inlineStr">
        <is>
          <t>CET1 ratio</t>
        </is>
      </c>
      <c r="B4" s="6" t="inlineStr">
        <is>
          <t>Not published - no FY2025 Pillar III edition as at 19/09/2026</t>
        </is>
      </c>
      <c r="C4" s="6" t="inlineStr">
        <is>
          <t>17.1%</t>
        </is>
      </c>
      <c r="D4" s="6" t="inlineStr">
        <is>
          <t>16.8%</t>
        </is>
      </c>
      <c r="E4" s="6" t="inlineStr">
        <is>
          <t>17.4%</t>
        </is>
      </c>
      <c r="F4" s="6" t="inlineStr">
        <is>
          <t>18.1%</t>
        </is>
      </c>
      <c r="G4" s="6" t="inlineStr">
        <is>
          <t>37.3%</t>
        </is>
      </c>
    </row>
    <row r="5">
      <c r="A5" s="6" t="inlineStr">
        <is>
          <t>CET1 ratio — Annual Report 2025 KPI table (Bank's own KPI basis, not Pillar 3)</t>
        </is>
      </c>
      <c r="B5" s="6" t="inlineStr">
        <is>
          <t>15.74%</t>
        </is>
      </c>
      <c r="C5" s="6" t="inlineStr">
        <is>
          <t>16.56%</t>
        </is>
      </c>
      <c r="D5" s="6" t="n"/>
      <c r="E5" s="6" t="n"/>
      <c r="F5" s="6" t="n"/>
      <c r="G5" s="6" t="n"/>
    </row>
    <row r="6" ht="260" customHeight="1">
      <c r="A6" s="7" t="inlineStr">
        <is>
          <t>Note: FY2017 RECOVERED 2026-09-15. These cells were previously blank on the stated ground that 'FY2017 Pillar 3 key metrics were not published in the 2017 annual report'. That was true of the annual report but the wrong document was checked: Gatehouse Bank published a standalone 'Pillar III Disclosure 2017', and it is listed on the Bank's own live publications index to this day (gatehousebank.com/about-us/corporate-governance, link 'gatehouse-bank-pillar-3-disclosure-2017'). It was retrieved and read this session. Its Key Metrics table (p.3) prints CET1 ratio 37.3%, Tier 1 ratio 37.3%, Total Capital Ratio 37.3%, Leverage Ratio 37.8% and LCR 641.3% at 31-Dec-17; s.5 Capital Resources (p.11) and Appendix 1 (Own Funds Disclosure, p.26) give Total regulatory capital of GBP95.6m; s.6 (p.12) states 'Total Risk Weighted assets as at 31 December 2017 amount to GBP256.2m'; Appendix II (p.27) gives Total leverage ratio exposure of GBP253.3m; and s.9 (p.19) gives a liquidity buffer of GBP25.4m against total net cash outflows of GBP4.0m.
All three ratios reconcile to the amounts: 95.6/256.2 = 37.3%, 95.6/253.3 = 37.7% and the LCR buffer/outflow pair is consistent with 641.3% at the disclosed rounding of the outflow figure. BASIS NOTE: FY2017 predates the Bank's Article 447/UK KM1 template series (which begins FY2021 here), so the FY2017 figures come from the equivalent CRD IV-era disclosure rather than the KM1 template. The capital stack also differs in shape - in FY2017 the Bank held no Tier 2 at all, so CET1, Tier 1 and Total capital are all GBP95.6m and all three ratios are identically 37.3%; the GBP(19.7)m deduction for the significant investment in Gatehouse Capital is a FY2017-specific item that does not recur in the later years.
FY2025 MEMO ROW (added 2026-09-19), AND WHY IT IS A SEPARATE ROW. No FY2025 Pillar 3 disclosure exists yet (see above), but the Annual Report 2025's own Key Performance Indicators table (printed p.21) prints a CET1 ratio of 15.74% (2024: 16.56%) and a leverage ratio of 6.53% (2024: 7.29%), with the Bank's own formulae stated in footnote 3 on the same page - 'CET1 ratio: calculated as Tier 1 common equity / risk weighted assets' and 'Leverage ratio: calculated as Tier 1 Capital / Total exposures'.
THESE ARE NOT THE SAME NUMBERS THE PILLAR 3 PRINTS, and the divergence is recorded rather than reconciled. On the KPI table's own FY2024 comparative column the CET1 ratio is 16.56% where this workbook's FY2024 Pillar 3 KM1 figure is 17.1%, and the leverage ratio is 7.29% where the KM1 figure is 7.4%. So the two measures demonstrably disagree in a year where BOTH are published - which is the reason the FY2025 KPI figures are shown on their own row, labelled with their source, instead of being dropped into the Pillar 3 row as though they continued the series. Neither figure is adjusted to make the other tie.
The KPI table also prints an 'Average risk weight' of 40.97% (2024: 43.61%), defined as risk-weighted assets / total assets. That is deliberately NOT used to reconstruct FY2025 Total RWAs: multiplying it by a balance-sheet total would be a back-solve, and this project does not back-solve an RWA. The Total RWAs and RWA Breakdown sheets stay as recorded absences for FY2025.</t>
        </is>
      </c>
    </row>
    <row r="8" ht="325" customHeight="1">
      <c r="A8" s="9" t="inlineStr">
        <is>
          <t>Sources - Gatehouse Bank Plc Pillar 3 disclosures, Article 447 Key Metrics table, p.32:
FY2017: Pillar III Disclosure 2017 - Key Metrics table p.3, s.5 Capital Resources p.11, s.6 p.12, s.9 p.19, Appendix 1 (Own Funds Disclosure) p.26 and Appendix II (Analysis of Leverage Ratio) p.27. This is the CRD IV-era predecessor of the Article 447 template, not the template itself - https://assets.gatehousebank.com/production/downloads/gatehousebankpillariiidisclosure2017.pdf
FY2024: Pillar III Disclosure 2024 (Dec-24 column) - https://assets.gatehousebank.com/production/downloads/Gatehouse-Bank-Pillar-III-Disclosure-2024-FINAL.pdf
FY2023: Pillar III Disclosure 2023 (Dec-23 column) - https://assets.gatehousebank.com/production/downloads/Gatehouse-Bank-Pillar-III-Disclosure-2023-FINAL.pdf
FY2022: Pillar III Disclosure 2022 (Dec-22 column, own year's disclosure - see restatement note) - https://gatehousebank.com/downloads/gatehouse-bank-pillar-3-disclosure-2022
FY2021: Annual Report and Financial Statements 2021, s.5 Capital Resources, p.11 (own year-end capital resources note, cross-validated against the 2022 Pillar 3 disclosure's Dec-21 comparative column) - https://assets.gatehousebank.com/production/downloads/Gatehouse-Bank-Annual-Report-2021-FINAL-web.pdf
SDDT DATE TEST (checked 2026-09-15): the PRA's consolidated register of waivers and modifications ('Consolidated Waivers list for PRA-regulated firms - as of 1 July 2026', bankofengland.co.uk/prudential-regulation/authorisations/waivers-and-modifications-of-rules) records that Gatehouse Bank Plc (FRN 475346) holds a 'Modification by Consent - PRA Rulebook - CRR Firms - Rule 3.1 of the SDDT Regime - General Application Part', sub-rule 'Ru 3.1', starting 08/01/2026 with no end date. That modification removes the Pillar 3 disclosure obligation outright (a stronger relief than UK CRR Article 433b, which only reduces frequency and content for small and non-complex institutions).
Crucially, 08/01/2026 falls EIGHT DAYS AFTER the FY2025 year-end of 31 December 2025 (year-end confirmed 31 December throughout the Bank's Companies House accounts filing history, company 06260053). FY2025 therefore PREDATES the modification and is NOT structurally exempt - the Bank was still subject to the disclosure obligation for that year. This is corroborated independently by the fact that the FY2025 Pillar 3 document demonstrably EXISTS (the Annual Report says it is 'available on request', see below): the obligation was live and was met, just not by general publication. The FY2025 blanks below are therefore an ACCESS gap, not a structural one, and are recoverable by requesting the document from the Bank.
Forward-looking: FY2026 (year ending 31 December 2026) is the first year that falls after the modification took effect, so from FY2026 onward these blanks are expected to become structural.
FY2025: no FY2025 Pillar 3 disclosure has been published. The Bank's own Annual Report 2025 confirms the document is not on general release - 'Pillar 3 disclosures are presented in the "Pillar 3 Disclosures" document, available on request' (Notes to the Financial Statements, p.125) - and no 2025 file exists under the CDN naming pattern that serves every prior year, nor in the site's downloads sitemap, nor in the Wayback CDX index for the domain (newest Pillar 3 capture is the 2024 report, 11 June 2026).
RE-VERIFIED 2026-09-15 against the Bank's own LIVE publications index rather than by URL guessing - https://gatehousebank.com/about-us/corporate-governance. That page lists Pillar 3 disclosures for 2017, 2018, 2019, 2020, 2021, 2022, 2023 and 2024 and NO 2025 edition, while listing the Annual Report 2025 - i.e. the Bank has published its FY2025 annual report but not its FY2025 Pillar 3, exactly as the annual report says ('published as soon as practicable AFTER the publication of the annual report'). An unfiltered Wayback CDX sweep of the whole gatehousebank.com domain (6,938 captures) independently returns the same eight Pillar 3 documents and no 2025 one. So FY2025 is a live access gap that may simply close on its own when the Bank publishes; it is worth re-checking this index before requesting the document. The same index is what exposed the FY2017 disclosure this project had been missing.</t>
        </is>
      </c>
    </row>
    <row r="10" ht="299" customHeight="1">
      <c r="A10" s="9" t="inlineStr">
        <is>
          <t>(continued)
RE-CHECKED 2026-09-18 (separate session, prior verdict treated as unproven) - UNCHANGED. The publications index was re-fetched and every document link parsed out: it still lists Pillar III Disclosures for 2017, 2018, 2019, 2020, 2021, 2022, 2023 and 2024 and no 2025 edition, alongside the Annual Report 2025. Two FY2025 filenames were then probed directly on the CDN that serves every prior year (Gatehouse-Bank-Pillar-III-Disclosure-2025-FINAL.pdf and Gatehouse-Bank-Pillar-III-Disclosure-2025.pdf); both returned HTTP 404 while a control fetch of the FY2024 filename on the same host returned HTTP 200, Content-Type application/pdf, first bytes '%PDF', 617,672 bytes. That control matters: the alternative gatehousebank.com/downloads/ route 404s even for the FY2024 document, so probing FY2025 on that route alone would have manufactured a false negative. The Annual Report 2025 was also re-read in full text this date and independently reproduces the AMOUNTS/RATIOS split described below.
FY2025 is therefore populated ONLY where the Annual Report 2025 prints a figure that is provably on the same basis as the Pillar 3 series. That is true of the capital AMOUNTS and false of the RATIOS, so they are treated differently:
  - AMOUNTS (same basis, used): the regulatory capital note on p.126 gives Total regulatory capital of GBP111,120k for 2025 and GBP127,083k for 2024. That 2024 comparative equals the GBP127.1m this workbook already carries from the FY2024 Pillar 3 disclosure, so the note is like-for-like and FY2025 Total Capital is taken from it - https://assets.gatehousebank.com/production/downloads/Gatehouse-Bank-Annual-Report-2025.pdf
  - RATIOS (different basis, NOT used): the Annual Report's KPI table (p.21) gives a 2025 CET1 ratio of 15.74% and leverage ratio of 6.53%, but its own 2024 comparatives (16.56% and 7.29%) do NOT match the FY2024 Pillar 3 figures carried here (17.1% and 7.4%). The Annual Report defines its CET1 ratio as 'Tier 1 common equity / risk weighted assets' and its leverage ratio as 'Tier 1 Capital / Total exposures' on an accounting exposure measure, which is not the Article 447 basis. Mixing the two would create a false break in the series, so the CET1 Ratio, Tier 1 Ratio, Total Capital Ratio and Leverage Ratio sheets are left blank for FY2025 rather than blended.
  - NOT PRINTED AT ALL: the Annual Report gives no RWA total, no LCR and no NSFR for 2025, so those sheets are blank too. Its capital note also stops at components - Core Tier 1 subtotal GBP109,790k less Deductions from CET1 GBP(17,609)k, plus Tier 2 GBP18,939k, totalling GBP111,120k - without printing CET1 net of deductions, so the CET1 Capital and Tier 1 Capital sheets are blank for FY2025 rather than carrying a figure this project would have had to compute itself. (For reference, that subtraction on the 2024 column reproduces GBP108.6m, exactly the FY2024 Pillar 3 CET1 figure used here, so the missing FY2025 CET1 is recoverable the moment the Pillar 3 document is obtained - it is requestable from the Bank.)
RESTATEMENT NOTE: the FY2023 Pillar 3 disclosure's own Dec-22 comparative column shows CET1 capital of GBP98.0m / RWA of GBP579.1m / ratios of 16.9%/16.9%/18.5% / leverage 7.1% - different from the FY2022 disclosure's own Dec-22 ('T') figures used here (GBP103.2m / GBP594.7m / 17.4%/17.4%/18.9% / 7.5%). LCR and NSFR at Dec-22 match exactly between both vintages (350.7% and 150.6%), so only the capital-side figures were later restated. Each year's own primary disclosure is used throughout, consistent with the rest of this workbook.</t>
        </is>
      </c>
    </row>
  </sheetData>
  <mergeCells count="3">
    <mergeCell ref="A8:G8"/>
    <mergeCell ref="A6:G6"/>
    <mergeCell ref="A10:G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Gatehouse Bank Plc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FY2017</t>
        </is>
      </c>
    </row>
    <row r="4">
      <c r="A4" s="6" t="inlineStr">
        <is>
          <t>Tier 1 capital</t>
        </is>
      </c>
      <c r="B4" s="6" t="n"/>
      <c r="C4" s="6" t="n">
        <v>108.6</v>
      </c>
      <c r="D4" s="6" t="n">
        <v>108.2</v>
      </c>
      <c r="E4" s="6" t="n">
        <v>103.2</v>
      </c>
      <c r="F4" s="6" t="n">
        <v>94.5</v>
      </c>
      <c r="G4" s="6" t="n">
        <v>95.59999999999999</v>
      </c>
    </row>
    <row r="5">
      <c r="A5" s="6" t="inlineStr">
        <is>
          <t>Tier 1 capital — derived from Annual Report 2025 capital note components (memo, not Pillar 3)</t>
        </is>
      </c>
      <c r="B5" s="6" t="n">
        <v>92.2</v>
      </c>
      <c r="C5" s="6" t="n"/>
      <c r="D5" s="6" t="n"/>
      <c r="E5" s="6" t="n"/>
      <c r="F5" s="6" t="n"/>
      <c r="G5" s="6" t="n"/>
    </row>
    <row r="6" ht="273" customHeight="1">
      <c r="A6" s="7" t="inlineStr">
        <is>
          <t>Note: No Additional Tier 1 instruments disclosed in any year, so Tier 1 capital equals CET1 capital throughout. (Correction, this pass: the earlier wording here also claimed no Tier 2 instruments. That was wrong - the Bank does hold Tier 2 capital, which is why Total capital exceeds CET1 capital every year. Its own Annual Report 2025 regulatory capital note states Tier 2 Capital of GBP18,939k at 31 December 2025 and GBP18,500k at 31 December 2024.)
FY2017 RECOVERED 2026-09-15. These cells were previously blank on the stated ground that 'FY2017 Pillar 3 key metrics were not published in the 2017 annual report'. That was true of the annual report but the wrong document was checked: Gatehouse Bank published a standalone 'Pillar III Disclosure 2017', and it is listed on the Bank's own live publications index to this day (gatehousebank.com/about-us/corporate-governance, link 'gatehouse-bank-pillar-3-disclosure-2017'). It was retrieved and read this session. Its Key Metrics table (p.3) prints CET1 ratio 37.3%, Tier 1 ratio 37.3%, Total Capital Ratio 37.3%, Leverage Ratio 37.8% and LCR 641.3% at 31-Dec-17; s.5 Capital Resources (p.11) and Appendix 1 (Own Funds Disclosure, p.26) give Total regulatory capital of GBP95.6m; s.6 (p.12) states 'Total Risk Weighted assets as at 31 December 2017 amount to GBP256.2m'; Appendix II (p.27) gives Total leverage ratio exposure of GBP253.3m; and s.9 (p.19) gives a liquidity buffer of GBP25.4m against total net cash outflows of GBP4.0m.
All three ratios reconcile to the amounts: 95.6/256.2 = 37.3%, 95.6/253.3 = 37.7% and the LCR buffer/outflow pair is consistent with 641.3% at the disclosed rounding of the outflow figure. BASIS NOTE: FY2017 predates the Bank's Article 447/UK KM1 template series (which begins FY2021 here), so the FY2017 figures come from the equivalent CRD IV-era disclosure rather than the KM1 template. The capital stack also differs in shape - in FY2017 the Bank held no Tier 2 at all, so CET1, Tier 1 and Total capital are all GBP95.6m and all three ratios are identically 37.3%; the GBP(19.7)m deduction for the significant investment in Gatehouse Capital is a FY2017-specific item that does not recur in the later years.
FY2025 MEMO ROW (added 2026-09-15). The Pillar 3 row above is deliberately blank for FY2025 because no FY2025 Pillar 3 disclosure has been published (see the source note). The Annual Report 2025 regulatory capital note (p.126) does not print CET1 net of deductions either, but it does print every component of it: Core Tier 1 subtotal GBP109,790k less Deductions from CET1 GBP(17,609)k = GBP92,181k, which plus Tier 2 GBP18,939k gives the GBP111,120k Total regulatory capital the note states. The same subtraction on that note's 2024 column yields GBP108,583k = the GBP108.6m FY2024 Pillar 3 CET1 figure carried above, exactly - so the arithmetic is validated against a known year. It is shown as a separate, clearly labelled memo row rather than merged into the Pillar 3 series: this is a subtotal completed from disclosed components of a single table, NOT a figure back-solved from a ratio, but it is still not the Bank's own published Pillar 3 number.</t>
        </is>
      </c>
    </row>
    <row r="8" ht="325" customHeight="1">
      <c r="A8" s="9" t="inlineStr">
        <is>
          <t>Sources - Gatehouse Bank Plc Pillar 3 disclosures, Article 447 Key Metrics table, p.32:
FY2017: Pillar III Disclosure 2017 - Key Metrics table p.3, s.5 Capital Resources p.11, s.6 p.12, s.9 p.19, Appendix 1 (Own Funds Disclosure) p.26 and Appendix II (Analysis of Leverage Ratio) p.27. This is the CRD IV-era predecessor of the Article 447 template, not the template itself - https://assets.gatehousebank.com/production/downloads/gatehousebankpillariiidisclosure2017.pdf
FY2024: Pillar III Disclosure 2024 (Dec-24 column) - https://assets.gatehousebank.com/production/downloads/Gatehouse-Bank-Pillar-III-Disclosure-2024-FINAL.pdf
FY2023: Pillar III Disclosure 2023 (Dec-23 column) - https://assets.gatehousebank.com/production/downloads/Gatehouse-Bank-Pillar-III-Disclosure-2023-FINAL.pdf
FY2022: Pillar III Disclosure 2022 (Dec-22 column, own year's disclosure - see restatement note) - https://gatehousebank.com/downloads/gatehouse-bank-pillar-3-disclosure-2022
FY2021: Annual Report and Financial Statements 2021, s.5 Capital Resources, p.11 (own year-end capital resources note, cross-validated against the 2022 Pillar 3 disclosure's Dec-21 comparative column) - https://assets.gatehousebank.com/production/downloads/Gatehouse-Bank-Annual-Report-2021-FINAL-web.pdf
SDDT DATE TEST (checked 2026-09-15): the PRA's consolidated register of waivers and modifications ('Consolidated Waivers list for PRA-regulated firms - as of 1 July 2026', bankofengland.co.uk/prudential-regulation/authorisations/waivers-and-modifications-of-rules) records that Gatehouse Bank Plc (FRN 475346) holds a 'Modification by Consent - PRA Rulebook - CRR Firms - Rule 3.1 of the SDDT Regime - General Application Part', sub-rule 'Ru 3.1', starting 08/01/2026 with no end date. That modification removes the Pillar 3 disclosure obligation outright (a stronger relief than UK CRR Article 433b, which only reduces frequency and content for small and non-complex institutions).
Crucially, 08/01/2026 falls EIGHT DAYS AFTER the FY2025 year-end of 31 December 2025 (year-end confirmed 31 December throughout the Bank's Companies House accounts filing history, company 06260053). FY2025 therefore PREDATES the modification and is NOT structurally exempt - the Bank was still subject to the disclosure obligation for that year. This is corroborated independently by the fact that the FY2025 Pillar 3 document demonstrably EXISTS (the Annual Report says it is 'available on request', see below): the obligation was live and was met, just not by general publication. The FY2025 blanks below are therefore an ACCESS gap, not a structural one, and are recoverable by requesting the document from the Bank.
Forward-looking: FY2026 (year ending 31 December 2026) is the first year that falls after the modification took effect, so from FY2026 onward these blanks are expected to become structural.
FY2025: no FY2025 Pillar 3 disclosure has been published. The Bank's own Annual Report 2025 confirms the document is not on general release - 'Pillar 3 disclosures are presented in the "Pillar 3 Disclosures" document, available on request' (Notes to the Financial Statements, p.125) - and no 2025 file exists under the CDN naming pattern that serves every prior year, nor in the site's downloads sitemap, nor in the Wayback CDX index for the domain (newest Pillar 3 capture is the 2024 report, 11 June 2026).
RE-VERIFIED 2026-09-15 against the Bank's own LIVE publications index rather than by URL guessing - https://gatehousebank.com/about-us/corporate-governance. That page lists Pillar 3 disclosures for 2017, 2018, 2019, 2020, 2021, 2022, 2023 and 2024 and NO 2025 edition, while listing the Annual Report 2025 - i.e. the Bank has published its FY2025 annual report but not its FY2025 Pillar 3, exactly as the annual report says ('published as soon as practicable AFTER the publication of the annual report'). An unfiltered Wayback CDX sweep of the whole gatehousebank.com domain (6,938 captures) independently returns the same eight Pillar 3 documents and no 2025 one. So FY2025 is a live access gap that may simply close on its own when the Bank publishes; it is worth re-checking this index before requesting the document. The same index is what exposed the FY2017 disclosure this project had been missing.</t>
        </is>
      </c>
    </row>
    <row r="10" ht="299" customHeight="1">
      <c r="A10" s="9" t="inlineStr">
        <is>
          <t>(continued)
RE-CHECKED 2026-09-18 (separate session, prior verdict treated as unproven) - UNCHANGED. The publications index was re-fetched and every document link parsed out: it still lists Pillar III Disclosures for 2017, 2018, 2019, 2020, 2021, 2022, 2023 and 2024 and no 2025 edition, alongside the Annual Report 2025. Two FY2025 filenames were then probed directly on the CDN that serves every prior year (Gatehouse-Bank-Pillar-III-Disclosure-2025-FINAL.pdf and Gatehouse-Bank-Pillar-III-Disclosure-2025.pdf); both returned HTTP 404 while a control fetch of the FY2024 filename on the same host returned HTTP 200, Content-Type application/pdf, first bytes '%PDF', 617,672 bytes. That control matters: the alternative gatehousebank.com/downloads/ route 404s even for the FY2024 document, so probing FY2025 on that route alone would have manufactured a false negative. The Annual Report 2025 was also re-read in full text this date and independently reproduces the AMOUNTS/RATIOS split described below.
FY2025 is therefore populated ONLY where the Annual Report 2025 prints a figure that is provably on the same basis as the Pillar 3 series. That is true of the capital AMOUNTS and false of the RATIOS, so they are treated differently:
  - AMOUNTS (same basis, used): the regulatory capital note on p.126 gives Total regulatory capital of GBP111,120k for 2025 and GBP127,083k for 2024. That 2024 comparative equals the GBP127.1m this workbook already carries from the FY2024 Pillar 3 disclosure, so the note is like-for-like and FY2025 Total Capital is taken from it - https://assets.gatehousebank.com/production/downloads/Gatehouse-Bank-Annual-Report-2025.pdf
  - RATIOS (different basis, NOT used): the Annual Report's KPI table (p.21) gives a 2025 CET1 ratio of 15.74% and leverage ratio of 6.53%, but its own 2024 comparatives (16.56% and 7.29%) do NOT match the FY2024 Pillar 3 figures carried here (17.1% and 7.4%). The Annual Report defines its CET1 ratio as 'Tier 1 common equity / risk weighted assets' and its leverage ratio as 'Tier 1 Capital / Total exposures' on an accounting exposure measure, which is not the Article 447 basis. Mixing the two would create a false break in the series, so the CET1 Ratio, Tier 1 Ratio, Total Capital Ratio and Leverage Ratio sheets are left blank for FY2025 rather than blended.
  - NOT PRINTED AT ALL: the Annual Report gives no RWA total, no LCR and no NSFR for 2025, so those sheets are blank too. Its capital note also stops at components - Core Tier 1 subtotal GBP109,790k less Deductions from CET1 GBP(17,609)k, plus Tier 2 GBP18,939k, totalling GBP111,120k - without printing CET1 net of deductions, so the CET1 Capital and Tier 1 Capital sheets are blank for FY2025 rather than carrying a figure this project would have had to compute itself. (For reference, that subtraction on the 2024 column reproduces GBP108.6m, exactly the FY2024 Pillar 3 CET1 figure used here, so the missing FY2025 CET1 is recoverable the moment the Pillar 3 document is obtained - it is requestable from the Bank.)
RESTATEMENT NOTE: the FY2023 Pillar 3 disclosure's own Dec-22 comparative column shows CET1 capital of GBP98.0m / RWA of GBP579.1m / ratios of 16.9%/16.9%/18.5% / leverage 7.1% - different from the FY2022 disclosure's own Dec-22 ('T') figures used here (GBP103.2m / GBP594.7m / 17.4%/17.4%/18.9% / 7.5%). LCR and NSFR at Dec-22 match exactly between both vintages (350.7% and 150.6%), so only the capital-side figures were later restated. Each year's own primary disclosure is used throughout, consistent with the rest of this workbook.</t>
        </is>
      </c>
    </row>
  </sheetData>
  <mergeCells count="3">
    <mergeCell ref="A8:G8"/>
    <mergeCell ref="A6:G6"/>
    <mergeCell ref="A10:G1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Gatehouse Bank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FY2017</t>
        </is>
      </c>
    </row>
    <row r="4">
      <c r="A4" s="6" t="inlineStr">
        <is>
          <t>Tier 1 ratio</t>
        </is>
      </c>
      <c r="B4" s="6" t="inlineStr">
        <is>
          <t>Not published - no FY2025 Pillar III edition as at 19/09/2026</t>
        </is>
      </c>
      <c r="C4" s="6" t="inlineStr">
        <is>
          <t>17.1%</t>
        </is>
      </c>
      <c r="D4" s="6" t="inlineStr">
        <is>
          <t>16.8%</t>
        </is>
      </c>
      <c r="E4" s="6" t="inlineStr">
        <is>
          <t>17.4%</t>
        </is>
      </c>
      <c r="F4" s="6" t="inlineStr">
        <is>
          <t>18.1%</t>
        </is>
      </c>
      <c r="G4" s="6" t="inlineStr">
        <is>
          <t>37.3%</t>
        </is>
      </c>
    </row>
    <row r="5">
      <c r="A5" s="6" t="inlineStr">
        <is>
          <t>Tier 1 ratio — Annual Report 2025 KPI table, shown there as the CET1 ratio (Tier 1 = CET1: no AT1 in issue). Bank's own KPI basis, not Pillar 3</t>
        </is>
      </c>
      <c r="B5" s="6" t="inlineStr">
        <is>
          <t>15.74%</t>
        </is>
      </c>
      <c r="C5" s="6" t="inlineStr">
        <is>
          <t>16.56%</t>
        </is>
      </c>
      <c r="D5" s="6" t="n"/>
      <c r="E5" s="6" t="n"/>
      <c r="F5" s="6" t="n"/>
      <c r="G5" s="6" t="n"/>
    </row>
    <row r="6" ht="312" customHeight="1">
      <c r="A6" s="7" t="inlineStr">
        <is>
          <t>Note: No Additional Tier 1 instruments disclosed in any year, so Tier 1 capital equals CET1 capital throughout. (Correction, this pass: the earlier wording here also claimed no Tier 2 instruments. That was wrong - the Bank does hold Tier 2 capital, which is why Total capital exceeds CET1 capital every year. Its own Annual Report 2025 regulatory capital note states Tier 2 Capital of GBP18,939k at 31 December 2025 and GBP18,500k at 31 December 2024.)
FY2017 RECOVERED 2026-09-15. These cells were previously blank on the stated ground that 'FY2017 Pillar 3 key metrics were not published in the 2017 annual report'. That was true of the annual report but the wrong document was checked: Gatehouse Bank published a standalone 'Pillar III Disclosure 2017', and it is listed on the Bank's own live publications index to this day (gatehousebank.com/about-us/corporate-governance, link 'gatehouse-bank-pillar-3-disclosure-2017'). It was retrieved and read this session. Its Key Metrics table (p.3) prints CET1 ratio 37.3%, Tier 1 ratio 37.3%, Total Capital Ratio 37.3%, Leverage Ratio 37.8% and LCR 641.3% at 31-Dec-17; s.5 Capital Resources (p.11) and Appendix 1 (Own Funds Disclosure, p.26) give Total regulatory capital of GBP95.6m; s.6 (p.12) states 'Total Risk Weighted assets as at 31 December 2017 amount to GBP256.2m'; Appendix II (p.27) gives Total leverage ratio exposure of GBP253.3m; and s.9 (p.19) gives a liquidity buffer of GBP25.4m against total net cash outflows of GBP4.0m.
All three ratios reconcile to the amounts: 95.6/256.2 = 37.3%, 95.6/253.3 = 37.7% and the LCR buffer/outflow pair is consistent with 641.3% at the disclosed rounding of the outflow figure. BASIS NOTE: FY2017 predates the Bank's Article 447/UK KM1 template series (which begins FY2021 here), so the FY2017 figures come from the equivalent CRD IV-era disclosure rather than the KM1 template. The capital stack also differs in shape - in FY2017 the Bank held no Tier 2 at all, so CET1, Tier 1 and Total capital are all GBP95.6m and all three ratios are identically 37.3%; the GBP(19.7)m deduction for the significant investment in Gatehouse Capital is a FY2017-specific item that does not recur in the later years.
FY2025 MEMO ROW (added 2026-09-19), AND WHY IT IS A SEPARATE ROW. No FY2025 Pillar 3 disclosure exists yet (see above), but the Annual Report 2025's own Key Performance Indicators table (printed p.21) prints a CET1 ratio of 15.74% (2024: 16.56%) and a leverage ratio of 6.53% (2024: 7.29%), with the Bank's own formulae stated in footnote 3 on the same page - 'CET1 ratio: calculated as Tier 1 common equity / risk weighted assets' and 'Leverage ratio: calculated as Tier 1 Capital / Total exposures'.
THESE ARE NOT THE SAME NUMBERS THE PILLAR 3 PRINTS, and the divergence is recorded rather than reconciled. On the KPI table's own FY2024 comparative column the CET1 ratio is 16.56% where this workbook's FY2024 Pillar 3 KM1 figure is 17.1%, and the leverage ratio is 7.29% where the KM1 figure is 7.4%. So the two measures demonstrably disagree in a year where BOTH are published - which is the reason the FY2025 KPI figures are shown on their own row, labelled with their source, instead of being dropped into the Pillar 3 row as though they continued the series. Neither figure is adjusted to make the other tie.
The KPI table also prints an 'Average risk weight' of 40.97% (2024: 43.61%), defined as risk-weighted assets / total assets. That is deliberately NOT used to reconstruct FY2025 Total RWAs: multiplying it by a balance-sheet total would be a back-solve, and this project does not back-solve an RWA. The Total RWAs and RWA Breakdown sheets stay as recorded absences for FY2025.</t>
        </is>
      </c>
    </row>
    <row r="8" ht="325" customHeight="1">
      <c r="A8" s="9" t="inlineStr">
        <is>
          <t>Sources - Gatehouse Bank Plc Pillar 3 disclosures, Article 447 Key Metrics table, p.32:
FY2017: Pillar III Disclosure 2017 - Key Metrics table p.3, s.5 Capital Resources p.11, s.6 p.12, s.9 p.19, Appendix 1 (Own Funds Disclosure) p.26 and Appendix II (Analysis of Leverage Ratio) p.27. This is the CRD IV-era predecessor of the Article 447 template, not the template itself - https://assets.gatehousebank.com/production/downloads/gatehousebankpillariiidisclosure2017.pdf
FY2024: Pillar III Disclosure 2024 (Dec-24 column) - https://assets.gatehousebank.com/production/downloads/Gatehouse-Bank-Pillar-III-Disclosure-2024-FINAL.pdf
FY2023: Pillar III Disclosure 2023 (Dec-23 column) - https://assets.gatehousebank.com/production/downloads/Gatehouse-Bank-Pillar-III-Disclosure-2023-FINAL.pdf
FY2022: Pillar III Disclosure 2022 (Dec-22 column, own year's disclosure - see restatement note) - https://gatehousebank.com/downloads/gatehouse-bank-pillar-3-disclosure-2022
FY2021: Annual Report and Financial Statements 2021, s.5 Capital Resources, p.11 (own year-end capital resources note, cross-validated against the 2022 Pillar 3 disclosure's Dec-21 comparative column) - https://assets.gatehousebank.com/production/downloads/Gatehouse-Bank-Annual-Report-2021-FINAL-web.pdf
SDDT DATE TEST (checked 2026-09-15): the PRA's consolidated register of waivers and modifications ('Consolidated Waivers list for PRA-regulated firms - as of 1 July 2026', bankofengland.co.uk/prudential-regulation/authorisations/waivers-and-modifications-of-rules) records that Gatehouse Bank Plc (FRN 475346) holds a 'Modification by Consent - PRA Rulebook - CRR Firms - Rule 3.1 of the SDDT Regime - General Application Part', sub-rule 'Ru 3.1', starting 08/01/2026 with no end date. That modification removes the Pillar 3 disclosure obligation outright (a stronger relief than UK CRR Article 433b, which only reduces frequency and content for small and non-complex institutions).
Crucially, 08/01/2026 falls EIGHT DAYS AFTER the FY2025 year-end of 31 December 2025 (year-end confirmed 31 December throughout the Bank's Companies House accounts filing history, company 06260053). FY2025 therefore PREDATES the modification and is NOT structurally exempt - the Bank was still subject to the disclosure obligation for that year. This is corroborated independently by the fact that the FY2025 Pillar 3 document demonstrably EXISTS (the Annual Report says it is 'available on request', see below): the obligation was live and was met, just not by general publication. The FY2025 blanks below are therefore an ACCESS gap, not a structural one, and are recoverable by requesting the document from the Bank.
Forward-looking: FY2026 (year ending 31 December 2026) is the first year that falls after the modification took effect, so from FY2026 onward these blanks are expected to become structural.
FY2025: no FY2025 Pillar 3 disclosure has been published. The Bank's own Annual Report 2025 confirms the document is not on general release - 'Pillar 3 disclosures are presented in the "Pillar 3 Disclosures" document, available on request' (Notes to the Financial Statements, p.125) - and no 2025 file exists under the CDN naming pattern that serves every prior year, nor in the site's downloads sitemap, nor in the Wayback CDX index for the domain (newest Pillar 3 capture is the 2024 report, 11 June 2026).
RE-VERIFIED 2026-09-15 against the Bank's own LIVE publications index rather than by URL guessing - https://gatehousebank.com/about-us/corporate-governance. That page lists Pillar 3 disclosures for 2017, 2018, 2019, 2020, 2021, 2022, 2023 and 2024 and NO 2025 edition, while listing the Annual Report 2025 - i.e. the Bank has published its FY2025 annual report but not its FY2025 Pillar 3, exactly as the annual report says ('published as soon as practicable AFTER the publication of the annual report'). An unfiltered Wayback CDX sweep of the whole gatehousebank.com domain (6,938 captures) independently returns the same eight Pillar 3 documents and no 2025 one. So FY2025 is a live access gap that may simply close on its own when the Bank publishes; it is worth re-checking this index before requesting the document. The same index is what exposed the FY2017 disclosure this project had been missing.</t>
        </is>
      </c>
    </row>
    <row r="10" ht="299" customHeight="1">
      <c r="A10" s="9" t="inlineStr">
        <is>
          <t>(continued)
RE-CHECKED 2026-09-18 (separate session, prior verdict treated as unproven) - UNCHANGED. The publications index was re-fetched and every document link parsed out: it still lists Pillar III Disclosures for 2017, 2018, 2019, 2020, 2021, 2022, 2023 and 2024 and no 2025 edition, alongside the Annual Report 2025. Two FY2025 filenames were then probed directly on the CDN that serves every prior year (Gatehouse-Bank-Pillar-III-Disclosure-2025-FINAL.pdf and Gatehouse-Bank-Pillar-III-Disclosure-2025.pdf); both returned HTTP 404 while a control fetch of the FY2024 filename on the same host returned HTTP 200, Content-Type application/pdf, first bytes '%PDF', 617,672 bytes. That control matters: the alternative gatehousebank.com/downloads/ route 404s even for the FY2024 document, so probing FY2025 on that route alone would have manufactured a false negative. The Annual Report 2025 was also re-read in full text this date and independently reproduces the AMOUNTS/RATIOS split described below.
FY2025 is therefore populated ONLY where the Annual Report 2025 prints a figure that is provably on the same basis as the Pillar 3 series. That is true of the capital AMOUNTS and false of the RATIOS, so they are treated differently:
  - AMOUNTS (same basis, used): the regulatory capital note on p.126 gives Total regulatory capital of GBP111,120k for 2025 and GBP127,083k for 2024. That 2024 comparative equals the GBP127.1m this workbook already carries from the FY2024 Pillar 3 disclosure, so the note is like-for-like and FY2025 Total Capital is taken from it - https://assets.gatehousebank.com/production/downloads/Gatehouse-Bank-Annual-Report-2025.pdf
  - RATIOS (different basis, NOT used): the Annual Report's KPI table (p.21) gives a 2025 CET1 ratio of 15.74% and leverage ratio of 6.53%, but its own 2024 comparatives (16.56% and 7.29%) do NOT match the FY2024 Pillar 3 figures carried here (17.1% and 7.4%). The Annual Report defines its CET1 ratio as 'Tier 1 common equity / risk weighted assets' and its leverage ratio as 'Tier 1 Capital / Total exposures' on an accounting exposure measure, which is not the Article 447 basis. Mixing the two would create a false break in the series, so the CET1 Ratio, Tier 1 Ratio, Total Capital Ratio and Leverage Ratio sheets are left blank for FY2025 rather than blended.
  - NOT PRINTED AT ALL: the Annual Report gives no RWA total, no LCR and no NSFR for 2025, so those sheets are blank too. Its capital note also stops at components - Core Tier 1 subtotal GBP109,790k less Deductions from CET1 GBP(17,609)k, plus Tier 2 GBP18,939k, totalling GBP111,120k - without printing CET1 net of deductions, so the CET1 Capital and Tier 1 Capital sheets are blank for FY2025 rather than carrying a figure this project would have had to compute itself. (For reference, that subtraction on the 2024 column reproduces GBP108.6m, exactly the FY2024 Pillar 3 CET1 figure used here, so the missing FY2025 CET1 is recoverable the moment the Pillar 3 document is obtained - it is requestable from the Bank.)
RESTATEMENT NOTE: the FY2023 Pillar 3 disclosure's own Dec-22 comparative column shows CET1 capital of GBP98.0m / RWA of GBP579.1m / ratios of 16.9%/16.9%/18.5% / leverage 7.1% - different from the FY2022 disclosure's own Dec-22 ('T') figures used here (GBP103.2m / GBP594.7m / 17.4%/17.4%/18.9% / 7.5%). LCR and NSFR at Dec-22 match exactly between both vintages (350.7% and 150.6%), so only the capital-side figures were later restated. Each year's own primary disclosure is used throughout, consistent with the rest of this workbook.</t>
        </is>
      </c>
    </row>
  </sheetData>
  <mergeCells count="3">
    <mergeCell ref="A8:G8"/>
    <mergeCell ref="A6:G6"/>
    <mergeCell ref="A10:G1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Gatehouse Bank Plc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FY2017</t>
        </is>
      </c>
    </row>
    <row r="4">
      <c r="A4" s="6" t="inlineStr">
        <is>
          <t>Total capital</t>
        </is>
      </c>
      <c r="B4" s="6" t="n">
        <v>111.1</v>
      </c>
      <c r="C4" s="6" t="n">
        <v>127.1</v>
      </c>
      <c r="D4" s="6" t="n">
        <v>126.7</v>
      </c>
      <c r="E4" s="6" t="n">
        <v>112.2</v>
      </c>
      <c r="F4" s="6" t="n">
        <v>103.5</v>
      </c>
      <c r="G4" s="6" t="n">
        <v>95.59999999999999</v>
      </c>
    </row>
    <row r="5" ht="130" customHeight="1">
      <c r="A5" s="7" t="inlineStr">
        <is>
          <t>Note: FY2017 RECOVERED 2026-09-15. These cells were previously blank on the stated ground that 'FY2017 Pillar 3 key metrics were not published in the 2017 annual report'. That was true of the annual report but the wrong document was checked: Gatehouse Bank published a standalone 'Pillar III Disclosure 2017', and it is listed on the Bank's own live publications index to this day (gatehousebank.com/about-us/corporate-governance, link 'gatehouse-bank-pillar-3-disclosure-2017'). It was retrieved and read this session. Its Key Metrics table (p.3) prints CET1 ratio 37.3%, Tier 1 ratio 37.3%, Total Capital Ratio 37.3%, Leverage Ratio 37.8% and LCR 641.3% at 31-Dec-17; s.5 Capital Resources (p.11) and Appendix 1 (Own Funds Disclosure, p.26) give Total regulatory capital of GBP95.6m; s.6 (p.12) states 'Total Risk Weighted assets as at 31 December 2017 amount to GBP256.2m'; Appendix II (p.27) gives Total leverage ratio exposure of GBP253.3m; and s.9 (p.19) gives a liquidity buffer of GBP25.4m against total net cash outflows of GBP4.0m.
All three ratios reconcile to the amounts: 95.6/256.2 = 37.3%, 95.6/253.3 = 37.7% and the LCR buffer/outflow pair is consistent with 641.3% at the disclosed rounding of the outflow figure. BASIS NOTE: FY2017 predates the Bank's Article 447/UK KM1 template series (which begins FY2021 here), so the FY2017 figures come from the equivalent CRD IV-era disclosure rather than the KM1 template. The capital stack also differs in shape - in FY2017 the Bank held no Tier 2 at all, so CET1, Tier 1 and Total capital are all GBP95.6m and all three ratios are identically 37.3%; the GBP(19.7)m deduction for the significant investment in Gatehouse Capital is a FY2017-specific item that does not recur in the later years.</t>
        </is>
      </c>
    </row>
    <row r="7" ht="325" customHeight="1">
      <c r="A7" s="9" t="inlineStr">
        <is>
          <t>Sources - Gatehouse Bank Plc Pillar 3 disclosures, Article 447 Key Metrics table, p.32:
FY2017: Pillar III Disclosure 2017 - Key Metrics table p.3, s.5 Capital Resources p.11, s.6 p.12, s.9 p.19, Appendix 1 (Own Funds Disclosure) p.26 and Appendix II (Analysis of Leverage Ratio) p.27. This is the CRD IV-era predecessor of the Article 447 template, not the template itself - https://assets.gatehousebank.com/production/downloads/gatehousebankpillariiidisclosure2017.pdf
FY2024: Pillar III Disclosure 2024 (Dec-24 column) - https://assets.gatehousebank.com/production/downloads/Gatehouse-Bank-Pillar-III-Disclosure-2024-FINAL.pdf
FY2023: Pillar III Disclosure 2023 (Dec-23 column) - https://assets.gatehousebank.com/production/downloads/Gatehouse-Bank-Pillar-III-Disclosure-2023-FINAL.pdf
FY2022: Pillar III Disclosure 2022 (Dec-22 column, own year's disclosure - see restatement note) - https://gatehousebank.com/downloads/gatehouse-bank-pillar-3-disclosure-2022
FY2021: Annual Report and Financial Statements 2021, s.5 Capital Resources, p.11 (own year-end capital resources note, cross-validated against the 2022 Pillar 3 disclosure's Dec-21 comparative column) - https://assets.gatehousebank.com/production/downloads/Gatehouse-Bank-Annual-Report-2021-FINAL-web.pdf
SDDT DATE TEST (checked 2026-09-15): the PRA's consolidated register of waivers and modifications ('Consolidated Waivers list for PRA-regulated firms - as of 1 July 2026', bankofengland.co.uk/prudential-regulation/authorisations/waivers-and-modifications-of-rules) records that Gatehouse Bank Plc (FRN 475346) holds a 'Modification by Consent - PRA Rulebook - CRR Firms - Rule 3.1 of the SDDT Regime - General Application Part', sub-rule 'Ru 3.1', starting 08/01/2026 with no end date. That modification removes the Pillar 3 disclosure obligation outright (a stronger relief than UK CRR Article 433b, which only reduces frequency and content for small and non-complex institutions).
Crucially, 08/01/2026 falls EIGHT DAYS AFTER the FY2025 year-end of 31 December 2025 (year-end confirmed 31 December throughout the Bank's Companies House accounts filing history, company 06260053). FY2025 therefore PREDATES the modification and is NOT structurally exempt - the Bank was still subject to the disclosure obligation for that year. This is corroborated independently by the fact that the FY2025 Pillar 3 document demonstrably EXISTS (the Annual Report says it is 'available on request', see below): the obligation was live and was met, just not by general publication. The FY2025 blanks below are therefore an ACCESS gap, not a structural one, and are recoverable by requesting the document from the Bank.
Forward-looking: FY2026 (year ending 31 December 2026) is the first year that falls after the modification took effect, so from FY2026 onward these blanks are expected to become structural.
FY2025: no FY2025 Pillar 3 disclosure has been published. The Bank's own Annual Report 2025 confirms the document is not on general release - 'Pillar 3 disclosures are presented in the "Pillar 3 Disclosures" document, available on request' (Notes to the Financial Statements, p.125) - and no 2025 file exists under the CDN naming pattern that serves every prior year, nor in the site's downloads sitemap, nor in the Wayback CDX index for the domain (newest Pillar 3 capture is the 2024 report, 11 June 2026).
RE-VERIFIED 2026-09-15 against the Bank's own LIVE publications index rather than by URL guessing - https://gatehousebank.com/about-us/corporate-governance. That page lists Pillar 3 disclosures for 2017, 2018, 2019, 2020, 2021, 2022, 2023 and 2024 and NO 2025 edition, while listing the Annual Report 2025 - i.e. the Bank has published its FY2025 annual report but not its FY2025 Pillar 3, exactly as the annual report says ('published as soon as practicable AFTER the publication of the annual report'). An unfiltered Wayback CDX sweep of the whole gatehousebank.com domain (6,938 captures) independently returns the same eight Pillar 3 documents and no 2025 one. So FY2025 is a live access gap that may simply close on its own when the Bank publishes; it is worth re-checking this index before requesting the document. The same index is what exposed the FY2017 disclosure this project had been missing.</t>
        </is>
      </c>
    </row>
    <row r="9" ht="299" customHeight="1">
      <c r="A9" s="9" t="inlineStr">
        <is>
          <t>(continued)
RE-CHECKED 2026-09-18 (separate session, prior verdict treated as unproven) - UNCHANGED. The publications index was re-fetched and every document link parsed out: it still lists Pillar III Disclosures for 2017, 2018, 2019, 2020, 2021, 2022, 2023 and 2024 and no 2025 edition, alongside the Annual Report 2025. Two FY2025 filenames were then probed directly on the CDN that serves every prior year (Gatehouse-Bank-Pillar-III-Disclosure-2025-FINAL.pdf and Gatehouse-Bank-Pillar-III-Disclosure-2025.pdf); both returned HTTP 404 while a control fetch of the FY2024 filename on the same host returned HTTP 200, Content-Type application/pdf, first bytes '%PDF', 617,672 bytes. That control matters: the alternative gatehousebank.com/downloads/ route 404s even for the FY2024 document, so probing FY2025 on that route alone would have manufactured a false negative. The Annual Report 2025 was also re-read in full text this date and independently reproduces the AMOUNTS/RATIOS split described below.
FY2025 is therefore populated ONLY where the Annual Report 2025 prints a figure that is provably on the same basis as the Pillar 3 series. That is true of the capital AMOUNTS and false of the RATIOS, so they are treated differently:
  - AMOUNTS (same basis, used): the regulatory capital note on p.126 gives Total regulatory capital of GBP111,120k for 2025 and GBP127,083k for 2024. That 2024 comparative equals the GBP127.1m this workbook already carries from the FY2024 Pillar 3 disclosure, so the note is like-for-like and FY2025 Total Capital is taken from it - https://assets.gatehousebank.com/production/downloads/Gatehouse-Bank-Annual-Report-2025.pdf
  - RATIOS (different basis, NOT used): the Annual Report's KPI table (p.21) gives a 2025 CET1 ratio of 15.74% and leverage ratio of 6.53%, but its own 2024 comparatives (16.56% and 7.29%) do NOT match the FY2024 Pillar 3 figures carried here (17.1% and 7.4%). The Annual Report defines its CET1 ratio as 'Tier 1 common equity / risk weighted assets' and its leverage ratio as 'Tier 1 Capital / Total exposures' on an accounting exposure measure, which is not the Article 447 basis. Mixing the two would create a false break in the series, so the CET1 Ratio, Tier 1 Ratio, Total Capital Ratio and Leverage Ratio sheets are left blank for FY2025 rather than blended.
  - NOT PRINTED AT ALL: the Annual Report gives no RWA total, no LCR and no NSFR for 2025, so those sheets are blank too. Its capital note also stops at components - Core Tier 1 subtotal GBP109,790k less Deductions from CET1 GBP(17,609)k, plus Tier 2 GBP18,939k, totalling GBP111,120k - without printing CET1 net of deductions, so the CET1 Capital and Tier 1 Capital sheets are blank for FY2025 rather than carrying a figure this project would have had to compute itself. (For reference, that subtraction on the 2024 column reproduces GBP108.6m, exactly the FY2024 Pillar 3 CET1 figure used here, so the missing FY2025 CET1 is recoverable the moment the Pillar 3 document is obtained - it is requestable from the Bank.)
RESTATEMENT NOTE: the FY2023 Pillar 3 disclosure's own Dec-22 comparative column shows CET1 capital of GBP98.0m / RWA of GBP579.1m / ratios of 16.9%/16.9%/18.5% / leverage 7.1% - different from the FY2022 disclosure's own Dec-22 ('T') figures used here (GBP103.2m / GBP594.7m / 17.4%/17.4%/18.9% / 7.5%). LCR and NSFR at Dec-22 match exactly between both vintages (350.7% and 150.6%), so only the capital-side figures were later restated. Each year's own primary disclosure is used throughout, consistent with the rest of this workbook.</t>
        </is>
      </c>
    </row>
  </sheetData>
  <mergeCells count="3">
    <mergeCell ref="A7:G7"/>
    <mergeCell ref="A5:G5"/>
    <mergeCell ref="A9:G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Gatehouse Bank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FY2017</t>
        </is>
      </c>
    </row>
    <row r="4">
      <c r="A4" s="6" t="inlineStr">
        <is>
          <t>Total capital ratio</t>
        </is>
      </c>
      <c r="B4" s="6" t="inlineStr">
        <is>
          <t>Not published - no FY2025 Pillar III edition; figure absent from Annual Report 2025</t>
        </is>
      </c>
      <c r="C4" s="6" t="inlineStr">
        <is>
          <t>20.0%</t>
        </is>
      </c>
      <c r="D4" s="6" t="inlineStr">
        <is>
          <t>19.6%</t>
        </is>
      </c>
      <c r="E4" s="6" t="inlineStr">
        <is>
          <t>18.9%</t>
        </is>
      </c>
      <c r="F4" s="6" t="inlineStr">
        <is>
          <t>19.8%</t>
        </is>
      </c>
      <c r="G4" s="6" t="inlineStr">
        <is>
          <t>37.3%</t>
        </is>
      </c>
    </row>
    <row r="5" ht="195" customHeight="1">
      <c r="A5" s="7" t="inlineStr">
        <is>
          <t>Note: FY2017 RECOVERED 2026-09-15. These cells were previously blank on the stated ground that 'FY2017 Pillar 3 key metrics were not published in the 2017 annual report'. That was true of the annual report but the wrong document was checked: Gatehouse Bank published a standalone 'Pillar III Disclosure 2017', and it is listed on the Bank's own live publications index to this day (gatehousebank.com/about-us/corporate-governance, link 'gatehouse-bank-pillar-3-disclosure-2017'). It was retrieved and read this session. Its Key Metrics table (p.3) prints CET1 ratio 37.3%, Tier 1 ratio 37.3%, Total Capital Ratio 37.3%, Leverage Ratio 37.8% and LCR 641.3% at 31-Dec-17; s.5 Capital Resources (p.11) and Appendix 1 (Own Funds Disclosure, p.26) give Total regulatory capital of GBP95.6m; s.6 (p.12) states 'Total Risk Weighted assets as at 31 December 2017 amount to GBP256.2m'; Appendix II (p.27) gives Total leverage ratio exposure of GBP253.3m; and s.9 (p.19) gives a liquidity buffer of GBP25.4m against total net cash outflows of GBP4.0m.
All three ratios reconcile to the amounts: 95.6/256.2 = 37.3%, 95.6/253.3 = 37.7% and the LCR buffer/outflow pair is consistent with 641.3% at the disclosed rounding of the outflow figure. BASIS NOTE: FY2017 predates the Bank's Article 447/UK KM1 template series (which begins FY2021 here), so the FY2017 figures come from the equivalent CRD IV-era disclosure rather than the KM1 template. The capital stack also differs in shape - in FY2017 the Bank held no Tier 2 at all, so CET1, Tier 1 and Total capital are all GBP95.6m and all three ratios are identically 37.3%; the GBP(19.7)m deduction for the significant investment in Gatehouse Capital is a FY2017-specific item that does not recur in the later years.
FY2025 IS A RECORDED ABSENCE, NOT AN UNCHECKED CELL (2026-09-19). Unlike the CET1 and leverage ratios, the Annual Report 2025 prints NO total capital ratio anywhere: its Key Performance Indicators table (p.21) carries only CET1 ratio, leverage ratio and average risk weight, and its Strategic Report (p.20) says only that 'our total regulatory capital and total capital adequacy ratios [exceed] the minimum levels required' - a qualitative statement with no figure. The regulatory capital note (p.126) gives the capital AMOUNT (Total regulatory capital £111,120k) but no denominator. It is not computed from the amount and the KPI table's average risk weight.</t>
        </is>
      </c>
    </row>
    <row r="7" ht="325" customHeight="1">
      <c r="A7" s="9" t="inlineStr">
        <is>
          <t>Sources - Gatehouse Bank Plc Pillar 3 disclosures, Article 447 Key Metrics table, p.32:
FY2017: Pillar III Disclosure 2017 - Key Metrics table p.3, s.5 Capital Resources p.11, s.6 p.12, s.9 p.19, Appendix 1 (Own Funds Disclosure) p.26 and Appendix II (Analysis of Leverage Ratio) p.27. This is the CRD IV-era predecessor of the Article 447 template, not the template itself - https://assets.gatehousebank.com/production/downloads/gatehousebankpillariiidisclosure2017.pdf
FY2024: Pillar III Disclosure 2024 (Dec-24 column) - https://assets.gatehousebank.com/production/downloads/Gatehouse-Bank-Pillar-III-Disclosure-2024-FINAL.pdf
FY2023: Pillar III Disclosure 2023 (Dec-23 column) - https://assets.gatehousebank.com/production/downloads/Gatehouse-Bank-Pillar-III-Disclosure-2023-FINAL.pdf
FY2022: Pillar III Disclosure 2022 (Dec-22 column, own year's disclosure - see restatement note) - https://gatehousebank.com/downloads/gatehouse-bank-pillar-3-disclosure-2022
FY2021: Annual Report and Financial Statements 2021, s.5 Capital Resources, p.11 (own year-end capital resources note, cross-validated against the 2022 Pillar 3 disclosure's Dec-21 comparative column) - https://assets.gatehousebank.com/production/downloads/Gatehouse-Bank-Annual-Report-2021-FINAL-web.pdf
SDDT DATE TEST (checked 2026-09-15): the PRA's consolidated register of waivers and modifications ('Consolidated Waivers list for PRA-regulated firms - as of 1 July 2026', bankofengland.co.uk/prudential-regulation/authorisations/waivers-and-modifications-of-rules) records that Gatehouse Bank Plc (FRN 475346) holds a 'Modification by Consent - PRA Rulebook - CRR Firms - Rule 3.1 of the SDDT Regime - General Application Part', sub-rule 'Ru 3.1', starting 08/01/2026 with no end date. That modification removes the Pillar 3 disclosure obligation outright (a stronger relief than UK CRR Article 433b, which only reduces frequency and content for small and non-complex institutions).
Crucially, 08/01/2026 falls EIGHT DAYS AFTER the FY2025 year-end of 31 December 2025 (year-end confirmed 31 December throughout the Bank's Companies House accounts filing history, company 06260053). FY2025 therefore PREDATES the modification and is NOT structurally exempt - the Bank was still subject to the disclosure obligation for that year. This is corroborated independently by the fact that the FY2025 Pillar 3 document demonstrably EXISTS (the Annual Report says it is 'available on request', see below): the obligation was live and was met, just not by general publication. The FY2025 blanks below are therefore an ACCESS gap, not a structural one, and are recoverable by requesting the document from the Bank.
Forward-looking: FY2026 (year ending 31 December 2026) is the first year that falls after the modification took effect, so from FY2026 onward these blanks are expected to become structural.
FY2025: no FY2025 Pillar 3 disclosure has been published. The Bank's own Annual Report 2025 confirms the document is not on general release - 'Pillar 3 disclosures are presented in the "Pillar 3 Disclosures" document, available on request' (Notes to the Financial Statements, p.125) - and no 2025 file exists under the CDN naming pattern that serves every prior year, nor in the site's downloads sitemap, nor in the Wayback CDX index for the domain (newest Pillar 3 capture is the 2024 report, 11 June 2026).
RE-VERIFIED 2026-09-15 against the Bank's own LIVE publications index rather than by URL guessing - https://gatehousebank.com/about-us/corporate-governance. That page lists Pillar 3 disclosures for 2017, 2018, 2019, 2020, 2021, 2022, 2023 and 2024 and NO 2025 edition, while listing the Annual Report 2025 - i.e. the Bank has published its FY2025 annual report but not its FY2025 Pillar 3, exactly as the annual report says ('published as soon as practicable AFTER the publication of the annual report'). An unfiltered Wayback CDX sweep of the whole gatehousebank.com domain (6,938 captures) independently returns the same eight Pillar 3 documents and no 2025 one. So FY2025 is a live access gap that may simply close on its own when the Bank publishes; it is worth re-checking this index before requesting the document. The same index is what exposed the FY2017 disclosure this project had been missing.</t>
        </is>
      </c>
    </row>
    <row r="9" ht="299" customHeight="1">
      <c r="A9" s="9" t="inlineStr">
        <is>
          <t>(continued)
RE-CHECKED 2026-09-18 (separate session, prior verdict treated as unproven) - UNCHANGED. The publications index was re-fetched and every document link parsed out: it still lists Pillar III Disclosures for 2017, 2018, 2019, 2020, 2021, 2022, 2023 and 2024 and no 2025 edition, alongside the Annual Report 2025. Two FY2025 filenames were then probed directly on the CDN that serves every prior year (Gatehouse-Bank-Pillar-III-Disclosure-2025-FINAL.pdf and Gatehouse-Bank-Pillar-III-Disclosure-2025.pdf); both returned HTTP 404 while a control fetch of the FY2024 filename on the same host returned HTTP 200, Content-Type application/pdf, first bytes '%PDF', 617,672 bytes. That control matters: the alternative gatehousebank.com/downloads/ route 404s even for the FY2024 document, so probing FY2025 on that route alone would have manufactured a false negative. The Annual Report 2025 was also re-read in full text this date and independently reproduces the AMOUNTS/RATIOS split described below.
FY2025 is therefore populated ONLY where the Annual Report 2025 prints a figure that is provably on the same basis as the Pillar 3 series. That is true of the capital AMOUNTS and false of the RATIOS, so they are treated differently:
  - AMOUNTS (same basis, used): the regulatory capital note on p.126 gives Total regulatory capital of GBP111,120k for 2025 and GBP127,083k for 2024. That 2024 comparative equals the GBP127.1m this workbook already carries from the FY2024 Pillar 3 disclosure, so the note is like-for-like and FY2025 Total Capital is taken from it - https://assets.gatehousebank.com/production/downloads/Gatehouse-Bank-Annual-Report-2025.pdf
  - RATIOS (different basis, NOT used): the Annual Report's KPI table (p.21) gives a 2025 CET1 ratio of 15.74% and leverage ratio of 6.53%, but its own 2024 comparatives (16.56% and 7.29%) do NOT match the FY2024 Pillar 3 figures carried here (17.1% and 7.4%). The Annual Report defines its CET1 ratio as 'Tier 1 common equity / risk weighted assets' and its leverage ratio as 'Tier 1 Capital / Total exposures' on an accounting exposure measure, which is not the Article 447 basis. Mixing the two would create a false break in the series, so the CET1 Ratio, Tier 1 Ratio, Total Capital Ratio and Leverage Ratio sheets are left blank for FY2025 rather than blended.
  - NOT PRINTED AT ALL: the Annual Report gives no RWA total, no LCR and no NSFR for 2025, so those sheets are blank too. Its capital note also stops at components - Core Tier 1 subtotal GBP109,790k less Deductions from CET1 GBP(17,609)k, plus Tier 2 GBP18,939k, totalling GBP111,120k - without printing CET1 net of deductions, so the CET1 Capital and Tier 1 Capital sheets are blank for FY2025 rather than carrying a figure this project would have had to compute itself. (For reference, that subtraction on the 2024 column reproduces GBP108.6m, exactly the FY2024 Pillar 3 CET1 figure used here, so the missing FY2025 CET1 is recoverable the moment the Pillar 3 document is obtained - it is requestable from the Bank.)
RESTATEMENT NOTE: the FY2023 Pillar 3 disclosure's own Dec-22 comparative column shows CET1 capital of GBP98.0m / RWA of GBP579.1m / ratios of 16.9%/16.9%/18.5% / leverage 7.1% - different from the FY2022 disclosure's own Dec-22 ('T') figures used here (GBP103.2m / GBP594.7m / 17.4%/17.4%/18.9% / 7.5%). LCR and NSFR at Dec-22 match exactly between both vintages (350.7% and 150.6%), so only the capital-side figures were later restated. Each year's own primary disclosure is used throughout, consistent with the rest of this workbook.</t>
        </is>
      </c>
    </row>
  </sheetData>
  <mergeCells count="3">
    <mergeCell ref="A7:G7"/>
    <mergeCell ref="A5:G5"/>
    <mergeCell ref="A9:G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Gatehouse Bank Plc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FY2017</t>
        </is>
      </c>
    </row>
    <row r="4">
      <c r="A4" s="6" t="inlineStr">
        <is>
          <t>Total risk-weighted exposure amount</t>
        </is>
      </c>
      <c r="B4" s="6" t="inlineStr">
        <is>
          <t>Not published - no FY2025 Pillar III edition; figure absent from Annual Report 2025</t>
        </is>
      </c>
      <c r="C4" s="6" t="n">
        <v>636.7</v>
      </c>
      <c r="D4" s="6" t="n">
        <v>644.8</v>
      </c>
      <c r="E4" s="6" t="n">
        <v>594.7</v>
      </c>
      <c r="F4" s="6" t="n">
        <v>523</v>
      </c>
      <c r="G4" s="6" t="n">
        <v>256.2</v>
      </c>
    </row>
    <row r="5" ht="195" customHeight="1">
      <c r="A5" s="7" t="inlineStr">
        <is>
          <t>Note: FY2017 RECOVERED 2026-09-15. These cells were previously blank on the stated ground that 'FY2017 Pillar 3 key metrics were not published in the 2017 annual report'. That was true of the annual report but the wrong document was checked: Gatehouse Bank published a standalone 'Pillar III Disclosure 2017', and it is listed on the Bank's own live publications index to this day (gatehousebank.com/about-us/corporate-governance, link 'gatehouse-bank-pillar-3-disclosure-2017'). It was retrieved and read this session. Its Key Metrics table (p.3) prints CET1 ratio 37.3%, Tier 1 ratio 37.3%, Total Capital Ratio 37.3%, Leverage Ratio 37.8% and LCR 641.3% at 31-Dec-17; s.5 Capital Resources (p.11) and Appendix 1 (Own Funds Disclosure, p.26) give Total regulatory capital of GBP95.6m; s.6 (p.12) states 'Total Risk Weighted assets as at 31 December 2017 amount to GBP256.2m'; Appendix II (p.27) gives Total leverage ratio exposure of GBP253.3m; and s.9 (p.19) gives a liquidity buffer of GBP25.4m against total net cash outflows of GBP4.0m.
All three ratios reconcile to the amounts: 95.6/256.2 = 37.3%, 95.6/253.3 = 37.7% and the LCR buffer/outflow pair is consistent with 641.3% at the disclosed rounding of the outflow figure. BASIS NOTE: FY2017 predates the Bank's Article 447/UK KM1 template series (which begins FY2021 here), so the FY2017 figures come from the equivalent CRD IV-era disclosure rather than the KM1 template. The capital stack also differs in shape - in FY2017 the Bank held no Tier 2 at all, so CET1, Tier 1 and Total capital are all GBP95.6m and all three ratios are identically 37.3%; the GBP(19.7)m deduction for the significant investment in Gatehouse Capital is a FY2017-specific item that does not recur in the later years.
FY2025 IS A RECORDED ABSENCE, NOT AN UNCHECKED CELL (2026-09-19). The Annual Report 2025 prints no risk-weighted-asset amount in any year column: a text search of the full report returns 'risk weighted' only in the KPI footnote definitions on p.21 and in the narrative phrase 'risk weighted asset intensity' on the same page (richness control: the same extraction returns 2,129 hits for ' the ', so the document has a real text layer and the absence is the document's, not the instrument's). The KPI table's 'Average risk weight' of 40.97% is a ratio to total assets, not an RWA, and is NOT multiplied out here.</t>
        </is>
      </c>
    </row>
    <row r="7" ht="325" customHeight="1">
      <c r="A7" s="9" t="inlineStr">
        <is>
          <t>Sources - Gatehouse Bank Plc Pillar 3 disclosures, Article 447 Key Metrics table, p.32:
FY2017: Pillar III Disclosure 2017 - Key Metrics table p.3, s.5 Capital Resources p.11, s.6 p.12, s.9 p.19, Appendix 1 (Own Funds Disclosure) p.26 and Appendix II (Analysis of Leverage Ratio) p.27. This is the CRD IV-era predecessor of the Article 447 template, not the template itself - https://assets.gatehousebank.com/production/downloads/gatehousebankpillariiidisclosure2017.pdf
FY2024: Pillar III Disclosure 2024 (Dec-24 column) - https://assets.gatehousebank.com/production/downloads/Gatehouse-Bank-Pillar-III-Disclosure-2024-FINAL.pdf
FY2023: Pillar III Disclosure 2023 (Dec-23 column) - https://assets.gatehousebank.com/production/downloads/Gatehouse-Bank-Pillar-III-Disclosure-2023-FINAL.pdf
FY2022: Pillar III Disclosure 2022 (Dec-22 column, own year's disclosure - see restatement note) - https://gatehousebank.com/downloads/gatehouse-bank-pillar-3-disclosure-2022
FY2021: Annual Report and Financial Statements 2021, s.5 Capital Resources, p.11 (own year-end capital resources note, cross-validated against the 2022 Pillar 3 disclosure's Dec-21 comparative column) - https://assets.gatehousebank.com/production/downloads/Gatehouse-Bank-Annual-Report-2021-FINAL-web.pdf
SDDT DATE TEST (checked 2026-09-15): the PRA's consolidated register of waivers and modifications ('Consolidated Waivers list for PRA-regulated firms - as of 1 July 2026', bankofengland.co.uk/prudential-regulation/authorisations/waivers-and-modifications-of-rules) records that Gatehouse Bank Plc (FRN 475346) holds a 'Modification by Consent - PRA Rulebook - CRR Firms - Rule 3.1 of the SDDT Regime - General Application Part', sub-rule 'Ru 3.1', starting 08/01/2026 with no end date. That modification removes the Pillar 3 disclosure obligation outright (a stronger relief than UK CRR Article 433b, which only reduces frequency and content for small and non-complex institutions).
Crucially, 08/01/2026 falls EIGHT DAYS AFTER the FY2025 year-end of 31 December 2025 (year-end confirmed 31 December throughout the Bank's Companies House accounts filing history, company 06260053). FY2025 therefore PREDATES the modification and is NOT structurally exempt - the Bank was still subject to the disclosure obligation for that year. This is corroborated independently by the fact that the FY2025 Pillar 3 document demonstrably EXISTS (the Annual Report says it is 'available on request', see below): the obligation was live and was met, just not by general publication. The FY2025 blanks below are therefore an ACCESS gap, not a structural one, and are recoverable by requesting the document from the Bank.
Forward-looking: FY2026 (year ending 31 December 2026) is the first year that falls after the modification took effect, so from FY2026 onward these blanks are expected to become structural.
FY2025: no FY2025 Pillar 3 disclosure has been published. The Bank's own Annual Report 2025 confirms the document is not on general release - 'Pillar 3 disclosures are presented in the "Pillar 3 Disclosures" document, available on request' (Notes to the Financial Statements, p.125) - and no 2025 file exists under the CDN naming pattern that serves every prior year, nor in the site's downloads sitemap, nor in the Wayback CDX index for the domain (newest Pillar 3 capture is the 2024 report, 11 June 2026).
RE-VERIFIED 2026-09-15 against the Bank's own LIVE publications index rather than by URL guessing - https://gatehousebank.com/about-us/corporate-governance. That page lists Pillar 3 disclosures for 2017, 2018, 2019, 2020, 2021, 2022, 2023 and 2024 and NO 2025 edition, while listing the Annual Report 2025 - i.e. the Bank has published its FY2025 annual report but not its FY2025 Pillar 3, exactly as the annual report says ('published as soon as practicable AFTER the publication of the annual report'). An unfiltered Wayback CDX sweep of the whole gatehousebank.com domain (6,938 captures) independently returns the same eight Pillar 3 documents and no 2025 one. So FY2025 is a live access gap that may simply close on its own when the Bank publishes; it is worth re-checking this index before requesting the document. The same index is what exposed the FY2017 disclosure this project had been missing.</t>
        </is>
      </c>
    </row>
    <row r="9" ht="299" customHeight="1">
      <c r="A9" s="9" t="inlineStr">
        <is>
          <t>(continued)
RE-CHECKED 2026-09-18 (separate session, prior verdict treated as unproven) - UNCHANGED. The publications index was re-fetched and every document link parsed out: it still lists Pillar III Disclosures for 2017, 2018, 2019, 2020, 2021, 2022, 2023 and 2024 and no 2025 edition, alongside the Annual Report 2025. Two FY2025 filenames were then probed directly on the CDN that serves every prior year (Gatehouse-Bank-Pillar-III-Disclosure-2025-FINAL.pdf and Gatehouse-Bank-Pillar-III-Disclosure-2025.pdf); both returned HTTP 404 while a control fetch of the FY2024 filename on the same host returned HTTP 200, Content-Type application/pdf, first bytes '%PDF', 617,672 bytes. That control matters: the alternative gatehousebank.com/downloads/ route 404s even for the FY2024 document, so probing FY2025 on that route alone would have manufactured a false negative. The Annual Report 2025 was also re-read in full text this date and independently reproduces the AMOUNTS/RATIOS split described below.
FY2025 is therefore populated ONLY where the Annual Report 2025 prints a figure that is provably on the same basis as the Pillar 3 series. That is true of the capital AMOUNTS and false of the RATIOS, so they are treated differently:
  - AMOUNTS (same basis, used): the regulatory capital note on p.126 gives Total regulatory capital of GBP111,120k for 2025 and GBP127,083k for 2024. That 2024 comparative equals the GBP127.1m this workbook already carries from the FY2024 Pillar 3 disclosure, so the note is like-for-like and FY2025 Total Capital is taken from it - https://assets.gatehousebank.com/production/downloads/Gatehouse-Bank-Annual-Report-2025.pdf
  - RATIOS (different basis, NOT used): the Annual Report's KPI table (p.21) gives a 2025 CET1 ratio of 15.74% and leverage ratio of 6.53%, but its own 2024 comparatives (16.56% and 7.29%) do NOT match the FY2024 Pillar 3 figures carried here (17.1% and 7.4%). The Annual Report defines its CET1 ratio as 'Tier 1 common equity / risk weighted assets' and its leverage ratio as 'Tier 1 Capital / Total exposures' on an accounting exposure measure, which is not the Article 447 basis. Mixing the two would create a false break in the series, so the CET1 Ratio, Tier 1 Ratio, Total Capital Ratio and Leverage Ratio sheets are left blank for FY2025 rather than blended.
  - NOT PRINTED AT ALL: the Annual Report gives no RWA total, no LCR and no NSFR for 2025, so those sheets are blank too. Its capital note also stops at components - Core Tier 1 subtotal GBP109,790k less Deductions from CET1 GBP(17,609)k, plus Tier 2 GBP18,939k, totalling GBP111,120k - without printing CET1 net of deductions, so the CET1 Capital and Tier 1 Capital sheets are blank for FY2025 rather than carrying a figure this project would have had to compute itself. (For reference, that subtraction on the 2024 column reproduces GBP108.6m, exactly the FY2024 Pillar 3 CET1 figure used here, so the missing FY2025 CET1 is recoverable the moment the Pillar 3 document is obtained - it is requestable from the Bank.)
RESTATEMENT NOTE: the FY2023 Pillar 3 disclosure's own Dec-22 comparative column shows CET1 capital of GBP98.0m / RWA of GBP579.1m / ratios of 16.9%/16.9%/18.5% / leverage 7.1% - different from the FY2022 disclosure's own Dec-22 ('T') figures used here (GBP103.2m / GBP594.7m / 17.4%/17.4%/18.9% / 7.5%). LCR and NSFR at Dec-22 match exactly between both vintages (350.7% and 150.6%), so only the capital-side figures were later restated. Each year's own primary disclosure is used throughout, consistent with the rest of this workbook.</t>
        </is>
      </c>
    </row>
  </sheetData>
  <mergeCells count="3">
    <mergeCell ref="A7:G7"/>
    <mergeCell ref="A5:G5"/>
    <mergeCell ref="A9:G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Gatehouse Bank Plc — RWA Breakdown</t>
        </is>
      </c>
    </row>
    <row r="2">
      <c r="A2" s="2" t="inlineStr">
        <is>
          <t>Consolidated basis, £m. Pillar 1 credit risk RWA by exposure class + derived operational risk RWA. See source note at bottom.</t>
        </is>
      </c>
    </row>
    <row r="3">
      <c r="A3" s="4" t="inlineStr">
        <is>
          <t>Line item</t>
        </is>
      </c>
      <c r="B3" s="4" t="inlineStr">
        <is>
          <t>FY2025 (£m)</t>
        </is>
      </c>
      <c r="C3" s="4" t="inlineStr">
        <is>
          <t>FY2024 (£m)</t>
        </is>
      </c>
      <c r="D3" s="4" t="inlineStr">
        <is>
          <t>FY2023 (£m)</t>
        </is>
      </c>
      <c r="E3" s="4" t="inlineStr">
        <is>
          <t>FY2022 (£m)</t>
        </is>
      </c>
      <c r="F3" s="4" t="inlineStr">
        <is>
          <t>FY2021 (£m)</t>
        </is>
      </c>
    </row>
    <row r="4">
      <c r="A4" s="6" t="inlineStr">
        <is>
          <t>[No RWA breakdown published for this year - see note below]</t>
        </is>
      </c>
      <c r="B4" s="6" t="inlineStr">
        <is>
          <t>Not published - no FY2025 Pillar III edition as at 19/09/2026</t>
        </is>
      </c>
      <c r="C4" s="6" t="n"/>
      <c r="D4" s="6" t="n"/>
      <c r="E4" s="6" t="n"/>
      <c r="F4" s="6" t="n"/>
    </row>
    <row r="5">
      <c r="A5" s="5" t="inlineStr">
        <is>
          <t>Credit risk RWA, by exposure class (Standardised approach)</t>
        </is>
      </c>
      <c r="B5" s="6" t="n"/>
      <c r="C5" s="6" t="n"/>
      <c r="D5" s="6" t="n"/>
      <c r="E5" s="6" t="n"/>
      <c r="F5" s="6" t="n"/>
    </row>
    <row r="6">
      <c r="A6" s="6" t="inlineStr">
        <is>
          <t>Cash and balances with banks</t>
        </is>
      </c>
      <c r="B6" s="6" t="n"/>
      <c r="C6" s="6" t="n">
        <v>4.8</v>
      </c>
      <c r="D6" s="6" t="n">
        <v>4.5</v>
      </c>
      <c r="E6" s="6" t="n">
        <v>3.5</v>
      </c>
      <c r="F6" s="6" t="n">
        <v>3.6</v>
      </c>
    </row>
    <row r="7">
      <c r="A7" s="6" t="inlineStr">
        <is>
          <t>Financing and advances at amortised cost</t>
        </is>
      </c>
      <c r="B7" s="6" t="n"/>
      <c r="C7" s="6" t="n">
        <v>498.8</v>
      </c>
      <c r="D7" s="6" t="n">
        <v>499.3</v>
      </c>
      <c r="E7" s="6" t="n">
        <v>446.7</v>
      </c>
      <c r="F7" s="6" t="n">
        <v>356.3</v>
      </c>
    </row>
    <row r="8">
      <c r="A8" s="6" t="inlineStr">
        <is>
          <t>Financial assets held at fair value through the income statement</t>
        </is>
      </c>
      <c r="B8" s="6" t="n"/>
      <c r="C8" s="6" t="n">
        <v>10.9</v>
      </c>
      <c r="D8" s="6" t="n">
        <v>27.4</v>
      </c>
      <c r="E8" s="6" t="n">
        <v>25.6</v>
      </c>
      <c r="F8" s="6" t="n">
        <v>55.7</v>
      </c>
    </row>
    <row r="9">
      <c r="A9" s="6" t="inlineStr">
        <is>
          <t>Financial assets at fair value through other comprehensive income</t>
        </is>
      </c>
      <c r="B9" s="6" t="n"/>
      <c r="C9" s="6" t="n">
        <v>0</v>
      </c>
      <c r="D9" s="6" t="n">
        <v>0</v>
      </c>
      <c r="E9" s="6" t="n">
        <v>0</v>
      </c>
      <c r="F9" s="6" t="n">
        <v>0</v>
      </c>
    </row>
    <row r="10">
      <c r="A10" s="6" t="inlineStr">
        <is>
          <t>Derivative financial instruments</t>
        </is>
      </c>
      <c r="B10" s="6" t="n"/>
      <c r="C10" s="6" t="n">
        <v>6.2</v>
      </c>
      <c r="D10" s="6" t="n">
        <v>6.6</v>
      </c>
      <c r="E10" s="6" t="n">
        <v>6.8</v>
      </c>
      <c r="F10" s="6" t="n">
        <v>0.5</v>
      </c>
    </row>
    <row r="11">
      <c r="A11" s="6" t="inlineStr">
        <is>
          <t>Investment in subsidiaries</t>
        </is>
      </c>
      <c r="B11" s="6" t="n"/>
      <c r="C11" s="6" t="n">
        <v>29.3</v>
      </c>
      <c r="D11" s="6" t="n">
        <v>29.2</v>
      </c>
      <c r="E11" s="6" t="n">
        <v>26.4</v>
      </c>
      <c r="F11" s="6" t="n">
        <v>6.5</v>
      </c>
    </row>
    <row r="12">
      <c r="A12" s="6" t="inlineStr">
        <is>
          <t>Investment in associates</t>
        </is>
      </c>
      <c r="B12" s="6" t="n"/>
      <c r="C12" s="6" t="n"/>
      <c r="D12" s="6" t="n"/>
      <c r="E12" s="6" t="n"/>
      <c r="F12" s="6" t="n">
        <v>28.3</v>
      </c>
    </row>
    <row r="13">
      <c r="A13" s="6" t="inlineStr">
        <is>
          <t>Other assets</t>
        </is>
      </c>
      <c r="B13" s="6" t="n"/>
      <c r="C13" s="6" t="n">
        <v>7.6</v>
      </c>
      <c r="D13" s="6" t="n">
        <v>4.3</v>
      </c>
      <c r="E13" s="6" t="n">
        <v>4.4</v>
      </c>
      <c r="F13" s="6" t="n">
        <v>3.9</v>
      </c>
    </row>
    <row r="14">
      <c r="A14" s="6" t="inlineStr">
        <is>
          <t>Off balance sheet assets</t>
        </is>
      </c>
      <c r="B14" s="6" t="n"/>
      <c r="C14" s="6" t="n">
        <v>6.3</v>
      </c>
      <c r="D14" s="6" t="n">
        <v>3.8</v>
      </c>
      <c r="E14" s="6" t="n">
        <v>12.9</v>
      </c>
      <c r="F14" s="6" t="n">
        <v>8.199999999999999</v>
      </c>
    </row>
    <row r="15">
      <c r="A15" s="5" t="inlineStr">
        <is>
          <t>Credit risk RWA, total</t>
        </is>
      </c>
      <c r="B15" s="5" t="n"/>
      <c r="C15" s="5" t="n">
        <v>563.9</v>
      </c>
      <c r="D15" s="5" t="n">
        <v>575.1</v>
      </c>
      <c r="E15" s="5" t="n">
        <v>526.3</v>
      </c>
      <c r="F15" s="5" t="n">
        <v>463</v>
      </c>
    </row>
    <row r="16">
      <c r="A16" s="6" t="inlineStr">
        <is>
          <t>Operational risk RWA (derived: disclosed Pillar 1 capital requirement ÷ 8%)</t>
        </is>
      </c>
      <c r="B16" s="6" t="n"/>
      <c r="C16" s="6" t="n">
        <v>52.5</v>
      </c>
      <c r="D16" s="6" t="n">
        <v>60</v>
      </c>
      <c r="E16" s="6" t="n">
        <v>47.5</v>
      </c>
      <c r="F16" s="6" t="n">
        <v>35</v>
      </c>
    </row>
    <row r="17">
      <c r="A17" s="6" t="inlineStr">
        <is>
          <t>Market risk, CVA and other Pillar 1 RWA (residual — Total RWA less disclosed Credit Risk and derived Operational Risk RWA)</t>
        </is>
      </c>
      <c r="B17" s="6" t="n"/>
      <c r="C17" s="6" t="n">
        <v>20.3</v>
      </c>
      <c r="D17" s="6" t="n">
        <v>9.699999999999999</v>
      </c>
      <c r="E17" s="6" t="n">
        <v>20.9</v>
      </c>
      <c r="F17" s="6" t="n">
        <v>25</v>
      </c>
    </row>
    <row r="18">
      <c r="A18" s="5" t="inlineStr">
        <is>
          <t>Total RWAs</t>
        </is>
      </c>
      <c r="B18" s="5" t="n"/>
      <c r="C18" s="5" t="n">
        <v>636.7</v>
      </c>
      <c r="D18" s="5" t="n">
        <v>644.8</v>
      </c>
      <c r="E18" s="5" t="n">
        <v>594.7</v>
      </c>
      <c r="F18" s="5" t="n">
        <v>523</v>
      </c>
    </row>
    <row r="20" ht="380" customHeight="1">
      <c r="A20" s="9" t="inlineStr">
        <is>
          <t>Sources - Gatehouse Bank Plc Pillar 3 disclosures:
Credit risk RWA by exposure class - 'The table below breaks out the Bank's Pillar 1 capital requirements for credit risk' table (an image-only table, visually transcribed):
FY2024: Pillar III Disclosure 2024, p.14 - https://assets.gatehousebank.com/production/downloads/Gatehouse-Bank-Pillar-III-Disclosure-2024-FINAL.pdf
FY2023: Pillar III Disclosure 2023, p.14 - https://assets.gatehousebank.com/production/downloads/Gatehouse-Bank-Pillar-III-Disclosure-2023-FINAL.pdf
FY2022: Pillar III Disclosure 2022, p.15 - https://gatehousebank.com/downloads/gatehouse-bank-pillar-3-disclosure-2022
FY2021: Pillar III Disclosure 2021, p.14 - https://assets.gatehousebank.com/production/downloads/Gatehouse-Bank-Pillar-III-Disclosure-2021-FINAL_2022-08-23-154942_nofu.pdf
Operational risk RWA is NOT disclosed directly - each year's Pillar 3 document states only the Bank's 'Pillar 1 capital requirements to meet operational risks' in £m (FY2024: 4.2, FY2023: 4.8, FY2022: 3.8, FY2021: 2.8, from the same 4 documents' s.9 Operational Risk sections) - derived to RWA here by dividing by the Pillar 1 minimum ratio of 8%, per the same documents' own stated methodology. The Market risk/CVA/other residual row is NOT independently disclosed anywhere - it is the arithmetic gap between the disclosed Total RWA (from the Total RWAs metric sheet's own Article 447 Key Metrics source) and the sum of disclosed Credit Risk RWA plus derived Operational Risk RWA, shown explicitly rather than silently absorbed, since the Bank's own Pillar 3 narrative states it has 'no material exposure to market risk.' FY2025 blank - Pillar 3 disclosures not yet published as at build date (same gap as the other Pillar 3 sheets in this workbook).
FY2025 RE-CHECKED 2026-09-15 AND STILL GENUINELY UNPUBLISHED, not a sourcing gap: the Bank's own publications index (https://gatehousebank.com/about-us/corporate-governance) was fetched live on that date and lists Pillar III editions for 2017, 2018, 2019, 2020, 2021, 2022, 2023 and 2024 - and no 2025. Gatehouse's pattern is to publish the Pillar 3 well AFTER the Annual Report (the 2024 edition's asset-server timestamp is August 2025, five months behind the 2024 Annual Report), so the FY2025 column is expected to fill on a later pass rather than to require a different search. The 2018, 2019 and 2020 editions listed on that index are outside this workbook's year columns (FY2025-FY2021 plus FY2017) and were not transcribed; the 2018 edition was read to check whether it carried a FY2017 RWA comparative for this sheet, and it does not - its exposure/RWA tables are 31 December 2018 only.
FY2017 BLANK - EXPLAINED, NOT UNCHECKED (2026-09-15): the Pillar III Disclosure 2017 was located and read this session, and it did populate the FY2017 column of every other regulatory metric sheet in this workbook (https://assets.gatehousebank.com/production/downloads/gatehousebankpillariiidisclosure2017.pdf). It cannot populate THIS sheet because it contains no credit-risk-RWA-by-exposure-class table at all. What it does give is only a whole-Bank split: Total RWA GBP256.2m against a Pillar 1 capital requirement of GBP20.5m (s.6, p.12; 20.5/0.08 = 256.25, consistent), operational risk capital of GBP5.8m (s.9, p.24, implying c.GBP72.5m of operational risk RWA on the 8% basis this sheet already uses) and a nil Pillar 1 market risk charge (s.8, p.22). Appendix II (p.27) does break exposures down by class - sovereigns GBP13.0m, regional govt/MDB/PSE GBP13.9m, institutions GBP59.2m, secured by immovable property GBP82.0m, other GBP109.1m - but those are LEVERAGE EXPOSURE amounts, not risk-weighted amounts, and must not be entered in an RWA sheet. So FY2017 is a genuine absence of this particular breakdown in an otherwise complete disclosure, and is left blank rather than assembled from mismatched measures.
ENTITY NOTE: Gatehouse Bank Plc (FRN 475346, company 06260053) is a UK Shariah-compliant (Islamic) bank - 'profit paid/received' in the cash flow statement is the functional equivalent of conventional interest paid/received, and financing/advances line items are Shariah-compliant structures (Wakala, Murabaha, ijara) presented here as the standard cash flow line items they represent. Figures are the Bank's own Consolidated Statement of Cash Flows from its Companies House 'Group of companies' accounts' filings.</t>
        </is>
      </c>
    </row>
    <row r="22" ht="380" customHeight="1">
      <c r="A22" s="9" t="inlineStr">
        <is>
          <t>(continued)
GENUINE MID-SERIES PRESENTATION CHANGE across 3 distinct eras, each kept on its own originally-published line items (blank cells where a line doesn't apply that year, not a gap): FY2021 (single combined profit line, no separate cash-tax-paid line); FY2022-FY2023 (profit split continuing/discontinued, 'Share in profit of associate' adjustment, cash tax paid shown separately within the operating-liabilities block); FY2024-FY2025 (adds Held-For-Sale adjustment/asset lines and an 'Intercompany payable receivable' line reflecting a disclosed business restructuring, and introduces a 'Cash generated from operations' subtotal not shown in earlier years). The 'Fair value movement in financial instruments held at FVTIS (derivative financial instruments)' caption is used TWICE within the same year's own statement - once as a non-cash P&amp;L adjustment, once under operating-asset movements - kept as two distinct rows per the source, not a duplicate.
FY2021 RESTATEMENT: the FY2022 Annual Report's own FY2021 comparative column reclassifies several FY2021 operating/investing line items (e.g. splits continuing/discontinued profit differently, renames 'Net investment in financial assets held at FVTIS/FVTOCI' into the derivative-FVTIS captions used from FY2022 onward) versus FY2021's own originally-published Annual Report. The two vintages' Net cash flow from operating/investing activities totals differ (12,357/17,325 as originally published vs 12,643/17,039 restated) but their SUM and the overall net cash movement (28,958) are identical in both - a pure reclassification between sections, not a value correction (the same pattern seen at FCE Bank Plc in this project). FY2021's own originally-published Annual Report figures are used here, consistent with every other year using its own primary source rather than a later restated comparative.
FY2017: Annual Report and Financial Statements 2017, pp.33-36 - https://assets.gatehousebank.com/production/downloads/gatehousebankannualreport2017-wesbite2.pdf
FY2017 Pillar 3 key metrics are not in the 2017 annual report, but they ARE published - in the Bank's separate Pillar III Disclosure 2017, which was located and read on 2026-09-15 and now populates the FY2017 column of every regulatory metric sheet except NSFR - https://assets.gatehousebank.com/production/downloads/gatehousebankpillariiidisclosure2017.pdf
(This supersedes an earlier note here which said FY2017 regulatory cells were 'left blank rather than inferred from the financial statements'. Nothing needed to be inferred: the wrong document had been checked. See the FY2017 note on the metric sheets for the full derivation and cross-checks.)
Full opening-to-closing cash balance chain (including the separately-disclosed FX effect on cash) ties exactly across all available years.</t>
        </is>
      </c>
    </row>
  </sheetData>
  <mergeCells count="2">
    <mergeCell ref="A20:F20"/>
    <mergeCell ref="A22:F2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Gatehouse Bank Plc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FY2017</t>
        </is>
      </c>
    </row>
    <row r="4">
      <c r="A4" s="6" t="inlineStr">
        <is>
          <t>Leverage ratio excluding claims on central banks</t>
        </is>
      </c>
      <c r="B4" s="6" t="inlineStr">
        <is>
          <t>Not published - no FY2025 Pillar III edition as at 19/09/2026</t>
        </is>
      </c>
      <c r="C4" s="6" t="inlineStr">
        <is>
          <t>7.4%</t>
        </is>
      </c>
      <c r="D4" s="6" t="inlineStr">
        <is>
          <t>7.3%</t>
        </is>
      </c>
      <c r="E4" s="6" t="inlineStr">
        <is>
          <t>7.5%</t>
        </is>
      </c>
      <c r="F4" s="6" t="inlineStr">
        <is>
          <t>9.2%</t>
        </is>
      </c>
      <c r="G4" s="6" t="inlineStr">
        <is>
          <t>37.8%</t>
        </is>
      </c>
    </row>
    <row r="5">
      <c r="A5" s="6" t="inlineStr">
        <is>
          <t>Leverage ratio — Annual Report 2025 KPI table (Tier 1 capital ÷ total exposures, Bank's own KPI basis, not Pillar 3)</t>
        </is>
      </c>
      <c r="B5" s="6" t="inlineStr">
        <is>
          <t>6.53%</t>
        </is>
      </c>
      <c r="C5" s="6" t="inlineStr">
        <is>
          <t>7.29%</t>
        </is>
      </c>
      <c r="D5" s="6" t="n"/>
      <c r="E5" s="6" t="n"/>
      <c r="F5" s="6" t="n"/>
      <c r="G5" s="6" t="n"/>
    </row>
    <row r="6">
      <c r="A6" s="6" t="inlineStr">
        <is>
          <t>Total leverage ratio exposure (£m)</t>
        </is>
      </c>
      <c r="B6" s="6" t="n"/>
      <c r="C6" s="6" t="n"/>
      <c r="D6" s="6" t="n"/>
      <c r="E6" s="6" t="n"/>
      <c r="F6" s="6" t="n"/>
      <c r="G6" s="6" t="n">
        <v>253.3</v>
      </c>
    </row>
    <row r="7" ht="260" customHeight="1">
      <c r="A7" s="7" t="inlineStr">
        <is>
          <t>Note: FY2017 RECOVERED 2026-09-15. These cells were previously blank on the stated ground that 'FY2017 Pillar 3 key metrics were not published in the 2017 annual report'. That was true of the annual report but the wrong document was checked: Gatehouse Bank published a standalone 'Pillar III Disclosure 2017', and it is listed on the Bank's own live publications index to this day (gatehousebank.com/about-us/corporate-governance, link 'gatehouse-bank-pillar-3-disclosure-2017'). It was retrieved and read this session. Its Key Metrics table (p.3) prints CET1 ratio 37.3%, Tier 1 ratio 37.3%, Total Capital Ratio 37.3%, Leverage Ratio 37.8% and LCR 641.3% at 31-Dec-17; s.5 Capital Resources (p.11) and Appendix 1 (Own Funds Disclosure, p.26) give Total regulatory capital of GBP95.6m; s.6 (p.12) states 'Total Risk Weighted assets as at 31 December 2017 amount to GBP256.2m'; Appendix II (p.27) gives Total leverage ratio exposure of GBP253.3m; and s.9 (p.19) gives a liquidity buffer of GBP25.4m against total net cash outflows of GBP4.0m.
All three ratios reconcile to the amounts: 95.6/256.2 = 37.3%, 95.6/253.3 = 37.7% and the LCR buffer/outflow pair is consistent with 641.3% at the disclosed rounding of the outflow figure. BASIS NOTE: FY2017 predates the Bank's Article 447/UK KM1 template series (which begins FY2021 here), so the FY2017 figures come from the equivalent CRD IV-era disclosure rather than the KM1 template. The capital stack also differs in shape - in FY2017 the Bank held no Tier 2 at all, so CET1, Tier 1 and Total capital are all GBP95.6m and all three ratios are identically 37.3%; the GBP(19.7)m deduction for the significant investment in Gatehouse Capital is a FY2017-specific item that does not recur in the later years.
FY2025 MEMO ROW (added 2026-09-19), AND WHY IT IS A SEPARATE ROW. No FY2025 Pillar 3 disclosure exists yet (see above), but the Annual Report 2025's own Key Performance Indicators table (printed p.21) prints a CET1 ratio of 15.74% (2024: 16.56%) and a leverage ratio of 6.53% (2024: 7.29%), with the Bank's own formulae stated in footnote 3 on the same page - 'CET1 ratio: calculated as Tier 1 common equity / risk weighted assets' and 'Leverage ratio: calculated as Tier 1 Capital / Total exposures'.
THESE ARE NOT THE SAME NUMBERS THE PILLAR 3 PRINTS, and the divergence is recorded rather than reconciled. On the KPI table's own FY2024 comparative column the CET1 ratio is 16.56% where this workbook's FY2024 Pillar 3 KM1 figure is 17.1%, and the leverage ratio is 7.29% where the KM1 figure is 7.4%. So the two measures demonstrably disagree in a year where BOTH are published - which is the reason the FY2025 KPI figures are shown on their own row, labelled with their source, instead of being dropped into the Pillar 3 row as though they continued the series. Neither figure is adjusted to make the other tie.
The KPI table also prints an 'Average risk weight' of 40.97% (2024: 43.61%), defined as risk-weighted assets / total assets. That is deliberately NOT used to reconstruct FY2025 Total RWAs: multiplying it by a balance-sheet total would be a back-solve, and this project does not back-solve an RWA. The Total RWAs and RWA Breakdown sheets stay as recorded absences for FY2025.</t>
        </is>
      </c>
    </row>
    <row r="9" ht="325" customHeight="1">
      <c r="A9" s="9" t="inlineStr">
        <is>
          <t>Sources - Gatehouse Bank Plc Pillar 3 disclosures, Article 447 Key Metrics table, p.32:
FY2017: Pillar III Disclosure 2017 - Key Metrics table p.3, s.5 Capital Resources p.11, s.6 p.12, s.9 p.19, Appendix 1 (Own Funds Disclosure) p.26 and Appendix II (Analysis of Leverage Ratio) p.27. This is the CRD IV-era predecessor of the Article 447 template, not the template itself - https://assets.gatehousebank.com/production/downloads/gatehousebankpillariiidisclosure2017.pdf
FY2024: Pillar III Disclosure 2024 (Dec-24 column) - https://assets.gatehousebank.com/production/downloads/Gatehouse-Bank-Pillar-III-Disclosure-2024-FINAL.pdf
FY2023: Pillar III Disclosure 2023 (Dec-23 column) - https://assets.gatehousebank.com/production/downloads/Gatehouse-Bank-Pillar-III-Disclosure-2023-FINAL.pdf
FY2022: Pillar III Disclosure 2022 (Dec-22 column, own year's disclosure - see restatement note) - https://gatehousebank.com/downloads/gatehouse-bank-pillar-3-disclosure-2022
FY2021: Annual Report and Financial Statements 2021, s.5 Capital Resources, p.11 (own year-end capital resources note, cross-validated against the 2022 Pillar 3 disclosure's Dec-21 comparative column) - https://assets.gatehousebank.com/production/downloads/Gatehouse-Bank-Annual-Report-2021-FINAL-web.pdf
SDDT DATE TEST (checked 2026-09-15): the PRA's consolidated register of waivers and modifications ('Consolidated Waivers list for PRA-regulated firms - as of 1 July 2026', bankofengland.co.uk/prudential-regulation/authorisations/waivers-and-modifications-of-rules) records that Gatehouse Bank Plc (FRN 475346) holds a 'Modification by Consent - PRA Rulebook - CRR Firms - Rule 3.1 of the SDDT Regime - General Application Part', sub-rule 'Ru 3.1', starting 08/01/2026 with no end date. That modification removes the Pillar 3 disclosure obligation outright (a stronger relief than UK CRR Article 433b, which only reduces frequency and content for small and non-complex institutions).
Crucially, 08/01/2026 falls EIGHT DAYS AFTER the FY2025 year-end of 31 December 2025 (year-end confirmed 31 December throughout the Bank's Companies House accounts filing history, company 06260053). FY2025 therefore PREDATES the modification and is NOT structurally exempt - the Bank was still subject to the disclosure obligation for that year. This is corroborated independently by the fact that the FY2025 Pillar 3 document demonstrably EXISTS (the Annual Report says it is 'available on request', see below): the obligation was live and was met, just not by general publication. The FY2025 blanks below are therefore an ACCESS gap, not a structural one, and are recoverable by requesting the document from the Bank.
Forward-looking: FY2026 (year ending 31 December 2026) is the first year that falls after the modification took effect, so from FY2026 onward these blanks are expected to become structural.
FY2025: no FY2025 Pillar 3 disclosure has been published. The Bank's own Annual Report 2025 confirms the document is not on general release - 'Pillar 3 disclosures are presented in the "Pillar 3 Disclosures" document, available on request' (Notes to the Financial Statements, p.125) - and no 2025 file exists under the CDN naming pattern that serves every prior year, nor in the site's downloads sitemap, nor in the Wayback CDX index for the domain (newest Pillar 3 capture is the 2024 report, 11 June 2026).
RE-VERIFIED 2026-09-15 against the Bank's own LIVE publications index rather than by URL guessing - https://gatehousebank.com/about-us/corporate-governance. That page lists Pillar 3 disclosures for 2017, 2018, 2019, 2020, 2021, 2022, 2023 and 2024 and NO 2025 edition, while listing the Annual Report 2025 - i.e. the Bank has published its FY2025 annual report but not its FY2025 Pillar 3, exactly as the annual report says ('published as soon as practicable AFTER the publication of the annual report'). An unfiltered Wayback CDX sweep of the whole gatehousebank.com domain (6,938 captures) independently returns the same eight Pillar 3 documents and no 2025 one. So FY2025 is a live access gap that may simply close on its own when the Bank publishes; it is worth re-checking this index before requesting the document. The same index is what exposed the FY2017 disclosure this project had been missing.</t>
        </is>
      </c>
    </row>
    <row r="11" ht="299" customHeight="1">
      <c r="A11" s="9" t="inlineStr">
        <is>
          <t>(continued)
RE-CHECKED 2026-09-18 (separate session, prior verdict treated as unproven) - UNCHANGED. The publications index was re-fetched and every document link parsed out: it still lists Pillar III Disclosures for 2017, 2018, 2019, 2020, 2021, 2022, 2023 and 2024 and no 2025 edition, alongside the Annual Report 2025. Two FY2025 filenames were then probed directly on the CDN that serves every prior year (Gatehouse-Bank-Pillar-III-Disclosure-2025-FINAL.pdf and Gatehouse-Bank-Pillar-III-Disclosure-2025.pdf); both returned HTTP 404 while a control fetch of the FY2024 filename on the same host returned HTTP 200, Content-Type application/pdf, first bytes '%PDF', 617,672 bytes. That control matters: the alternative gatehousebank.com/downloads/ route 404s even for the FY2024 document, so probing FY2025 on that route alone would have manufactured a false negative. The Annual Report 2025 was also re-read in full text this date and independently reproduces the AMOUNTS/RATIOS split described below.
FY2025 is therefore populated ONLY where the Annual Report 2025 prints a figure that is provably on the same basis as the Pillar 3 series. That is true of the capital AMOUNTS and false of the RATIOS, so they are treated differently:
  - AMOUNTS (same basis, used): the regulatory capital note on p.126 gives Total regulatory capital of GBP111,120k for 2025 and GBP127,083k for 2024. That 2024 comparative equals the GBP127.1m this workbook already carries from the FY2024 Pillar 3 disclosure, so the note is like-for-like and FY2025 Total Capital is taken from it - https://assets.gatehousebank.com/production/downloads/Gatehouse-Bank-Annual-Report-2025.pdf
  - RATIOS (different basis, NOT used): the Annual Report's KPI table (p.21) gives a 2025 CET1 ratio of 15.74% and leverage ratio of 6.53%, but its own 2024 comparatives (16.56% and 7.29%) do NOT match the FY2024 Pillar 3 figures carried here (17.1% and 7.4%). The Annual Report defines its CET1 ratio as 'Tier 1 common equity / risk weighted assets' and its leverage ratio as 'Tier 1 Capital / Total exposures' on an accounting exposure measure, which is not the Article 447 basis. Mixing the two would create a false break in the series, so the CET1 Ratio, Tier 1 Ratio, Total Capital Ratio and Leverage Ratio sheets are left blank for FY2025 rather than blended.
  - NOT PRINTED AT ALL: the Annual Report gives no RWA total, no LCR and no NSFR for 2025, so those sheets are blank too. Its capital note also stops at components - Core Tier 1 subtotal GBP109,790k less Deductions from CET1 GBP(17,609)k, plus Tier 2 GBP18,939k, totalling GBP111,120k - without printing CET1 net of deductions, so the CET1 Capital and Tier 1 Capital sheets are blank for FY2025 rather than carrying a figure this project would have had to compute itself. (For reference, that subtraction on the 2024 column reproduces GBP108.6m, exactly the FY2024 Pillar 3 CET1 figure used here, so the missing FY2025 CET1 is recoverable the moment the Pillar 3 document is obtained - it is requestable from the Bank.)
RESTATEMENT NOTE: the FY2023 Pillar 3 disclosure's own Dec-22 comparative column shows CET1 capital of GBP98.0m / RWA of GBP579.1m / ratios of 16.9%/16.9%/18.5% / leverage 7.1% - different from the FY2022 disclosure's own Dec-22 ('T') figures used here (GBP103.2m / GBP594.7m / 17.4%/17.4%/18.9% / 7.5%). LCR and NSFR at Dec-22 match exactly between both vintages (350.7% and 150.6%), so only the capital-side figures were later restated. Each year's own primary disclosure is used throughout, consistent with the rest of this workbook.</t>
        </is>
      </c>
    </row>
  </sheetData>
  <mergeCells count="3">
    <mergeCell ref="A11:G11"/>
    <mergeCell ref="A7:G7"/>
    <mergeCell ref="A9:G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Gatehouse Bank Plc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FY2017</t>
        </is>
      </c>
    </row>
    <row r="4">
      <c r="A4" s="6" t="inlineStr">
        <is>
          <t>Liquidity coverage ratio</t>
        </is>
      </c>
      <c r="B4" s="6" t="inlineStr">
        <is>
          <t>Not disclosed - AR2025 is qualitative on LCR; no FY2025 Pillar III edition</t>
        </is>
      </c>
      <c r="C4" s="6" t="inlineStr">
        <is>
          <t>447.6%</t>
        </is>
      </c>
      <c r="D4" s="6" t="inlineStr">
        <is>
          <t>691.6%</t>
        </is>
      </c>
      <c r="E4" s="6" t="inlineStr">
        <is>
          <t>350.7%</t>
        </is>
      </c>
      <c r="F4" s="6" t="inlineStr">
        <is>
          <t>365.4%</t>
        </is>
      </c>
      <c r="G4" s="6" t="inlineStr">
        <is>
          <t>641.3%</t>
        </is>
      </c>
    </row>
    <row r="5">
      <c r="A5" s="6" t="inlineStr">
        <is>
          <t>Liquidity buffer (£m)</t>
        </is>
      </c>
      <c r="B5" s="6" t="n"/>
      <c r="C5" s="6" t="n"/>
      <c r="D5" s="6" t="n"/>
      <c r="E5" s="6" t="n"/>
      <c r="F5" s="6" t="n"/>
      <c r="G5" s="6" t="n">
        <v>25.4</v>
      </c>
    </row>
    <row r="6">
      <c r="A6" s="6" t="inlineStr">
        <is>
          <t>Total net cash outflows (£m)</t>
        </is>
      </c>
      <c r="B6" s="6" t="n"/>
      <c r="C6" s="6" t="n"/>
      <c r="D6" s="6" t="n"/>
      <c r="E6" s="6" t="n"/>
      <c r="F6" s="6" t="n"/>
      <c r="G6" s="6" t="n">
        <v>4</v>
      </c>
    </row>
    <row r="7" ht="195" customHeight="1">
      <c r="A7" s="7" t="inlineStr">
        <is>
          <t>Note: FY2017 RECOVERED 2026-09-15. These cells were previously blank on the stated ground that 'FY2017 Pillar 3 key metrics were not published in the 2017 annual report'. That was true of the annual report but the wrong document was checked: Gatehouse Bank published a standalone 'Pillar III Disclosure 2017', and it is listed on the Bank's own live publications index to this day (gatehousebank.com/about-us/corporate-governance, link 'gatehouse-bank-pillar-3-disclosure-2017'). It was retrieved and read this session. Its Key Metrics table (p.3) prints CET1 ratio 37.3%, Tier 1 ratio 37.3%, Total Capital Ratio 37.3%, Leverage Ratio 37.8% and LCR 641.3% at 31-Dec-17; s.5 Capital Resources (p.11) and Appendix 1 (Own Funds Disclosure, p.26) give Total regulatory capital of GBP95.6m; s.6 (p.12) states 'Total Risk Weighted assets as at 31 December 2017 amount to GBP256.2m'; Appendix II (p.27) gives Total leverage ratio exposure of GBP253.3m; and s.9 (p.19) gives a liquidity buffer of GBP25.4m against total net cash outflows of GBP4.0m.
All three ratios reconcile to the amounts: 95.6/256.2 = 37.3%, 95.6/253.3 = 37.7% and the LCR buffer/outflow pair is consistent with 641.3% at the disclosed rounding of the outflow figure. BASIS NOTE: FY2017 predates the Bank's Article 447/UK KM1 template series (which begins FY2021 here), so the FY2017 figures come from the equivalent CRD IV-era disclosure rather than the KM1 template. The capital stack also differs in shape - in FY2017 the Bank held no Tier 2 at all, so CET1, Tier 1 and Total capital are all GBP95.6m and all three ratios are identically 37.3%; the GBP(19.7)m deduction for the significant investment in Gatehouse Capital is a FY2017-specific item that does not recur in the later years.
FY2025 IS A RECORDED ABSENCE, NOT AN UNCHECKED CELL (2026-09-19). The Annual Report 2025 mentions the LCR exactly once, in the Strategic Report's business-model section (printed p.20): 'the Bank maintained solid capital, funding and liquidity levels. Our liquidity coverage ratio remained comfortably above the regulatory threshold'. That is the whole of it - no percentage, no buffer amount, no net-outflow amount, and no LCR table anywhere in the report. A qualitative assurance is not a disclosed ratio and is not transcribed as one. The figure would come from the FY2025 Pillar 3, which does not exist yet.</t>
        </is>
      </c>
    </row>
    <row r="9" ht="325" customHeight="1">
      <c r="A9" s="9" t="inlineStr">
        <is>
          <t>Sources - Gatehouse Bank Plc Pillar 3 disclosures, Article 447 Key Metrics table, p.32:
FY2017: Pillar III Disclosure 2017 - Key Metrics table p.3, s.5 Capital Resources p.11, s.6 p.12, s.9 p.19, Appendix 1 (Own Funds Disclosure) p.26 and Appendix II (Analysis of Leverage Ratio) p.27. This is the CRD IV-era predecessor of the Article 447 template, not the template itself - https://assets.gatehousebank.com/production/downloads/gatehousebankpillariiidisclosure2017.pdf
FY2024: Pillar III Disclosure 2024 (Dec-24 column) - https://assets.gatehousebank.com/production/downloads/Gatehouse-Bank-Pillar-III-Disclosure-2024-FINAL.pdf
FY2023: Pillar III Disclosure 2023 (Dec-23 column) - https://assets.gatehousebank.com/production/downloads/Gatehouse-Bank-Pillar-III-Disclosure-2023-FINAL.pdf
FY2022: Pillar III Disclosure 2022 (Dec-22 column, own year's disclosure - see restatement note) - https://gatehousebank.com/downloads/gatehouse-bank-pillar-3-disclosure-2022
FY2021: Annual Report and Financial Statements 2021, s.5 Capital Resources, p.11 (own year-end capital resources note, cross-validated against the 2022 Pillar 3 disclosure's Dec-21 comparative column) - https://assets.gatehousebank.com/production/downloads/Gatehouse-Bank-Annual-Report-2021-FINAL-web.pdf
SDDT DATE TEST (checked 2026-09-15): the PRA's consolidated register of waivers and modifications ('Consolidated Waivers list for PRA-regulated firms - as of 1 July 2026', bankofengland.co.uk/prudential-regulation/authorisations/waivers-and-modifications-of-rules) records that Gatehouse Bank Plc (FRN 475346) holds a 'Modification by Consent - PRA Rulebook - CRR Firms - Rule 3.1 of the SDDT Regime - General Application Part', sub-rule 'Ru 3.1', starting 08/01/2026 with no end date. That modification removes the Pillar 3 disclosure obligation outright (a stronger relief than UK CRR Article 433b, which only reduces frequency and content for small and non-complex institutions).
Crucially, 08/01/2026 falls EIGHT DAYS AFTER the FY2025 year-end of 31 December 2025 (year-end confirmed 31 December throughout the Bank's Companies House accounts filing history, company 06260053). FY2025 therefore PREDATES the modification and is NOT structurally exempt - the Bank was still subject to the disclosure obligation for that year. This is corroborated independently by the fact that the FY2025 Pillar 3 document demonstrably EXISTS (the Annual Report says it is 'available on request', see below): the obligation was live and was met, just not by general publication. The FY2025 blanks below are therefore an ACCESS gap, not a structural one, and are recoverable by requesting the document from the Bank.
Forward-looking: FY2026 (year ending 31 December 2026) is the first year that falls after the modification took effect, so from FY2026 onward these blanks are expected to become structural.
FY2025: no FY2025 Pillar 3 disclosure has been published. The Bank's own Annual Report 2025 confirms the document is not on general release - 'Pillar 3 disclosures are presented in the "Pillar 3 Disclosures" document, available on request' (Notes to the Financial Statements, p.125) - and no 2025 file exists under the CDN naming pattern that serves every prior year, nor in the site's downloads sitemap, nor in the Wayback CDX index for the domain (newest Pillar 3 capture is the 2024 report, 11 June 2026).
RE-VERIFIED 2026-09-15 against the Bank's own LIVE publications index rather than by URL guessing - https://gatehousebank.com/about-us/corporate-governance. That page lists Pillar 3 disclosures for 2017, 2018, 2019, 2020, 2021, 2022, 2023 and 2024 and NO 2025 edition, while listing the Annual Report 2025 - i.e. the Bank has published its FY2025 annual report but not its FY2025 Pillar 3, exactly as the annual report says ('published as soon as practicable AFTER the publication of the annual report'). An unfiltered Wayback CDX sweep of the whole gatehousebank.com domain (6,938 captures) independently returns the same eight Pillar 3 documents and no 2025 one. So FY2025 is a live access gap that may simply close on its own when the Bank publishes; it is worth re-checking this index before requesting the document. The same index is what exposed the FY2017 disclosure this project had been missing.</t>
        </is>
      </c>
    </row>
    <row r="11" ht="299" customHeight="1">
      <c r="A11" s="9" t="inlineStr">
        <is>
          <t>(continued)
RE-CHECKED 2026-09-18 (separate session, prior verdict treated as unproven) - UNCHANGED. The publications index was re-fetched and every document link parsed out: it still lists Pillar III Disclosures for 2017, 2018, 2019, 2020, 2021, 2022, 2023 and 2024 and no 2025 edition, alongside the Annual Report 2025. Two FY2025 filenames were then probed directly on the CDN that serves every prior year (Gatehouse-Bank-Pillar-III-Disclosure-2025-FINAL.pdf and Gatehouse-Bank-Pillar-III-Disclosure-2025.pdf); both returned HTTP 404 while a control fetch of the FY2024 filename on the same host returned HTTP 200, Content-Type application/pdf, first bytes '%PDF', 617,672 bytes. That control matters: the alternative gatehousebank.com/downloads/ route 404s even for the FY2024 document, so probing FY2025 on that route alone would have manufactured a false negative. The Annual Report 2025 was also re-read in full text this date and independently reproduces the AMOUNTS/RATIOS split described below.
FY2025 is therefore populated ONLY where the Annual Report 2025 prints a figure that is provably on the same basis as the Pillar 3 series. That is true of the capital AMOUNTS and false of the RATIOS, so they are treated differently:
  - AMOUNTS (same basis, used): the regulatory capital note on p.126 gives Total regulatory capital of GBP111,120k for 2025 and GBP127,083k for 2024. That 2024 comparative equals the GBP127.1m this workbook already carries from the FY2024 Pillar 3 disclosure, so the note is like-for-like and FY2025 Total Capital is taken from it - https://assets.gatehousebank.com/production/downloads/Gatehouse-Bank-Annual-Report-2025.pdf
  - RATIOS (different basis, NOT used): the Annual Report's KPI table (p.21) gives a 2025 CET1 ratio of 15.74% and leverage ratio of 6.53%, but its own 2024 comparatives (16.56% and 7.29%) do NOT match the FY2024 Pillar 3 figures carried here (17.1% and 7.4%). The Annual Report defines its CET1 ratio as 'Tier 1 common equity / risk weighted assets' and its leverage ratio as 'Tier 1 Capital / Total exposures' on an accounting exposure measure, which is not the Article 447 basis. Mixing the two would create a false break in the series, so the CET1 Ratio, Tier 1 Ratio, Total Capital Ratio and Leverage Ratio sheets are left blank for FY2025 rather than blended.
  - NOT PRINTED AT ALL: the Annual Report gives no RWA total, no LCR and no NSFR for 2025, so those sheets are blank too. Its capital note also stops at components - Core Tier 1 subtotal GBP109,790k less Deductions from CET1 GBP(17,609)k, plus Tier 2 GBP18,939k, totalling GBP111,120k - without printing CET1 net of deductions, so the CET1 Capital and Tier 1 Capital sheets are blank for FY2025 rather than carrying a figure this project would have had to compute itself. (For reference, that subtraction on the 2024 column reproduces GBP108.6m, exactly the FY2024 Pillar 3 CET1 figure used here, so the missing FY2025 CET1 is recoverable the moment the Pillar 3 document is obtained - it is requestable from the Bank.)
RESTATEMENT NOTE: the FY2023 Pillar 3 disclosure's own Dec-22 comparative column shows CET1 capital of GBP98.0m / RWA of GBP579.1m / ratios of 16.9%/16.9%/18.5% / leverage 7.1% - different from the FY2022 disclosure's own Dec-22 ('T') figures used here (GBP103.2m / GBP594.7m / 17.4%/17.4%/18.9% / 7.5%). LCR and NSFR at Dec-22 match exactly between both vintages (350.7% and 150.6%), so only the capital-side figures were later restated. Each year's own primary disclosure is used throughout, consistent with the rest of this workbook.</t>
        </is>
      </c>
    </row>
  </sheetData>
  <mergeCells count="3">
    <mergeCell ref="A11:G11"/>
    <mergeCell ref="A7:G7"/>
    <mergeCell ref="A9:G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Gatehouse Bank Plc — NSFR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Net Stable Funding Ratio</t>
        </is>
      </c>
      <c r="B4" s="6" t="inlineStr">
        <is>
          <t>Not published - no FY2025 Pillar III edition; NSFR absent from AR2025</t>
        </is>
      </c>
      <c r="C4" s="6" t="inlineStr">
        <is>
          <t>153.5%</t>
        </is>
      </c>
      <c r="D4" s="6" t="inlineStr">
        <is>
          <t>151.1%</t>
        </is>
      </c>
      <c r="E4" s="6" t="inlineStr">
        <is>
          <t>150.6%</t>
        </is>
      </c>
    </row>
    <row r="5" ht="130" customHeight="1">
      <c r="A5" s="7" t="inlineStr">
        <is>
          <t>Note: Not disclosed for FY2021 - the Article 447 Key Metrics NSFR rows first appear from the FY2022 Pillar 3 disclosure onward. CONFIRMED 2026-09-15 by reading the FY2022 edition directly: its NSFR section prints 150.6% at 31 December 2022 and a four-quarter table for 2022 alone (Q4 150.6%, Q3 144.0%, Q2 144.5%, Q1 137.6%, average 144.2%) with NO 2021 comparative column anywhere - so there is no back-route to FY2021 through the later edition, and the blank is structural rather than unsourced.
FY2025 IS A RECORDED ABSENCE, NOT AN UNCHECKED CELL (2026-09-19): unlike the LCR, the NSFR is not even mentioned qualitatively in the Annual Report 2025 - 'net stable funding', 'NSFR' and 'stable funding' all return zero hits across the full report (richness control: ' the ' returns 2,129 hits in the same extraction). FY2017 likewise predates the UK NSFR regime entirely (the PRA's NSFR requirement and its disclosure template took effect 1 January 2022 under PS17/21 and PS22/21), so the FY2017 blank here is structural, not a sourcing gap - the 2017 Pillar 3 disclosure, which supplied every other FY2017 metric in this workbook, contains no NSFR because none was required.</t>
        </is>
      </c>
    </row>
    <row r="7" ht="377" customHeight="1">
      <c r="A7" s="9" t="inlineStr">
        <is>
          <t>Sources - Gatehouse Bank Plc Pillar 3 disclosures, Article 447 Key Metrics table, p.32:
FY2017: Pillar III Disclosure 2017 - Key Metrics table p.3, s.5 Capital Resources p.11, s.6 p.12, s.9 p.19, Appendix 1 (Own Funds Disclosure) p.26 and Appendix II (Analysis of Leverage Ratio) p.27. This is the CRD IV-era predecessor of the Article 447 template, not the template itself - https://assets.gatehousebank.com/production/downloads/gatehousebankpillariiidisclosure2017.pdf
FY2024: Pillar III Disclosure 2024 (Dec-24 column) - https://assets.gatehousebank.com/production/downloads/Gatehouse-Bank-Pillar-III-Disclosure-2024-FINAL.pdf
FY2023: Pillar III Disclosure 2023 (Dec-23 column) - https://assets.gatehousebank.com/production/downloads/Gatehouse-Bank-Pillar-III-Disclosure-2023-FINAL.pdf
FY2022: Pillar III Disclosure 2022 (Dec-22 column, own year's disclosure - see restatement note) - https://gatehousebank.com/downloads/gatehouse-bank-pillar-3-disclosure-2022
FY2021: Annual Report and Financial Statements 2021, s.5 Capital Resources, p.11 (own year-end capital resources note, cross-validated against the 2022 Pillar 3 disclosure's Dec-21 comparative column) - https://assets.gatehousebank.com/production/downloads/Gatehouse-Bank-Annual-Report-2021-FINAL-web.pdf
SDDT DATE TEST (checked 2026-09-15): the PRA's consolidated register of waivers and modifications ('Consolidated Waivers list for PRA-regulated firms - as of 1 July 2026', bankofengland.co.uk/prudential-regulation/authorisations/waivers-and-modifications-of-rules) records that Gatehouse Bank Plc (FRN 475346) holds a 'Modification by Consent - PRA Rulebook - CRR Firms - Rule 3.1 of the SDDT Regime - General Application Part', sub-rule 'Ru 3.1', starting 08/01/2026 with no end date. That modification removes the Pillar 3 disclosure obligation outright (a stronger relief than UK CRR Article 433b, which only reduces frequency and content for small and non-complex institutions).
Crucially, 08/01/2026 falls EIGHT DAYS AFTER the FY2025 year-end of 31 December 2025 (year-end confirmed 31 December throughout the Bank's Companies House accounts filing history, company 06260053). FY2025 therefore PREDATES the modification and is NOT structurally exempt - the Bank was still subject to the disclosure obligation for that year. This is corroborated independently by the fact that the FY2025 Pillar 3 document demonstrably EXISTS (the Annual Report says it is 'available on request', see below): the obligation was live and was met, just not by general publication. The FY2025 blanks below are therefore an ACCESS gap, not a structural one, and are recoverable by requesting the document from the Bank.
Forward-looking: FY2026 (year ending 31 December 2026) is the first year that falls after the modification took effect, so from FY2026 onward these blanks are expected to become structural.
FY2025: no FY2025 Pillar 3 disclosure has been published. The Bank's own Annual Report 2025 confirms the document is not on general release - 'Pillar 3 disclosures are presented in the "Pillar 3 Disclosures" document, available on request' (Notes to the Financial Statements, p.125) - and no 2025 file exists under the CDN naming pattern that serves every prior year, nor in the site's downloads sitemap, nor in the Wayback CDX index for the domain (newest Pillar 3 capture is the 2024 report, 11 June 2026).</t>
        </is>
      </c>
    </row>
    <row r="9" ht="390" customHeight="1">
      <c r="A9" s="9" t="inlineStr">
        <is>
          <t>(continued)
RE-VERIFIED 2026-09-15 against the Bank's own LIVE publications index rather than by URL guessing - https://gatehousebank.com/about-us/corporate-governance. That page lists Pillar 3 disclosures for 2017, 2018, 2019, 2020, 2021, 2022, 2023 and 2024 and NO 2025 edition, while listing the Annual Report 2025 - i.e. the Bank has published its FY2025 annual report but not its FY2025 Pillar 3, exactly as the annual report says ('published as soon as practicable AFTER the publication of the annual report'). An unfiltered Wayback CDX sweep of the whole gatehousebank.com domain (6,938 captures) independently returns the same eight Pillar 3 documents and no 2025 one. So FY2025 is a live access gap that may simply close on its own when the Bank publishes; it is worth re-checking this index before requesting the document. The same index is what exposed the FY2017 disclosure this project had been missing.
RE-CHECKED 2026-09-18 (separate session, prior verdict treated as unproven) - UNCHANGED. The publications index was re-fetched and every document link parsed out: it still lists Pillar III Disclosures for 2017, 2018, 2019, 2020, 2021, 2022, 2023 and 2024 and no 2025 edition, alongside the Annual Report 2025. Two FY2025 filenames were then probed directly on the CDN that serves every prior year (Gatehouse-Bank-Pillar-III-Disclosure-2025-FINAL.pdf and Gatehouse-Bank-Pillar-III-Disclosure-2025.pdf); both returned HTTP 404 while a control fetch of the FY2024 filename on the same host returned HTTP 200, Content-Type application/pdf, first bytes '%PDF', 617,672 bytes. That control matters: the alternative gatehousebank.com/downloads/ route 404s even for the FY2024 document, so probing FY2025 on that route alone would have manufactured a false negative. The Annual Report 2025 was also re-read in full text this date and independently reproduces the AMOUNTS/RATIOS split described below.
FY2025 is therefore populated ONLY where the Annual Report 2025 prints a figure that is provably on the same basis as the Pillar 3 series. That is true of the capital AMOUNTS and false of the RATIOS, so they are treated differently:
  - AMOUNTS (same basis, used): the regulatory capital note on p.126 gives Total regulatory capital of GBP111,120k for 2025 and GBP127,083k for 2024. That 2024 comparative equals the GBP127.1m this workbook already carries from the FY2024 Pillar 3 disclosure, so the note is like-for-like and FY2025 Total Capital is taken from it - https://assets.gatehousebank.com/production/downloads/Gatehouse-Bank-Annual-Report-2025.pdf
  - RATIOS (different basis, NOT used): the Annual Report's KPI table (p.21) gives a 2025 CET1 ratio of 15.74% and leverage ratio of 6.53%, but its own 2024 comparatives (16.56% and 7.29%) do NOT match the FY2024 Pillar 3 figures carried here (17.1% and 7.4%). The Annual Report defines its CET1 ratio as 'Tier 1 common equity / risk weighted assets' and its leverage ratio as 'Tier 1 Capital / Total exposures' on an accounting exposure measure, which is not the Article 447 basis. Mixing the two would create a false break in the series, so the CET1 Ratio, Tier 1 Ratio, Total Capital Ratio and Leverage Ratio sheets are left blank for FY2025 rather than blended.
  - NOT PRINTED AT ALL: the Annual Report gives no RWA total, no LCR and no NSFR for 2025, so those sheets are blank too. Its capital note also stops at components - Core Tier 1 subtotal GBP109,790k less Deductions from CET1 GBP(17,609)k, plus Tier 2 GBP18,939k, totalling GBP111,120k - without printing CET1 net of deductions, so the CET1 Capital and Tier 1 Capital sheets are blank for FY2025 rather than carrying a figure this project would have had to compute itself. (For reference, that subtraction on the 2024 column reproduces GBP108.6m, exactly the FY2024 Pillar 3 CET1 figure used here, so the missing FY2025 CET1 is recoverable the moment the Pillar 3 document is obtained - it is requestable from the Bank.)</t>
        </is>
      </c>
    </row>
    <row r="11" ht="260" customHeight="1">
      <c r="A11" s="9" t="inlineStr">
        <is>
          <t>(continued)
RESTATEMENT NOTE: the FY2023 Pillar 3 disclosure's own Dec-22 comparative column shows CET1 capital of GBP98.0m / RWA of GBP579.1m / ratios of 16.9%/16.9%/18.5% / leverage 7.1% - different from the FY2022 disclosure's own Dec-22 ('T') figures used here (GBP103.2m / GBP594.7m / 17.4%/17.4%/18.9% / 7.5%). LCR and NSFR at Dec-22 match exactly between both vintages (350.7% and 150.6%), so only the capital-side figures were later restated. Each year's own primary disclosure is used throughout, consistent with the rest of this workbook.</t>
        </is>
      </c>
    </row>
  </sheetData>
  <mergeCells count="4">
    <mergeCell ref="A11:E11"/>
    <mergeCell ref="A5:E5"/>
    <mergeCell ref="A9:E9"/>
    <mergeCell ref="A7:E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Gatehouse Bank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FY2017</t>
        </is>
      </c>
    </row>
    <row r="4">
      <c r="A4" s="6" t="inlineStr">
        <is>
          <t>MREL Ratio</t>
        </is>
      </c>
      <c r="B4" s="6" t="inlineStr">
        <is>
          <t>Unreached today – FY2025 Pillar 3 is 'available on request' only (AR2025 p.125); not on the index, CDN or Wayback CDX (2026-09-18/19); Common Crawl 2026-04..2026-39 checked. AR2025 has no MREL</t>
        </is>
      </c>
      <c r="C4" s="6" t="inlineStr">
        <is>
          <t>Not published – zero 'MREL' in the FY2024 Pillar 3 and in AR2025, which carries FY2024 comparatives (searched 2026-09-19); absent from BoE MREL-above-MCR lists 2023-26</t>
        </is>
      </c>
      <c r="D4" s="6" t="inlineStr">
        <is>
          <t>Not published – zero 'MREL' in the FY2023 Pillar 3 and Annual Report (full text searched 2026-09-19); Gatehouse absent from BoE MREL-above-MCR lists 2023-26</t>
        </is>
      </c>
      <c r="E4" s="6" t="inlineStr">
        <is>
          <t>Not published – zero 'MREL' in the FY2022 Pillar 3 and Annual Report (full text searched 2026-09-19); Gatehouse absent from BoE MREL-above-MCR lists 2023-26</t>
        </is>
      </c>
      <c r="F4" s="6" t="inlineStr">
        <is>
          <t>Not published – zero 'MREL' in the FY2021 Pillar 3 and Annual Report (full text searched 2026-09-19); Gatehouse absent from BoE MREL-above-MCR lists 2023-26</t>
        </is>
      </c>
      <c r="G4" s="6" t="inlineStr">
        <is>
          <t>Not published – zero 'MREL' in the FY2017 Pillar 3 and Annual Report (full text searched 2026-09-19); Gatehouse absent from BoE MREL-above-MCR lists 2023-26</t>
        </is>
      </c>
    </row>
    <row r="5" ht="169" customHeight="1">
      <c r="A5" s="7" t="inlineStr">
        <is>
          <t>Note: Not publicly disclosed any year, and no exemption is stated in the Bank's own documents. POSITIVE RECORD ADDED 18 September 2026 (KM1-032): this note previously explained the absence as 'consistent with a small deposit taker below MREL-setting thresholds', which was a plausibility argument rather than evidence. The Bank of England's own 'External minimum requirements for own funds and eligible liabilities (MRELs)' disclosures - the 2023, 2024, 2025 and 2026 editions at bankofengland.co.uk/financial-stability/resolution/mrels-&lt;year&gt; - contain, in the BoE's own words, 'all firms with a resolution entity incorporated in the UK for which an MREL above MCR has been communicated'. Gatehouse Bank plc is named in none of the four editions (18 firms at most in any one of them). So the absence has an affirmative reason: the firm has either no MREL above its minimum capital requirement, or no UK-incorporated resolution entity. Note the BoE publishes the REQUIREMENT, not the ratio a bank holds against it, so nothing from that table is or could be transcribed onto this sheet - it establishes that there was nothing for the Bank to disclose. GA-020 RE-CHECK 2026-09-19: the 2017, 2021, 2022, 2023 and 2024 Pillar 3 editions and the 2017, 2021, 2022, 2023 and 2025 Annual Reports (the *_URL documents above, text-native, 64-130 'capital' hits each) return zero 'MREL', 'loss-absorbing' or 'eligible liabilities'. FY2025 stays 'Unreached today' because its Pillar 3 exists but is 'available on request' only (AR2025 p.125) and has not been read. File-host check 2026-09-19: the live corporate-governance page lists Pillar 3 up to 2024 only; every PDF it links sits on assets.gatehousebank.com (BunnyCDN over S3, not listable - 403); Wayback CDX matchType=domain on that host holds Pillar III 2017-2024 and nothing for 2025; filename guesses (2025-FINAL, 2025, Pillar-3-2025, slug pillar-3-disclosure-2025) 404 while the 2024 control returns %PDF. COMMON CRAWL (2026-09-19): gatehousebank.com and all its subdomains (incl. assets.) in every crawl CC-MAIN-2026-04..2026-39 (11 crawls, 278-863 records each): Pillar III 2018-2022 and 2024 PDFs and the 2017-2022 download slugs are captured (positive control), no 2025 Pillar 3 under any name.</t>
        </is>
      </c>
    </row>
    <row r="7" ht="338" customHeight="1">
      <c r="A7" s="9" t="inlineStr">
        <is>
          <t>Sources - Gatehouse Bank Plc Pillar 3 disclosures, Article 447 Key Metrics table, p.n/a:
FY2017: Pillar III Disclosure 2017 - Key Metrics table p.3, s.5 Capital Resources p.11, s.6 p.12, s.9 p.19, Appendix 1 (Own Funds Disclosure) p.26 and Appendix II (Analysis of Leverage Ratio) p.27. This is the CRD IV-era predecessor of the Article 447 template, not the template itself - https://assets.gatehousebank.com/production/downloads/gatehousebankpillariiidisclosure2017.pdf
FY2024: Pillar III Disclosure 2024 (Dec-24 column) - https://assets.gatehousebank.com/production/downloads/Gatehouse-Bank-Pillar-III-Disclosure-2024-FINAL.pdf
FY2023: Pillar III Disclosure 2023 (Dec-23 column) - https://assets.gatehousebank.com/production/downloads/Gatehouse-Bank-Pillar-III-Disclosure-2023-FINAL.pdf
FY2022: Pillar III Disclosure 2022 (Dec-22 column, own year's disclosure - see restatement note) - https://gatehousebank.com/downloads/gatehouse-bank-pillar-3-disclosure-2022
FY2021: Annual Report and Financial Statements 2021, s.5 Capital Resources, p.11 (own year-end capital resources note, cross-validated against the 2022 Pillar 3 disclosure's Dec-21 comparative column) - https://assets.gatehousebank.com/production/downloads/Gatehouse-Bank-Annual-Report-2021-FINAL-web.pdf
SDDT DATE TEST (checked 2026-09-15): the PRA's consolidated register of waivers and modifications ('Consolidated Waivers list for PRA-regulated firms - as of 1 July 2026', bankofengland.co.uk/prudential-regulation/authorisations/waivers-and-modifications-of-rules) records that Gatehouse Bank Plc (FRN 475346) holds a 'Modification by Consent - PRA Rulebook - CRR Firms - Rule 3.1 of the SDDT Regime - General Application Part', sub-rule 'Ru 3.1', starting 08/01/2026 with no end date. That modification removes the Pillar 3 disclosure obligation outright (a stronger relief than UK CRR Article 433b, which only reduces frequency and content for small and non-complex institutions).
Crucially, 08/01/2026 falls EIGHT DAYS AFTER the FY2025 year-end of 31 December 2025 (year-end confirmed 31 December throughout the Bank's Companies House accounts filing history, company 06260053). FY2025 therefore PREDATES the modification and is NOT structurally exempt - the Bank was still subject to the disclosure obligation for that year. This is corroborated independently by the fact that the FY2025 Pillar 3 document demonstrably EXISTS (the Annual Report says it is 'available on request', see below): the obligation was live and was met, just not by general publication. The FY2025 blanks below are therefore an ACCESS gap, not a structural one, and are recoverable by requesting the document from the Bank.
Forward-looking: FY2026 (year ending 31 December 2026) is the first year that falls after the modification took effect, so from FY2026 onward these blanks are expected to become structural.
FY2025: no FY2025 Pillar 3 disclosure has been published. The Bank's own Annual Report 2025 confirms the document is not on general release - 'Pillar 3 disclosures are presented in the "Pillar 3 Disclosures" document, available on request' (Notes to the Financial Statements, p.125) - and no 2025 file exists under the CDN naming pattern that serves every prior year, nor in the site's downloads sitemap, nor in the Wayback CDX index for the domain (newest Pillar 3 capture is the 2024 report, 11 June 2026).
RE-VERIFIED 2026-09-15 against the Bank's own LIVE publications index rather than by URL guessing - https://gatehousebank.com/about-us/corporate-governance. That page lists Pillar 3 disclosures for 2017, 2018, 2019, 2020, 2021, 2022, 2023 and 2024 and NO 2025 edition, while listing the Annual Report 2025 - i.e. the Bank has published its FY2025 annual report but not its FY2025 Pillar 3, exactly as the annual report says ('published as soon as practicable AFTER the publication of the annual report'). An unfiltered Wayback CDX sweep of the whole gatehousebank.com domain (6,938 captures) independently returns the same eight Pillar 3 documents and no 2025 one. So FY2025 is a live access gap that may simply close on its own when the Bank publishes; it is worth re-checking this index before requesting the document. The same index is what exposed the FY2017 disclosure this project had been missing.</t>
        </is>
      </c>
    </row>
    <row r="9" ht="299" customHeight="1">
      <c r="A9" s="9" t="inlineStr">
        <is>
          <t>(continued)
RE-CHECKED 2026-09-18 (separate session, prior verdict treated as unproven) - UNCHANGED. The publications index was re-fetched and every document link parsed out: it still lists Pillar III Disclosures for 2017, 2018, 2019, 2020, 2021, 2022, 2023 and 2024 and no 2025 edition, alongside the Annual Report 2025. Two FY2025 filenames were then probed directly on the CDN that serves every prior year (Gatehouse-Bank-Pillar-III-Disclosure-2025-FINAL.pdf and Gatehouse-Bank-Pillar-III-Disclosure-2025.pdf); both returned HTTP 404 while a control fetch of the FY2024 filename on the same host returned HTTP 200, Content-Type application/pdf, first bytes '%PDF', 617,672 bytes. That control matters: the alternative gatehousebank.com/downloads/ route 404s even for the FY2024 document, so probing FY2025 on that route alone would have manufactured a false negative. The Annual Report 2025 was also re-read in full text this date and independently reproduces the AMOUNTS/RATIOS split described below.
FY2025 is therefore populated ONLY where the Annual Report 2025 prints a figure that is provably on the same basis as the Pillar 3 series. That is true of the capital AMOUNTS and false of the RATIOS, so they are treated differently:
  - AMOUNTS (same basis, used): the regulatory capital note on p.126 gives Total regulatory capital of GBP111,120k for 2025 and GBP127,083k for 2024. That 2024 comparative equals the GBP127.1m this workbook already carries from the FY2024 Pillar 3 disclosure, so the note is like-for-like and FY2025 Total Capital is taken from it - https://assets.gatehousebank.com/production/downloads/Gatehouse-Bank-Annual-Report-2025.pdf
  - RATIOS (different basis, NOT used): the Annual Report's KPI table (p.21) gives a 2025 CET1 ratio of 15.74% and leverage ratio of 6.53%, but its own 2024 comparatives (16.56% and 7.29%) do NOT match the FY2024 Pillar 3 figures carried here (17.1% and 7.4%). The Annual Report defines its CET1 ratio as 'Tier 1 common equity / risk weighted assets' and its leverage ratio as 'Tier 1 Capital / Total exposures' on an accounting exposure measure, which is not the Article 447 basis. Mixing the two would create a false break in the series, so the CET1 Ratio, Tier 1 Ratio, Total Capital Ratio and Leverage Ratio sheets are left blank for FY2025 rather than blended.
  - NOT PRINTED AT ALL: the Annual Report gives no RWA total, no LCR and no NSFR for 2025, so those sheets are blank too. Its capital note also stops at components - Core Tier 1 subtotal GBP109,790k less Deductions from CET1 GBP(17,609)k, plus Tier 2 GBP18,939k, totalling GBP111,120k - without printing CET1 net of deductions, so the CET1 Capital and Tier 1 Capital sheets are blank for FY2025 rather than carrying a figure this project would have had to compute itself. (For reference, that subtraction on the 2024 column reproduces GBP108.6m, exactly the FY2024 Pillar 3 CET1 figure used here, so the missing FY2025 CET1 is recoverable the moment the Pillar 3 document is obtained - it is requestable from the Bank.)
RESTATEMENT NOTE: the FY2023 Pillar 3 disclosure's own Dec-22 comparative column shows CET1 capital of GBP98.0m / RWA of GBP579.1m / ratios of 16.9%/16.9%/18.5% / leverage 7.1% - different from the FY2022 disclosure's own Dec-22 ('T') figures used here (GBP103.2m / GBP594.7m / 17.4%/17.4%/18.9% / 7.5%). LCR and NSFR at Dec-22 match exactly between both vintages (350.7% and 150.6%), so only the capital-side figures were later restated. Each year's own primary disclosure is used throughout, consistent with the rest of this workbook.</t>
        </is>
      </c>
    </row>
  </sheetData>
  <mergeCells count="3">
    <mergeCell ref="A7:G7"/>
    <mergeCell ref="A5:G5"/>
    <mergeCell ref="A9:G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2026-10-10T15:08:27Z</dcterms:created>
  <dcterms:modified xmlns:dcterms="http://purl.org/dc/terms/" xmlns:xsi="http://www.w3.org/2001/XMLSchema-instance" xsi:type="dcterms:W3CDTF">2026-10-10T15:08:27Z</dcterms:modified>
</cp:coreProperties>
</file>