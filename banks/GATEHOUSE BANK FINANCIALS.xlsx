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Cash Flow Statement" sheetId="2" state="visible" r:id="rId2"/>
    <sheet name="CET1 Capital" sheetId="3" state="visible" r:id="rId3"/>
    <sheet name="CET1 Ratio" sheetId="4" state="visible" r:id="rId4"/>
    <sheet name="Tier 1 Capital" sheetId="5" state="visible" r:id="rId5"/>
    <sheet name="Tier 1 Ratio" sheetId="6" state="visible" r:id="rId6"/>
    <sheet name="Total Capital" sheetId="7" state="visible" r:id="rId7"/>
    <sheet name="Total Capital Ratio" sheetId="8" state="visible" r:id="rId8"/>
    <sheet name="Total RWAs" sheetId="9" state="visible" r:id="rId9"/>
    <sheet name="Leverage Ratio" sheetId="10" state="visible" r:id="rId10"/>
    <sheet name="LCR" sheetId="11" state="visible" r:id="rId11"/>
    <sheet name="NSFR" sheetId="12" state="visible" r:id="rId12"/>
    <sheet name="MREL Ratio" sheetId="13" state="visible" r:id="rId13"/>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76773E"/>
        <bgColor rgb="0076773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styles" Target="styles.xml" Id="rId14" /><Relationship Type="http://schemas.openxmlformats.org/officeDocument/2006/relationships/theme" Target="theme/theme1.xml" Id="rId15" /></Relationships>
</file>

<file path=xl/charts/chart1.xml><?xml version="1.0" encoding="utf-8"?>
<chartSpace xmlns:a="http://schemas.openxmlformats.org/drawingml/2006/main" xmlns="http://schemas.openxmlformats.org/drawingml/2006/chart">
  <chart>
    <title>
      <tx>
        <rich>
          <a:bodyPr/>
          <a:p>
            <a:pPr>
              <a:defRPr/>
            </a:pPr>
            <a:r>
              <a:t>Gatehouse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a:prstDash val="solid"/>
            </a:ln>
          </spPr>
          <cat>
            <numRef>
              <f>'Overview'!$J$5:$N$5</f>
            </numRef>
          </cat>
          <val>
            <numRef>
              <f>'Overview'!$J$6:$N$6</f>
            </numRef>
          </val>
        </ser>
        <ser>
          <idx val="1"/>
          <order val="1"/>
          <tx>
            <strRef>
              <f>'Overview'!I7</f>
            </strRef>
          </tx>
          <spPr>
            <a:ln>
              <a:prstDash val="solid"/>
            </a:ln>
          </spPr>
          <cat>
            <numRef>
              <f>'Overview'!$J$5:$N$5</f>
            </numRef>
          </cat>
          <val>
            <numRef>
              <f>'Overview'!$J$7:$N$7</f>
            </numRef>
          </val>
        </ser>
        <ser>
          <idx val="2"/>
          <order val="2"/>
          <tx>
            <strRef>
              <f>'Overview'!I8</f>
            </strRef>
          </tx>
          <spPr>
            <a:ln>
              <a:prstDash val="solid"/>
            </a:ln>
          </spPr>
          <cat>
            <numRef>
              <f>'Overview'!$J$5:$N$5</f>
            </numRef>
          </cat>
          <val>
            <numRef>
              <f>'Overview'!$J$8:$N$8</f>
            </numRef>
          </val>
        </ser>
        <ser>
          <idx val="3"/>
          <order val="3"/>
          <tx>
            <strRef>
              <f>'Overview'!I9</f>
            </strRef>
          </tx>
          <spPr>
            <a:l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Gatehouse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'Overview'!Q6</f>
            </strRef>
          </tx>
          <spPr>
            <a:ln>
              <a:prstDash val="solid"/>
            </a:ln>
          </spPr>
          <marker>
            <symbol val="none"/>
            <spPr>
              <a:ln>
                <a:prstDash val="solid"/>
              </a:ln>
            </spPr>
          </marker>
          <cat>
            <numRef>
              <f>'Overview'!$R$5:$V$5</f>
            </numRef>
          </cat>
          <val>
            <numRef>
              <f>'Overview'!$R$6:$V$6</f>
            </numRef>
          </val>
          <smooth val="0"/>
        </ser>
        <ser>
          <idx val="1"/>
          <order val="1"/>
          <tx>
            <strRef>
              <f>'Overview'!Q7</f>
            </strRef>
          </tx>
          <spPr>
            <a:ln>
              <a:prstDash val="solid"/>
            </a:ln>
          </spPr>
          <marker>
            <symbol val="none"/>
            <spPr>
              <a:ln>
                <a:prstDash val="solid"/>
              </a:ln>
            </spPr>
          </marker>
          <cat>
            <numRef>
              <f>'Overview'!$R$5:$V$5</f>
            </numRef>
          </cat>
          <val>
            <numRef>
              <f>'Overview'!$R$7:$V$7</f>
            </numRef>
          </val>
          <smooth val="0"/>
        </ser>
        <ser>
          <idx val="2"/>
          <order val="2"/>
          <tx>
            <strRef>
              <f>'Overview'!Q8</f>
            </strRef>
          </tx>
          <spPr>
            <a:ln>
              <a:prstDash val="solid"/>
            </a:ln>
          </spPr>
          <marker>
            <symbol val="none"/>
            <spPr>
              <a:ln>
                <a:prstDash val="solid"/>
              </a:ln>
            </spPr>
          </marker>
          <cat>
            <numRef>
              <f>'Overview'!$R$5:$V$5</f>
            </numRef>
          </cat>
          <val>
            <numRef>
              <f>'Overview'!$R$8:$V$8</f>
            </numRef>
          </val>
          <smooth val="0"/>
        </ser>
        <ser>
          <idx val="3"/>
          <order val="3"/>
          <tx>
            <strRef>
              <f>'Overview'!Q9</f>
            </strRef>
          </tx>
          <spPr>
            <a:ln>
              <a:prstDash val="solid"/>
            </a:ln>
          </spPr>
          <marker>
            <symbol val="none"/>
            <spPr>
              <a:ln>
                <a:prstDash val="solid"/>
              </a:ln>
            </spPr>
          </marker>
          <cat>
            <numRef>
              <f>'Overview'!$R$5:$V$5</f>
            </numRef>
          </cat>
          <val>
            <numRef>
              <f>'Overview'!$R$9:$V$9</f>
            </numRef>
          </val>
          <smooth val="0"/>
        </ser>
        <ser>
          <idx val="4"/>
          <order val="4"/>
          <tx>
            <strRef>
              <f>'Overview'!Q10</f>
            </strRef>
          </tx>
          <spPr>
            <a:ln>
              <a:prstDash val="solid"/>
            </a:ln>
          </spPr>
          <marker>
            <symbol val="none"/>
            <spPr>
              <a:ln>
                <a:prstDash val="solid"/>
              </a:ln>
            </spPr>
          </marker>
          <cat>
            <numRef>
              <f>'Overview'!$R$5:$V$5</f>
            </numRef>
          </cat>
          <val>
            <numRef>
              <f>'Overview'!$R$10:$V$10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21</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43</row>
      <rowOff>0</rowOff>
    </from>
    <ext cx="8640000" cy="5760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V1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s>
  <sheetData>
    <row r="1">
      <c r="A1" s="1" t="inlineStr">
        <is>
          <t>Gatehouse Bank Plc — Overview</t>
        </is>
      </c>
    </row>
    <row r="2">
      <c r="A2" s="2" t="inlineStr">
        <is>
          <t>Summary of cash flow and Pillar 3 disclosures across all years covered in this workbook</t>
        </is>
      </c>
    </row>
    <row r="4">
      <c r="A4" s="3" t="inlineStr">
        <is>
          <t>Cash Flow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R5" t="inlineStr">
        <is>
          <t>FY2021</t>
        </is>
      </c>
      <c r="S5" t="inlineStr">
        <is>
          <t>FY2022</t>
        </is>
      </c>
      <c r="T5" t="inlineStr">
        <is>
          <t>FY2023</t>
        </is>
      </c>
      <c r="U5" t="inlineStr">
        <is>
          <t>FY2024</t>
        </is>
      </c>
      <c r="V5" t="inlineStr">
        <is>
          <t>FY2025</t>
        </is>
      </c>
    </row>
    <row r="6">
      <c r="A6" s="5" t="inlineStr">
        <is>
          <t>Net cash flow from/(used in) operating activities</t>
        </is>
      </c>
      <c r="B6" s="5" t="n">
        <v>4075</v>
      </c>
      <c r="C6" s="5" t="n">
        <v>1987</v>
      </c>
      <c r="D6" s="5" t="n">
        <v>4640</v>
      </c>
      <c r="E6" s="5" t="n">
        <v>-38927</v>
      </c>
      <c r="F6" s="5" t="n">
        <v>12357</v>
      </c>
      <c r="I6" t="inlineStr">
        <is>
          <t>Net cash flow from/(used in) operating activities</t>
        </is>
      </c>
      <c r="J6" t="n">
        <v>12357</v>
      </c>
      <c r="K6" t="n">
        <v>-38927</v>
      </c>
      <c r="L6" t="n">
        <v>4640</v>
      </c>
      <c r="M6" t="n">
        <v>1987</v>
      </c>
      <c r="N6" t="n">
        <v>4075</v>
      </c>
      <c r="Q6" t="inlineStr">
        <is>
          <t>CET1 Ratio</t>
        </is>
      </c>
      <c r="R6" t="n">
        <v>18.1</v>
      </c>
      <c r="S6" t="n">
        <v>17.4</v>
      </c>
      <c r="T6" t="n">
        <v>16.8</v>
      </c>
      <c r="U6" t="n">
        <v>17.1</v>
      </c>
    </row>
    <row r="7">
      <c r="A7" s="5" t="inlineStr">
        <is>
          <t>Net cash flow from/(used in) investing activities</t>
        </is>
      </c>
      <c r="B7" s="5" t="n">
        <v>-7104</v>
      </c>
      <c r="C7" s="5" t="n">
        <v>1953</v>
      </c>
      <c r="D7" s="5" t="n">
        <v>-2234</v>
      </c>
      <c r="E7" s="5" t="n">
        <v>30204</v>
      </c>
      <c r="F7" s="5" t="n">
        <v>17325</v>
      </c>
      <c r="I7" t="inlineStr">
        <is>
          <t>Net cash flow from/(used in) investing activities</t>
        </is>
      </c>
      <c r="J7" t="n">
        <v>17325</v>
      </c>
      <c r="K7" t="n">
        <v>30204</v>
      </c>
      <c r="L7" t="n">
        <v>-2234</v>
      </c>
      <c r="M7" t="n">
        <v>1953</v>
      </c>
      <c r="N7" t="n">
        <v>-7104</v>
      </c>
      <c r="Q7" t="inlineStr">
        <is>
          <t>Total Capital Ratio</t>
        </is>
      </c>
      <c r="R7" t="n">
        <v>19.8</v>
      </c>
      <c r="S7" t="n">
        <v>18.9</v>
      </c>
      <c r="T7" t="n">
        <v>19.6</v>
      </c>
      <c r="U7" t="n">
        <v>20</v>
      </c>
    </row>
    <row r="8">
      <c r="A8" s="5" t="inlineStr">
        <is>
          <t>Net cash flow from/(used in) financing activities</t>
        </is>
      </c>
      <c r="B8" s="5" t="n">
        <v>-307</v>
      </c>
      <c r="C8" s="5" t="n">
        <v>-697</v>
      </c>
      <c r="D8" s="5" t="n">
        <v>-701</v>
      </c>
      <c r="E8" s="5" t="n">
        <v>-9890</v>
      </c>
      <c r="F8" s="5" t="n">
        <v>-724</v>
      </c>
      <c r="I8" t="inlineStr">
        <is>
          <t>Net cash flow from/(used in) financing activities</t>
        </is>
      </c>
      <c r="J8" t="n">
        <v>-724</v>
      </c>
      <c r="K8" t="n">
        <v>-9890</v>
      </c>
      <c r="L8" t="n">
        <v>-701</v>
      </c>
      <c r="M8" t="n">
        <v>-697</v>
      </c>
      <c r="N8" t="n">
        <v>-307</v>
      </c>
      <c r="Q8" t="inlineStr">
        <is>
          <t>Leverage Ratio</t>
        </is>
      </c>
      <c r="R8" t="n">
        <v>9.199999999999999</v>
      </c>
      <c r="S8" t="n">
        <v>7.5</v>
      </c>
      <c r="T8" t="n">
        <v>7.3</v>
      </c>
      <c r="U8" t="n">
        <v>7.4</v>
      </c>
    </row>
    <row r="9">
      <c r="A9" s="5" t="inlineStr">
        <is>
          <t>Cash and cash equivalents at end of year</t>
        </is>
      </c>
      <c r="B9" s="5" t="n">
        <v>24599</v>
      </c>
      <c r="C9" s="5" t="n">
        <v>27823</v>
      </c>
      <c r="D9" s="5" t="n">
        <v>24596</v>
      </c>
      <c r="E9" s="5" t="n">
        <v>22845</v>
      </c>
      <c r="F9" s="5" t="n">
        <v>41598</v>
      </c>
      <c r="I9" t="inlineStr">
        <is>
          <t>Cash and cash equivalents at end of year</t>
        </is>
      </c>
      <c r="J9" t="n">
        <v>41598</v>
      </c>
      <c r="K9" t="n">
        <v>22845</v>
      </c>
      <c r="L9" t="n">
        <v>24596</v>
      </c>
      <c r="M9" t="n">
        <v>27823</v>
      </c>
      <c r="N9" t="n">
        <v>24599</v>
      </c>
      <c r="Q9" t="inlineStr">
        <is>
          <t>LCR</t>
        </is>
      </c>
      <c r="R9" t="n">
        <v>365.4</v>
      </c>
      <c r="S9" t="n">
        <v>350.7</v>
      </c>
      <c r="T9" t="n">
        <v>691.6</v>
      </c>
      <c r="U9" t="n">
        <v>447.6</v>
      </c>
    </row>
    <row r="10">
      <c r="Q10" t="inlineStr">
        <is>
          <t>NSFR</t>
        </is>
      </c>
      <c r="S10" t="n">
        <v>150.6</v>
      </c>
      <c r="T10" t="n">
        <v>151.1</v>
      </c>
      <c r="U10" t="n">
        <v>153.5</v>
      </c>
    </row>
    <row r="11">
      <c r="A11" s="3" t="inlineStr">
        <is>
          <t>Pillar 3 Key Metrics</t>
        </is>
      </c>
    </row>
    <row r="12">
      <c r="A12" s="4" t="inlineStr">
        <is>
          <t>Line item</t>
        </is>
      </c>
      <c r="B12" s="4" t="inlineStr">
        <is>
          <t>FY2025</t>
        </is>
      </c>
      <c r="C12" s="4" t="inlineStr">
        <is>
          <t>FY2024</t>
        </is>
      </c>
      <c r="D12" s="4" t="inlineStr">
        <is>
          <t>FY2023</t>
        </is>
      </c>
      <c r="E12" s="4" t="inlineStr">
        <is>
          <t>FY2022</t>
        </is>
      </c>
      <c r="F12" s="4" t="inlineStr">
        <is>
          <t>FY2021</t>
        </is>
      </c>
    </row>
    <row r="13">
      <c r="A13" s="6" t="inlineStr">
        <is>
          <t>CET1 Ratio</t>
        </is>
      </c>
      <c r="B13" s="6" t="n"/>
      <c r="C13" s="6" t="inlineStr">
        <is>
          <t>17.1%</t>
        </is>
      </c>
      <c r="D13" s="6" t="inlineStr">
        <is>
          <t>16.8%</t>
        </is>
      </c>
      <c r="E13" s="6" t="inlineStr">
        <is>
          <t>17.4%</t>
        </is>
      </c>
      <c r="F13" s="6" t="inlineStr">
        <is>
          <t>18.1%</t>
        </is>
      </c>
    </row>
    <row r="14">
      <c r="A14" s="6" t="inlineStr">
        <is>
          <t>Total Capital Ratio</t>
        </is>
      </c>
      <c r="B14" s="6" t="n"/>
      <c r="C14" s="6" t="inlineStr">
        <is>
          <t>20.0%</t>
        </is>
      </c>
      <c r="D14" s="6" t="inlineStr">
        <is>
          <t>19.6%</t>
        </is>
      </c>
      <c r="E14" s="6" t="inlineStr">
        <is>
          <t>18.9%</t>
        </is>
      </c>
      <c r="F14" s="6" t="inlineStr">
        <is>
          <t>19.8%</t>
        </is>
      </c>
    </row>
    <row r="15">
      <c r="A15" s="6" t="inlineStr">
        <is>
          <t>Leverage Ratio</t>
        </is>
      </c>
      <c r="B15" s="6" t="n"/>
      <c r="C15" s="6" t="inlineStr">
        <is>
          <t>7.4%</t>
        </is>
      </c>
      <c r="D15" s="6" t="inlineStr">
        <is>
          <t>7.3%</t>
        </is>
      </c>
      <c r="E15" s="6" t="inlineStr">
        <is>
          <t>7.5%</t>
        </is>
      </c>
      <c r="F15" s="6" t="inlineStr">
        <is>
          <t>9.2%</t>
        </is>
      </c>
    </row>
    <row r="16">
      <c r="A16" s="6" t="inlineStr">
        <is>
          <t>LCR</t>
        </is>
      </c>
      <c r="B16" s="6" t="n"/>
      <c r="C16" s="6" t="inlineStr">
        <is>
          <t>447.6%</t>
        </is>
      </c>
      <c r="D16" s="6" t="inlineStr">
        <is>
          <t>691.6%</t>
        </is>
      </c>
      <c r="E16" s="6" t="inlineStr">
        <is>
          <t>350.7%</t>
        </is>
      </c>
      <c r="F16" s="6" t="inlineStr">
        <is>
          <t>365.4%</t>
        </is>
      </c>
    </row>
    <row r="17">
      <c r="A17" s="6" t="inlineStr">
        <is>
          <t>NSFR</t>
        </is>
      </c>
      <c r="B17" s="6" t="n"/>
      <c r="C17" s="6" t="inlineStr">
        <is>
          <t>153.5%</t>
        </is>
      </c>
      <c r="D17" s="6" t="inlineStr">
        <is>
          <t>151.1%</t>
        </is>
      </c>
      <c r="E17" s="6" t="inlineStr">
        <is>
          <t>150.6%</t>
        </is>
      </c>
      <c r="F17" s="6" t="n"/>
    </row>
    <row r="19" ht="45" customHeight="1">
      <c r="A19" s="7" t="inlineStr">
        <is>
          <t>Note: Gatehouse Bank Plc is a UK Shariah-compliant (Islamic) bank; 'profit paid/received' is the functional equivalent of interest paid/received. FY2025 Pillar 3 ratios are blank - not yet published as at build date. See the Cash Flow Statement sheet's source note for the 3-era presentation change and the FY2021/FY2022 restatement notes. Figures are duplicated from the detail sheets for at-a-glance trend viewing.</t>
        </is>
      </c>
    </row>
  </sheetData>
  <mergeCells count="1">
    <mergeCell ref="A19:F1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5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Gatehouse Bank Plc — Consolidated Cash Flow Statement</t>
        </is>
      </c>
    </row>
    <row r="2">
      <c r="A2" s="2" t="inlineStr">
        <is>
          <t>Consolidated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after tax from continuing operations</t>
        </is>
      </c>
      <c r="B5" s="6" t="n">
        <v>-13291</v>
      </c>
      <c r="C5" s="6" t="n">
        <v>-1248</v>
      </c>
      <c r="D5" s="6" t="n">
        <v>3157</v>
      </c>
      <c r="E5" s="6" t="n">
        <v>6488</v>
      </c>
      <c r="F5" s="6" t="n"/>
    </row>
    <row r="6">
      <c r="A6" s="6" t="inlineStr">
        <is>
          <t>Profit after tax from discontinued operations</t>
        </is>
      </c>
      <c r="B6" s="6" t="n">
        <v>1924</v>
      </c>
      <c r="C6" s="6" t="n">
        <v>5048</v>
      </c>
      <c r="D6" s="6" t="n">
        <v>0</v>
      </c>
      <c r="E6" s="6" t="n">
        <v>1640</v>
      </c>
      <c r="F6" s="6" t="n"/>
    </row>
    <row r="7">
      <c r="A7" s="6" t="inlineStr">
        <is>
          <t>Operating profit on ordinary activities after tax (combined, not split this year)</t>
        </is>
      </c>
      <c r="B7" s="6" t="n"/>
      <c r="C7" s="6" t="n"/>
      <c r="D7" s="6" t="n"/>
      <c r="E7" s="6" t="n"/>
      <c r="F7" s="6" t="n">
        <v>3464</v>
      </c>
    </row>
    <row r="8">
      <c r="A8" s="5" t="inlineStr">
        <is>
          <t>Profit/(loss) after tax for the year</t>
        </is>
      </c>
      <c r="B8" s="5" t="n">
        <v>-11367</v>
      </c>
      <c r="C8" s="5" t="n">
        <v>3800</v>
      </c>
      <c r="D8" s="5" t="n">
        <v>3157</v>
      </c>
      <c r="E8" s="5" t="n">
        <v>8128</v>
      </c>
      <c r="F8" s="5" t="n">
        <v>3464</v>
      </c>
    </row>
    <row r="9">
      <c r="A9" s="6" t="inlineStr">
        <is>
          <t>Depreciation and amortisation</t>
        </is>
      </c>
      <c r="B9" s="6" t="n">
        <v>1043</v>
      </c>
      <c r="C9" s="6" t="n">
        <v>930</v>
      </c>
      <c r="D9" s="6" t="n">
        <v>1302</v>
      </c>
      <c r="E9" s="6" t="n">
        <v>1319</v>
      </c>
      <c r="F9" s="6" t="n">
        <v>1222</v>
      </c>
    </row>
    <row r="10">
      <c r="A10" s="6" t="inlineStr">
        <is>
          <t>Impairment charge/(release)</t>
        </is>
      </c>
      <c r="B10" s="6" t="n">
        <v>2725</v>
      </c>
      <c r="C10" s="6" t="n">
        <v>-192</v>
      </c>
      <c r="D10" s="6" t="n">
        <v>847</v>
      </c>
      <c r="E10" s="6" t="n">
        <v>5714</v>
      </c>
      <c r="F10" s="6" t="n">
        <v>806</v>
      </c>
    </row>
    <row r="11">
      <c r="A11" s="6" t="inlineStr">
        <is>
          <t>(Negative)/positive revaluation of financial instruments held at FVTIS (unquoted investments)</t>
        </is>
      </c>
      <c r="B11" s="6" t="n">
        <v>207</v>
      </c>
      <c r="C11" s="6" t="n">
        <v>-1969</v>
      </c>
      <c r="D11" s="6" t="n">
        <v>-22</v>
      </c>
      <c r="E11" s="6" t="n">
        <v>-2904</v>
      </c>
      <c r="F11" s="6" t="n">
        <v>210</v>
      </c>
    </row>
    <row r="12">
      <c r="A12" s="6" t="inlineStr">
        <is>
          <t>Positive revaluation on investment properties</t>
        </is>
      </c>
      <c r="B12" s="6" t="n"/>
      <c r="C12" s="6" t="n"/>
      <c r="D12" s="6" t="n"/>
      <c r="E12" s="6" t="n"/>
      <c r="F12" s="6" t="n">
        <v>-1412</v>
      </c>
    </row>
    <row r="13">
      <c r="A13" s="6" t="inlineStr">
        <is>
          <t>Loss/(gain) on sale of property held for sale</t>
        </is>
      </c>
      <c r="B13" s="6" t="n"/>
      <c r="C13" s="6" t="n"/>
      <c r="D13" s="6" t="n"/>
      <c r="E13" s="6" t="n"/>
      <c r="F13" s="6" t="n">
        <v>472</v>
      </c>
    </row>
    <row r="14">
      <c r="A14" s="6" t="inlineStr">
        <is>
          <t>Share in profit of associate</t>
        </is>
      </c>
      <c r="B14" s="6" t="n"/>
      <c r="C14" s="6" t="n"/>
      <c r="D14" s="6" t="n">
        <v>0</v>
      </c>
      <c r="E14" s="6" t="n">
        <v>-1640</v>
      </c>
      <c r="F14" s="6" t="n">
        <v>-904</v>
      </c>
    </row>
    <row r="15">
      <c r="A15" s="6" t="inlineStr">
        <is>
          <t>Fair value movement in derivative financial instruments (non-cash adjustment)</t>
        </is>
      </c>
      <c r="B15" s="6" t="n">
        <v>1844</v>
      </c>
      <c r="C15" s="6" t="n">
        <v>341</v>
      </c>
      <c r="D15" s="6" t="n">
        <v>-1083</v>
      </c>
      <c r="E15" s="6" t="n">
        <v>-1634</v>
      </c>
      <c r="F15" s="6" t="n">
        <v>160</v>
      </c>
    </row>
    <row r="16">
      <c r="A16" s="6" t="inlineStr">
        <is>
          <t>Foreign exchange (gains)/losses</t>
        </is>
      </c>
      <c r="B16" s="6" t="n">
        <v>-321</v>
      </c>
      <c r="C16" s="6" t="n">
        <v>-120</v>
      </c>
      <c r="D16" s="6" t="n">
        <v>145</v>
      </c>
      <c r="E16" s="6" t="n">
        <v>-264</v>
      </c>
      <c r="F16" s="6" t="n">
        <v>461</v>
      </c>
    </row>
    <row r="17">
      <c r="A17" s="6" t="inlineStr">
        <is>
          <t>Taxation/income tax expense (non-cash adjustment)</t>
        </is>
      </c>
      <c r="B17" s="6" t="n">
        <v>-1947</v>
      </c>
      <c r="C17" s="6" t="n">
        <v>-2167</v>
      </c>
      <c r="D17" s="6" t="n">
        <v>-4</v>
      </c>
      <c r="E17" s="6" t="n">
        <v>-3933</v>
      </c>
      <c r="F17" s="6" t="n">
        <v>153</v>
      </c>
    </row>
    <row r="18">
      <c r="A18" s="6" t="inlineStr">
        <is>
          <t>Adjustment for assets/liabilities held for sale</t>
        </is>
      </c>
      <c r="B18" s="6" t="n">
        <v>3134</v>
      </c>
      <c r="C18" s="6" t="n">
        <v>3148</v>
      </c>
      <c r="D18" s="6" t="n"/>
      <c r="E18" s="6" t="n"/>
      <c r="F18" s="6" t="n"/>
    </row>
    <row r="19">
      <c r="A19" s="6" t="inlineStr">
        <is>
          <t>Net (increase)/decrease in other assets</t>
        </is>
      </c>
      <c r="B19" s="6" t="n">
        <v>-30867</v>
      </c>
      <c r="C19" s="6" t="n">
        <v>-964</v>
      </c>
      <c r="D19" s="6" t="n">
        <v>-1712</v>
      </c>
      <c r="E19" s="6" t="n">
        <v>3007</v>
      </c>
      <c r="F19" s="6" t="n">
        <v>-1816</v>
      </c>
    </row>
    <row r="20">
      <c r="A20" s="6" t="inlineStr">
        <is>
          <t>Changes in financing and advances at amortised cost</t>
        </is>
      </c>
      <c r="B20" s="6" t="n">
        <v>52974</v>
      </c>
      <c r="C20" s="6" t="n">
        <v>36152</v>
      </c>
      <c r="D20" s="6" t="n">
        <v>-130754</v>
      </c>
      <c r="E20" s="6" t="n">
        <v>-332498</v>
      </c>
      <c r="F20" s="6" t="n">
        <v>-199760</v>
      </c>
    </row>
    <row r="21">
      <c r="A21" s="6" t="inlineStr">
        <is>
          <t>Fair value movement in derivative financial instruments (operating assets)</t>
        </is>
      </c>
      <c r="B21" s="6" t="n">
        <v>-8196</v>
      </c>
      <c r="C21" s="6" t="n">
        <v>-4080</v>
      </c>
      <c r="D21" s="6" t="n">
        <v>-14824</v>
      </c>
      <c r="E21" s="6" t="n">
        <v>26558</v>
      </c>
      <c r="F21" s="6" t="n"/>
    </row>
    <row r="22">
      <c r="A22" s="6" t="inlineStr">
        <is>
          <t>Net investment in financial assets held at FVTIS</t>
        </is>
      </c>
      <c r="B22" s="6" t="n"/>
      <c r="C22" s="6" t="n"/>
      <c r="D22" s="6" t="n"/>
      <c r="E22" s="6" t="n"/>
      <c r="F22" s="6" t="n">
        <v>8683</v>
      </c>
    </row>
    <row r="23">
      <c r="A23" s="6" t="inlineStr">
        <is>
          <t>Net investment in financial assets held at FVTOCI</t>
        </is>
      </c>
      <c r="B23" s="6" t="n"/>
      <c r="C23" s="6" t="n"/>
      <c r="D23" s="6" t="n"/>
      <c r="E23" s="6" t="n"/>
      <c r="F23" s="6" t="n">
        <v>-286</v>
      </c>
    </row>
    <row r="24">
      <c r="A24" s="6" t="inlineStr">
        <is>
          <t>Changes in assets and liabilities held for sale</t>
        </is>
      </c>
      <c r="B24" s="6" t="n">
        <v>-4183</v>
      </c>
      <c r="C24" s="6" t="n">
        <v>-3876</v>
      </c>
      <c r="D24" s="6" t="n"/>
      <c r="E24" s="6" t="n"/>
      <c r="F24" s="6" t="n"/>
    </row>
    <row r="25">
      <c r="A25" s="6" t="inlineStr">
        <is>
          <t>Intercompany payable/receivable</t>
        </is>
      </c>
      <c r="B25" s="6" t="n">
        <v>51</v>
      </c>
      <c r="C25" s="6" t="n">
        <v>0</v>
      </c>
      <c r="D25" s="6" t="n"/>
      <c r="E25" s="6" t="n"/>
      <c r="F25" s="6" t="n"/>
    </row>
    <row r="26">
      <c r="A26" s="6" t="inlineStr">
        <is>
          <t>Changes in financial liabilities measured at amortised cost</t>
        </is>
      </c>
      <c r="B26" s="6" t="n">
        <v>-2094</v>
      </c>
      <c r="C26" s="6" t="n">
        <v>-27632</v>
      </c>
      <c r="D26" s="6" t="n">
        <v>-148024</v>
      </c>
      <c r="E26" s="6" t="n">
        <v>263503</v>
      </c>
      <c r="F26" s="6" t="n">
        <v>196339</v>
      </c>
    </row>
    <row r="27">
      <c r="A27" s="6" t="inlineStr">
        <is>
          <t>Net increase/(decrease) in other liabilities</t>
        </is>
      </c>
      <c r="B27" s="6" t="n">
        <v>2578</v>
      </c>
      <c r="C27" s="6" t="n">
        <v>-534</v>
      </c>
      <c r="D27" s="6" t="n">
        <v>156</v>
      </c>
      <c r="E27" s="6" t="n">
        <v>-3953</v>
      </c>
      <c r="F27" s="6" t="n">
        <v>4565</v>
      </c>
    </row>
    <row r="28">
      <c r="A28" s="5" t="inlineStr">
        <is>
          <t>Cash generated from operations</t>
        </is>
      </c>
      <c r="B28" s="5" t="n">
        <v>5581</v>
      </c>
      <c r="C28" s="5" t="n">
        <v>2837</v>
      </c>
      <c r="D28" s="5" t="n"/>
      <c r="E28" s="5" t="n"/>
      <c r="F28" s="5" t="n"/>
    </row>
    <row r="29">
      <c r="A29" s="6" t="inlineStr">
        <is>
          <t>Income tax paid (cash)</t>
        </is>
      </c>
      <c r="B29" s="6" t="n">
        <v>-1506</v>
      </c>
      <c r="C29" s="6" t="n">
        <v>-850</v>
      </c>
      <c r="D29" s="6" t="n">
        <v>-592</v>
      </c>
      <c r="E29" s="6" t="n">
        <v>-330</v>
      </c>
      <c r="F29" s="6" t="n"/>
    </row>
    <row r="30">
      <c r="A30" s="5" t="inlineStr">
        <is>
          <t>Net cash flow from/(used in) operating activities</t>
        </is>
      </c>
      <c r="B30" s="5" t="n">
        <v>4075</v>
      </c>
      <c r="C30" s="5" t="n">
        <v>1987</v>
      </c>
      <c r="D30" s="5" t="n">
        <v>4640</v>
      </c>
      <c r="E30" s="5" t="n">
        <v>-38927</v>
      </c>
      <c r="F30" s="5" t="n">
        <v>12357</v>
      </c>
    </row>
    <row r="31">
      <c r="A31" s="5" t="inlineStr">
        <is>
          <t>Investing activities</t>
        </is>
      </c>
      <c r="B31" s="6" t="n"/>
      <c r="C31" s="6" t="n"/>
      <c r="D31" s="6" t="n"/>
      <c r="E31" s="6" t="n"/>
      <c r="F31" s="6" t="n"/>
    </row>
    <row r="32">
      <c r="A32" s="6" t="inlineStr">
        <is>
          <t>Acquisitions of property, plant and equipment</t>
        </is>
      </c>
      <c r="B32" s="6" t="n">
        <v>-278</v>
      </c>
      <c r="C32" s="6" t="n">
        <v>-150</v>
      </c>
      <c r="D32" s="6" t="n">
        <v>-416</v>
      </c>
      <c r="E32" s="6" t="n">
        <v>-637</v>
      </c>
      <c r="F32" s="6" t="n">
        <v>-632</v>
      </c>
    </row>
    <row r="33">
      <c r="A33" s="6" t="inlineStr">
        <is>
          <t>Proceeds from sale of property, plant and equipment</t>
        </is>
      </c>
      <c r="B33" s="6" t="n">
        <v>57</v>
      </c>
      <c r="C33" s="6" t="n">
        <v>30</v>
      </c>
      <c r="D33" s="6" t="n"/>
      <c r="E33" s="6" t="n"/>
      <c r="F33" s="6" t="n"/>
    </row>
    <row r="34">
      <c r="A34" s="6" t="inlineStr">
        <is>
          <t>Acquisition of intangible assets</t>
        </is>
      </c>
      <c r="B34" s="6" t="n">
        <v>-1535</v>
      </c>
      <c r="C34" s="6" t="n">
        <v>-1057</v>
      </c>
      <c r="D34" s="6" t="n">
        <v>-623</v>
      </c>
      <c r="E34" s="6" t="n">
        <v>-878</v>
      </c>
      <c r="F34" s="6" t="n">
        <v>-320</v>
      </c>
    </row>
    <row r="35">
      <c r="A35" s="6" t="inlineStr">
        <is>
          <t>Purchases of financial assets held at FVOCI</t>
        </is>
      </c>
      <c r="B35" s="6" t="n">
        <v>-14050</v>
      </c>
      <c r="C35" s="6" t="n">
        <v>-15693</v>
      </c>
      <c r="D35" s="6" t="n"/>
      <c r="E35" s="6" t="n"/>
      <c r="F35" s="6" t="n">
        <v>-17000</v>
      </c>
    </row>
    <row r="36">
      <c r="A36" s="6" t="inlineStr">
        <is>
          <t>Proceeds from sale of financial assets held at FVTOCI</t>
        </is>
      </c>
      <c r="B36" s="6" t="n">
        <v>5098</v>
      </c>
      <c r="C36" s="6" t="n">
        <v>7254</v>
      </c>
      <c r="D36" s="6" t="n">
        <v>0</v>
      </c>
      <c r="E36" s="6" t="n">
        <v>2061</v>
      </c>
      <c r="F36" s="6" t="n">
        <v>11617</v>
      </c>
    </row>
    <row r="37">
      <c r="A37" s="6" t="inlineStr">
        <is>
          <t>Purchase of financial assets held at FVTIS (unquoted investments)</t>
        </is>
      </c>
      <c r="B37" s="6" t="n">
        <v>-143</v>
      </c>
      <c r="C37" s="6" t="n">
        <v>-1775</v>
      </c>
      <c r="D37" s="6" t="n">
        <v>-1195</v>
      </c>
      <c r="E37" s="6" t="n">
        <v>-600</v>
      </c>
      <c r="F37" s="6" t="n"/>
    </row>
    <row r="38">
      <c r="A38" s="6" t="inlineStr">
        <is>
          <t>Held for sale investing activities</t>
        </is>
      </c>
      <c r="B38" s="6" t="n">
        <v>-647</v>
      </c>
      <c r="C38" s="6" t="n">
        <v>-1391</v>
      </c>
      <c r="D38" s="6" t="n"/>
      <c r="E38" s="6" t="n"/>
      <c r="F38" s="6" t="n"/>
    </row>
    <row r="39">
      <c r="A39" s="6" t="inlineStr">
        <is>
          <t>Proceeds from sale of financial assets held at FVTIS (unquoted investments)</t>
        </is>
      </c>
      <c r="B39" s="6" t="n">
        <v>4394</v>
      </c>
      <c r="C39" s="6" t="n">
        <v>14735</v>
      </c>
      <c r="D39" s="6" t="n">
        <v>0</v>
      </c>
      <c r="E39" s="6" t="n">
        <v>11468</v>
      </c>
      <c r="F39" s="6" t="n">
        <v>23238</v>
      </c>
    </row>
    <row r="40">
      <c r="A40" s="6" t="inlineStr">
        <is>
          <t>Cash flow received from discontinued operations</t>
        </is>
      </c>
      <c r="B40" s="6" t="n"/>
      <c r="C40" s="6" t="n"/>
      <c r="D40" s="6" t="n">
        <v>0</v>
      </c>
      <c r="E40" s="6" t="n">
        <v>14253</v>
      </c>
      <c r="F40" s="6" t="n"/>
    </row>
    <row r="41">
      <c r="A41" s="6" t="inlineStr">
        <is>
          <t>Dividend received from associate</t>
        </is>
      </c>
      <c r="B41" s="6" t="n"/>
      <c r="C41" s="6" t="n"/>
      <c r="D41" s="6" t="n"/>
      <c r="E41" s="6" t="n"/>
      <c r="F41" s="6" t="n">
        <v>859</v>
      </c>
    </row>
    <row r="42">
      <c r="A42" s="6" t="inlineStr">
        <is>
          <t>Investments in subsidiaries</t>
        </is>
      </c>
      <c r="B42" s="6" t="n"/>
      <c r="C42" s="6" t="n"/>
      <c r="D42" s="6" t="n"/>
      <c r="E42" s="6" t="n"/>
      <c r="F42" s="6" t="n">
        <v>-437</v>
      </c>
    </row>
    <row r="43">
      <c r="A43" s="6" t="inlineStr">
        <is>
          <t>Net proceeds from disposal of property held for sale</t>
        </is>
      </c>
      <c r="B43" s="6" t="n"/>
      <c r="C43" s="6" t="n"/>
      <c r="D43" s="6" t="n">
        <v>0</v>
      </c>
      <c r="E43" s="6" t="n">
        <v>4537</v>
      </c>
      <c r="F43" s="6" t="n">
        <v>0</v>
      </c>
    </row>
    <row r="44">
      <c r="A44" s="5" t="inlineStr">
        <is>
          <t>Net cash flow from/(used in) investing activities</t>
        </is>
      </c>
      <c r="B44" s="5" t="n">
        <v>-7104</v>
      </c>
      <c r="C44" s="5" t="n">
        <v>1953</v>
      </c>
      <c r="D44" s="5" t="n">
        <v>-2234</v>
      </c>
      <c r="E44" s="5" t="n">
        <v>30204</v>
      </c>
      <c r="F44" s="5" t="n">
        <v>17325</v>
      </c>
    </row>
    <row r="45">
      <c r="A45" s="5" t="inlineStr">
        <is>
          <t>Financing activities</t>
        </is>
      </c>
      <c r="B45" s="6" t="n"/>
      <c r="C45" s="6" t="n"/>
      <c r="D45" s="6" t="n"/>
      <c r="E45" s="6" t="n"/>
      <c r="F45" s="6" t="n"/>
    </row>
    <row r="46">
      <c r="A46" s="6" t="inlineStr">
        <is>
          <t>Acquisition of subsidiaries</t>
        </is>
      </c>
      <c r="B46" s="6" t="n"/>
      <c r="C46" s="6" t="n"/>
      <c r="D46" s="6" t="n">
        <v>0</v>
      </c>
      <c r="E46" s="6" t="n">
        <v>-9218</v>
      </c>
      <c r="F46" s="6" t="n"/>
    </row>
    <row r="47">
      <c r="A47" s="6" t="inlineStr">
        <is>
          <t>Cash outflow for lease liabilities</t>
        </is>
      </c>
      <c r="B47" s="6" t="n">
        <v>-267</v>
      </c>
      <c r="C47" s="6" t="n">
        <v>-401</v>
      </c>
      <c r="D47" s="6" t="n">
        <v>-701</v>
      </c>
      <c r="E47" s="6" t="n">
        <v>-672</v>
      </c>
      <c r="F47" s="6" t="n">
        <v>-724</v>
      </c>
    </row>
    <row r="48">
      <c r="A48" s="6" t="inlineStr">
        <is>
          <t>Held for sale financing activities</t>
        </is>
      </c>
      <c r="B48" s="6" t="n">
        <v>-40</v>
      </c>
      <c r="C48" s="6" t="n">
        <v>-296</v>
      </c>
      <c r="D48" s="6" t="n"/>
      <c r="E48" s="6" t="n"/>
      <c r="F48" s="6" t="n"/>
    </row>
    <row r="49">
      <c r="A49" s="5" t="inlineStr">
        <is>
          <t>Net cash flow from/(used in) financing activities</t>
        </is>
      </c>
      <c r="B49" s="5" t="n">
        <v>-307</v>
      </c>
      <c r="C49" s="5" t="n">
        <v>-697</v>
      </c>
      <c r="D49" s="5" t="n">
        <v>-701</v>
      </c>
      <c r="E49" s="5" t="n">
        <v>-9890</v>
      </c>
      <c r="F49" s="5" t="n">
        <v>-724</v>
      </c>
    </row>
    <row r="50">
      <c r="A50" s="5" t="inlineStr">
        <is>
          <t>Net (decrease)/increase in cash and cash equivalents</t>
        </is>
      </c>
      <c r="B50" s="5" t="n">
        <v>-3336</v>
      </c>
      <c r="C50" s="5" t="n">
        <v>3243</v>
      </c>
      <c r="D50" s="5" t="n">
        <v>1705</v>
      </c>
      <c r="E50" s="5" t="n">
        <v>-18613</v>
      </c>
      <c r="F50" s="5" t="n">
        <v>28958</v>
      </c>
    </row>
    <row r="51">
      <c r="A51" s="6" t="inlineStr">
        <is>
          <t>Cash and cash equivalents at beginning of year</t>
        </is>
      </c>
      <c r="B51" s="6" t="n">
        <v>27823</v>
      </c>
      <c r="C51" s="6" t="n">
        <v>24596</v>
      </c>
      <c r="D51" s="6" t="n">
        <v>22845</v>
      </c>
      <c r="E51" s="6" t="n">
        <v>41598</v>
      </c>
      <c r="F51" s="6" t="n">
        <v>12644</v>
      </c>
    </row>
    <row r="52">
      <c r="A52" s="6" t="inlineStr">
        <is>
          <t>Effect of exchange rate fluctuations on cash held</t>
        </is>
      </c>
      <c r="B52" s="6" t="n">
        <v>112</v>
      </c>
      <c r="C52" s="6" t="n">
        <v>-16</v>
      </c>
      <c r="D52" s="6" t="n">
        <v>46</v>
      </c>
      <c r="E52" s="6" t="n">
        <v>-140</v>
      </c>
      <c r="F52" s="6" t="n">
        <v>-4</v>
      </c>
    </row>
    <row r="53">
      <c r="A53" s="5" t="inlineStr">
        <is>
          <t>Cash and cash equivalents at end of year</t>
        </is>
      </c>
      <c r="B53" s="5" t="n">
        <v>24599</v>
      </c>
      <c r="C53" s="5" t="n">
        <v>27823</v>
      </c>
      <c r="D53" s="5" t="n">
        <v>24596</v>
      </c>
      <c r="E53" s="5" t="n">
        <v>22845</v>
      </c>
      <c r="F53" s="5" t="n">
        <v>41598</v>
      </c>
    </row>
    <row r="54">
      <c r="A54" s="5" t="inlineStr">
        <is>
          <t>Additional information on operational cash flows from profit and dividends</t>
        </is>
      </c>
      <c r="B54" s="6" t="n"/>
      <c r="C54" s="6" t="n"/>
      <c r="D54" s="6" t="n"/>
      <c r="E54" s="6" t="n"/>
      <c r="F54" s="6" t="n"/>
    </row>
    <row r="55">
      <c r="A55" s="6" t="inlineStr">
        <is>
          <t>Profit paid</t>
        </is>
      </c>
      <c r="B55" s="6" t="n">
        <v>48829</v>
      </c>
      <c r="C55" s="6" t="n">
        <v>53847</v>
      </c>
      <c r="D55" s="6" t="n">
        <v>23431</v>
      </c>
      <c r="E55" s="6" t="n">
        <v>14671</v>
      </c>
      <c r="F55" s="6" t="n"/>
    </row>
    <row r="56">
      <c r="A56" s="6" t="inlineStr">
        <is>
          <t>Profit received</t>
        </is>
      </c>
      <c r="B56" s="6" t="n">
        <v>65797</v>
      </c>
      <c r="C56" s="6" t="n">
        <v>65387</v>
      </c>
      <c r="D56" s="6" t="n">
        <v>55817</v>
      </c>
      <c r="E56" s="6" t="n">
        <v>43043</v>
      </c>
      <c r="F56" s="6" t="n"/>
    </row>
    <row r="57">
      <c r="A57" s="6" t="inlineStr">
        <is>
          <t>Dividend received</t>
        </is>
      </c>
      <c r="B57" s="6" t="n">
        <v>0</v>
      </c>
      <c r="C57" s="6" t="n">
        <v>659</v>
      </c>
      <c r="D57" s="6" t="n">
        <v>845</v>
      </c>
      <c r="E57" s="6" t="n">
        <v>844</v>
      </c>
      <c r="F57" s="6" t="n"/>
    </row>
    <row r="59" ht="340" customHeight="1">
      <c r="A59" s="8" t="inlineStr">
        <is>
          <t>Sources - all figures are Gatehouse Bank Plc's own Consolidated Statement of Cash Flows:
FY2025/FY2024: Annual Report and Financial Statements 2025, p.60-61 (Consolidated Statement of Cash Flows) - https://assets.gatehousebank.com/production/downloads/Gatehouse-Bank-Annual-Report-2025.pdf
FY2023/FY2022: Annual Report and Financial Statements 2023, p.64-65 (Consolidated Statement of Cash Flows) - https://gatehousebank.com/downloads/gatehouse-bank-annual-report-2023
FY2021: Annual Report and Financial Statements 2021, p.52 (Consolidated Statement of Cash Flows, own originally-published FY2021 column - see ENTITY NOTE on the later FY2022 report's restated comparative) - https://assets.gatehousebank.com/production/downloads/Gatehouse-Bank-Annual-Report-2021-FINAL-web.pdf
ENTITY NOTE: Gatehouse Bank Plc (FRN 475346, company 06260053) is a UK Shariah-compliant (Islamic) bank - 'profit paid/received' in the cash flow statement is the functional equivalent of conventional interest paid/received, and financing/advances line items are Shariah-compliant structures (Wakala, Murabaha, ijara) presented here as the standard cash flow line items they represent. Figures are the Bank's own Consolidated Statement of Cash Flows from its Companies House 'Group of companies' accounts' filings.
GENUINE MID-SERIES PRESENTATION CHANGE across 3 distinct eras, each kept on its own originally-published line items (blank cells where a line doesn't apply that year, not a gap): FY2021 (single combined profit line, no separate cash-tax-paid line); FY2022-FY2023 (profit split continuing/discontinued, 'Share in profit of associate' adjustment, cash tax paid shown separately within the operating-liabilities block); FY2024-FY2025 (adds Held-For-Sale adjustment/asset lines and an 'Intercompany payable receivable' line reflecting a disclosed business restructuring, and introduces a 'Cash generated from operations' subtotal not shown in earlier years). The 'Fair value movement in financial instruments held at FVTIS (derivative financial instruments)' caption is used TWICE within the same year's own statement - once as a non-cash P&amp;L adjustment, once under operating-asset movements - kept as two distinct rows per the source, not a duplicate.
FY2021 RESTATEMENT: the FY2022 Annual Report's own FY2021 comparative column reclassifies several FY2021 operating/investing line items (e.g. splits continuing/discontinued profit differently, renames 'Net investment in financial assets held at FVTIS/FVTOCI' into the derivative-FVTIS captions used from FY2022 onward) versus FY2021's own originally-published Annual Report. The two vintages' Net cash flow from operating/investing activities totals differ (12,357/17,325 as originally published vs 12,643/17,039 restated) but their SUM and the overall net cash movement (28,958) are identical in both - a pure reclassification between sections, not a value correction (the same pattern seen at FCE Bank Plc in this project). FY2021's own originally-published Annual Report figures are used here, consistent with every other year using its own primary source rather than a later restated comparative.
Full opening-to-closing cash balance chain (including the separately-disclosed FX effect on cash) ties exactly across all 5 years.</t>
        </is>
      </c>
    </row>
  </sheetData>
  <mergeCells count="1">
    <mergeCell ref="A59:F59"/>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c r="C4" s="6" t="n">
        <v>108.6</v>
      </c>
      <c r="D4" s="6" t="n">
        <v>108.2</v>
      </c>
      <c r="E4" s="6" t="n">
        <v>103.2</v>
      </c>
      <c r="F4" s="6" t="n">
        <v>94.5</v>
      </c>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F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CET1 ratio</t>
        </is>
      </c>
      <c r="B4" s="6" t="n"/>
      <c r="C4" s="6" t="inlineStr">
        <is>
          <t>17.1%</t>
        </is>
      </c>
      <c r="D4" s="6" t="inlineStr">
        <is>
          <t>16.8%</t>
        </is>
      </c>
      <c r="E4" s="6" t="inlineStr">
        <is>
          <t>17.4%</t>
        </is>
      </c>
      <c r="F4" s="6" t="inlineStr">
        <is>
          <t>18.1%</t>
        </is>
      </c>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F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c r="C4" s="6" t="n">
        <v>108.6</v>
      </c>
      <c r="D4" s="6" t="n">
        <v>108.2</v>
      </c>
      <c r="E4" s="6" t="n">
        <v>103.2</v>
      </c>
      <c r="F4" s="6" t="n">
        <v>94.5</v>
      </c>
    </row>
    <row r="5" ht="60" customHeight="1">
      <c r="A5" s="7" t="inlineStr">
        <is>
          <t>Note: No Additional Tier 1 or Tier 2 instruments disclosed any year - Tier 1 capital equals CET1 capital throughout.</t>
        </is>
      </c>
    </row>
    <row r="7" ht="260" customHeight="1">
      <c r="A7"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5:F5"/>
    <mergeCell ref="A7:F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n"/>
      <c r="C4" s="6" t="inlineStr">
        <is>
          <t>17.1%</t>
        </is>
      </c>
      <c r="D4" s="6" t="inlineStr">
        <is>
          <t>16.8%</t>
        </is>
      </c>
      <c r="E4" s="6" t="inlineStr">
        <is>
          <t>17.4%</t>
        </is>
      </c>
      <c r="F4" s="6" t="inlineStr">
        <is>
          <t>18.1%</t>
        </is>
      </c>
    </row>
    <row r="5" ht="60" customHeight="1">
      <c r="A5" s="7" t="inlineStr">
        <is>
          <t>Note: No Additional Tier 1 or Tier 2 instruments disclosed any year - Tier 1 capital equals CET1 capital throughout.</t>
        </is>
      </c>
    </row>
    <row r="7" ht="260" customHeight="1">
      <c r="A7"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5:F5"/>
    <mergeCell ref="A7:F7"/>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c r="C4" s="6" t="n">
        <v>127.1</v>
      </c>
      <c r="D4" s="6" t="n">
        <v>126.7</v>
      </c>
      <c r="E4" s="6" t="n">
        <v>112.2</v>
      </c>
      <c r="F4" s="6" t="n">
        <v>103.5</v>
      </c>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F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n"/>
      <c r="C4" s="6" t="inlineStr">
        <is>
          <t>20.0%</t>
        </is>
      </c>
      <c r="D4" s="6" t="inlineStr">
        <is>
          <t>19.6%</t>
        </is>
      </c>
      <c r="E4" s="6" t="inlineStr">
        <is>
          <t>18.9%</t>
        </is>
      </c>
      <c r="F4" s="6" t="inlineStr">
        <is>
          <t>19.8%</t>
        </is>
      </c>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c r="C4" s="6" t="n">
        <v>636.7</v>
      </c>
      <c r="D4" s="6" t="n">
        <v>644.8</v>
      </c>
      <c r="E4" s="6" t="n">
        <v>594.7</v>
      </c>
      <c r="F4" s="6" t="n">
        <v>523</v>
      </c>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 excluding claims on central banks</t>
        </is>
      </c>
      <c r="B4" s="6" t="n"/>
      <c r="C4" s="6" t="inlineStr">
        <is>
          <t>7.4%</t>
        </is>
      </c>
      <c r="D4" s="6" t="inlineStr">
        <is>
          <t>7.3%</t>
        </is>
      </c>
      <c r="E4" s="6" t="inlineStr">
        <is>
          <t>7.5%</t>
        </is>
      </c>
      <c r="F4" s="6" t="inlineStr">
        <is>
          <t>9.2%</t>
        </is>
      </c>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F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t>
        </is>
      </c>
      <c r="B4" s="6" t="n"/>
      <c r="C4" s="6" t="inlineStr">
        <is>
          <t>447.6%</t>
        </is>
      </c>
      <c r="D4" s="6" t="inlineStr">
        <is>
          <t>691.6%</t>
        </is>
      </c>
      <c r="E4" s="6" t="inlineStr">
        <is>
          <t>350.7%</t>
        </is>
      </c>
      <c r="F4" s="6" t="inlineStr">
        <is>
          <t>365.4%</t>
        </is>
      </c>
    </row>
    <row r="6" ht="260" customHeight="1">
      <c r="A6"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Gatehouse Bank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t>
        </is>
      </c>
      <c r="B4" s="6" t="n"/>
      <c r="C4" s="6" t="inlineStr">
        <is>
          <t>153.5%</t>
        </is>
      </c>
      <c r="D4" s="6" t="inlineStr">
        <is>
          <t>151.1%</t>
        </is>
      </c>
      <c r="E4" s="6" t="inlineStr">
        <is>
          <t>150.6%</t>
        </is>
      </c>
      <c r="F4" s="6" t="n"/>
    </row>
    <row r="5" ht="60" customHeight="1">
      <c r="A5" s="7" t="inlineStr">
        <is>
          <t>Note: Not disclosed for FY2021 - the Article 447 Key Metrics NSFR rows first appear from the FY2022 Pillar 3 disclosure onward.</t>
        </is>
      </c>
    </row>
    <row r="7" ht="260" customHeight="1">
      <c r="A7" s="8" t="inlineStr">
        <is>
          <t>Sources - Gatehouse Bank Plc Pillar 3 disclosures, Article 447 Key Metrics table, p.32: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Gatehouse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publicly disclosed any year, no exemption stated - consistent with a small deposit taker below MREL-setting thresholds.</t>
        </is>
      </c>
    </row>
    <row r="7" ht="150" customHeight="1">
      <c r="A7" s="8" t="inlineStr">
        <is>
          <t>Sources - Gatehouse Bank Plc Pillar 3 disclosures, Article 447 Key Metrics table, p.n/a:
FY2024: Pillar III Disclosure 2024 (Dec-24 column) - https://assets.gatehousebank.com/production/downloads/Gatehouse-Bank-Pillar-III-Disclosure-2024-FINAL.pdf
FY2023: Pillar III Disclosure 2023 (Dec-23 column) - https://assets.gatehousebank.com/production/downloads/Gatehouse-Bank-Pillar-III-Disclosure-2023-FINAL.pdf
FY2022: Pillar III Disclosure 2022 (Dec-22 column, own year's disclosure - see restatement note) - https://gatehousebank.com/downloads/gatehouse-bank-pillar-3-disclosure-2022
FY2021: Annual Report and Financial Statements 2021, s.5 Capital Resources, p.11 (own year-end capital resources note, cross-validated against the 2022 Pillar 3 disclosure's Dec-21 comparative column) - https://assets.gatehousebank.com/production/downloads/Gatehouse-Bank-Annual-Report-2021-FINAL-web.pdf
FY2025: not yet published as at build date - Pillar 3 disclosures are typically published some months after the Annual Report; left blank rather than guessed.
RESTATEMENT NOTE: the FY2023 Pillar 3 disclosure's own Dec-22 comparative column shows CET1 capital of GBP98.0m / RWA of GBP579.1m / ratios of 16.9%/16.9%/18.5% / leverage 7.1% - different from the FY2022 disclosure's own Dec-22 ('T') figures used here (GBP103.2m / GBP594.7m / 17.4%/17.4%/18.9% / 7.5%). LCR and NSFR at Dec-22 match exactly between both vintages (350.7% and 150.6%), so only the capital-side figures were later restated. Each year's own primary disclosure is used throughout, consistent with the rest of this workbook.</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2026-08-28T09:07:13Z</dcterms:created>
  <dcterms:modified xsi:type="dcterms:W3CDTF">2026-08-28T09:07:13Z</dcterms:modified>
</cp:coreProperties>
</file>