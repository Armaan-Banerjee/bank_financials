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6773E"/>
        <bgColor rgb="0076773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Gatehouse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Gatehouse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Gatehouse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Gatehouse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Gatehouse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Gatehouse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U5" t="inlineStr">
        <is>
          <t>FY2017</t>
        </is>
      </c>
      <c r="AV5" t="inlineStr">
        <is>
          <t>FY2021</t>
        </is>
      </c>
      <c r="AW5" t="inlineStr">
        <is>
          <t>FY2022</t>
        </is>
      </c>
      <c r="AX5" t="inlineStr">
        <is>
          <t>FY2023</t>
        </is>
      </c>
      <c r="AY5" t="inlineStr">
        <is>
          <t>FY2024</t>
        </is>
      </c>
      <c r="AZ5" t="inlineStr">
        <is>
          <t>FY2025</t>
        </is>
      </c>
    </row>
    <row r="6">
      <c r="A6" s="5" t="inlineStr">
        <is>
          <t>Total assets</t>
        </is>
      </c>
      <c r="B6" s="5" t="n">
        <v>1398211</v>
      </c>
      <c r="C6" s="5" t="n">
        <v>1415108</v>
      </c>
      <c r="D6" s="5" t="n">
        <v>1469773</v>
      </c>
      <c r="E6" s="5" t="n">
        <v>1335927</v>
      </c>
      <c r="F6" s="5" t="n">
        <v>1026358</v>
      </c>
      <c r="G6" s="5" t="n"/>
      <c r="J6" t="inlineStr">
        <is>
          <t>Total assets</t>
        </is>
      </c>
      <c r="L6" t="n">
        <v>1026358</v>
      </c>
      <c r="M6" t="n">
        <v>1335927</v>
      </c>
      <c r="N6" t="n">
        <v>1469773</v>
      </c>
      <c r="O6" t="n">
        <v>1415108</v>
      </c>
      <c r="P6" t="n">
        <v>1398211</v>
      </c>
      <c r="AT6" t="inlineStr">
        <is>
          <t>CET1 Ratio</t>
        </is>
      </c>
      <c r="AU6" t="n">
        <v>37.3</v>
      </c>
      <c r="AV6" t="n">
        <v>18.1</v>
      </c>
      <c r="AW6" t="n">
        <v>17.4</v>
      </c>
      <c r="AX6" t="n">
        <v>16.8</v>
      </c>
      <c r="AY6" t="n">
        <v>17.1</v>
      </c>
    </row>
    <row r="7">
      <c r="A7" s="5" t="inlineStr">
        <is>
          <t>Financing and advances at amortised cost</t>
        </is>
      </c>
      <c r="B7" s="5" t="n">
        <v>1264559</v>
      </c>
      <c r="C7" s="5" t="n">
        <v>1315936</v>
      </c>
      <c r="D7" s="5" t="n">
        <v>1357803</v>
      </c>
      <c r="E7" s="5" t="n">
        <v>1227896</v>
      </c>
      <c r="F7" s="5" t="n">
        <v>901111</v>
      </c>
      <c r="G7" s="5" t="n"/>
      <c r="J7" t="inlineStr">
        <is>
          <t>Financing and advances at amortised cost</t>
        </is>
      </c>
      <c r="L7" t="n">
        <v>901111</v>
      </c>
      <c r="M7" t="n">
        <v>1227896</v>
      </c>
      <c r="N7" t="n">
        <v>1357803</v>
      </c>
      <c r="O7" t="n">
        <v>1315936</v>
      </c>
      <c r="P7" t="n">
        <v>1264559</v>
      </c>
      <c r="AT7" t="inlineStr">
        <is>
          <t>Total Capital Ratio</t>
        </is>
      </c>
      <c r="AU7" t="n">
        <v>37.3</v>
      </c>
      <c r="AV7" t="n">
        <v>19.8</v>
      </c>
      <c r="AW7" t="n">
        <v>18.9</v>
      </c>
      <c r="AX7" t="n">
        <v>19.6</v>
      </c>
      <c r="AY7" t="n">
        <v>20</v>
      </c>
    </row>
    <row r="8">
      <c r="A8" s="5" t="inlineStr">
        <is>
          <t>Financial liabilities measured at amortised cost</t>
        </is>
      </c>
      <c r="B8" s="5" t="n">
        <v>1287404</v>
      </c>
      <c r="C8" s="5" t="n">
        <v>1288977</v>
      </c>
      <c r="D8" s="5" t="n">
        <v>1316609</v>
      </c>
      <c r="E8" s="5" t="n">
        <v>1168586</v>
      </c>
      <c r="F8" s="5" t="n">
        <v>895637</v>
      </c>
      <c r="G8" s="5" t="n"/>
      <c r="J8" t="inlineStr">
        <is>
          <t>Financial liabilities measured at amortised cost</t>
        </is>
      </c>
      <c r="L8" t="n">
        <v>895637</v>
      </c>
      <c r="M8" t="n">
        <v>1168586</v>
      </c>
      <c r="N8" t="n">
        <v>1316609</v>
      </c>
      <c r="O8" t="n">
        <v>1288977</v>
      </c>
      <c r="P8" t="n">
        <v>1287404</v>
      </c>
      <c r="AT8" t="inlineStr">
        <is>
          <t>Leverage Ratio</t>
        </is>
      </c>
      <c r="AU8" t="n">
        <v>37.8</v>
      </c>
      <c r="AV8" t="n">
        <v>9.199999999999999</v>
      </c>
      <c r="AW8" t="n">
        <v>7.5</v>
      </c>
      <c r="AX8" t="n">
        <v>7.3</v>
      </c>
      <c r="AY8" t="n">
        <v>7.4</v>
      </c>
    </row>
    <row r="9">
      <c r="A9" s="5" t="inlineStr">
        <is>
          <t>Total equity</t>
        </is>
      </c>
      <c r="B9" s="5" t="n">
        <v>95766</v>
      </c>
      <c r="C9" s="5" t="n">
        <v>106372</v>
      </c>
      <c r="D9" s="5" t="n">
        <v>102228</v>
      </c>
      <c r="E9" s="5" t="n">
        <v>98784</v>
      </c>
      <c r="F9" s="5" t="n">
        <v>112652</v>
      </c>
      <c r="G9" s="5" t="n"/>
      <c r="J9" t="inlineStr">
        <is>
          <t>Total equity</t>
        </is>
      </c>
      <c r="L9" t="n">
        <v>112652</v>
      </c>
      <c r="M9" t="n">
        <v>98784</v>
      </c>
      <c r="N9" t="n">
        <v>102228</v>
      </c>
      <c r="O9" t="n">
        <v>106372</v>
      </c>
      <c r="P9" t="n">
        <v>95766</v>
      </c>
      <c r="AT9" t="inlineStr">
        <is>
          <t>LCR</t>
        </is>
      </c>
      <c r="AU9" t="n">
        <v>641.3</v>
      </c>
      <c r="AV9" t="n">
        <v>365.4</v>
      </c>
      <c r="AW9" t="n">
        <v>350.7</v>
      </c>
      <c r="AX9" t="n">
        <v>691.6</v>
      </c>
      <c r="AY9" t="n">
        <v>447.6</v>
      </c>
    </row>
    <row r="10">
      <c r="AT10" t="inlineStr">
        <is>
          <t>NSFR</t>
        </is>
      </c>
      <c r="AW10" t="n">
        <v>150.6</v>
      </c>
      <c r="AX10" t="n">
        <v>151.1</v>
      </c>
      <c r="AY10" t="n">
        <v>153.5</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operating income</t>
        </is>
      </c>
      <c r="B13" s="5" t="n">
        <v>13790</v>
      </c>
      <c r="C13" s="5" t="n">
        <v>19479</v>
      </c>
      <c r="D13" s="5" t="n">
        <v>34102</v>
      </c>
      <c r="E13" s="5" t="n">
        <v>32884</v>
      </c>
      <c r="F13" s="5" t="n">
        <v>31234</v>
      </c>
      <c r="G13" s="5" t="n"/>
      <c r="S13" t="inlineStr">
        <is>
          <t>Total operating income</t>
        </is>
      </c>
      <c r="U13" t="n">
        <v>31234</v>
      </c>
      <c r="V13" t="n">
        <v>32884</v>
      </c>
      <c r="W13" t="n">
        <v>34102</v>
      </c>
      <c r="X13" t="n">
        <v>19479</v>
      </c>
      <c r="Y13" t="n">
        <v>13790</v>
      </c>
    </row>
    <row r="14">
      <c r="A14" s="5" t="inlineStr">
        <is>
          <t>Total operating expenses</t>
        </is>
      </c>
      <c r="B14" s="5" t="n">
        <v>-29028</v>
      </c>
      <c r="C14" s="5" t="n">
        <v>-22893</v>
      </c>
      <c r="D14" s="5" t="n">
        <v>-30949</v>
      </c>
      <c r="E14" s="5" t="n">
        <v>-30329</v>
      </c>
      <c r="F14" s="5" t="n">
        <v>-28521</v>
      </c>
      <c r="G14" s="5" t="n"/>
      <c r="S14" t="inlineStr">
        <is>
          <t>Total operating expenses</t>
        </is>
      </c>
      <c r="U14" t="n">
        <v>-28521</v>
      </c>
      <c r="V14" t="n">
        <v>-30329</v>
      </c>
      <c r="W14" t="n">
        <v>-30949</v>
      </c>
      <c r="X14" t="n">
        <v>-22893</v>
      </c>
      <c r="Y14" t="n">
        <v>-29028</v>
      </c>
    </row>
    <row r="15">
      <c r="A15" s="5" t="inlineStr">
        <is>
          <t>(Loss)/profit for the year</t>
        </is>
      </c>
      <c r="B15" s="5" t="n">
        <v>-11367</v>
      </c>
      <c r="C15" s="5" t="n">
        <v>3800</v>
      </c>
      <c r="D15" s="5" t="n">
        <v>3157</v>
      </c>
      <c r="E15" s="5" t="n">
        <v>8128</v>
      </c>
      <c r="F15" s="5" t="n">
        <v>3464</v>
      </c>
      <c r="G15" s="5" t="n"/>
      <c r="S15" t="inlineStr">
        <is>
          <t>(Loss)/profit for the year</t>
        </is>
      </c>
      <c r="U15" t="n">
        <v>3464</v>
      </c>
      <c r="V15" t="n">
        <v>8128</v>
      </c>
      <c r="W15" t="n">
        <v>3157</v>
      </c>
      <c r="X15" t="n">
        <v>3800</v>
      </c>
      <c r="Y15" t="n">
        <v>-11367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AC18" t="inlineStr">
        <is>
          <t>FY2017</t>
        </is>
      </c>
      <c r="AD18" t="inlineStr">
        <is>
          <t>FY2021</t>
        </is>
      </c>
      <c r="AE18" t="inlineStr">
        <is>
          <t>FY2022</t>
        </is>
      </c>
      <c r="AF18" t="inlineStr">
        <is>
          <t>FY2023</t>
        </is>
      </c>
      <c r="AG18" t="inlineStr">
        <is>
          <t>FY2024</t>
        </is>
      </c>
      <c r="AH18" t="inlineStr">
        <is>
          <t>FY2025</t>
        </is>
      </c>
    </row>
    <row r="19">
      <c r="A19" s="5" t="inlineStr">
        <is>
          <t>Opening equity</t>
        </is>
      </c>
      <c r="B19" s="5" t="n">
        <v>106372</v>
      </c>
      <c r="C19" s="5" t="n">
        <v>102228</v>
      </c>
      <c r="D19" s="5" t="n">
        <v>98784</v>
      </c>
      <c r="E19" s="5" t="n">
        <v>92816</v>
      </c>
      <c r="F19" s="5" t="n">
        <v>109326</v>
      </c>
      <c r="G19" s="5" t="n"/>
      <c r="AB19" t="inlineStr">
        <is>
          <t>Opening equity</t>
        </is>
      </c>
      <c r="AD19" t="n">
        <v>109326</v>
      </c>
      <c r="AE19" t="n">
        <v>92816</v>
      </c>
      <c r="AF19" t="n">
        <v>98784</v>
      </c>
      <c r="AG19" t="n">
        <v>102228</v>
      </c>
      <c r="AH19" t="n">
        <v>106372</v>
      </c>
    </row>
    <row r="20">
      <c r="A20" s="5" t="inlineStr">
        <is>
          <t>Total comprehensive (loss)/income for the year</t>
        </is>
      </c>
      <c r="B20" s="5" t="n">
        <v>-10606</v>
      </c>
      <c r="C20" s="5" t="n">
        <v>4144</v>
      </c>
      <c r="D20" s="5" t="n">
        <v>3711</v>
      </c>
      <c r="E20" s="5" t="n">
        <v>4797</v>
      </c>
      <c r="F20" s="5" t="n">
        <v>3326</v>
      </c>
      <c r="G20" s="5" t="n"/>
      <c r="AB20" t="inlineStr">
        <is>
          <t>Total comprehensive (loss)/income for the year</t>
        </is>
      </c>
      <c r="AD20" t="n">
        <v>3326</v>
      </c>
      <c r="AE20" t="n">
        <v>4797</v>
      </c>
      <c r="AF20" t="n">
        <v>3711</v>
      </c>
      <c r="AG20" t="n">
        <v>4144</v>
      </c>
      <c r="AH20" t="n">
        <v>-10606</v>
      </c>
    </row>
    <row r="21">
      <c r="A21" s="5" t="inlineStr">
        <is>
          <t>Other equity movements, net</t>
        </is>
      </c>
      <c r="B21" s="5" t="n">
        <v>0</v>
      </c>
      <c r="C21" s="5" t="n">
        <v>0</v>
      </c>
      <c r="D21" s="5" t="n">
        <v>-267</v>
      </c>
      <c r="E21" s="5" t="n">
        <v>1171</v>
      </c>
      <c r="F21" s="5" t="n">
        <v>0</v>
      </c>
      <c r="G21" s="5" t="n"/>
      <c r="AB21" t="inlineStr">
        <is>
          <t>Other equity movements, net</t>
        </is>
      </c>
      <c r="AD21" t="n">
        <v>0</v>
      </c>
      <c r="AE21" t="n">
        <v>1171</v>
      </c>
      <c r="AF21" t="n">
        <v>-267</v>
      </c>
      <c r="AG21" t="n">
        <v>0</v>
      </c>
      <c r="AH21" t="n">
        <v>0</v>
      </c>
    </row>
    <row r="22">
      <c r="A22" s="5" t="inlineStr">
        <is>
          <t>Closing equity</t>
        </is>
      </c>
      <c r="B22" s="5" t="n">
        <v>95766</v>
      </c>
      <c r="C22" s="5" t="n">
        <v>106372</v>
      </c>
      <c r="D22" s="5" t="n">
        <v>102228</v>
      </c>
      <c r="E22" s="5" t="n">
        <v>98784</v>
      </c>
      <c r="F22" s="5" t="n">
        <v>112652</v>
      </c>
      <c r="G22" s="5" t="n"/>
      <c r="AB22" t="inlineStr">
        <is>
          <t>Closing equity</t>
        </is>
      </c>
      <c r="AD22" t="n">
        <v>112652</v>
      </c>
      <c r="AE22" t="n">
        <v>98784</v>
      </c>
      <c r="AF22" t="n">
        <v>102228</v>
      </c>
      <c r="AG22" t="n">
        <v>106372</v>
      </c>
      <c r="AH22" t="n">
        <v>95766</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L25" t="inlineStr">
        <is>
          <t>FY2017</t>
        </is>
      </c>
      <c r="AM25" t="inlineStr">
        <is>
          <t>FY2021</t>
        </is>
      </c>
      <c r="AN25" t="inlineStr">
        <is>
          <t>FY2022</t>
        </is>
      </c>
      <c r="AO25" t="inlineStr">
        <is>
          <t>FY2023</t>
        </is>
      </c>
      <c r="AP25" t="inlineStr">
        <is>
          <t>FY2024</t>
        </is>
      </c>
      <c r="AQ25" t="inlineStr">
        <is>
          <t>FY2025</t>
        </is>
      </c>
    </row>
    <row r="26">
      <c r="A26" s="5" t="inlineStr">
        <is>
          <t>Net cash flow from/(used in) operating activities</t>
        </is>
      </c>
      <c r="B26" s="5" t="n">
        <v>4075</v>
      </c>
      <c r="C26" s="5" t="n">
        <v>1987</v>
      </c>
      <c r="D26" s="5" t="n">
        <v>4640</v>
      </c>
      <c r="E26" s="5" t="n">
        <v>-38927</v>
      </c>
      <c r="F26" s="5" t="n">
        <v>12357</v>
      </c>
      <c r="G26" s="5" t="n"/>
      <c r="AK26" t="inlineStr">
        <is>
          <t>Net cash flow from/(used in) operating activities</t>
        </is>
      </c>
      <c r="AM26" t="n">
        <v>12357</v>
      </c>
      <c r="AN26" t="n">
        <v>-38927</v>
      </c>
      <c r="AO26" t="n">
        <v>4640</v>
      </c>
      <c r="AP26" t="n">
        <v>1987</v>
      </c>
      <c r="AQ26" t="n">
        <v>4075</v>
      </c>
    </row>
    <row r="27">
      <c r="A27" s="5" t="inlineStr">
        <is>
          <t>Net cash flow from/(used in) investing activities</t>
        </is>
      </c>
      <c r="B27" s="5" t="n">
        <v>-7104</v>
      </c>
      <c r="C27" s="5" t="n">
        <v>1953</v>
      </c>
      <c r="D27" s="5" t="n">
        <v>-2234</v>
      </c>
      <c r="E27" s="5" t="n">
        <v>30204</v>
      </c>
      <c r="F27" s="5" t="n">
        <v>17325</v>
      </c>
      <c r="G27" s="5" t="n"/>
      <c r="AK27" t="inlineStr">
        <is>
          <t>Net cash flow from/(used in) investing activities</t>
        </is>
      </c>
      <c r="AM27" t="n">
        <v>17325</v>
      </c>
      <c r="AN27" t="n">
        <v>30204</v>
      </c>
      <c r="AO27" t="n">
        <v>-2234</v>
      </c>
      <c r="AP27" t="n">
        <v>1953</v>
      </c>
      <c r="AQ27" t="n">
        <v>-7104</v>
      </c>
    </row>
    <row r="28">
      <c r="A28" s="5" t="inlineStr">
        <is>
          <t>Net cash flow from/(used in) financing activities</t>
        </is>
      </c>
      <c r="B28" s="5" t="n">
        <v>-307</v>
      </c>
      <c r="C28" s="5" t="n">
        <v>-697</v>
      </c>
      <c r="D28" s="5" t="n">
        <v>-701</v>
      </c>
      <c r="E28" s="5" t="n">
        <v>-9890</v>
      </c>
      <c r="F28" s="5" t="n">
        <v>-724</v>
      </c>
      <c r="G28" s="5" t="n"/>
      <c r="AK28" t="inlineStr">
        <is>
          <t>Net cash flow from/(used in) financing activities</t>
        </is>
      </c>
      <c r="AM28" t="n">
        <v>-724</v>
      </c>
      <c r="AN28" t="n">
        <v>-9890</v>
      </c>
      <c r="AO28" t="n">
        <v>-701</v>
      </c>
      <c r="AP28" t="n">
        <v>-697</v>
      </c>
      <c r="AQ28" t="n">
        <v>-307</v>
      </c>
    </row>
    <row r="29">
      <c r="A29" s="5" t="inlineStr">
        <is>
          <t>Cash and cash equivalents at end of year</t>
        </is>
      </c>
      <c r="B29" s="5" t="n">
        <v>24599</v>
      </c>
      <c r="C29" s="5" t="n">
        <v>27823</v>
      </c>
      <c r="D29" s="5" t="n">
        <v>24596</v>
      </c>
      <c r="E29" s="5" t="n">
        <v>22845</v>
      </c>
      <c r="F29" s="5" t="n">
        <v>41598</v>
      </c>
      <c r="G29" s="5" t="n"/>
      <c r="AK29" t="inlineStr">
        <is>
          <t>Cash and cash equivalents at end of year</t>
        </is>
      </c>
      <c r="AM29" t="n">
        <v>41598</v>
      </c>
      <c r="AN29" t="n">
        <v>22845</v>
      </c>
      <c r="AO29" t="n">
        <v>24596</v>
      </c>
      <c r="AP29" t="n">
        <v>27823</v>
      </c>
      <c r="AQ29" t="n">
        <v>24599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FY2017</t>
        </is>
      </c>
    </row>
    <row r="33">
      <c r="A33" s="6" t="inlineStr">
        <is>
          <t>CET1 Ratio</t>
        </is>
      </c>
      <c r="B33" s="6" t="n"/>
      <c r="C33" s="6" t="inlineStr">
        <is>
          <t>17.1%</t>
        </is>
      </c>
      <c r="D33" s="6" t="inlineStr">
        <is>
          <t>16.8%</t>
        </is>
      </c>
      <c r="E33" s="6" t="inlineStr">
        <is>
          <t>17.4%</t>
        </is>
      </c>
      <c r="F33" s="6" t="inlineStr">
        <is>
          <t>18.1%</t>
        </is>
      </c>
      <c r="G33" s="6" t="inlineStr">
        <is>
          <t>37.3%</t>
        </is>
      </c>
    </row>
    <row r="34">
      <c r="A34" s="6" t="inlineStr">
        <is>
          <t>Total Capital Ratio</t>
        </is>
      </c>
      <c r="B34" s="6" t="n"/>
      <c r="C34" s="6" t="inlineStr">
        <is>
          <t>20.0%</t>
        </is>
      </c>
      <c r="D34" s="6" t="inlineStr">
        <is>
          <t>19.6%</t>
        </is>
      </c>
      <c r="E34" s="6" t="inlineStr">
        <is>
          <t>18.9%</t>
        </is>
      </c>
      <c r="F34" s="6" t="inlineStr">
        <is>
          <t>19.8%</t>
        </is>
      </c>
      <c r="G34" s="6" t="inlineStr">
        <is>
          <t>37.3%</t>
        </is>
      </c>
    </row>
    <row r="35">
      <c r="A35" s="6" t="inlineStr">
        <is>
          <t>Leverage Ratio</t>
        </is>
      </c>
      <c r="B35" s="6" t="n"/>
      <c r="C35" s="6" t="inlineStr">
        <is>
          <t>7.4%</t>
        </is>
      </c>
      <c r="D35" s="6" t="inlineStr">
        <is>
          <t>7.3%</t>
        </is>
      </c>
      <c r="E35" s="6" t="inlineStr">
        <is>
          <t>7.5%</t>
        </is>
      </c>
      <c r="F35" s="6" t="inlineStr">
        <is>
          <t>9.2%</t>
        </is>
      </c>
      <c r="G35" s="6" t="inlineStr">
        <is>
          <t>37.8%</t>
        </is>
      </c>
    </row>
    <row r="36">
      <c r="A36" s="6" t="inlineStr">
        <is>
          <t>LCR</t>
        </is>
      </c>
      <c r="B36" s="6" t="n"/>
      <c r="C36" s="6" t="inlineStr">
        <is>
          <t>447.6%</t>
        </is>
      </c>
      <c r="D36" s="6" t="inlineStr">
        <is>
          <t>691.6%</t>
        </is>
      </c>
      <c r="E36" s="6" t="inlineStr">
        <is>
          <t>350.7%</t>
        </is>
      </c>
      <c r="F36" s="6" t="inlineStr">
        <is>
          <t>365.4%</t>
        </is>
      </c>
      <c r="G36" s="6" t="inlineStr">
        <is>
          <t>641.3%</t>
        </is>
      </c>
    </row>
    <row r="37">
      <c r="A37" s="6" t="inlineStr">
        <is>
          <t>NSFR</t>
        </is>
      </c>
      <c r="B37" s="6" t="n"/>
      <c r="C37" s="6" t="inlineStr">
        <is>
          <t>153.5%</t>
        </is>
      </c>
      <c r="D37" s="6" t="inlineStr">
        <is>
          <t>151.1%</t>
        </is>
      </c>
      <c r="E37" s="6" t="inlineStr">
        <is>
          <t>150.6%</t>
        </is>
      </c>
      <c r="F37" s="6" t="n"/>
      <c r="G37" s="6" t="n"/>
    </row>
    <row r="39" ht="45" customHeight="1">
      <c r="A39" s="7" t="inlineStr">
        <is>
          <t>Note: Gatehouse Bank Plc is a UK Shariah-compliant (Islamic) bank; 'profit paid/received' is the functional equivalent of interest paid/received. FY2025 Pillar 3 ratios and RWA Breakdown are blank - not yet published as at build date. Opening equity for FY2022 (GBP92,816k) is GBP19,836k lower than FY2021's own closing Total equity (GBP112,652k) - a genuine, disclosed restatement (a new Non-controlling interest acquisition reserve introduced from FY2022), see the Statement of Changes in Equity sheet's source note. See the Cash Flow Statement sheet's source note for the 3-era presentation change and the FY2021/FY2022 cash flow restatement notes. Figures are duplicated from the detail sheets for at-a-glance trend viewing.</t>
        </is>
      </c>
    </row>
  </sheetData>
  <mergeCells count="1">
    <mergeCell ref="A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Consolidated Balance Sheet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Assets</t>
        </is>
      </c>
      <c r="B4" s="6" t="n"/>
      <c r="C4" s="6" t="n"/>
      <c r="D4" s="6" t="n"/>
      <c r="E4" s="6" t="n"/>
      <c r="F4" s="6" t="n"/>
      <c r="G4" s="6" t="n"/>
    </row>
    <row r="5">
      <c r="A5" s="6" t="inlineStr">
        <is>
          <t>Cash and balances with banks</t>
        </is>
      </c>
      <c r="B5" s="6" t="n">
        <v>24599</v>
      </c>
      <c r="C5" s="6" t="n">
        <v>27823</v>
      </c>
      <c r="D5" s="6" t="n">
        <v>24596</v>
      </c>
      <c r="E5" s="6" t="n">
        <v>22845</v>
      </c>
      <c r="F5" s="6" t="n">
        <v>41598</v>
      </c>
      <c r="G5" s="6" t="n">
        <v>11900</v>
      </c>
    </row>
    <row r="6">
      <c r="A6" s="6" t="inlineStr">
        <is>
          <t>Financing and advances at amortised cost</t>
        </is>
      </c>
      <c r="B6" s="6" t="n">
        <v>1264559</v>
      </c>
      <c r="C6" s="6" t="n">
        <v>1315936</v>
      </c>
      <c r="D6" s="6" t="n">
        <v>1357803</v>
      </c>
      <c r="E6" s="6" t="n">
        <v>1227896</v>
      </c>
      <c r="F6" s="6" t="n">
        <v>901111</v>
      </c>
      <c r="G6" s="6" t="n">
        <v>85903</v>
      </c>
    </row>
    <row r="7">
      <c r="A7" s="6" t="inlineStr">
        <is>
          <t>Derivative financial instruments (asset)</t>
        </is>
      </c>
      <c r="B7" s="6" t="n">
        <v>2348</v>
      </c>
      <c r="C7" s="6" t="n">
        <v>11337</v>
      </c>
      <c r="D7" s="6" t="n">
        <v>33032</v>
      </c>
      <c r="E7" s="6" t="n">
        <v>34138</v>
      </c>
      <c r="F7" s="6" t="n">
        <v>2619</v>
      </c>
      <c r="G7" s="6" t="n">
        <v>0</v>
      </c>
    </row>
    <row r="8">
      <c r="A8" s="6" t="inlineStr">
        <is>
          <t>Fair value of hedged assets in portfolio hedges of interest rate risk</t>
        </is>
      </c>
      <c r="B8" s="6" t="n">
        <v>2377</v>
      </c>
      <c r="C8" s="6" t="n">
        <v>-371</v>
      </c>
      <c r="D8" s="6" t="n"/>
      <c r="E8" s="6" t="n"/>
      <c r="F8" s="6" t="n"/>
      <c r="G8" s="6" t="n"/>
    </row>
    <row r="9">
      <c r="A9" s="6" t="inlineStr">
        <is>
          <t>Financial assets held at FVTOCI</t>
        </is>
      </c>
      <c r="B9" s="6" t="n">
        <v>38098</v>
      </c>
      <c r="C9" s="6" t="n">
        <v>28282</v>
      </c>
      <c r="D9" s="6" t="n">
        <v>19512</v>
      </c>
      <c r="E9" s="6" t="n">
        <v>19351</v>
      </c>
      <c r="F9" s="6" t="n">
        <v>22951</v>
      </c>
      <c r="G9" s="6" t="n">
        <v>72095</v>
      </c>
    </row>
    <row r="10">
      <c r="A10" s="6" t="inlineStr">
        <is>
          <t>Financial assets held at FVTIS</t>
        </is>
      </c>
      <c r="B10" s="6" t="n">
        <v>2827</v>
      </c>
      <c r="C10" s="6" t="n">
        <v>8228</v>
      </c>
      <c r="D10" s="6" t="n">
        <v>18278</v>
      </c>
      <c r="E10" s="6" t="n">
        <v>17061</v>
      </c>
      <c r="F10" s="6" t="n">
        <v>26366</v>
      </c>
      <c r="G10" s="6" t="n">
        <v>0</v>
      </c>
    </row>
    <row r="11">
      <c r="A11" s="6" t="inlineStr">
        <is>
          <t>Investment in associate</t>
        </is>
      </c>
      <c r="B11" s="6" t="n"/>
      <c r="C11" s="6" t="n"/>
      <c r="D11" s="6" t="n"/>
      <c r="E11" s="6" t="n"/>
      <c r="F11" s="6" t="n">
        <v>14298</v>
      </c>
      <c r="G11" s="6" t="n">
        <v>15379</v>
      </c>
    </row>
    <row r="12">
      <c r="A12" s="6" t="inlineStr">
        <is>
          <t>Goodwill</t>
        </is>
      </c>
      <c r="B12" s="6" t="n"/>
      <c r="C12" s="6" t="n"/>
      <c r="D12" s="6" t="n">
        <v>4242</v>
      </c>
      <c r="E12" s="6" t="n">
        <v>4242</v>
      </c>
      <c r="F12" s="6" t="n">
        <v>4242</v>
      </c>
      <c r="G12" s="6" t="n"/>
    </row>
    <row r="13">
      <c r="A13" s="6" t="inlineStr">
        <is>
          <t>Intangible assets</t>
        </is>
      </c>
      <c r="B13" s="6" t="n">
        <v>2849</v>
      </c>
      <c r="C13" s="6" t="n">
        <v>6644</v>
      </c>
      <c r="D13" s="6" t="n">
        <v>1879</v>
      </c>
      <c r="E13" s="6" t="n">
        <v>1812</v>
      </c>
      <c r="F13" s="6" t="n">
        <v>1389</v>
      </c>
      <c r="G13" s="6" t="n">
        <v>339</v>
      </c>
    </row>
    <row r="14">
      <c r="A14" s="6" t="inlineStr">
        <is>
          <t>Property, plant and equipment and right-of-use assets</t>
        </is>
      </c>
      <c r="B14" s="6" t="n">
        <v>1126</v>
      </c>
      <c r="C14" s="6" t="n">
        <v>945</v>
      </c>
      <c r="D14" s="6" t="n">
        <v>1155</v>
      </c>
      <c r="E14" s="6" t="n">
        <v>1486</v>
      </c>
      <c r="F14" s="6" t="n">
        <v>1714</v>
      </c>
      <c r="G14" s="6" t="n">
        <v>13031</v>
      </c>
    </row>
    <row r="15">
      <c r="A15" s="6" t="inlineStr">
        <is>
          <t>Assets in disposal groups classified as held for sale</t>
        </is>
      </c>
      <c r="B15" s="6" t="n">
        <v>13551</v>
      </c>
      <c r="C15" s="6" t="n"/>
      <c r="D15" s="6" t="n"/>
      <c r="E15" s="6" t="n"/>
      <c r="F15" s="6" t="n"/>
      <c r="G15" s="6" t="n"/>
    </row>
    <row r="16">
      <c r="A16" s="6" t="inlineStr">
        <is>
          <t>Property held for sale</t>
        </is>
      </c>
      <c r="B16" s="6" t="n"/>
      <c r="C16" s="6" t="n"/>
      <c r="D16" s="6" t="n"/>
      <c r="E16" s="6" t="n"/>
      <c r="F16" s="6" t="n">
        <v>4537</v>
      </c>
      <c r="G16" s="6" t="n"/>
    </row>
    <row r="17">
      <c r="A17" s="6" t="inlineStr">
        <is>
          <t>Other assets</t>
        </is>
      </c>
      <c r="B17" s="6" t="n">
        <v>36503</v>
      </c>
      <c r="C17" s="6" t="n">
        <v>8857</v>
      </c>
      <c r="D17" s="6" t="n">
        <v>4016</v>
      </c>
      <c r="E17" s="6" t="n">
        <v>2571</v>
      </c>
      <c r="F17" s="6" t="n">
        <v>5533</v>
      </c>
      <c r="G17" s="6" t="n">
        <v>4627</v>
      </c>
    </row>
    <row r="18">
      <c r="A18" s="6" t="inlineStr">
        <is>
          <t>Deferred tax assets</t>
        </is>
      </c>
      <c r="B18" s="6" t="n">
        <v>9374</v>
      </c>
      <c r="C18" s="6" t="n">
        <v>7427</v>
      </c>
      <c r="D18" s="6" t="n">
        <v>5260</v>
      </c>
      <c r="E18" s="6" t="n">
        <v>4525</v>
      </c>
      <c r="F18" s="6" t="n"/>
      <c r="G18" s="6" t="n"/>
    </row>
    <row r="19">
      <c r="A19" s="5" t="inlineStr">
        <is>
          <t>Total assets</t>
        </is>
      </c>
      <c r="B19" s="5" t="n">
        <v>1398211</v>
      </c>
      <c r="C19" s="5" t="n">
        <v>1415108</v>
      </c>
      <c r="D19" s="5" t="n">
        <v>1469773</v>
      </c>
      <c r="E19" s="5" t="n">
        <v>1335927</v>
      </c>
      <c r="F19" s="5" t="n">
        <v>1026358</v>
      </c>
      <c r="G19" s="5" t="n">
        <v>280526</v>
      </c>
    </row>
    <row r="20">
      <c r="A20" s="5" t="inlineStr">
        <is>
          <t>Liabilities</t>
        </is>
      </c>
      <c r="B20" s="6" t="n"/>
      <c r="C20" s="6" t="n"/>
      <c r="D20" s="6" t="n"/>
      <c r="E20" s="6" t="n"/>
      <c r="F20" s="6" t="n"/>
      <c r="G20" s="6" t="n"/>
    </row>
    <row r="21">
      <c r="A21" s="6" t="inlineStr">
        <is>
          <t>Financial liabilities measured at amortised cost</t>
        </is>
      </c>
      <c r="B21" s="6" t="n">
        <v>1287404</v>
      </c>
      <c r="C21" s="6" t="n">
        <v>1288977</v>
      </c>
      <c r="D21" s="6" t="n">
        <v>1316609</v>
      </c>
      <c r="E21" s="6" t="n">
        <v>1168586</v>
      </c>
      <c r="F21" s="6" t="n">
        <v>895637</v>
      </c>
      <c r="G21" s="6" t="n">
        <v>150077</v>
      </c>
    </row>
    <row r="22">
      <c r="A22" s="6" t="inlineStr">
        <is>
          <t>Financial liabilities held at FVTIS</t>
        </is>
      </c>
      <c r="B22" s="6" t="n"/>
      <c r="C22" s="6" t="n"/>
      <c r="D22" s="6" t="n"/>
      <c r="E22" s="6" t="n"/>
      <c r="F22" s="6" t="n">
        <v>1340</v>
      </c>
      <c r="G22" s="6" t="n"/>
    </row>
    <row r="23">
      <c r="A23" s="6" t="inlineStr">
        <is>
          <t>Derivative financial instruments (liability)</t>
        </is>
      </c>
      <c r="B23" s="6" t="n">
        <v>2736</v>
      </c>
      <c r="C23" s="6" t="n">
        <v>11110</v>
      </c>
      <c r="D23" s="6" t="n">
        <v>44010</v>
      </c>
      <c r="E23" s="6" t="n">
        <v>61224</v>
      </c>
      <c r="F23" s="6" t="n">
        <v>5033</v>
      </c>
      <c r="G23" s="6" t="n"/>
    </row>
    <row r="24">
      <c r="A24" s="6" t="inlineStr">
        <is>
          <t>Other liabilities</t>
        </is>
      </c>
      <c r="B24" s="6" t="n">
        <v>7562</v>
      </c>
      <c r="C24" s="6" t="n">
        <v>8649</v>
      </c>
      <c r="D24" s="6" t="n">
        <v>6926</v>
      </c>
      <c r="E24" s="6" t="n">
        <v>7333</v>
      </c>
      <c r="F24" s="6" t="n">
        <v>11696</v>
      </c>
      <c r="G24" s="6" t="n">
        <v>2481</v>
      </c>
    </row>
    <row r="25">
      <c r="A25" s="6" t="inlineStr">
        <is>
          <t>Liabilities directly associated with assets in disposal groups classified as held for sale</t>
        </is>
      </c>
      <c r="B25" s="6" t="n">
        <v>4743</v>
      </c>
      <c r="C25" s="6" t="n"/>
      <c r="D25" s="6" t="n"/>
      <c r="E25" s="6" t="n"/>
      <c r="F25" s="6" t="n"/>
      <c r="G25" s="6" t="n"/>
    </row>
    <row r="26">
      <c r="A26" s="5" t="inlineStr">
        <is>
          <t>Total liabilities</t>
        </is>
      </c>
      <c r="B26" s="5" t="n">
        <v>1302445</v>
      </c>
      <c r="C26" s="5" t="n">
        <v>1308736</v>
      </c>
      <c r="D26" s="5" t="n">
        <v>1367545</v>
      </c>
      <c r="E26" s="5" t="n">
        <v>1237143</v>
      </c>
      <c r="F26" s="5" t="n">
        <v>913706</v>
      </c>
      <c r="G26" s="5" t="n">
        <v>153065</v>
      </c>
    </row>
    <row r="27">
      <c r="A27" s="5" t="inlineStr">
        <is>
          <t>Equity</t>
        </is>
      </c>
      <c r="B27" s="6" t="n"/>
      <c r="C27" s="6" t="n"/>
      <c r="D27" s="6" t="n"/>
      <c r="E27" s="6" t="n"/>
      <c r="F27" s="6" t="n"/>
      <c r="G27" s="6" t="n"/>
    </row>
    <row r="28">
      <c r="A28" s="6" t="inlineStr">
        <is>
          <t>Share capital</t>
        </is>
      </c>
      <c r="B28" s="6" t="n">
        <v>150049</v>
      </c>
      <c r="C28" s="6" t="n">
        <v>150049</v>
      </c>
      <c r="D28" s="6" t="n">
        <v>150049</v>
      </c>
      <c r="E28" s="6" t="n">
        <v>150049</v>
      </c>
      <c r="F28" s="6" t="n">
        <v>150049</v>
      </c>
      <c r="G28" s="6" t="n">
        <v>150049</v>
      </c>
    </row>
    <row r="29">
      <c r="A29" s="6" t="inlineStr">
        <is>
          <t>Fair value through other comprehensive income reserve</t>
        </is>
      </c>
      <c r="B29" s="6" t="n">
        <v>-3616</v>
      </c>
      <c r="C29" s="6" t="n">
        <v>-4377</v>
      </c>
      <c r="D29" s="6" t="n">
        <v>-4721</v>
      </c>
      <c r="E29" s="6" t="n">
        <v>-5275</v>
      </c>
      <c r="F29" s="6" t="n">
        <v>-3848</v>
      </c>
      <c r="G29" s="6" t="n">
        <v>-394</v>
      </c>
    </row>
    <row r="30">
      <c r="A30" s="6" t="inlineStr">
        <is>
          <t>Foreign currency translation reserve</t>
        </is>
      </c>
      <c r="B30" s="6" t="n"/>
      <c r="C30" s="6" t="n"/>
      <c r="D30" s="6" t="n"/>
      <c r="E30" s="6" t="n"/>
      <c r="F30" s="6" t="n">
        <v>1792</v>
      </c>
      <c r="G30" s="6" t="n">
        <v>1571</v>
      </c>
    </row>
    <row r="31">
      <c r="A31" s="6" t="inlineStr">
        <is>
          <t>Reserve as a result of subsidiary acquisition</t>
        </is>
      </c>
      <c r="B31" s="6" t="n">
        <v>-15917</v>
      </c>
      <c r="C31" s="6" t="n">
        <v>-15917</v>
      </c>
      <c r="D31" s="6" t="n">
        <v>-15917</v>
      </c>
      <c r="E31" s="6" t="n">
        <v>-15917</v>
      </c>
      <c r="F31" s="6" t="n"/>
      <c r="G31" s="6" t="n"/>
    </row>
    <row r="32">
      <c r="A32" s="6" t="inlineStr">
        <is>
          <t>Retained earnings/(deficit)</t>
        </is>
      </c>
      <c r="B32" s="6" t="n">
        <v>-34750</v>
      </c>
      <c r="C32" s="6" t="n">
        <v>-23383</v>
      </c>
      <c r="D32" s="6" t="n">
        <v>-27183</v>
      </c>
      <c r="E32" s="6" t="n">
        <v>-30073</v>
      </c>
      <c r="F32" s="6" t="n">
        <v>-36644</v>
      </c>
      <c r="G32" s="6" t="n">
        <v>-23764</v>
      </c>
    </row>
    <row r="33">
      <c r="A33" s="5" t="inlineStr">
        <is>
          <t>Equity attributable to owners of the company</t>
        </is>
      </c>
      <c r="B33" s="5" t="n">
        <v>95766</v>
      </c>
      <c r="C33" s="5" t="n">
        <v>106372</v>
      </c>
      <c r="D33" s="5" t="n">
        <v>102228</v>
      </c>
      <c r="E33" s="5" t="n">
        <v>98784</v>
      </c>
      <c r="F33" s="5" t="n">
        <v>111349</v>
      </c>
      <c r="G33" s="5" t="n">
        <v>127462</v>
      </c>
    </row>
    <row r="34">
      <c r="A34" s="6" t="inlineStr">
        <is>
          <t>Non-controlling interest</t>
        </is>
      </c>
      <c r="B34" s="6" t="n"/>
      <c r="C34" s="6" t="n"/>
      <c r="D34" s="6" t="n">
        <v>0</v>
      </c>
      <c r="E34" s="6" t="n">
        <v>0</v>
      </c>
      <c r="F34" s="6" t="n">
        <v>1303</v>
      </c>
      <c r="G34" s="6" t="n"/>
    </row>
    <row r="35">
      <c r="A35" s="5" t="inlineStr">
        <is>
          <t>Total equity</t>
        </is>
      </c>
      <c r="B35" s="5" t="n">
        <v>95766</v>
      </c>
      <c r="C35" s="5" t="n">
        <v>106372</v>
      </c>
      <c r="D35" s="5" t="n">
        <v>102228</v>
      </c>
      <c r="E35" s="5" t="n">
        <v>98784</v>
      </c>
      <c r="F35" s="5" t="n">
        <v>112652</v>
      </c>
      <c r="G35" s="5" t="n">
        <v>127462</v>
      </c>
    </row>
    <row r="36">
      <c r="A36" s="5" t="inlineStr">
        <is>
          <t>Total equity and liabilities</t>
        </is>
      </c>
      <c r="B36" s="5" t="n">
        <v>1398211</v>
      </c>
      <c r="C36" s="5" t="n">
        <v>1415108</v>
      </c>
      <c r="D36" s="5" t="n">
        <v>1469773</v>
      </c>
      <c r="E36" s="5" t="n">
        <v>1335927</v>
      </c>
      <c r="F36" s="5" t="n">
        <v>1026358</v>
      </c>
      <c r="G36" s="5" t="n">
        <v>280526</v>
      </c>
    </row>
    <row r="37"/>
    <row r="38" ht="380" customHeight="1">
      <c r="A38" s="8"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38:G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Consolidated Income Statement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Income</t>
        </is>
      </c>
      <c r="B4" s="6" t="n"/>
      <c r="C4" s="6" t="n"/>
      <c r="D4" s="6" t="n"/>
      <c r="E4" s="6" t="n"/>
      <c r="F4" s="6" t="n"/>
      <c r="G4" s="6" t="n"/>
    </row>
    <row r="5">
      <c r="A5" s="6" t="inlineStr">
        <is>
          <t>Income from financial assets held at amortised cost</t>
        </is>
      </c>
      <c r="B5" s="6" t="n">
        <v>65700</v>
      </c>
      <c r="C5" s="6" t="n">
        <v>66694</v>
      </c>
      <c r="D5" s="6" t="n">
        <v>55745</v>
      </c>
      <c r="E5" s="6" t="n">
        <v>42738</v>
      </c>
      <c r="F5" s="6" t="n">
        <v>33889</v>
      </c>
      <c r="G5" s="6" t="n">
        <v>9072</v>
      </c>
    </row>
    <row r="6">
      <c r="A6" s="6" t="inlineStr">
        <is>
          <t>Charges to financial institutions and customers</t>
        </is>
      </c>
      <c r="B6" s="6" t="n">
        <v>-50933</v>
      </c>
      <c r="C6" s="6" t="n">
        <v>-51092</v>
      </c>
      <c r="D6" s="6" t="n">
        <v>-32736</v>
      </c>
      <c r="E6" s="6" t="n">
        <v>-18604</v>
      </c>
      <c r="F6" s="6" t="n">
        <v>-15332</v>
      </c>
      <c r="G6" s="6" t="n">
        <v>-3425</v>
      </c>
    </row>
    <row r="7">
      <c r="A7" s="6" t="inlineStr">
        <is>
          <t>Fees and commission income</t>
        </is>
      </c>
      <c r="B7" s="6" t="n">
        <v>2704</v>
      </c>
      <c r="C7" s="6" t="n">
        <v>917</v>
      </c>
      <c r="D7" s="6" t="n">
        <v>10130</v>
      </c>
      <c r="E7" s="6" t="n">
        <v>9078</v>
      </c>
      <c r="F7" s="6" t="n">
        <v>9954</v>
      </c>
      <c r="G7" s="6" t="n">
        <v>4062</v>
      </c>
    </row>
    <row r="8">
      <c r="A8" s="6" t="inlineStr">
        <is>
          <t>Fees and commission expense</t>
        </is>
      </c>
      <c r="B8" s="6" t="n"/>
      <c r="C8" s="6" t="n"/>
      <c r="D8" s="6" t="n">
        <v>-127</v>
      </c>
      <c r="E8" s="6" t="n">
        <v>-167</v>
      </c>
      <c r="F8" s="6" t="n">
        <v>-164</v>
      </c>
      <c r="G8" s="6" t="n">
        <v>0</v>
      </c>
    </row>
    <row r="9">
      <c r="A9" s="6" t="inlineStr">
        <is>
          <t>Foreign exchange gains/(losses)</t>
        </is>
      </c>
      <c r="B9" s="6" t="n">
        <v>211</v>
      </c>
      <c r="C9" s="6" t="n">
        <v>137</v>
      </c>
      <c r="D9" s="6" t="n">
        <v>19</v>
      </c>
      <c r="E9" s="6" t="n">
        <v>-834</v>
      </c>
      <c r="F9" s="6" t="n">
        <v>-516</v>
      </c>
      <c r="G9" s="6" t="n">
        <v>-276</v>
      </c>
    </row>
    <row r="10">
      <c r="A10" s="6" t="inlineStr">
        <is>
          <t>Net (losses)/gains from financial assets at FVTIS</t>
        </is>
      </c>
      <c r="B10" s="6" t="n">
        <v>-2052</v>
      </c>
      <c r="C10" s="6" t="n">
        <v>2287</v>
      </c>
      <c r="D10" s="6" t="n">
        <v>1952</v>
      </c>
      <c r="E10" s="6" t="n">
        <v>5676</v>
      </c>
      <c r="F10" s="6" t="n">
        <v>756</v>
      </c>
      <c r="G10" s="6" t="n"/>
    </row>
    <row r="11">
      <c r="A11" s="6" t="inlineStr">
        <is>
          <t>Net gains from financial assets at FVTOCI</t>
        </is>
      </c>
      <c r="B11" s="6" t="n">
        <v>885</v>
      </c>
      <c r="C11" s="6" t="n">
        <v>344</v>
      </c>
      <c r="D11" s="6" t="n">
        <v>197</v>
      </c>
      <c r="E11" s="6" t="n">
        <v>376</v>
      </c>
      <c r="F11" s="6" t="n">
        <v>335</v>
      </c>
      <c r="G11" s="6" t="n"/>
    </row>
    <row r="12">
      <c r="A12" s="6" t="inlineStr">
        <is>
          <t>Other income/(loss)</t>
        </is>
      </c>
      <c r="B12" s="6" t="n"/>
      <c r="C12" s="6" t="n"/>
      <c r="D12" s="6" t="n">
        <v>-231</v>
      </c>
      <c r="E12" s="6" t="n">
        <v>335</v>
      </c>
      <c r="F12" s="6" t="n">
        <v>2178</v>
      </c>
      <c r="G12" s="6" t="n"/>
    </row>
    <row r="13">
      <c r="A13" s="6" t="inlineStr">
        <is>
          <t>(Loss)/gain on property held for sale</t>
        </is>
      </c>
      <c r="B13" s="6" t="n"/>
      <c r="C13" s="6" t="n"/>
      <c r="D13" s="6" t="n"/>
      <c r="E13" s="6" t="n"/>
      <c r="F13" s="6" t="n">
        <v>-472</v>
      </c>
      <c r="G13" s="6" t="n"/>
    </row>
    <row r="14">
      <c r="A14" s="6" t="inlineStr">
        <is>
          <t>Gain on investment properties</t>
        </is>
      </c>
      <c r="B14" s="6" t="n"/>
      <c r="C14" s="6" t="n"/>
      <c r="D14" s="6" t="n"/>
      <c r="E14" s="6" t="n"/>
      <c r="F14" s="6" t="n">
        <v>1412</v>
      </c>
      <c r="G14" s="6" t="n"/>
    </row>
    <row r="15">
      <c r="A15" s="6" t="inlineStr">
        <is>
          <t>Impairment (charge)/release</t>
        </is>
      </c>
      <c r="B15" s="6" t="n">
        <v>-2725</v>
      </c>
      <c r="C15" s="6" t="n">
        <v>192</v>
      </c>
      <c r="D15" s="6" t="n">
        <v>-847</v>
      </c>
      <c r="E15" s="6" t="n">
        <v>-5714</v>
      </c>
      <c r="F15" s="6" t="n">
        <v>-806</v>
      </c>
      <c r="G15" s="6" t="n">
        <v>-1671</v>
      </c>
    </row>
    <row r="16">
      <c r="A16" s="5" t="inlineStr">
        <is>
          <t>Total operating income</t>
        </is>
      </c>
      <c r="B16" s="5" t="n">
        <v>13790</v>
      </c>
      <c r="C16" s="5" t="n">
        <v>19479</v>
      </c>
      <c r="D16" s="5" t="n">
        <v>34102</v>
      </c>
      <c r="E16" s="5" t="n">
        <v>32884</v>
      </c>
      <c r="F16" s="5" t="n">
        <v>31234</v>
      </c>
      <c r="G16" s="5" t="n">
        <v>10762</v>
      </c>
    </row>
    <row r="17">
      <c r="A17" s="5" t="inlineStr">
        <is>
          <t>Expenses</t>
        </is>
      </c>
      <c r="B17" s="6" t="n"/>
      <c r="C17" s="6" t="n"/>
      <c r="D17" s="6" t="n"/>
      <c r="E17" s="6" t="n"/>
      <c r="F17" s="6" t="n"/>
      <c r="G17" s="6" t="n"/>
    </row>
    <row r="18">
      <c r="A18" s="6" t="inlineStr">
        <is>
          <t>Staff costs</t>
        </is>
      </c>
      <c r="B18" s="6" t="n">
        <v>-19031</v>
      </c>
      <c r="C18" s="6" t="n">
        <v>-14881</v>
      </c>
      <c r="D18" s="6" t="n">
        <v>-20643</v>
      </c>
      <c r="E18" s="6" t="n">
        <v>-19889</v>
      </c>
      <c r="F18" s="6" t="n">
        <v>-18126</v>
      </c>
      <c r="G18" s="6" t="n">
        <v>-6790</v>
      </c>
    </row>
    <row r="19">
      <c r="A19" s="6" t="inlineStr">
        <is>
          <t>Depreciation and amortisation</t>
        </is>
      </c>
      <c r="B19" s="6" t="n">
        <v>-1043</v>
      </c>
      <c r="C19" s="6" t="n">
        <v>-931</v>
      </c>
      <c r="D19" s="6" t="n">
        <v>-1302</v>
      </c>
      <c r="E19" s="6" t="n">
        <v>-1319</v>
      </c>
      <c r="F19" s="6" t="n">
        <v>-1222</v>
      </c>
      <c r="G19" s="6" t="n">
        <v>-583</v>
      </c>
    </row>
    <row r="20">
      <c r="A20" s="6" t="inlineStr">
        <is>
          <t>Other operating expenses</t>
        </is>
      </c>
      <c r="B20" s="6" t="n">
        <v>-8954</v>
      </c>
      <c r="C20" s="6" t="n">
        <v>-7081</v>
      </c>
      <c r="D20" s="6" t="n">
        <v>-9004</v>
      </c>
      <c r="E20" s="6" t="n">
        <v>-9121</v>
      </c>
      <c r="F20" s="6" t="n">
        <v>-9173</v>
      </c>
      <c r="G20" s="6" t="n">
        <v>-4008</v>
      </c>
    </row>
    <row r="21">
      <c r="A21" s="5" t="inlineStr">
        <is>
          <t>Total operating expenses</t>
        </is>
      </c>
      <c r="B21" s="5" t="n">
        <v>-29028</v>
      </c>
      <c r="C21" s="5" t="n">
        <v>-22893</v>
      </c>
      <c r="D21" s="5" t="n">
        <v>-30949</v>
      </c>
      <c r="E21" s="5" t="n">
        <v>-30329</v>
      </c>
      <c r="F21" s="5" t="n">
        <v>-28521</v>
      </c>
      <c r="G21" s="5" t="n">
        <v>-11381</v>
      </c>
    </row>
    <row r="22">
      <c r="A22" s="5" t="inlineStr">
        <is>
          <t>Operating profit/(loss)</t>
        </is>
      </c>
      <c r="B22" s="5" t="n">
        <v>-15238</v>
      </c>
      <c r="C22" s="5" t="n">
        <v>-3414</v>
      </c>
      <c r="D22" s="5" t="n">
        <v>3153</v>
      </c>
      <c r="E22" s="5" t="n">
        <v>2555</v>
      </c>
      <c r="F22" s="5" t="n">
        <v>2713</v>
      </c>
      <c r="G22" s="5" t="n">
        <v>-620</v>
      </c>
    </row>
    <row r="23">
      <c r="A23" s="6" t="inlineStr">
        <is>
          <t>Net share of profit of associate</t>
        </is>
      </c>
      <c r="B23" s="6" t="n"/>
      <c r="C23" s="6" t="n"/>
      <c r="D23" s="6" t="n"/>
      <c r="E23" s="6" t="n"/>
      <c r="F23" s="6" t="n">
        <v>904</v>
      </c>
      <c r="G23" s="6" t="n">
        <v>1946</v>
      </c>
    </row>
    <row r="24">
      <c r="A24" s="5" t="inlineStr">
        <is>
          <t>Profit/(loss) before tax</t>
        </is>
      </c>
      <c r="B24" s="5" t="n">
        <v>-15238</v>
      </c>
      <c r="C24" s="5" t="n">
        <v>-3414</v>
      </c>
      <c r="D24" s="5" t="n">
        <v>3153</v>
      </c>
      <c r="E24" s="5" t="n">
        <v>2555</v>
      </c>
      <c r="F24" s="5" t="n">
        <v>3617</v>
      </c>
      <c r="G24" s="5" t="n">
        <v>-345</v>
      </c>
    </row>
    <row r="25">
      <c r="A25" s="6" t="inlineStr">
        <is>
          <t>Tax</t>
        </is>
      </c>
      <c r="B25" s="6" t="n">
        <v>1947</v>
      </c>
      <c r="C25" s="6" t="n">
        <v>2167</v>
      </c>
      <c r="D25" s="6" t="n">
        <v>4</v>
      </c>
      <c r="E25" s="6" t="n">
        <v>3933</v>
      </c>
      <c r="F25" s="6" t="n">
        <v>-153</v>
      </c>
      <c r="G25" s="6" t="n">
        <v>-7</v>
      </c>
    </row>
    <row r="26">
      <c r="A26" s="5" t="inlineStr">
        <is>
          <t>Profit/(loss) for the year from continuing operations</t>
        </is>
      </c>
      <c r="B26" s="5" t="n">
        <v>-13291</v>
      </c>
      <c r="C26" s="5" t="n">
        <v>-1247</v>
      </c>
      <c r="D26" s="5" t="n">
        <v>3157</v>
      </c>
      <c r="E26" s="5" t="n">
        <v>6488</v>
      </c>
      <c r="F26" s="5" t="n">
        <v>3464</v>
      </c>
      <c r="G26" s="5" t="n">
        <v>-351</v>
      </c>
    </row>
    <row r="27">
      <c r="A27" s="6" t="inlineStr">
        <is>
          <t>Profit for the year from discontinued operations</t>
        </is>
      </c>
      <c r="B27" s="6" t="n">
        <v>1924</v>
      </c>
      <c r="C27" s="6" t="n">
        <v>5047</v>
      </c>
      <c r="D27" s="6" t="n">
        <v>0</v>
      </c>
      <c r="E27" s="6" t="n">
        <v>1640</v>
      </c>
      <c r="F27" s="6" t="n"/>
      <c r="G27" s="6" t="n"/>
    </row>
    <row r="28">
      <c r="A28" s="5" t="inlineStr">
        <is>
          <t>(Loss)/profit for the year</t>
        </is>
      </c>
      <c r="B28" s="5" t="n">
        <v>-11367</v>
      </c>
      <c r="C28" s="5" t="n">
        <v>3800</v>
      </c>
      <c r="D28" s="5" t="n">
        <v>3157</v>
      </c>
      <c r="E28" s="5" t="n">
        <v>8128</v>
      </c>
      <c r="F28" s="5" t="n">
        <v>3464</v>
      </c>
      <c r="G28" s="5" t="n"/>
    </row>
    <row r="29">
      <c r="A29" s="5" t="inlineStr">
        <is>
          <t>Other comprehensive income</t>
        </is>
      </c>
      <c r="B29" s="6" t="n"/>
      <c r="C29" s="6" t="n"/>
      <c r="D29" s="6" t="n"/>
      <c r="E29" s="6" t="n"/>
      <c r="F29" s="6" t="n"/>
      <c r="G29" s="6" t="n"/>
    </row>
    <row r="30">
      <c r="A30" s="6" t="inlineStr">
        <is>
          <t>Net gain/(loss) on FVTOCI investments</t>
        </is>
      </c>
      <c r="B30" s="6" t="n">
        <v>761</v>
      </c>
      <c r="C30" s="6" t="n">
        <v>344</v>
      </c>
      <c r="D30" s="6" t="n">
        <v>554</v>
      </c>
      <c r="E30" s="6" t="n">
        <v>-1539</v>
      </c>
      <c r="F30" s="6" t="n">
        <v>-382</v>
      </c>
      <c r="G30" s="6" t="n"/>
    </row>
    <row r="31">
      <c r="A31" s="6" t="inlineStr">
        <is>
          <t>Foreign currency translation gains/(losses) from investment in associate (discontinued operation)</t>
        </is>
      </c>
      <c r="B31" s="6" t="n"/>
      <c r="C31" s="6" t="n"/>
      <c r="D31" s="6" t="n"/>
      <c r="E31" s="6" t="n">
        <v>-1792</v>
      </c>
      <c r="F31" s="6" t="n">
        <v>244</v>
      </c>
      <c r="G31" s="6" t="n"/>
    </row>
    <row r="32">
      <c r="A32" s="5" t="inlineStr">
        <is>
          <t>Other comprehensive income/(loss) for the year</t>
        </is>
      </c>
      <c r="B32" s="5" t="n">
        <v>761</v>
      </c>
      <c r="C32" s="5" t="n">
        <v>344</v>
      </c>
      <c r="D32" s="5" t="n">
        <v>554</v>
      </c>
      <c r="E32" s="5" t="n">
        <v>-3331</v>
      </c>
      <c r="F32" s="5" t="n">
        <v>-138</v>
      </c>
      <c r="G32" s="5" t="n">
        <v>-1032</v>
      </c>
    </row>
    <row r="33">
      <c r="A33" s="5" t="inlineStr">
        <is>
          <t>Total comprehensive (loss)/income for the year</t>
        </is>
      </c>
      <c r="B33" s="5" t="n">
        <v>-10606</v>
      </c>
      <c r="C33" s="5" t="n">
        <v>4144</v>
      </c>
      <c r="D33" s="5" t="n">
        <v>3711</v>
      </c>
      <c r="E33" s="5" t="n">
        <v>4797</v>
      </c>
      <c r="F33" s="5" t="n">
        <v>3326</v>
      </c>
      <c r="G33" s="5" t="n">
        <v>-1383</v>
      </c>
    </row>
    <row r="34"/>
    <row r="35" ht="380" customHeight="1">
      <c r="A35" s="8"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35:G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0"/>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Gatehouse Bank Plc — Consolidated Statement of Changes in Equity</t>
        </is>
      </c>
    </row>
    <row r="2">
      <c r="A2" s="2" t="inlineStr">
        <is>
          <t>Consolidated basis, £'000, chronological. See source note at bottom.</t>
        </is>
      </c>
    </row>
    <row r="3">
      <c r="A3" s="4" t="inlineStr">
        <is>
          <t>Movement</t>
        </is>
      </c>
      <c r="B3" s="4" t="inlineStr">
        <is>
          <t>Share capital</t>
        </is>
      </c>
      <c r="C3" s="4" t="inlineStr">
        <is>
          <t>FVTOCI reserve</t>
        </is>
      </c>
      <c r="D3" s="4" t="inlineStr">
        <is>
          <t>Foreign currency translation reserve</t>
        </is>
      </c>
      <c r="E3" s="4" t="inlineStr">
        <is>
          <t>Reserve as a result of subsidiary acquisition</t>
        </is>
      </c>
      <c r="F3" s="4" t="inlineStr">
        <is>
          <t>Retained earnings/(deficit)</t>
        </is>
      </c>
      <c r="G3" s="4" t="inlineStr">
        <is>
          <t>Equity attributable to owners</t>
        </is>
      </c>
      <c r="H3" s="4" t="inlineStr">
        <is>
          <t>Non-controlling interest</t>
        </is>
      </c>
      <c r="I3" s="4" t="inlineStr">
        <is>
          <t>Total equity</t>
        </is>
      </c>
    </row>
    <row r="4">
      <c r="A4" s="5" t="inlineStr">
        <is>
          <t>At 1 January 2021</t>
        </is>
      </c>
      <c r="B4" s="5" t="n">
        <v>150049</v>
      </c>
      <c r="C4" s="5" t="n">
        <v>-3434</v>
      </c>
      <c r="D4" s="5" t="n">
        <v>1548</v>
      </c>
      <c r="E4" s="5" t="n"/>
      <c r="F4" s="5" t="n">
        <v>-39680</v>
      </c>
      <c r="G4" s="5" t="n">
        <v>108483</v>
      </c>
      <c r="H4" s="5" t="n">
        <v>843</v>
      </c>
      <c r="I4" s="5" t="n">
        <v>109326</v>
      </c>
    </row>
    <row r="5">
      <c r="A5" s="6" t="inlineStr">
        <is>
          <t>Recycle of gain on sale of OCI investments (FY2021)</t>
        </is>
      </c>
      <c r="B5" s="6" t="n"/>
      <c r="C5" s="6" t="n">
        <v>-32</v>
      </c>
      <c r="D5" s="6" t="n"/>
      <c r="E5" s="6" t="n"/>
      <c r="F5" s="6" t="n">
        <v>32</v>
      </c>
      <c r="G5" s="6" t="n">
        <v>0</v>
      </c>
      <c r="H5" s="6" t="n"/>
      <c r="I5" s="6" t="n">
        <v>0</v>
      </c>
    </row>
    <row r="6">
      <c r="A6" s="6" t="inlineStr">
        <is>
          <t>Unrealised loss on instruments at FVTOCI (FY2021)</t>
        </is>
      </c>
      <c r="B6" s="6" t="n"/>
      <c r="C6" s="6" t="n">
        <v>-382</v>
      </c>
      <c r="D6" s="6" t="n"/>
      <c r="E6" s="6" t="n"/>
      <c r="F6" s="6" t="n"/>
      <c r="G6" s="6" t="n">
        <v>-382</v>
      </c>
      <c r="H6" s="6" t="n"/>
      <c r="I6" s="6" t="n">
        <v>-382</v>
      </c>
    </row>
    <row r="7">
      <c r="A7" s="6" t="inlineStr">
        <is>
          <t>Foreign currency translation gains from associate investments (FY2021)</t>
        </is>
      </c>
      <c r="B7" s="6" t="n"/>
      <c r="C7" s="6" t="n"/>
      <c r="D7" s="6" t="n">
        <v>244</v>
      </c>
      <c r="E7" s="6" t="n"/>
      <c r="F7" s="6" t="n"/>
      <c r="G7" s="6" t="n">
        <v>244</v>
      </c>
      <c r="H7" s="6" t="n"/>
      <c r="I7" s="6" t="n">
        <v>244</v>
      </c>
    </row>
    <row r="8">
      <c r="A8" s="5" t="inlineStr">
        <is>
          <t>Subtotal after other comprehensive income (FY2021)</t>
        </is>
      </c>
      <c r="B8" s="5" t="n">
        <v>150049</v>
      </c>
      <c r="C8" s="5" t="n">
        <v>-3848</v>
      </c>
      <c r="D8" s="5" t="n">
        <v>1792</v>
      </c>
      <c r="E8" s="5" t="n"/>
      <c r="F8" s="5" t="n">
        <v>-39648</v>
      </c>
      <c r="G8" s="5" t="n">
        <v>108345</v>
      </c>
      <c r="H8" s="5" t="n">
        <v>843</v>
      </c>
      <c r="I8" s="5" t="n">
        <v>109188</v>
      </c>
    </row>
    <row r="9">
      <c r="A9" s="6" t="inlineStr">
        <is>
          <t>Profit for the year (FY2021)</t>
        </is>
      </c>
      <c r="B9" s="6" t="n"/>
      <c r="C9" s="6" t="n"/>
      <c r="D9" s="6" t="n"/>
      <c r="E9" s="6" t="n"/>
      <c r="F9" s="6" t="n">
        <v>3004</v>
      </c>
      <c r="G9" s="6" t="n">
        <v>3004</v>
      </c>
      <c r="H9" s="6" t="n">
        <v>460</v>
      </c>
      <c r="I9" s="6" t="n">
        <v>3464</v>
      </c>
    </row>
    <row r="10">
      <c r="A10" s="5" t="inlineStr">
        <is>
          <t>At 31 December 2021</t>
        </is>
      </c>
      <c r="B10" s="5" t="n">
        <v>150049</v>
      </c>
      <c r="C10" s="5" t="n">
        <v>-3848</v>
      </c>
      <c r="D10" s="5" t="n">
        <v>1792</v>
      </c>
      <c r="E10" s="5" t="n"/>
      <c r="F10" s="5" t="n">
        <v>-36644</v>
      </c>
      <c r="G10" s="5" t="n">
        <v>111349</v>
      </c>
      <c r="H10" s="5" t="n">
        <v>1303</v>
      </c>
      <c r="I10" s="5" t="n">
        <v>112652</v>
      </c>
    </row>
    <row r="11">
      <c r="A11" s="6" t="inlineStr">
        <is>
          <t>Prior period restatement — introduction of Non-controlling interest acquisition reserve (FY2022 opening)</t>
        </is>
      </c>
      <c r="B11" s="6" t="n"/>
      <c r="C11" s="6" t="n"/>
      <c r="D11" s="6" t="n"/>
      <c r="E11" s="6" t="n">
        <v>-19836</v>
      </c>
      <c r="F11" s="6" t="n"/>
      <c r="G11" s="6" t="n">
        <v>-19836</v>
      </c>
      <c r="H11" s="6" t="n"/>
      <c r="I11" s="6" t="n">
        <v>-19836</v>
      </c>
    </row>
    <row r="12">
      <c r="A12" s="5" t="inlineStr">
        <is>
          <t>At 1 January 2022 (restated)</t>
        </is>
      </c>
      <c r="B12" s="5" t="n">
        <v>150049</v>
      </c>
      <c r="C12" s="5" t="n">
        <v>-3848</v>
      </c>
      <c r="D12" s="5" t="n">
        <v>1792</v>
      </c>
      <c r="E12" s="5" t="n">
        <v>-19836</v>
      </c>
      <c r="F12" s="5" t="n">
        <v>-36644</v>
      </c>
      <c r="G12" s="5" t="n">
        <v>91513</v>
      </c>
      <c r="H12" s="5" t="n">
        <v>1303</v>
      </c>
      <c r="I12" s="5" t="n">
        <v>92816</v>
      </c>
    </row>
    <row r="13">
      <c r="A13" s="6" t="inlineStr">
        <is>
          <t>Recycle of gain on sale of OCI investments (FY2022)</t>
        </is>
      </c>
      <c r="B13" s="6" t="n"/>
      <c r="C13" s="6" t="n">
        <v>112</v>
      </c>
      <c r="D13" s="6" t="n"/>
      <c r="E13" s="6" t="n"/>
      <c r="F13" s="6" t="n">
        <v>-112</v>
      </c>
      <c r="G13" s="6" t="n">
        <v>0</v>
      </c>
      <c r="H13" s="6" t="n"/>
      <c r="I13" s="6" t="n">
        <v>0</v>
      </c>
    </row>
    <row r="14">
      <c r="A14" s="6" t="inlineStr">
        <is>
          <t>Unrealised loss on instruments at FVTOCI (FY2022)</t>
        </is>
      </c>
      <c r="B14" s="6" t="n"/>
      <c r="C14" s="6" t="n">
        <v>-1539</v>
      </c>
      <c r="D14" s="6" t="n"/>
      <c r="E14" s="6" t="n"/>
      <c r="F14" s="6" t="n"/>
      <c r="G14" s="6" t="n">
        <v>-1539</v>
      </c>
      <c r="H14" s="6" t="n"/>
      <c r="I14" s="6" t="n">
        <v>-1539</v>
      </c>
    </row>
    <row r="15">
      <c r="A15" s="6" t="inlineStr">
        <is>
          <t>Foreign currency translation losses from investment in associate — discontinued operation (FY2022)</t>
        </is>
      </c>
      <c r="B15" s="6" t="n"/>
      <c r="C15" s="6" t="n"/>
      <c r="D15" s="6" t="n">
        <v>-1792</v>
      </c>
      <c r="E15" s="6" t="n"/>
      <c r="F15" s="6" t="n"/>
      <c r="G15" s="6" t="n">
        <v>-1792</v>
      </c>
      <c r="H15" s="6" t="n"/>
      <c r="I15" s="6" t="n">
        <v>-1792</v>
      </c>
    </row>
    <row r="16">
      <c r="A16" s="5" t="inlineStr">
        <is>
          <t>Subtotal after other comprehensive income (FY2022)</t>
        </is>
      </c>
      <c r="B16" s="5" t="n">
        <v>150049</v>
      </c>
      <c r="C16" s="5" t="n">
        <v>-5275</v>
      </c>
      <c r="D16" s="5" t="n">
        <v>0</v>
      </c>
      <c r="E16" s="5" t="n">
        <v>-19836</v>
      </c>
      <c r="F16" s="5" t="n">
        <v>-36756</v>
      </c>
      <c r="G16" s="5" t="n">
        <v>88182</v>
      </c>
      <c r="H16" s="5" t="n">
        <v>1303</v>
      </c>
      <c r="I16" s="5" t="n">
        <v>89485</v>
      </c>
    </row>
    <row r="17">
      <c r="A17" s="6" t="inlineStr">
        <is>
          <t>Profit for the year — continuing operations (FY2022)</t>
        </is>
      </c>
      <c r="B17" s="6" t="n"/>
      <c r="C17" s="6" t="n"/>
      <c r="D17" s="6" t="n"/>
      <c r="E17" s="6" t="n">
        <v>228</v>
      </c>
      <c r="F17" s="6" t="n">
        <v>5043</v>
      </c>
      <c r="G17" s="6" t="n">
        <v>5271</v>
      </c>
      <c r="H17" s="6" t="n">
        <v>1217</v>
      </c>
      <c r="I17" s="6" t="n">
        <v>6488</v>
      </c>
    </row>
    <row r="18">
      <c r="A18" s="6" t="inlineStr">
        <is>
          <t>Profit for the year — discontinued operations (FY2022)</t>
        </is>
      </c>
      <c r="B18" s="6" t="n"/>
      <c r="C18" s="6" t="n"/>
      <c r="D18" s="6" t="n"/>
      <c r="E18" s="6" t="n"/>
      <c r="F18" s="6" t="n">
        <v>1640</v>
      </c>
      <c r="G18" s="6" t="n">
        <v>1640</v>
      </c>
      <c r="H18" s="6" t="n"/>
      <c r="I18" s="6" t="n">
        <v>1640</v>
      </c>
    </row>
    <row r="19">
      <c r="A19" s="6" t="inlineStr">
        <is>
          <t>Acquisition of a subsidiary (FY2022)</t>
        </is>
      </c>
      <c r="B19" s="6" t="n"/>
      <c r="C19" s="6" t="n"/>
      <c r="D19" s="6" t="n"/>
      <c r="E19" s="6" t="n">
        <v>3691</v>
      </c>
      <c r="F19" s="6" t="n"/>
      <c r="G19" s="6" t="n">
        <v>3691</v>
      </c>
      <c r="H19" s="6" t="n">
        <v>-2520</v>
      </c>
      <c r="I19" s="6" t="n">
        <v>1171</v>
      </c>
    </row>
    <row r="20">
      <c r="A20" s="5" t="inlineStr">
        <is>
          <t>At 31 December 2022</t>
        </is>
      </c>
      <c r="B20" s="5" t="n">
        <v>150049</v>
      </c>
      <c r="C20" s="5" t="n">
        <v>-5275</v>
      </c>
      <c r="D20" s="5" t="n">
        <v>0</v>
      </c>
      <c r="E20" s="5" t="n">
        <v>-15917</v>
      </c>
      <c r="F20" s="5" t="n">
        <v>-30073</v>
      </c>
      <c r="G20" s="5" t="n">
        <v>98784</v>
      </c>
      <c r="H20" s="5" t="n">
        <v>0</v>
      </c>
      <c r="I20" s="5" t="n">
        <v>98784</v>
      </c>
    </row>
    <row r="21">
      <c r="A21" s="5" t="inlineStr">
        <is>
          <t>At 1 January 2023</t>
        </is>
      </c>
      <c r="B21" s="5" t="n">
        <v>150049</v>
      </c>
      <c r="C21" s="5" t="n">
        <v>-5275</v>
      </c>
      <c r="D21" s="5" t="n"/>
      <c r="E21" s="5" t="n">
        <v>-15917</v>
      </c>
      <c r="F21" s="5" t="n">
        <v>-30073</v>
      </c>
      <c r="G21" s="5" t="n">
        <v>98784</v>
      </c>
      <c r="H21" s="5" t="n"/>
      <c r="I21" s="5" t="n">
        <v>98784</v>
      </c>
    </row>
    <row r="22">
      <c r="A22" s="6" t="inlineStr">
        <is>
          <t>Unrealised gain on instruments at FVTOCI (FY2023)</t>
        </is>
      </c>
      <c r="B22" s="6" t="n"/>
      <c r="C22" s="6" t="n">
        <v>554</v>
      </c>
      <c r="D22" s="6" t="n"/>
      <c r="E22" s="6" t="n"/>
      <c r="F22" s="6" t="n"/>
      <c r="G22" s="6" t="n">
        <v>554</v>
      </c>
      <c r="H22" s="6" t="n"/>
      <c r="I22" s="6" t="n">
        <v>554</v>
      </c>
    </row>
    <row r="23">
      <c r="A23" s="5" t="inlineStr">
        <is>
          <t>Subtotal after other comprehensive income (FY2023)</t>
        </is>
      </c>
      <c r="B23" s="5" t="n">
        <v>150049</v>
      </c>
      <c r="C23" s="5" t="n">
        <v>-4721</v>
      </c>
      <c r="D23" s="5" t="n"/>
      <c r="E23" s="5" t="n">
        <v>-15917</v>
      </c>
      <c r="F23" s="5" t="n">
        <v>-30073</v>
      </c>
      <c r="G23" s="5" t="n">
        <v>99338</v>
      </c>
      <c r="H23" s="5" t="n"/>
      <c r="I23" s="5" t="n">
        <v>99338</v>
      </c>
    </row>
    <row r="24">
      <c r="A24" s="6" t="inlineStr">
        <is>
          <t>Profit for the year (FY2023)</t>
        </is>
      </c>
      <c r="B24" s="6" t="n"/>
      <c r="C24" s="6" t="n"/>
      <c r="D24" s="6" t="n"/>
      <c r="E24" s="6" t="n"/>
      <c r="F24" s="6" t="n">
        <v>3157</v>
      </c>
      <c r="G24" s="6" t="n">
        <v>3157</v>
      </c>
      <c r="H24" s="6" t="n"/>
      <c r="I24" s="6" t="n">
        <v>3157</v>
      </c>
    </row>
    <row r="25">
      <c r="A25" s="6" t="inlineStr">
        <is>
          <t>Recycling of reserve on liquidation of subsidiary (FY2023)</t>
        </is>
      </c>
      <c r="B25" s="6" t="n"/>
      <c r="C25" s="6" t="n"/>
      <c r="D25" s="6" t="n"/>
      <c r="E25" s="6" t="n"/>
      <c r="F25" s="6" t="n">
        <v>-267</v>
      </c>
      <c r="G25" s="6" t="n">
        <v>-267</v>
      </c>
      <c r="H25" s="6" t="n"/>
      <c r="I25" s="6" t="n">
        <v>-267</v>
      </c>
    </row>
    <row r="26">
      <c r="A26" s="5" t="inlineStr">
        <is>
          <t>At 31 December 2023</t>
        </is>
      </c>
      <c r="B26" s="5" t="n">
        <v>150049</v>
      </c>
      <c r="C26" s="5" t="n">
        <v>-4721</v>
      </c>
      <c r="D26" s="5" t="n"/>
      <c r="E26" s="5" t="n">
        <v>-15917</v>
      </c>
      <c r="F26" s="5" t="n">
        <v>-27183</v>
      </c>
      <c r="G26" s="5" t="n">
        <v>102228</v>
      </c>
      <c r="H26" s="5" t="n"/>
      <c r="I26" s="5" t="n">
        <v>102228</v>
      </c>
    </row>
    <row r="27">
      <c r="A27" s="5" t="inlineStr">
        <is>
          <t>At 1 January 2024</t>
        </is>
      </c>
      <c r="B27" s="5" t="n">
        <v>150049</v>
      </c>
      <c r="C27" s="5" t="n">
        <v>-4721</v>
      </c>
      <c r="D27" s="5" t="n"/>
      <c r="E27" s="5" t="n">
        <v>-15917</v>
      </c>
      <c r="F27" s="5" t="n">
        <v>-27183</v>
      </c>
      <c r="G27" s="5" t="n">
        <v>102228</v>
      </c>
      <c r="H27" s="5" t="n"/>
      <c r="I27" s="5" t="n">
        <v>102228</v>
      </c>
    </row>
    <row r="28">
      <c r="A28" s="6" t="inlineStr">
        <is>
          <t>Loss for the year — continuing operations (FY2024)</t>
        </is>
      </c>
      <c r="B28" s="6" t="n"/>
      <c r="C28" s="6" t="n"/>
      <c r="D28" s="6" t="n"/>
      <c r="E28" s="6" t="n"/>
      <c r="F28" s="6" t="n">
        <v>-1247</v>
      </c>
      <c r="G28" s="6" t="n">
        <v>-1247</v>
      </c>
      <c r="H28" s="6" t="n"/>
      <c r="I28" s="6" t="n">
        <v>-1247</v>
      </c>
    </row>
    <row r="29">
      <c r="A29" s="6" t="inlineStr">
        <is>
          <t>Profit for the year — discontinued operations (FY2024)</t>
        </is>
      </c>
      <c r="B29" s="6" t="n"/>
      <c r="C29" s="6" t="n"/>
      <c r="D29" s="6" t="n"/>
      <c r="E29" s="6" t="n"/>
      <c r="F29" s="6" t="n">
        <v>5047</v>
      </c>
      <c r="G29" s="6" t="n">
        <v>5047</v>
      </c>
      <c r="H29" s="6" t="n"/>
      <c r="I29" s="6" t="n">
        <v>5047</v>
      </c>
    </row>
    <row r="30">
      <c r="A30" s="6" t="inlineStr">
        <is>
          <t>Other comprehensive income (FY2024)</t>
        </is>
      </c>
      <c r="B30" s="6" t="n"/>
      <c r="C30" s="6" t="n">
        <v>344</v>
      </c>
      <c r="D30" s="6" t="n"/>
      <c r="E30" s="6" t="n"/>
      <c r="F30" s="6" t="n"/>
      <c r="G30" s="6" t="n">
        <v>344</v>
      </c>
      <c r="H30" s="6" t="n"/>
      <c r="I30" s="6" t="n">
        <v>344</v>
      </c>
    </row>
    <row r="31">
      <c r="A31" s="5" t="inlineStr">
        <is>
          <t>Total comprehensive income for the year (FY2024)</t>
        </is>
      </c>
      <c r="B31" s="5" t="n"/>
      <c r="C31" s="5" t="n">
        <v>344</v>
      </c>
      <c r="D31" s="5" t="n"/>
      <c r="E31" s="5" t="n"/>
      <c r="F31" s="5" t="n">
        <v>3800</v>
      </c>
      <c r="G31" s="5" t="n">
        <v>4144</v>
      </c>
      <c r="H31" s="5" t="n"/>
      <c r="I31" s="5" t="n">
        <v>4144</v>
      </c>
    </row>
    <row r="32">
      <c r="A32" s="5" t="inlineStr">
        <is>
          <t>At 31 December 2024</t>
        </is>
      </c>
      <c r="B32" s="5" t="n">
        <v>150049</v>
      </c>
      <c r="C32" s="5" t="n">
        <v>-4377</v>
      </c>
      <c r="D32" s="5" t="n"/>
      <c r="E32" s="5" t="n">
        <v>-15917</v>
      </c>
      <c r="F32" s="5" t="n">
        <v>-23383</v>
      </c>
      <c r="G32" s="5" t="n">
        <v>106372</v>
      </c>
      <c r="H32" s="5" t="n"/>
      <c r="I32" s="5" t="n">
        <v>106372</v>
      </c>
    </row>
    <row r="33">
      <c r="A33" s="5" t="inlineStr">
        <is>
          <t>At 1 January 2025</t>
        </is>
      </c>
      <c r="B33" s="5" t="n">
        <v>150049</v>
      </c>
      <c r="C33" s="5" t="n">
        <v>-4377</v>
      </c>
      <c r="D33" s="5" t="n"/>
      <c r="E33" s="5" t="n">
        <v>-15917</v>
      </c>
      <c r="F33" s="5" t="n">
        <v>-23383</v>
      </c>
      <c r="G33" s="5" t="n">
        <v>106372</v>
      </c>
      <c r="H33" s="5" t="n"/>
      <c r="I33" s="5" t="n">
        <v>106372</v>
      </c>
    </row>
    <row r="34">
      <c r="A34" s="6" t="inlineStr">
        <is>
          <t>Loss for the year — continuing operations (FY2025)</t>
        </is>
      </c>
      <c r="B34" s="6" t="n"/>
      <c r="C34" s="6" t="n"/>
      <c r="D34" s="6" t="n"/>
      <c r="E34" s="6" t="n"/>
      <c r="F34" s="6" t="n">
        <v>-13291</v>
      </c>
      <c r="G34" s="6" t="n">
        <v>-13291</v>
      </c>
      <c r="H34" s="6" t="n"/>
      <c r="I34" s="6" t="n">
        <v>-13291</v>
      </c>
    </row>
    <row r="35">
      <c r="A35" s="6" t="inlineStr">
        <is>
          <t>Profit for the year — discontinued operations (FY2025)</t>
        </is>
      </c>
      <c r="B35" s="6" t="n"/>
      <c r="C35" s="6" t="n"/>
      <c r="D35" s="6" t="n"/>
      <c r="E35" s="6" t="n"/>
      <c r="F35" s="6" t="n">
        <v>1924</v>
      </c>
      <c r="G35" s="6" t="n">
        <v>1924</v>
      </c>
      <c r="H35" s="6" t="n"/>
      <c r="I35" s="6" t="n">
        <v>1924</v>
      </c>
    </row>
    <row r="36">
      <c r="A36" s="6" t="inlineStr">
        <is>
          <t>Other comprehensive income (FY2025)</t>
        </is>
      </c>
      <c r="B36" s="6" t="n"/>
      <c r="C36" s="6" t="n">
        <v>761</v>
      </c>
      <c r="D36" s="6" t="n"/>
      <c r="E36" s="6" t="n"/>
      <c r="F36" s="6" t="n"/>
      <c r="G36" s="6" t="n">
        <v>761</v>
      </c>
      <c r="H36" s="6" t="n"/>
      <c r="I36" s="6" t="n">
        <v>761</v>
      </c>
    </row>
    <row r="37">
      <c r="A37" s="5" t="inlineStr">
        <is>
          <t>Total comprehensive (loss)/income for the year (FY2025)</t>
        </is>
      </c>
      <c r="B37" s="5" t="n"/>
      <c r="C37" s="5" t="n">
        <v>761</v>
      </c>
      <c r="D37" s="5" t="n"/>
      <c r="E37" s="5" t="n"/>
      <c r="F37" s="5" t="n">
        <v>-11367</v>
      </c>
      <c r="G37" s="5" t="n">
        <v>-10606</v>
      </c>
      <c r="H37" s="5" t="n"/>
      <c r="I37" s="5" t="n">
        <v>-10606</v>
      </c>
    </row>
    <row r="38">
      <c r="A38" s="5" t="inlineStr">
        <is>
          <t>At 31 December 2025</t>
        </is>
      </c>
      <c r="B38" s="5" t="n">
        <v>150049</v>
      </c>
      <c r="C38" s="5" t="n">
        <v>-3616</v>
      </c>
      <c r="D38" s="5" t="n"/>
      <c r="E38" s="5" t="n">
        <v>-15917</v>
      </c>
      <c r="F38" s="5" t="n">
        <v>-34750</v>
      </c>
      <c r="G38" s="5" t="n">
        <v>95766</v>
      </c>
      <c r="H38" s="5" t="n"/>
      <c r="I38" s="5" t="n">
        <v>95766</v>
      </c>
    </row>
    <row r="40" ht="380" customHeight="1">
      <c r="A40" s="8"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40:I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Consolidated Cash Flow Statement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Operating activities</t>
        </is>
      </c>
      <c r="B4" s="6" t="n"/>
      <c r="C4" s="6" t="n"/>
      <c r="D4" s="6" t="n"/>
      <c r="E4" s="6" t="n"/>
      <c r="F4" s="6" t="n"/>
      <c r="G4" s="6" t="n"/>
    </row>
    <row r="5">
      <c r="A5" s="6" t="inlineStr">
        <is>
          <t>Profit/(loss) after tax from continuing operations</t>
        </is>
      </c>
      <c r="B5" s="6" t="n">
        <v>-13291</v>
      </c>
      <c r="C5" s="6" t="n">
        <v>-1248</v>
      </c>
      <c r="D5" s="6" t="n">
        <v>3157</v>
      </c>
      <c r="E5" s="6" t="n">
        <v>6488</v>
      </c>
      <c r="F5" s="6" t="n"/>
      <c r="G5" s="6" t="n"/>
    </row>
    <row r="6">
      <c r="A6" s="6" t="inlineStr">
        <is>
          <t>Profit after tax from discontinued operations</t>
        </is>
      </c>
      <c r="B6" s="6" t="n">
        <v>1924</v>
      </c>
      <c r="C6" s="6" t="n">
        <v>5048</v>
      </c>
      <c r="D6" s="6" t="n">
        <v>0</v>
      </c>
      <c r="E6" s="6" t="n">
        <v>1640</v>
      </c>
      <c r="F6" s="6" t="n"/>
      <c r="G6" s="6" t="n"/>
    </row>
    <row r="7">
      <c r="A7" s="6" t="inlineStr">
        <is>
          <t>Operating profit on ordinary activities after tax (combined, not split this year)</t>
        </is>
      </c>
      <c r="B7" s="6" t="n"/>
      <c r="C7" s="6" t="n"/>
      <c r="D7" s="6" t="n"/>
      <c r="E7" s="6" t="n"/>
      <c r="F7" s="6" t="n">
        <v>3464</v>
      </c>
      <c r="G7" s="6" t="n"/>
    </row>
    <row r="8">
      <c r="A8" s="5" t="inlineStr">
        <is>
          <t>Profit/(loss) after tax for the year</t>
        </is>
      </c>
      <c r="B8" s="5" t="n">
        <v>-11367</v>
      </c>
      <c r="C8" s="5" t="n">
        <v>3800</v>
      </c>
      <c r="D8" s="5" t="n">
        <v>3157</v>
      </c>
      <c r="E8" s="5" t="n">
        <v>8128</v>
      </c>
      <c r="F8" s="5" t="n">
        <v>3464</v>
      </c>
      <c r="G8" s="5" t="n"/>
    </row>
    <row r="9">
      <c r="A9" s="6" t="inlineStr">
        <is>
          <t>Depreciation and amortisation</t>
        </is>
      </c>
      <c r="B9" s="6" t="n">
        <v>1043</v>
      </c>
      <c r="C9" s="6" t="n">
        <v>930</v>
      </c>
      <c r="D9" s="6" t="n">
        <v>1302</v>
      </c>
      <c r="E9" s="6" t="n">
        <v>1319</v>
      </c>
      <c r="F9" s="6" t="n">
        <v>1222</v>
      </c>
      <c r="G9" s="6" t="n"/>
    </row>
    <row r="10">
      <c r="A10" s="6" t="inlineStr">
        <is>
          <t>Impairment charge/(release)</t>
        </is>
      </c>
      <c r="B10" s="6" t="n">
        <v>2725</v>
      </c>
      <c r="C10" s="6" t="n">
        <v>-192</v>
      </c>
      <c r="D10" s="6" t="n">
        <v>847</v>
      </c>
      <c r="E10" s="6" t="n">
        <v>5714</v>
      </c>
      <c r="F10" s="6" t="n">
        <v>806</v>
      </c>
      <c r="G10" s="6" t="n"/>
    </row>
    <row r="11">
      <c r="A11" s="6" t="inlineStr">
        <is>
          <t>(Negative)/positive revaluation of financial instruments held at FVTIS (unquoted investments)</t>
        </is>
      </c>
      <c r="B11" s="6" t="n">
        <v>207</v>
      </c>
      <c r="C11" s="6" t="n">
        <v>-1969</v>
      </c>
      <c r="D11" s="6" t="n">
        <v>-22</v>
      </c>
      <c r="E11" s="6" t="n">
        <v>-2904</v>
      </c>
      <c r="F11" s="6" t="n">
        <v>210</v>
      </c>
      <c r="G11" s="6" t="n"/>
    </row>
    <row r="12">
      <c r="A12" s="6" t="inlineStr">
        <is>
          <t>Positive revaluation on investment properties</t>
        </is>
      </c>
      <c r="B12" s="6" t="n"/>
      <c r="C12" s="6" t="n"/>
      <c r="D12" s="6" t="n"/>
      <c r="E12" s="6" t="n"/>
      <c r="F12" s="6" t="n">
        <v>-1412</v>
      </c>
      <c r="G12" s="6" t="n"/>
    </row>
    <row r="13">
      <c r="A13" s="6" t="inlineStr">
        <is>
          <t>Loss/(gain) on sale of property held for sale</t>
        </is>
      </c>
      <c r="B13" s="6" t="n"/>
      <c r="C13" s="6" t="n"/>
      <c r="D13" s="6" t="n"/>
      <c r="E13" s="6" t="n"/>
      <c r="F13" s="6" t="n">
        <v>472</v>
      </c>
      <c r="G13" s="6" t="n"/>
    </row>
    <row r="14">
      <c r="A14" s="6" t="inlineStr">
        <is>
          <t>Share in profit of associate</t>
        </is>
      </c>
      <c r="B14" s="6" t="n"/>
      <c r="C14" s="6" t="n"/>
      <c r="D14" s="6" t="n">
        <v>0</v>
      </c>
      <c r="E14" s="6" t="n">
        <v>-1640</v>
      </c>
      <c r="F14" s="6" t="n">
        <v>-904</v>
      </c>
      <c r="G14" s="6" t="n"/>
    </row>
    <row r="15">
      <c r="A15" s="6" t="inlineStr">
        <is>
          <t>Fair value movement in derivative financial instruments (non-cash adjustment)</t>
        </is>
      </c>
      <c r="B15" s="6" t="n">
        <v>1844</v>
      </c>
      <c r="C15" s="6" t="n">
        <v>341</v>
      </c>
      <c r="D15" s="6" t="n">
        <v>-1083</v>
      </c>
      <c r="E15" s="6" t="n">
        <v>-1634</v>
      </c>
      <c r="F15" s="6" t="n">
        <v>160</v>
      </c>
      <c r="G15" s="6" t="n"/>
    </row>
    <row r="16">
      <c r="A16" s="6" t="inlineStr">
        <is>
          <t>Foreign exchange (gains)/losses</t>
        </is>
      </c>
      <c r="B16" s="6" t="n">
        <v>-321</v>
      </c>
      <c r="C16" s="6" t="n">
        <v>-120</v>
      </c>
      <c r="D16" s="6" t="n">
        <v>145</v>
      </c>
      <c r="E16" s="6" t="n">
        <v>-264</v>
      </c>
      <c r="F16" s="6" t="n">
        <v>461</v>
      </c>
      <c r="G16" s="6" t="n"/>
    </row>
    <row r="17">
      <c r="A17" s="6" t="inlineStr">
        <is>
          <t>Taxation/income tax expense (non-cash adjustment)</t>
        </is>
      </c>
      <c r="B17" s="6" t="n">
        <v>-1947</v>
      </c>
      <c r="C17" s="6" t="n">
        <v>-2167</v>
      </c>
      <c r="D17" s="6" t="n">
        <v>-4</v>
      </c>
      <c r="E17" s="6" t="n">
        <v>-3933</v>
      </c>
      <c r="F17" s="6" t="n">
        <v>153</v>
      </c>
      <c r="G17" s="6" t="n"/>
    </row>
    <row r="18">
      <c r="A18" s="6" t="inlineStr">
        <is>
          <t>Adjustment for assets/liabilities held for sale</t>
        </is>
      </c>
      <c r="B18" s="6" t="n">
        <v>3134</v>
      </c>
      <c r="C18" s="6" t="n">
        <v>3148</v>
      </c>
      <c r="D18" s="6" t="n"/>
      <c r="E18" s="6" t="n"/>
      <c r="F18" s="6" t="n"/>
      <c r="G18" s="6" t="n"/>
    </row>
    <row r="19">
      <c r="A19" s="6" t="inlineStr">
        <is>
          <t>Net (increase)/decrease in other assets</t>
        </is>
      </c>
      <c r="B19" s="6" t="n">
        <v>-30867</v>
      </c>
      <c r="C19" s="6" t="n">
        <v>-964</v>
      </c>
      <c r="D19" s="6" t="n">
        <v>-1712</v>
      </c>
      <c r="E19" s="6" t="n">
        <v>3007</v>
      </c>
      <c r="F19" s="6" t="n">
        <v>-1816</v>
      </c>
      <c r="G19" s="6" t="n"/>
    </row>
    <row r="20">
      <c r="A20" s="6" t="inlineStr">
        <is>
          <t>Changes in financing and advances at amortised cost</t>
        </is>
      </c>
      <c r="B20" s="6" t="n">
        <v>52974</v>
      </c>
      <c r="C20" s="6" t="n">
        <v>36152</v>
      </c>
      <c r="D20" s="6" t="n">
        <v>-130754</v>
      </c>
      <c r="E20" s="6" t="n">
        <v>-332498</v>
      </c>
      <c r="F20" s="6" t="n">
        <v>-199760</v>
      </c>
      <c r="G20" s="6" t="n"/>
    </row>
    <row r="21">
      <c r="A21" s="6" t="inlineStr">
        <is>
          <t>Fair value movement in derivative financial instruments (operating assets)</t>
        </is>
      </c>
      <c r="B21" s="6" t="n">
        <v>-8196</v>
      </c>
      <c r="C21" s="6" t="n">
        <v>-4080</v>
      </c>
      <c r="D21" s="6" t="n">
        <v>-14824</v>
      </c>
      <c r="E21" s="6" t="n">
        <v>26558</v>
      </c>
      <c r="F21" s="6" t="n"/>
      <c r="G21" s="6" t="n"/>
    </row>
    <row r="22">
      <c r="A22" s="6" t="inlineStr">
        <is>
          <t>Net investment in financial assets held at FVTIS</t>
        </is>
      </c>
      <c r="B22" s="6" t="n"/>
      <c r="C22" s="6" t="n"/>
      <c r="D22" s="6" t="n"/>
      <c r="E22" s="6" t="n"/>
      <c r="F22" s="6" t="n">
        <v>8683</v>
      </c>
      <c r="G22" s="6" t="n"/>
    </row>
    <row r="23">
      <c r="A23" s="6" t="inlineStr">
        <is>
          <t>Net investment in financial assets held at FVTOCI</t>
        </is>
      </c>
      <c r="B23" s="6" t="n"/>
      <c r="C23" s="6" t="n"/>
      <c r="D23" s="6" t="n"/>
      <c r="E23" s="6" t="n"/>
      <c r="F23" s="6" t="n">
        <v>-286</v>
      </c>
      <c r="G23" s="6" t="n"/>
    </row>
    <row r="24">
      <c r="A24" s="6" t="inlineStr">
        <is>
          <t>Changes in assets and liabilities held for sale</t>
        </is>
      </c>
      <c r="B24" s="6" t="n">
        <v>-4183</v>
      </c>
      <c r="C24" s="6" t="n">
        <v>-3876</v>
      </c>
      <c r="D24" s="6" t="n"/>
      <c r="E24" s="6" t="n"/>
      <c r="F24" s="6" t="n"/>
      <c r="G24" s="6" t="n"/>
    </row>
    <row r="25">
      <c r="A25" s="6" t="inlineStr">
        <is>
          <t>Intercompany payable/receivable</t>
        </is>
      </c>
      <c r="B25" s="6" t="n">
        <v>51</v>
      </c>
      <c r="C25" s="6" t="n">
        <v>0</v>
      </c>
      <c r="D25" s="6" t="n"/>
      <c r="E25" s="6" t="n"/>
      <c r="F25" s="6" t="n"/>
      <c r="G25" s="6" t="n"/>
    </row>
    <row r="26">
      <c r="A26" s="6" t="inlineStr">
        <is>
          <t>Changes in financial liabilities measured at amortised cost</t>
        </is>
      </c>
      <c r="B26" s="6" t="n">
        <v>-2094</v>
      </c>
      <c r="C26" s="6" t="n">
        <v>-27632</v>
      </c>
      <c r="D26" s="6" t="n">
        <v>-148024</v>
      </c>
      <c r="E26" s="6" t="n">
        <v>263503</v>
      </c>
      <c r="F26" s="6" t="n">
        <v>196339</v>
      </c>
      <c r="G26" s="6" t="n"/>
    </row>
    <row r="27">
      <c r="A27" s="6" t="inlineStr">
        <is>
          <t>Net increase/(decrease) in other liabilities</t>
        </is>
      </c>
      <c r="B27" s="6" t="n">
        <v>2578</v>
      </c>
      <c r="C27" s="6" t="n">
        <v>-534</v>
      </c>
      <c r="D27" s="6" t="n">
        <v>156</v>
      </c>
      <c r="E27" s="6" t="n">
        <v>-3953</v>
      </c>
      <c r="F27" s="6" t="n">
        <v>4565</v>
      </c>
      <c r="G27" s="6" t="n"/>
    </row>
    <row r="28">
      <c r="A28" s="5" t="inlineStr">
        <is>
          <t>Cash generated from operations</t>
        </is>
      </c>
      <c r="B28" s="5" t="n">
        <v>5581</v>
      </c>
      <c r="C28" s="5" t="n">
        <v>2837</v>
      </c>
      <c r="D28" s="5" t="n"/>
      <c r="E28" s="5" t="n"/>
      <c r="F28" s="5" t="n"/>
      <c r="G28" s="5" t="n"/>
    </row>
    <row r="29">
      <c r="A29" s="6" t="inlineStr">
        <is>
          <t>Income tax paid (cash)</t>
        </is>
      </c>
      <c r="B29" s="6" t="n">
        <v>-1506</v>
      </c>
      <c r="C29" s="6" t="n">
        <v>-850</v>
      </c>
      <c r="D29" s="6" t="n">
        <v>-592</v>
      </c>
      <c r="E29" s="6" t="n">
        <v>-330</v>
      </c>
      <c r="F29" s="6" t="n"/>
      <c r="G29" s="6" t="n"/>
    </row>
    <row r="30">
      <c r="A30" s="5" t="inlineStr">
        <is>
          <t>Net cash flow from/(used in) operating activities</t>
        </is>
      </c>
      <c r="B30" s="5" t="n">
        <v>4075</v>
      </c>
      <c r="C30" s="5" t="n">
        <v>1987</v>
      </c>
      <c r="D30" s="5" t="n">
        <v>4640</v>
      </c>
      <c r="E30" s="5" t="n">
        <v>-38927</v>
      </c>
      <c r="F30" s="5" t="n">
        <v>12357</v>
      </c>
      <c r="G30" s="5" t="n">
        <v>30046</v>
      </c>
    </row>
    <row r="31">
      <c r="A31" s="5" t="inlineStr">
        <is>
          <t>Investing activities</t>
        </is>
      </c>
      <c r="B31" s="6" t="n"/>
      <c r="C31" s="6" t="n"/>
      <c r="D31" s="6" t="n"/>
      <c r="E31" s="6" t="n"/>
      <c r="F31" s="6" t="n"/>
      <c r="G31" s="6" t="n"/>
    </row>
    <row r="32">
      <c r="A32" s="6" t="inlineStr">
        <is>
          <t>Acquisitions of property, plant and equipment</t>
        </is>
      </c>
      <c r="B32" s="6" t="n">
        <v>-278</v>
      </c>
      <c r="C32" s="6" t="n">
        <v>-150</v>
      </c>
      <c r="D32" s="6" t="n">
        <v>-416</v>
      </c>
      <c r="E32" s="6" t="n">
        <v>-637</v>
      </c>
      <c r="F32" s="6" t="n">
        <v>-632</v>
      </c>
      <c r="G32" s="6" t="n"/>
    </row>
    <row r="33">
      <c r="A33" s="6" t="inlineStr">
        <is>
          <t>Proceeds from sale of property, plant and equipment</t>
        </is>
      </c>
      <c r="B33" s="6" t="n">
        <v>57</v>
      </c>
      <c r="C33" s="6" t="n">
        <v>30</v>
      </c>
      <c r="D33" s="6" t="n"/>
      <c r="E33" s="6" t="n"/>
      <c r="F33" s="6" t="n"/>
      <c r="G33" s="6" t="n"/>
    </row>
    <row r="34">
      <c r="A34" s="6" t="inlineStr">
        <is>
          <t>Acquisition of intangible assets</t>
        </is>
      </c>
      <c r="B34" s="6" t="n">
        <v>-1535</v>
      </c>
      <c r="C34" s="6" t="n">
        <v>-1057</v>
      </c>
      <c r="D34" s="6" t="n">
        <v>-623</v>
      </c>
      <c r="E34" s="6" t="n">
        <v>-878</v>
      </c>
      <c r="F34" s="6" t="n">
        <v>-320</v>
      </c>
      <c r="G34" s="6" t="n"/>
    </row>
    <row r="35">
      <c r="A35" s="6" t="inlineStr">
        <is>
          <t>Purchases of financial assets held at FVOCI</t>
        </is>
      </c>
      <c r="B35" s="6" t="n">
        <v>-14050</v>
      </c>
      <c r="C35" s="6" t="n">
        <v>-15693</v>
      </c>
      <c r="D35" s="6" t="n"/>
      <c r="E35" s="6" t="n"/>
      <c r="F35" s="6" t="n">
        <v>-17000</v>
      </c>
      <c r="G35" s="6" t="n"/>
    </row>
    <row r="36">
      <c r="A36" s="6" t="inlineStr">
        <is>
          <t>Proceeds from sale of financial assets held at FVTOCI</t>
        </is>
      </c>
      <c r="B36" s="6" t="n">
        <v>5098</v>
      </c>
      <c r="C36" s="6" t="n">
        <v>7254</v>
      </c>
      <c r="D36" s="6" t="n">
        <v>0</v>
      </c>
      <c r="E36" s="6" t="n">
        <v>2061</v>
      </c>
      <c r="F36" s="6" t="n">
        <v>11617</v>
      </c>
      <c r="G36" s="6" t="n"/>
    </row>
    <row r="37">
      <c r="A37" s="6" t="inlineStr">
        <is>
          <t>Purchase of financial assets held at FVTIS (unquoted investments)</t>
        </is>
      </c>
      <c r="B37" s="6" t="n">
        <v>-143</v>
      </c>
      <c r="C37" s="6" t="n">
        <v>-1775</v>
      </c>
      <c r="D37" s="6" t="n">
        <v>-1195</v>
      </c>
      <c r="E37" s="6" t="n">
        <v>-600</v>
      </c>
      <c r="F37" s="6" t="n"/>
      <c r="G37" s="6" t="n"/>
    </row>
    <row r="38">
      <c r="A38" s="6" t="inlineStr">
        <is>
          <t>Held for sale investing activities</t>
        </is>
      </c>
      <c r="B38" s="6" t="n">
        <v>-647</v>
      </c>
      <c r="C38" s="6" t="n">
        <v>-1391</v>
      </c>
      <c r="D38" s="6" t="n"/>
      <c r="E38" s="6" t="n"/>
      <c r="F38" s="6" t="n"/>
      <c r="G38" s="6" t="n"/>
    </row>
    <row r="39">
      <c r="A39" s="6" t="inlineStr">
        <is>
          <t>Proceeds from sale of financial assets held at FVTIS (unquoted investments)</t>
        </is>
      </c>
      <c r="B39" s="6" t="n">
        <v>4394</v>
      </c>
      <c r="C39" s="6" t="n">
        <v>14735</v>
      </c>
      <c r="D39" s="6" t="n">
        <v>0</v>
      </c>
      <c r="E39" s="6" t="n">
        <v>11468</v>
      </c>
      <c r="F39" s="6" t="n">
        <v>23238</v>
      </c>
      <c r="G39" s="6" t="n"/>
    </row>
    <row r="40">
      <c r="A40" s="6" t="inlineStr">
        <is>
          <t>Cash flow received from discontinued operations</t>
        </is>
      </c>
      <c r="B40" s="6" t="n"/>
      <c r="C40" s="6" t="n"/>
      <c r="D40" s="6" t="n">
        <v>0</v>
      </c>
      <c r="E40" s="6" t="n">
        <v>14253</v>
      </c>
      <c r="F40" s="6" t="n"/>
      <c r="G40" s="6" t="n"/>
    </row>
    <row r="41">
      <c r="A41" s="6" t="inlineStr">
        <is>
          <t>Dividend received from associate</t>
        </is>
      </c>
      <c r="B41" s="6" t="n"/>
      <c r="C41" s="6" t="n"/>
      <c r="D41" s="6" t="n"/>
      <c r="E41" s="6" t="n"/>
      <c r="F41" s="6" t="n">
        <v>859</v>
      </c>
      <c r="G41" s="6" t="n"/>
    </row>
    <row r="42">
      <c r="A42" s="6" t="inlineStr">
        <is>
          <t>Investments in subsidiaries</t>
        </is>
      </c>
      <c r="B42" s="6" t="n"/>
      <c r="C42" s="6" t="n"/>
      <c r="D42" s="6" t="n"/>
      <c r="E42" s="6" t="n"/>
      <c r="F42" s="6" t="n">
        <v>-437</v>
      </c>
      <c r="G42" s="6" t="n"/>
    </row>
    <row r="43">
      <c r="A43" s="6" t="inlineStr">
        <is>
          <t>Net proceeds from disposal of property held for sale</t>
        </is>
      </c>
      <c r="B43" s="6" t="n"/>
      <c r="C43" s="6" t="n"/>
      <c r="D43" s="6" t="n">
        <v>0</v>
      </c>
      <c r="E43" s="6" t="n">
        <v>4537</v>
      </c>
      <c r="F43" s="6" t="n">
        <v>0</v>
      </c>
      <c r="G43" s="6" t="n"/>
    </row>
    <row r="44">
      <c r="A44" s="5" t="inlineStr">
        <is>
          <t>Net cash flow from/(used in) investing activities</t>
        </is>
      </c>
      <c r="B44" s="5" t="n">
        <v>-7104</v>
      </c>
      <c r="C44" s="5" t="n">
        <v>1953</v>
      </c>
      <c r="D44" s="5" t="n">
        <v>-2234</v>
      </c>
      <c r="E44" s="5" t="n">
        <v>30204</v>
      </c>
      <c r="F44" s="5" t="n">
        <v>17325</v>
      </c>
      <c r="G44" s="5" t="n">
        <v>10353</v>
      </c>
    </row>
    <row r="45">
      <c r="A45" s="5" t="inlineStr">
        <is>
          <t>Financing activities</t>
        </is>
      </c>
      <c r="B45" s="6" t="n"/>
      <c r="C45" s="6" t="n"/>
      <c r="D45" s="6" t="n"/>
      <c r="E45" s="6" t="n"/>
      <c r="F45" s="6" t="n"/>
      <c r="G45" s="6" t="n"/>
    </row>
    <row r="46">
      <c r="A46" s="6" t="inlineStr">
        <is>
          <t>Acquisition of subsidiaries</t>
        </is>
      </c>
      <c r="B46" s="6" t="n"/>
      <c r="C46" s="6" t="n"/>
      <c r="D46" s="6" t="n">
        <v>0</v>
      </c>
      <c r="E46" s="6" t="n">
        <v>-9218</v>
      </c>
      <c r="F46" s="6" t="n"/>
      <c r="G46" s="6" t="n"/>
    </row>
    <row r="47">
      <c r="A47" s="6" t="inlineStr">
        <is>
          <t>Cash outflow for lease liabilities</t>
        </is>
      </c>
      <c r="B47" s="6" t="n">
        <v>-267</v>
      </c>
      <c r="C47" s="6" t="n">
        <v>-401</v>
      </c>
      <c r="D47" s="6" t="n">
        <v>-701</v>
      </c>
      <c r="E47" s="6" t="n">
        <v>-672</v>
      </c>
      <c r="F47" s="6" t="n">
        <v>-724</v>
      </c>
      <c r="G47" s="6" t="n"/>
    </row>
    <row r="48">
      <c r="A48" s="6" t="inlineStr">
        <is>
          <t>Held for sale financing activities</t>
        </is>
      </c>
      <c r="B48" s="6" t="n">
        <v>-40</v>
      </c>
      <c r="C48" s="6" t="n">
        <v>-296</v>
      </c>
      <c r="D48" s="6" t="n"/>
      <c r="E48" s="6" t="n"/>
      <c r="F48" s="6" t="n"/>
      <c r="G48" s="6" t="n"/>
    </row>
    <row r="49">
      <c r="A49" s="5" t="inlineStr">
        <is>
          <t>Net cash flow from/(used in) financing activities</t>
        </is>
      </c>
      <c r="B49" s="5" t="n">
        <v>-307</v>
      </c>
      <c r="C49" s="5" t="n">
        <v>-697</v>
      </c>
      <c r="D49" s="5" t="n">
        <v>-701</v>
      </c>
      <c r="E49" s="5" t="n">
        <v>-9890</v>
      </c>
      <c r="F49" s="5" t="n">
        <v>-724</v>
      </c>
      <c r="G49" s="5" t="n">
        <v>-36904</v>
      </c>
    </row>
    <row r="50">
      <c r="A50" s="5" t="inlineStr">
        <is>
          <t>Net (decrease)/increase in cash and cash equivalents</t>
        </is>
      </c>
      <c r="B50" s="5" t="n">
        <v>-3336</v>
      </c>
      <c r="C50" s="5" t="n">
        <v>3243</v>
      </c>
      <c r="D50" s="5" t="n">
        <v>1705</v>
      </c>
      <c r="E50" s="5" t="n">
        <v>-18613</v>
      </c>
      <c r="F50" s="5" t="n">
        <v>28958</v>
      </c>
      <c r="G50" s="5" t="n">
        <v>3494</v>
      </c>
    </row>
    <row r="51">
      <c r="A51" s="6" t="inlineStr">
        <is>
          <t>Cash and cash equivalents at beginning of year</t>
        </is>
      </c>
      <c r="B51" s="6" t="n">
        <v>27823</v>
      </c>
      <c r="C51" s="6" t="n">
        <v>24596</v>
      </c>
      <c r="D51" s="6" t="n">
        <v>22845</v>
      </c>
      <c r="E51" s="6" t="n">
        <v>41598</v>
      </c>
      <c r="F51" s="6" t="n">
        <v>12644</v>
      </c>
      <c r="G51" s="6" t="n">
        <v>8406</v>
      </c>
    </row>
    <row r="52">
      <c r="A52" s="6" t="inlineStr">
        <is>
          <t>Effect of exchange rate fluctuations on cash held</t>
        </is>
      </c>
      <c r="B52" s="6" t="n">
        <v>112</v>
      </c>
      <c r="C52" s="6" t="n">
        <v>-16</v>
      </c>
      <c r="D52" s="6" t="n">
        <v>46</v>
      </c>
      <c r="E52" s="6" t="n">
        <v>-140</v>
      </c>
      <c r="F52" s="6" t="n">
        <v>-4</v>
      </c>
      <c r="G52" s="6" t="n"/>
    </row>
    <row r="53">
      <c r="A53" s="5" t="inlineStr">
        <is>
          <t>Cash and cash equivalents at end of year</t>
        </is>
      </c>
      <c r="B53" s="5" t="n">
        <v>24599</v>
      </c>
      <c r="C53" s="5" t="n">
        <v>27823</v>
      </c>
      <c r="D53" s="5" t="n">
        <v>24596</v>
      </c>
      <c r="E53" s="5" t="n">
        <v>22845</v>
      </c>
      <c r="F53" s="5" t="n">
        <v>41598</v>
      </c>
      <c r="G53" s="5" t="n">
        <v>11900</v>
      </c>
    </row>
    <row r="54">
      <c r="A54" s="5" t="inlineStr">
        <is>
          <t>Additional information on operational cash flows from profit and dividends</t>
        </is>
      </c>
      <c r="B54" s="6" t="n"/>
      <c r="C54" s="6" t="n"/>
      <c r="D54" s="6" t="n"/>
      <c r="E54" s="6" t="n"/>
      <c r="F54" s="6" t="n"/>
      <c r="G54" s="6" t="n"/>
    </row>
    <row r="55">
      <c r="A55" s="6" t="inlineStr">
        <is>
          <t>Profit paid</t>
        </is>
      </c>
      <c r="B55" s="6" t="n">
        <v>48829</v>
      </c>
      <c r="C55" s="6" t="n">
        <v>53847</v>
      </c>
      <c r="D55" s="6" t="n">
        <v>23431</v>
      </c>
      <c r="E55" s="6" t="n">
        <v>14671</v>
      </c>
      <c r="F55" s="6" t="n"/>
      <c r="G55" s="6" t="n"/>
    </row>
    <row r="56">
      <c r="A56" s="6" t="inlineStr">
        <is>
          <t>Profit received</t>
        </is>
      </c>
      <c r="B56" s="6" t="n">
        <v>65797</v>
      </c>
      <c r="C56" s="6" t="n">
        <v>65387</v>
      </c>
      <c r="D56" s="6" t="n">
        <v>55817</v>
      </c>
      <c r="E56" s="6" t="n">
        <v>43043</v>
      </c>
      <c r="F56" s="6" t="n"/>
      <c r="G56" s="6" t="n"/>
    </row>
    <row r="57">
      <c r="A57" s="6" t="inlineStr">
        <is>
          <t>Dividend received</t>
        </is>
      </c>
      <c r="B57" s="6" t="n">
        <v>0</v>
      </c>
      <c r="C57" s="6" t="n">
        <v>659</v>
      </c>
      <c r="D57" s="6" t="n">
        <v>845</v>
      </c>
      <c r="E57" s="6" t="n">
        <v>844</v>
      </c>
      <c r="F57" s="6" t="n"/>
      <c r="G57" s="6" t="n"/>
    </row>
    <row r="58"/>
    <row r="59" ht="340" customHeight="1">
      <c r="A59" s="8" t="inlineStr">
        <is>
          <t>Sources - all figures are Gatehouse Bank Plc's own Consolidated Statement of Cash Flows:
FY2025/FY2024: Annual Report and Financial Statements 2025, p.60-61 (Consolidated Statement of Cash Flows) - https://assets.gatehousebank.com/production/downloads/Gatehouse-Bank-Annual-Report-2025.pdf
FY2023/FY2022: Annual Report and Financial Statements 2023, p.64-65 (Consolidated Statement of Cash Flows) - https://gatehousebank.com/downloads/gatehouse-bank-annual-report-2023
FY2021: Annual Report and Financial Statements 2021, p.52 (Consolidated Statement of Cash Flows, own originally-published FY2021 column - see ENTITY NOTE on the later FY2022 report's restated comparative) - https://assets.gatehousebank.com/production/downloads/Gatehouse-Bank-Annual-Report-2021-FINAL-web.pdf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59:G5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Asset Quality</t>
        </is>
      </c>
    </row>
    <row r="2">
      <c r="A2" s="2" t="inlineStr">
        <is>
          <t>Financing and advances at amortised cost, by IFRS 9 stage, £'000. Consolidated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Gross carrying value, by IFRS 9 stage</t>
        </is>
      </c>
      <c r="B4" s="6" t="n"/>
      <c r="C4" s="6" t="n"/>
      <c r="D4" s="6" t="n"/>
      <c r="E4" s="6" t="n"/>
      <c r="F4" s="6" t="n"/>
      <c r="G4" s="6" t="n"/>
    </row>
    <row r="5">
      <c r="A5" s="6" t="inlineStr">
        <is>
          <t>Stage 1 (12m ECL)</t>
        </is>
      </c>
      <c r="B5" s="6" t="n">
        <v>1098978</v>
      </c>
      <c r="C5" s="6" t="n">
        <v>1155258</v>
      </c>
      <c r="D5" s="6" t="n">
        <v>1193879</v>
      </c>
      <c r="E5" s="6" t="n">
        <v>1113761</v>
      </c>
      <c r="F5" s="6" t="n">
        <v>812023</v>
      </c>
      <c r="G5" s="6" t="n"/>
    </row>
    <row r="6">
      <c r="A6" s="6" t="inlineStr">
        <is>
          <t>Stage 2 (lifetime ECL)</t>
        </is>
      </c>
      <c r="B6" s="6" t="n">
        <v>94477</v>
      </c>
      <c r="C6" s="6" t="n">
        <v>91462</v>
      </c>
      <c r="D6" s="6" t="n">
        <v>116499</v>
      </c>
      <c r="E6" s="6" t="n">
        <v>106426</v>
      </c>
      <c r="F6" s="6" t="n">
        <v>79034</v>
      </c>
      <c r="G6" s="6" t="n"/>
    </row>
    <row r="7">
      <c r="A7" s="6" t="inlineStr">
        <is>
          <t>Stage 3 (lifetime ECL)</t>
        </is>
      </c>
      <c r="B7" s="6" t="n">
        <v>83611</v>
      </c>
      <c r="C7" s="6" t="n">
        <v>79036</v>
      </c>
      <c r="D7" s="6" t="n">
        <v>57596</v>
      </c>
      <c r="E7" s="6" t="n">
        <v>17035</v>
      </c>
      <c r="F7" s="6" t="n">
        <v>13666</v>
      </c>
      <c r="G7" s="6" t="n"/>
    </row>
    <row r="8">
      <c r="A8" s="5" t="inlineStr">
        <is>
          <t>Total gross carrying value</t>
        </is>
      </c>
      <c r="B8" s="5" t="n">
        <v>1277066</v>
      </c>
      <c r="C8" s="5" t="n">
        <v>1325756</v>
      </c>
      <c r="D8" s="5" t="n">
        <v>1367974</v>
      </c>
      <c r="E8" s="5" t="n">
        <v>1237222</v>
      </c>
      <c r="F8" s="5" t="n">
        <v>904723</v>
      </c>
      <c r="G8" s="5" t="n"/>
    </row>
    <row r="9">
      <c r="A9" s="5" t="inlineStr">
        <is>
          <t>Loss allowance, by IFRS 9 stage</t>
        </is>
      </c>
      <c r="B9" s="6" t="n"/>
      <c r="C9" s="6" t="n"/>
      <c r="D9" s="6" t="n"/>
      <c r="E9" s="6" t="n"/>
      <c r="F9" s="6" t="n"/>
      <c r="G9" s="6" t="n"/>
    </row>
    <row r="10">
      <c r="A10" s="6" t="inlineStr">
        <is>
          <t>Stage 1 (12m ECL)</t>
        </is>
      </c>
      <c r="B10" s="6" t="n">
        <v>-1363</v>
      </c>
      <c r="C10" s="6" t="n">
        <v>-790</v>
      </c>
      <c r="D10" s="6" t="n">
        <v>-1379</v>
      </c>
      <c r="E10" s="6" t="n">
        <v>-3108</v>
      </c>
      <c r="F10" s="6" t="n">
        <v>-413</v>
      </c>
      <c r="G10" s="6" t="n"/>
    </row>
    <row r="11">
      <c r="A11" s="6" t="inlineStr">
        <is>
          <t>Stage 2 (lifetime ECL)</t>
        </is>
      </c>
      <c r="B11" s="6" t="n">
        <v>-512</v>
      </c>
      <c r="C11" s="6" t="n">
        <v>-497</v>
      </c>
      <c r="D11" s="6" t="n">
        <v>-1362</v>
      </c>
      <c r="E11" s="6" t="n">
        <v>-5586</v>
      </c>
      <c r="F11" s="6" t="n">
        <v>-2468</v>
      </c>
      <c r="G11" s="6" t="n"/>
    </row>
    <row r="12">
      <c r="A12" s="6" t="inlineStr">
        <is>
          <t>Stage 3 (lifetime ECL)</t>
        </is>
      </c>
      <c r="B12" s="6" t="n">
        <v>-10632</v>
      </c>
      <c r="C12" s="6" t="n">
        <v>-8533</v>
      </c>
      <c r="D12" s="6" t="n">
        <v>-7430</v>
      </c>
      <c r="E12" s="6" t="n">
        <v>-632</v>
      </c>
      <c r="F12" s="6" t="n">
        <v>-731</v>
      </c>
      <c r="G12" s="6" t="n"/>
    </row>
    <row r="13">
      <c r="A13" s="5" t="inlineStr">
        <is>
          <t>Total loss allowance</t>
        </is>
      </c>
      <c r="B13" s="5" t="n">
        <v>-12507</v>
      </c>
      <c r="C13" s="5" t="n">
        <v>-9820</v>
      </c>
      <c r="D13" s="5" t="n">
        <v>-10171</v>
      </c>
      <c r="E13" s="5" t="n">
        <v>-9326</v>
      </c>
      <c r="F13" s="5" t="n">
        <v>-3612</v>
      </c>
      <c r="G13" s="5" t="n"/>
    </row>
    <row r="14">
      <c r="A14" s="5" t="inlineStr">
        <is>
          <t>Carrying value under IFRS 9, by stage</t>
        </is>
      </c>
      <c r="B14" s="6" t="n"/>
      <c r="C14" s="6" t="n"/>
      <c r="D14" s="6" t="n"/>
      <c r="E14" s="6" t="n"/>
      <c r="F14" s="6" t="n"/>
      <c r="G14" s="6" t="n"/>
    </row>
    <row r="15">
      <c r="A15" s="6" t="inlineStr">
        <is>
          <t>Stage 1</t>
        </is>
      </c>
      <c r="B15" s="6" t="n">
        <v>1097615</v>
      </c>
      <c r="C15" s="6" t="n">
        <v>1154468</v>
      </c>
      <c r="D15" s="6" t="n">
        <v>1192500</v>
      </c>
      <c r="E15" s="6" t="n">
        <v>1110653</v>
      </c>
      <c r="F15" s="6" t="n">
        <v>811610</v>
      </c>
      <c r="G15" s="6" t="n"/>
    </row>
    <row r="16">
      <c r="A16" s="6" t="inlineStr">
        <is>
          <t>Stage 2</t>
        </is>
      </c>
      <c r="B16" s="6" t="n">
        <v>93965</v>
      </c>
      <c r="C16" s="6" t="n">
        <v>90965</v>
      </c>
      <c r="D16" s="6" t="n">
        <v>115137</v>
      </c>
      <c r="E16" s="6" t="n">
        <v>100840</v>
      </c>
      <c r="F16" s="6" t="n">
        <v>76566</v>
      </c>
      <c r="G16" s="6" t="n"/>
    </row>
    <row r="17">
      <c r="A17" s="6" t="inlineStr">
        <is>
          <t>Stage 3</t>
        </is>
      </c>
      <c r="B17" s="6" t="n">
        <v>72979</v>
      </c>
      <c r="C17" s="6" t="n">
        <v>70503</v>
      </c>
      <c r="D17" s="6" t="n">
        <v>50166</v>
      </c>
      <c r="E17" s="6" t="n">
        <v>16403</v>
      </c>
      <c r="F17" s="6" t="n">
        <v>12935</v>
      </c>
      <c r="G17" s="6" t="n"/>
    </row>
    <row r="18">
      <c r="A18" s="5" t="inlineStr">
        <is>
          <t>Total carrying value (Financing and advances at amortised cost)</t>
        </is>
      </c>
      <c r="B18" s="5" t="n">
        <v>1264559</v>
      </c>
      <c r="C18" s="5" t="n">
        <v>1315936</v>
      </c>
      <c r="D18" s="5" t="n">
        <v>1357803</v>
      </c>
      <c r="E18" s="5" t="n">
        <v>1227896</v>
      </c>
      <c r="F18" s="5" t="n">
        <v>901111</v>
      </c>
      <c r="G18" s="5" t="n"/>
    </row>
    <row r="19">
      <c r="A19" s="5" t="inlineStr">
        <is>
          <t>Derived ratios</t>
        </is>
      </c>
      <c r="B19" s="6" t="n"/>
      <c r="C19" s="6" t="n"/>
      <c r="D19" s="6" t="n"/>
      <c r="E19" s="6" t="n"/>
      <c r="F19" s="6" t="n"/>
      <c r="G19" s="6" t="n"/>
    </row>
    <row r="20">
      <c r="A20" s="6" t="inlineStr">
        <is>
          <t>Stage 3 / total gross carrying value (NPL ratio)</t>
        </is>
      </c>
      <c r="B20" s="6" t="inlineStr">
        <is>
          <t>6.55%</t>
        </is>
      </c>
      <c r="C20" s="6" t="inlineStr">
        <is>
          <t>5.96%</t>
        </is>
      </c>
      <c r="D20" s="6" t="inlineStr">
        <is>
          <t>4.21%</t>
        </is>
      </c>
      <c r="E20" s="6" t="inlineStr">
        <is>
          <t>1.38%</t>
        </is>
      </c>
      <c r="F20" s="6" t="inlineStr">
        <is>
          <t>1.51%</t>
        </is>
      </c>
      <c r="G20" s="6" t="n"/>
    </row>
    <row r="21">
      <c r="A21" s="6" t="inlineStr">
        <is>
          <t>Total loss allowance coverage (total allowance / total gross)</t>
        </is>
      </c>
      <c r="B21" s="6" t="inlineStr">
        <is>
          <t>0.98%</t>
        </is>
      </c>
      <c r="C21" s="6" t="inlineStr">
        <is>
          <t>0.74%</t>
        </is>
      </c>
      <c r="D21" s="6" t="inlineStr">
        <is>
          <t>0.74%</t>
        </is>
      </c>
      <c r="E21" s="6" t="inlineStr">
        <is>
          <t>0.75%</t>
        </is>
      </c>
      <c r="F21" s="6" t="inlineStr">
        <is>
          <t>0.40%</t>
        </is>
      </c>
      <c r="G21" s="6" t="n"/>
    </row>
    <row r="22">
      <c r="A22" s="6" t="inlineStr">
        <is>
          <t>Stage 3 coverage (Stage 3 loss allowance / Stage 3 gross)</t>
        </is>
      </c>
      <c r="B22" s="6" t="inlineStr">
        <is>
          <t>12.72%</t>
        </is>
      </c>
      <c r="C22" s="6" t="inlineStr">
        <is>
          <t>10.80%</t>
        </is>
      </c>
      <c r="D22" s="6" t="inlineStr">
        <is>
          <t>12.90%</t>
        </is>
      </c>
      <c r="E22" s="6" t="inlineStr">
        <is>
          <t>3.71%</t>
        </is>
      </c>
      <c r="F22" s="6" t="inlineStr">
        <is>
          <t>5.35%</t>
        </is>
      </c>
      <c r="G22" s="6" t="n"/>
    </row>
    <row r="24" ht="300" customHeight="1">
      <c r="A24" s="8" t="inlineStr">
        <is>
          <t>Sources - Gatehouse Bank Plc's own 'Financing and advances at amortised cost' note (Group), IFRS 9 stage split:
FY2025/FY2024: Annual Report and Financial Statements 2025, p.89-90 - https://assets.gatehousebank.com/production/downloads/Gatehouse-Bank-Annual-Report-2025.pdf
FY2023/FY2022: Annual Report and Financial Statements 2023, p.93 - https://gatehousebank.com/downloads/gatehouse-bank-annual-report-2023
FY2021: Annual Report and Financial Statements 2021, p.78 - https://assets.gatehousebank.com/production/downloads/Gatehouse-Bank-Annual-Report-2021-FINAL-web.pdf
Each year's own originally-published figures used - every stage split ties exactly to that year's own Total gross carrying value/loss allowance/carrying value and to the Balance Sheet's own Financing and advances at amortised cost line. Derived ratios independently computed from the disclosed stage figures (not restated). Note the growing Stage 3 balance/NPL ratio across the series reflects a genuine, disclosed deterioration in the Bank's property finance book, not a presentation change.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24:G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Common Equity Tier 1 (CET1) capital</t>
        </is>
      </c>
      <c r="B4" s="6" t="n"/>
      <c r="C4" s="6" t="n">
        <v>108.6</v>
      </c>
      <c r="D4" s="6" t="n">
        <v>108.2</v>
      </c>
      <c r="E4" s="6" t="n">
        <v>103.2</v>
      </c>
      <c r="F4" s="6" t="n">
        <v>94.5</v>
      </c>
      <c r="G4" s="6" t="n">
        <v>95.59999999999999</v>
      </c>
    </row>
    <row r="5">
      <c r="A5" s="6" t="inlineStr">
        <is>
          <t>Common Equity Tier 1 (CET1) capital — derived from Annual Report 2025 capital note components (memo, not Pillar 3)</t>
        </is>
      </c>
      <c r="B5" s="6" t="n">
        <v>92.2</v>
      </c>
      <c r="C5" s="6" t="n"/>
      <c r="D5" s="6" t="n"/>
      <c r="E5" s="6" t="n"/>
      <c r="F5" s="6" t="n"/>
      <c r="G5" s="6" t="n"/>
    </row>
    <row r="6" ht="60" customHeight="1">
      <c r="A6"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2026-09-15). The Pillar 3 row above is deliberately blank for FY2025 because no FY2025 Pillar 3 disclosure has been published (see the source note). The Annual Report 2025 regulatory capital note (p.126) does not print CET1 net of deductions either, but it does print every component of it: Core Tier 1 subtotal GBP109,790k less Deductions from CET1 GBP(17,609)k = GBP92,181k, which plus Tier 2 GBP18,939k gives the GBP111,120k Total regulatory capital the note states. The same subtraction on that note's 2024 column yields GBP108,583k = the GBP108.6m FY2024 Pillar 3 CET1 figure carried above, exactly - so the arithmetic is validated against a known year. It is shown as a separate, clearly labelled memo row rather than merged into the Pillar 3 series: this is a subtotal completed from disclosed components of a single table, NOT a figure back-solved from a ratio, but it is still not the Bank's own published Pillar 3 number.</t>
        </is>
      </c>
    </row>
    <row r="8" ht="260" customHeight="1">
      <c r="A8"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8:G8"/>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CET1 ratio</t>
        </is>
      </c>
      <c r="B4" s="6" t="n"/>
      <c r="C4" s="6" t="inlineStr">
        <is>
          <t>17.1%</t>
        </is>
      </c>
      <c r="D4" s="6" t="inlineStr">
        <is>
          <t>16.8%</t>
        </is>
      </c>
      <c r="E4" s="6" t="inlineStr">
        <is>
          <t>17.4%</t>
        </is>
      </c>
      <c r="F4" s="6" t="inlineStr">
        <is>
          <t>18.1%</t>
        </is>
      </c>
      <c r="G4" s="6" t="inlineStr">
        <is>
          <t>37.3%</t>
        </is>
      </c>
    </row>
    <row r="5" ht="60"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7" ht="260" customHeight="1">
      <c r="A7"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capital</t>
        </is>
      </c>
      <c r="B4" s="6" t="n"/>
      <c r="C4" s="6" t="n">
        <v>108.6</v>
      </c>
      <c r="D4" s="6" t="n">
        <v>108.2</v>
      </c>
      <c r="E4" s="6" t="n">
        <v>103.2</v>
      </c>
      <c r="F4" s="6" t="n">
        <v>94.5</v>
      </c>
      <c r="G4" s="6" t="n">
        <v>95.59999999999999</v>
      </c>
    </row>
    <row r="5">
      <c r="A5" s="6" t="inlineStr">
        <is>
          <t>Tier 1 capital — derived from Annual Report 2025 capital note components (memo, not Pillar 3)</t>
        </is>
      </c>
      <c r="B5" s="6" t="n">
        <v>92.2</v>
      </c>
      <c r="C5" s="6" t="n"/>
      <c r="D5" s="6" t="n"/>
      <c r="E5" s="6" t="n"/>
      <c r="F5" s="6" t="n"/>
      <c r="G5" s="6" t="n"/>
    </row>
    <row r="6" ht="60" customHeight="1">
      <c r="A6" s="7" t="inlineStr">
        <is>
          <t>Note: No Additional Tier 1 instruments disclosed in any year, so Tier 1 capital equals CET1 capital throughout. (Correction, this pass: the earlier wording here also claimed no Tier 2 instruments. That was wrong - the Bank does hold Tier 2 capital, which is why Total capital exceeds CET1 capital every year. Its own Annual Report 2025 regulatory capital note states Tier 2 Capital of GBP18,939k at 31 December 2025 and GBP18,500k at 31 December 2024.)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2026-09-15). The Pillar 3 row above is deliberately blank for FY2025 because no FY2025 Pillar 3 disclosure has been published (see the source note). The Annual Report 2025 regulatory capital note (p.126) does not print CET1 net of deductions either, but it does print every component of it: Core Tier 1 subtotal GBP109,790k less Deductions from CET1 GBP(17,609)k = GBP92,181k, which plus Tier 2 GBP18,939k gives the GBP111,120k Total regulatory capital the note states. The same subtraction on that note's 2024 column yields GBP108,583k = the GBP108.6m FY2024 Pillar 3 CET1 figure carried above, exactly - so the arithmetic is validated against a known year. It is shown as a separate, clearly labelled memo row rather than merged into the Pillar 3 series: this is a subtotal completed from disclosed components of a single table, NOT a figure back-solved from a ratio, but it is still not the Bank's own published Pillar 3 number.</t>
        </is>
      </c>
    </row>
    <row r="8" ht="260" customHeight="1">
      <c r="A8"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8:G8"/>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ratio</t>
        </is>
      </c>
      <c r="B4" s="6" t="n"/>
      <c r="C4" s="6" t="inlineStr">
        <is>
          <t>17.1%</t>
        </is>
      </c>
      <c r="D4" s="6" t="inlineStr">
        <is>
          <t>16.8%</t>
        </is>
      </c>
      <c r="E4" s="6" t="inlineStr">
        <is>
          <t>17.4%</t>
        </is>
      </c>
      <c r="F4" s="6" t="inlineStr">
        <is>
          <t>18.1%</t>
        </is>
      </c>
      <c r="G4" s="6" t="inlineStr">
        <is>
          <t>37.3%</t>
        </is>
      </c>
    </row>
    <row r="5" ht="60" customHeight="1">
      <c r="A5" s="7" t="inlineStr">
        <is>
          <t>Note: No Additional Tier 1 instruments disclosed in any year, so Tier 1 capital equals CET1 capital throughout. (Correction, this pass: the earlier wording here also claimed no Tier 2 instruments. That was wrong - the Bank does hold Tier 2 capital, which is why Total capital exceeds CET1 capital every year. Its own Annual Report 2025 regulatory capital note states Tier 2 Capital of GBP18,939k at 31 December 2025 and GBP18,500k at 31 December 2024.)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7" ht="260" customHeight="1">
      <c r="A7"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t>
        </is>
      </c>
      <c r="B4" s="6" t="n">
        <v>111.1</v>
      </c>
      <c r="C4" s="6" t="n">
        <v>127.1</v>
      </c>
      <c r="D4" s="6" t="n">
        <v>126.7</v>
      </c>
      <c r="E4" s="6" t="n">
        <v>112.2</v>
      </c>
      <c r="F4" s="6" t="n">
        <v>103.5</v>
      </c>
      <c r="G4" s="6" t="n">
        <v>95.59999999999999</v>
      </c>
    </row>
    <row r="5" ht="60"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7" ht="260" customHeight="1">
      <c r="A7"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 ratio</t>
        </is>
      </c>
      <c r="B4" s="6" t="n"/>
      <c r="C4" s="6" t="inlineStr">
        <is>
          <t>20.0%</t>
        </is>
      </c>
      <c r="D4" s="6" t="inlineStr">
        <is>
          <t>19.6%</t>
        </is>
      </c>
      <c r="E4" s="6" t="inlineStr">
        <is>
          <t>18.9%</t>
        </is>
      </c>
      <c r="F4" s="6" t="inlineStr">
        <is>
          <t>19.8%</t>
        </is>
      </c>
      <c r="G4" s="6" t="inlineStr">
        <is>
          <t>37.3%</t>
        </is>
      </c>
    </row>
    <row r="5" ht="60"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7" ht="260" customHeight="1">
      <c r="A7"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risk-weighted exposure amount</t>
        </is>
      </c>
      <c r="B4" s="6" t="n"/>
      <c r="C4" s="6" t="n">
        <v>636.7</v>
      </c>
      <c r="D4" s="6" t="n">
        <v>644.8</v>
      </c>
      <c r="E4" s="6" t="n">
        <v>594.7</v>
      </c>
      <c r="F4" s="6" t="n">
        <v>523</v>
      </c>
      <c r="G4" s="6" t="n">
        <v>256.2</v>
      </c>
    </row>
    <row r="5" ht="60"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7" ht="260" customHeight="1">
      <c r="A7"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RWA Breakdown</t>
        </is>
      </c>
    </row>
    <row r="2">
      <c r="A2" s="2" t="inlineStr">
        <is>
          <t>Consolidated basis, £m. Pillar 1 credit risk RWA by exposure class + derived operational risk RWA.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FY2017 (£m)</t>
        </is>
      </c>
    </row>
    <row r="4">
      <c r="A4" s="5" t="inlineStr">
        <is>
          <t>Credit risk RWA, by exposure class (Standardised approach)</t>
        </is>
      </c>
      <c r="B4" s="6" t="n"/>
      <c r="C4" s="6" t="n"/>
      <c r="D4" s="6" t="n"/>
      <c r="E4" s="6" t="n"/>
      <c r="F4" s="6" t="n"/>
      <c r="G4" s="6" t="n"/>
    </row>
    <row r="5">
      <c r="A5" s="6" t="inlineStr">
        <is>
          <t>Cash and balances with banks</t>
        </is>
      </c>
      <c r="B5" s="6" t="n"/>
      <c r="C5" s="6" t="n">
        <v>4.8</v>
      </c>
      <c r="D5" s="6" t="n">
        <v>4.5</v>
      </c>
      <c r="E5" s="6" t="n">
        <v>3.5</v>
      </c>
      <c r="F5" s="6" t="n">
        <v>3.6</v>
      </c>
      <c r="G5" s="6" t="n"/>
    </row>
    <row r="6">
      <c r="A6" s="6" t="inlineStr">
        <is>
          <t>Financing and advances at amortised cost</t>
        </is>
      </c>
      <c r="B6" s="6" t="n"/>
      <c r="C6" s="6" t="n">
        <v>498.8</v>
      </c>
      <c r="D6" s="6" t="n">
        <v>499.3</v>
      </c>
      <c r="E6" s="6" t="n">
        <v>446.7</v>
      </c>
      <c r="F6" s="6" t="n">
        <v>356.3</v>
      </c>
      <c r="G6" s="6" t="n"/>
    </row>
    <row r="7">
      <c r="A7" s="6" t="inlineStr">
        <is>
          <t>Financial assets held at fair value through the income statement</t>
        </is>
      </c>
      <c r="B7" s="6" t="n"/>
      <c r="C7" s="6" t="n">
        <v>10.9</v>
      </c>
      <c r="D7" s="6" t="n">
        <v>27.4</v>
      </c>
      <c r="E7" s="6" t="n">
        <v>25.6</v>
      </c>
      <c r="F7" s="6" t="n">
        <v>55.7</v>
      </c>
      <c r="G7" s="6" t="n"/>
    </row>
    <row r="8">
      <c r="A8" s="6" t="inlineStr">
        <is>
          <t>Financial assets at fair value through other comprehensive income</t>
        </is>
      </c>
      <c r="B8" s="6" t="n"/>
      <c r="C8" s="6" t="n">
        <v>0</v>
      </c>
      <c r="D8" s="6" t="n">
        <v>0</v>
      </c>
      <c r="E8" s="6" t="n">
        <v>0</v>
      </c>
      <c r="F8" s="6" t="n">
        <v>0</v>
      </c>
      <c r="G8" s="6" t="n"/>
    </row>
    <row r="9">
      <c r="A9" s="6" t="inlineStr">
        <is>
          <t>Derivative financial instruments</t>
        </is>
      </c>
      <c r="B9" s="6" t="n"/>
      <c r="C9" s="6" t="n">
        <v>6.2</v>
      </c>
      <c r="D9" s="6" t="n">
        <v>6.6</v>
      </c>
      <c r="E9" s="6" t="n">
        <v>6.8</v>
      </c>
      <c r="F9" s="6" t="n">
        <v>0.5</v>
      </c>
      <c r="G9" s="6" t="n"/>
    </row>
    <row r="10">
      <c r="A10" s="6" t="inlineStr">
        <is>
          <t>Investment in subsidiaries</t>
        </is>
      </c>
      <c r="B10" s="6" t="n"/>
      <c r="C10" s="6" t="n">
        <v>29.3</v>
      </c>
      <c r="D10" s="6" t="n">
        <v>29.2</v>
      </c>
      <c r="E10" s="6" t="n">
        <v>26.4</v>
      </c>
      <c r="F10" s="6" t="n">
        <v>6.5</v>
      </c>
      <c r="G10" s="6" t="n"/>
    </row>
    <row r="11">
      <c r="A11" s="6" t="inlineStr">
        <is>
          <t>Investment in associates</t>
        </is>
      </c>
      <c r="B11" s="6" t="n"/>
      <c r="C11" s="6" t="n"/>
      <c r="D11" s="6" t="n"/>
      <c r="E11" s="6" t="n"/>
      <c r="F11" s="6" t="n">
        <v>28.3</v>
      </c>
      <c r="G11" s="6" t="n"/>
    </row>
    <row r="12">
      <c r="A12" s="6" t="inlineStr">
        <is>
          <t>Other assets</t>
        </is>
      </c>
      <c r="B12" s="6" t="n"/>
      <c r="C12" s="6" t="n">
        <v>7.6</v>
      </c>
      <c r="D12" s="6" t="n">
        <v>4.3</v>
      </c>
      <c r="E12" s="6" t="n">
        <v>4.4</v>
      </c>
      <c r="F12" s="6" t="n">
        <v>3.9</v>
      </c>
      <c r="G12" s="6" t="n"/>
    </row>
    <row r="13">
      <c r="A13" s="6" t="inlineStr">
        <is>
          <t>Off balance sheet assets</t>
        </is>
      </c>
      <c r="B13" s="6" t="n"/>
      <c r="C13" s="6" t="n">
        <v>6.3</v>
      </c>
      <c r="D13" s="6" t="n">
        <v>3.8</v>
      </c>
      <c r="E13" s="6" t="n">
        <v>12.9</v>
      </c>
      <c r="F13" s="6" t="n">
        <v>8.199999999999999</v>
      </c>
      <c r="G13" s="6" t="n"/>
    </row>
    <row r="14">
      <c r="A14" s="5" t="inlineStr">
        <is>
          <t>Credit risk RWA, total</t>
        </is>
      </c>
      <c r="B14" s="5" t="n"/>
      <c r="C14" s="5" t="n">
        <v>563.9</v>
      </c>
      <c r="D14" s="5" t="n">
        <v>575.1</v>
      </c>
      <c r="E14" s="5" t="n">
        <v>526.3</v>
      </c>
      <c r="F14" s="5" t="n">
        <v>463</v>
      </c>
      <c r="G14" s="5" t="n"/>
    </row>
    <row r="15">
      <c r="A15" s="6" t="inlineStr">
        <is>
          <t>Operational risk RWA (derived: disclosed Pillar 1 capital requirement ÷ 8%)</t>
        </is>
      </c>
      <c r="B15" s="6" t="n"/>
      <c r="C15" s="6" t="n">
        <v>52.5</v>
      </c>
      <c r="D15" s="6" t="n">
        <v>60</v>
      </c>
      <c r="E15" s="6" t="n">
        <v>47.5</v>
      </c>
      <c r="F15" s="6" t="n">
        <v>35</v>
      </c>
      <c r="G15" s="6" t="n"/>
    </row>
    <row r="16">
      <c r="A16" s="6" t="inlineStr">
        <is>
          <t>Market risk, CVA and other Pillar 1 RWA (residual — Total RWA less disclosed Credit Risk and derived Operational Risk RWA)</t>
        </is>
      </c>
      <c r="B16" s="6" t="n"/>
      <c r="C16" s="6" t="n">
        <v>20.3</v>
      </c>
      <c r="D16" s="6" t="n">
        <v>9.699999999999999</v>
      </c>
      <c r="E16" s="6" t="n">
        <v>20.9</v>
      </c>
      <c r="F16" s="6" t="n">
        <v>25</v>
      </c>
      <c r="G16" s="6" t="n"/>
    </row>
    <row r="17">
      <c r="A17" s="5" t="inlineStr">
        <is>
          <t>Total RWAs</t>
        </is>
      </c>
      <c r="B17" s="5" t="n"/>
      <c r="C17" s="5" t="n">
        <v>636.7</v>
      </c>
      <c r="D17" s="5" t="n">
        <v>644.8</v>
      </c>
      <c r="E17" s="5" t="n">
        <v>594.7</v>
      </c>
      <c r="F17" s="5" t="n">
        <v>523</v>
      </c>
      <c r="G17" s="5" t="n"/>
    </row>
    <row r="19" ht="380" customHeight="1">
      <c r="A19" s="8" t="inlineStr">
        <is>
          <t>Sources - Gatehouse Bank Plc Pillar 3 disclosures:
Credit risk RWA by exposure class - 'The table below breaks out the Bank's Pillar 1 capital requirements for credit risk' table (an image-only table, visually transcribed):
FY2024: Pillar III Disclosure 2024, p.14 - https://assets.gatehousebank.com/production/downloads/Gatehouse-Bank-Pillar-III-Disclosure-2024-FINAL.pdf
FY2023: Pillar III Disclosure 2023, p.14 - https://assets.gatehousebank.com/production/downloads/Gatehouse-Bank-Pillar-III-Disclosure-2023-FINAL.pdf
FY2022: Pillar III Disclosure 2022, p.15 - https://gatehousebank.com/downloads/gatehouse-bank-pillar-3-disclosure-2022
FY2021: Pillar III Disclosure 2021, p.14 - https://assets.gatehousebank.com/production/downloads/Gatehouse-Bank-Pillar-III-Disclosure-2021-FINAL_2022-08-23-154942_nofu.pdf
Operational risk RWA is NOT disclosed directly - each year's Pillar 3 document states only the Bank's 'Pillar 1 capital requirements to meet operational risks' in £m (FY2024: 4.2, FY2023: 4.8, FY2022: 3.8, FY2021: 2.8, from the same 4 documents' s.9 Operational Risk sections) - derived to RWA here by dividing by the Pillar 1 minimum ratio of 8%, per the same documents' own stated methodology. The Market risk/CVA/other residual row is NOT independently disclosed anywhere - it is the arithmetic gap between the disclosed Total RWA (from the Total RWAs metric sheet's own Article 447 Key Metrics source) and the sum of disclosed Credit Risk RWA plus derived Operational Risk RWA, shown explicitly rather than silently absorbed, since the Bank's own Pillar 3 narrative states it has 'no material exposure to market risk.' FY2025 blank - Pillar 3 disclosures not yet published as at build date (same gap as the other Pillar 3 sheets in this workbook).
FY2025 RE-CHECKED 2026-09-15 AND STILL GENUINELY UNPUBLISHED, not a sourcing gap: the Bank's own publications index (https://gatehousebank.com/about-us/corporate-governance) was fetched live on that date and lists Pillar III editions for 2017, 2018, 2019, 2020, 2021, 2022, 2023 and 2024 - and no 2025. Gatehouse's pattern is to publish the Pillar 3 well AFTER the Annual Report (the 2024 edition's asset-server timestamp is August 2025, five months behind the 2024 Annual Report), so the FY2025 column is expected to fill on a later pass rather than to require a different search. The 2018, 2019 and 2020 editions listed on that index are outside this workbook's year columns (FY2025-FY2021 plus FY2017) and were not transcribed; the 2018 edition was read to check whether it carried a FY2017 RWA comparative for this sheet, and it does not - its exposure/RWA tables are 31 December 2018 only.
FY2017 BLANK - EXPLAINED, NOT UNCHECKED (2026-09-15): the Pillar III Disclosure 2017 was located and read this session, and it did populate the FY2017 column of every other regulatory metric sheet in this workbook (https://assets.gatehousebank.com/production/downloads/gatehousebankpillariiidisclosure2017.pdf). It cannot populate THIS sheet because it contains no credit-risk-RWA-by-exposure-class table at all. What it does give is only a whole-Bank split: Total RWA GBP256.2m against a Pillar 1 capital requirement of GBP20.5m (s.6, p.12; 20.5/0.08 = 256.25, consistent), operational risk capital of GBP5.8m (s.9, p.24, implying c.GBP72.5m of operational risk RWA on the 8% basis this sheet already uses) and a nil Pillar 1 market risk charge (s.8, p.22). Appendix II (p.27) does break exposures down by class - sovereigns GBP13.0m, regional govt/MDB/PSE GBP13.9m, institutions GBP59.2m, secured by immovable property GBP82.0m, other GBP109.1m - but those are LEVERAGE EXPOSURE amounts, not risk-weighted amounts, and must not be entered in an RWA sheet. So FY2017 is a genuine absence of this particular breakdown in an otherwise complete disclosure, and is left blank rather than assembled from mismatched measures.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19:G1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Leverage ratio excluding claims on central banks</t>
        </is>
      </c>
      <c r="B4" s="6" t="n"/>
      <c r="C4" s="6" t="inlineStr">
        <is>
          <t>7.4%</t>
        </is>
      </c>
      <c r="D4" s="6" t="inlineStr">
        <is>
          <t>7.3%</t>
        </is>
      </c>
      <c r="E4" s="6" t="inlineStr">
        <is>
          <t>7.5%</t>
        </is>
      </c>
      <c r="F4" s="6" t="inlineStr">
        <is>
          <t>9.2%</t>
        </is>
      </c>
      <c r="G4" s="6" t="inlineStr">
        <is>
          <t>37.8%</t>
        </is>
      </c>
    </row>
    <row r="5">
      <c r="A5" s="6" t="inlineStr">
        <is>
          <t>Total leverage ratio exposure (£m)</t>
        </is>
      </c>
      <c r="B5" s="6" t="n"/>
      <c r="C5" s="6" t="n"/>
      <c r="D5" s="6" t="n"/>
      <c r="E5" s="6" t="n"/>
      <c r="F5" s="6" t="n"/>
      <c r="G5" s="6" t="n">
        <v>253.3</v>
      </c>
    </row>
    <row r="6" ht="60" customHeight="1">
      <c r="A6"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8" ht="260" customHeight="1">
      <c r="A8"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8:G8"/>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Liquidity coverage ratio</t>
        </is>
      </c>
      <c r="B4" s="6" t="n"/>
      <c r="C4" s="6" t="inlineStr">
        <is>
          <t>447.6%</t>
        </is>
      </c>
      <c r="D4" s="6" t="inlineStr">
        <is>
          <t>691.6%</t>
        </is>
      </c>
      <c r="E4" s="6" t="inlineStr">
        <is>
          <t>350.7%</t>
        </is>
      </c>
      <c r="F4" s="6" t="inlineStr">
        <is>
          <t>365.4%</t>
        </is>
      </c>
      <c r="G4" s="6" t="inlineStr">
        <is>
          <t>641.3%</t>
        </is>
      </c>
    </row>
    <row r="5">
      <c r="A5" s="6" t="inlineStr">
        <is>
          <t>Liquidity buffer (£m)</t>
        </is>
      </c>
      <c r="B5" s="6" t="n"/>
      <c r="C5" s="6" t="n"/>
      <c r="D5" s="6" t="n"/>
      <c r="E5" s="6" t="n"/>
      <c r="F5" s="6" t="n"/>
      <c r="G5" s="6" t="n">
        <v>25.4</v>
      </c>
    </row>
    <row r="6">
      <c r="A6" s="6" t="inlineStr">
        <is>
          <t>Total net cash outflows (£m)</t>
        </is>
      </c>
      <c r="B6" s="6" t="n"/>
      <c r="C6" s="6" t="n"/>
      <c r="D6" s="6" t="n"/>
      <c r="E6" s="6" t="n"/>
      <c r="F6" s="6" t="n"/>
      <c r="G6" s="6" t="n">
        <v>4</v>
      </c>
    </row>
    <row r="7" ht="60" customHeight="1">
      <c r="A7"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9" ht="260" customHeight="1">
      <c r="A9"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Net Stable Funding Ratio</t>
        </is>
      </c>
      <c r="B4" s="6" t="n"/>
      <c r="C4" s="6" t="inlineStr">
        <is>
          <t>153.5%</t>
        </is>
      </c>
      <c r="D4" s="6" t="inlineStr">
        <is>
          <t>151.1%</t>
        </is>
      </c>
      <c r="E4" s="6" t="inlineStr">
        <is>
          <t>150.6%</t>
        </is>
      </c>
      <c r="F4" s="6" t="n"/>
      <c r="G4" s="6" t="n"/>
    </row>
    <row r="5" ht="60" customHeight="1">
      <c r="A5" s="7" t="inlineStr">
        <is>
          <t>Note: Not disclosed for FY2021 - the Article 447 Key Metrics NSFR rows first appear from the FY2022 Pillar 3 disclosure onward. CONFIRMED 2026-09-15 by reading the FY2022 edition directly: its NSFR section prints 150.6% at 31 December 2022 and a four-quarter table for 2022 alone (Q4 150.6%, Q3 144.0%, Q2 144.5%, Q1 137.6%, average 144.2%) with NO 2021 comparative column anywhere - so there is no back-route to FY2021 through the later edition, and the blank is structural rather than unsourced. FY2017 likewise predates the UK NSFR regime entirely (the PRA's NSFR requirement and its disclosure template took effect 1 January 2022 under PS17/21 and PS22/21), so the FY2017 blank here is structural, not a sourcing gap - the 2017 Pillar 3 disclosure, which supplied every other FY2017 metric in this workbook, contains no NSFR because none was required.</t>
        </is>
      </c>
    </row>
    <row r="7" ht="260" customHeight="1">
      <c r="A7"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Not publicly disclosed any year, no exemption stated - consistent with a small deposit taker below MREL-setting thresholds.</t>
        </is>
      </c>
    </row>
    <row r="7" ht="150" customHeight="1">
      <c r="A7" s="8" t="inlineStr">
        <is>
          <t>Sources - Gatehouse Bank Plc Pillar 3 disclosures, Article 447 Key Metrics table, p.n/a: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2026-09-15T16:50:30Z</dcterms:created>
  <dcterms:modified xmlns:dcterms="http://purl.org/dc/terms/" xmlns:xsi="http://www.w3.org/2001/XMLSchema-instance" xsi:type="dcterms:W3CDTF">2026-09-15T16:50:30Z</dcterms:modified>
</cp:coreProperties>
</file>