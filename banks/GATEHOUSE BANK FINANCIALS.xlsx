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a:prstDash val="solid"/>
            </a:ln>
          </spPr>
          <cat>
            <numRef>
              <f>'Overview'!$T$12:$Y$12</f>
            </numRef>
          </cat>
          <val>
            <numRef>
              <f>'Overview'!$T$13:$Y$13</f>
            </numRef>
          </val>
        </ser>
        <ser>
          <idx val="1"/>
          <order val="1"/>
          <tx>
            <strRef>
              <f>'Overview'!S14</f>
            </strRef>
          </tx>
          <spPr>
            <a:ln>
              <a:prstDash val="solid"/>
            </a:ln>
          </spPr>
          <cat>
            <numRef>
              <f>'Overview'!$T$12:$Y$12</f>
            </numRef>
          </cat>
          <val>
            <numRef>
              <f>'Overview'!$T$14:$Y$14</f>
            </numRef>
          </val>
        </ser>
        <ser>
          <idx val="2"/>
          <order val="2"/>
          <tx>
            <strRef>
              <f>'Overview'!S15</f>
            </strRef>
          </tx>
          <spPr>
            <a:l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a:prstDash val="solid"/>
            </a:ln>
          </spPr>
          <cat>
            <numRef>
              <f>'Overview'!$AC$18:$AH$18</f>
            </numRef>
          </cat>
          <val>
            <numRef>
              <f>'Overview'!$AC$19:$AH$19</f>
            </numRef>
          </val>
        </ser>
        <ser>
          <idx val="1"/>
          <order val="1"/>
          <tx>
            <strRef>
              <f>'Overview'!AB20</f>
            </strRef>
          </tx>
          <spPr>
            <a:ln>
              <a:prstDash val="solid"/>
            </a:ln>
          </spPr>
          <cat>
            <numRef>
              <f>'Overview'!$AC$18:$AH$18</f>
            </numRef>
          </cat>
          <val>
            <numRef>
              <f>'Overview'!$AC$20:$AH$20</f>
            </numRef>
          </val>
        </ser>
        <ser>
          <idx val="2"/>
          <order val="2"/>
          <tx>
            <strRef>
              <f>'Overview'!AB21</f>
            </strRef>
          </tx>
          <spPr>
            <a:ln>
              <a:prstDash val="solid"/>
            </a:ln>
          </spPr>
          <cat>
            <numRef>
              <f>'Overview'!$AC$18:$AH$18</f>
            </numRef>
          </cat>
          <val>
            <numRef>
              <f>'Overview'!$AC$21:$AH$21</f>
            </numRef>
          </val>
        </ser>
        <ser>
          <idx val="3"/>
          <order val="3"/>
          <tx>
            <strRef>
              <f>'Overview'!AB22</f>
            </strRef>
          </tx>
          <spPr>
            <a:l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a:prstDash val="solid"/>
            </a:ln>
          </spPr>
          <cat>
            <numRef>
              <f>'Overview'!$AL$25:$AQ$25</f>
            </numRef>
          </cat>
          <val>
            <numRef>
              <f>'Overview'!$AL$26:$AQ$26</f>
            </numRef>
          </val>
        </ser>
        <ser>
          <idx val="1"/>
          <order val="1"/>
          <tx>
            <strRef>
              <f>'Overview'!AK27</f>
            </strRef>
          </tx>
          <spPr>
            <a:ln>
              <a:prstDash val="solid"/>
            </a:ln>
          </spPr>
          <cat>
            <numRef>
              <f>'Overview'!$AL$25:$AQ$25</f>
            </numRef>
          </cat>
          <val>
            <numRef>
              <f>'Overview'!$AL$27:$AQ$27</f>
            </numRef>
          </val>
        </ser>
        <ser>
          <idx val="2"/>
          <order val="2"/>
          <tx>
            <strRef>
              <f>'Overview'!AK28</f>
            </strRef>
          </tx>
          <spPr>
            <a:ln>
              <a:prstDash val="solid"/>
            </a:ln>
          </spPr>
          <cat>
            <numRef>
              <f>'Overview'!$AL$25:$AQ$25</f>
            </numRef>
          </cat>
          <val>
            <numRef>
              <f>'Overview'!$AL$28:$AQ$28</f>
            </numRef>
          </val>
        </ser>
        <ser>
          <idx val="3"/>
          <order val="3"/>
          <tx>
            <strRef>
              <f>'Overview'!AK29</f>
            </strRef>
          </tx>
          <spPr>
            <a:l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a:prstDash val="solid"/>
            </a:ln>
          </spPr>
          <marker>
            <symbol val="none"/>
            <spPr>
              <a:ln>
                <a:prstDash val="solid"/>
              </a:ln>
            </spPr>
          </marker>
          <cat>
            <numRef>
              <f>'Overview'!$AU$5:$AZ$5</f>
            </numRef>
          </cat>
          <val>
            <numRef>
              <f>'Overview'!$AU$6:$AZ$6</f>
            </numRef>
          </val>
          <smooth val="0"/>
        </ser>
        <ser>
          <idx val="1"/>
          <order val="1"/>
          <tx>
            <strRef>
              <f>'Overview'!AT7</f>
            </strRef>
          </tx>
          <spPr>
            <a:ln>
              <a:prstDash val="solid"/>
            </a:ln>
          </spPr>
          <marker>
            <symbol val="none"/>
            <spPr>
              <a:ln>
                <a:prstDash val="solid"/>
              </a:ln>
            </spPr>
          </marker>
          <cat>
            <numRef>
              <f>'Overview'!$AU$5:$AZ$5</f>
            </numRef>
          </cat>
          <val>
            <numRef>
              <f>'Overview'!$AU$7:$AZ$7</f>
            </numRef>
          </val>
          <smooth val="0"/>
        </ser>
        <ser>
          <idx val="2"/>
          <order val="2"/>
          <tx>
            <strRef>
              <f>'Overview'!AT8</f>
            </strRef>
          </tx>
          <spPr>
            <a:ln>
              <a:prstDash val="solid"/>
            </a:ln>
          </spPr>
          <marker>
            <symbol val="none"/>
            <spPr>
              <a:ln>
                <a:prstDash val="solid"/>
              </a:ln>
            </spPr>
          </marker>
          <cat>
            <numRef>
              <f>'Overview'!$AU$5:$AZ$5</f>
            </numRef>
          </cat>
          <val>
            <numRef>
              <f>'Overview'!$AU$8:$AZ$8</f>
            </numRef>
          </val>
          <smooth val="0"/>
        </ser>
        <ser>
          <idx val="3"/>
          <order val="3"/>
          <tx>
            <strRef>
              <f>'Overview'!AT9</f>
            </strRef>
          </tx>
          <spPr>
            <a:ln>
              <a:prstDash val="solid"/>
            </a:ln>
          </spPr>
          <marker>
            <symbol val="none"/>
            <spPr>
              <a:ln>
                <a:prstDash val="solid"/>
              </a:ln>
            </spPr>
          </marker>
          <cat>
            <numRef>
              <f>'Overview'!$AU$5:$AZ$5</f>
            </numRef>
          </cat>
          <val>
            <numRef>
              <f>'Overview'!$AU$9:$AZ$9</f>
            </numRef>
          </val>
          <smooth val="0"/>
        </ser>
        <ser>
          <idx val="4"/>
          <order val="4"/>
          <tx>
            <strRef>
              <f>'Overview'!AT10</f>
            </strRef>
          </tx>
          <spPr>
            <a:ln>
              <a:prstDash val="solid"/>
            </a:ln>
          </spPr>
          <marker>
            <symbol val="none"/>
            <spPr>
              <a:l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63</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107</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129</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n"/>
    </row>
    <row r="34">
      <c r="A34" s="6" t="inlineStr">
        <is>
          <t>Total Capital Ratio</t>
        </is>
      </c>
      <c r="B34" s="6" t="n"/>
      <c r="C34" s="6" t="inlineStr">
        <is>
          <t>20.0%</t>
        </is>
      </c>
      <c r="D34" s="6" t="inlineStr">
        <is>
          <t>19.6%</t>
        </is>
      </c>
      <c r="E34" s="6" t="inlineStr">
        <is>
          <t>18.9%</t>
        </is>
      </c>
      <c r="F34" s="6" t="inlineStr">
        <is>
          <t>19.8%</t>
        </is>
      </c>
      <c r="G34" s="6" t="n"/>
    </row>
    <row r="35">
      <c r="A35" s="6" t="inlineStr">
        <is>
          <t>Leverage Ratio</t>
        </is>
      </c>
      <c r="B35" s="6" t="n"/>
      <c r="C35" s="6" t="inlineStr">
        <is>
          <t>7.4%</t>
        </is>
      </c>
      <c r="D35" s="6" t="inlineStr">
        <is>
          <t>7.3%</t>
        </is>
      </c>
      <c r="E35" s="6" t="inlineStr">
        <is>
          <t>7.5%</t>
        </is>
      </c>
      <c r="F35" s="6" t="inlineStr">
        <is>
          <t>9.2%</t>
        </is>
      </c>
      <c r="G35" s="6" t="n"/>
    </row>
    <row r="36">
      <c r="A36" s="6" t="inlineStr">
        <is>
          <t>LCR</t>
        </is>
      </c>
      <c r="B36" s="6" t="n"/>
      <c r="C36" s="6" t="inlineStr">
        <is>
          <t>447.6%</t>
        </is>
      </c>
      <c r="D36" s="6" t="inlineStr">
        <is>
          <t>691.6%</t>
        </is>
      </c>
      <c r="E36" s="6" t="inlineStr">
        <is>
          <t>350.7%</t>
        </is>
      </c>
      <c r="F36" s="6" t="inlineStr">
        <is>
          <t>365.4%</t>
        </is>
      </c>
      <c r="G36" s="6" t="n"/>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with banks</t>
        </is>
      </c>
      <c r="B5" s="6" t="n">
        <v>24599</v>
      </c>
      <c r="C5" s="6" t="n">
        <v>27823</v>
      </c>
      <c r="D5" s="6" t="n">
        <v>24596</v>
      </c>
      <c r="E5" s="6" t="n">
        <v>22845</v>
      </c>
      <c r="F5" s="6" t="n">
        <v>41598</v>
      </c>
      <c r="G5" s="6" t="n">
        <v>11900</v>
      </c>
    </row>
    <row r="6">
      <c r="A6" s="6" t="inlineStr">
        <is>
          <t>Financing and advances at amortised cost</t>
        </is>
      </c>
      <c r="B6" s="6" t="n">
        <v>1264559</v>
      </c>
      <c r="C6" s="6" t="n">
        <v>1315936</v>
      </c>
      <c r="D6" s="6" t="n">
        <v>1357803</v>
      </c>
      <c r="E6" s="6" t="n">
        <v>1227896</v>
      </c>
      <c r="F6" s="6" t="n">
        <v>901111</v>
      </c>
      <c r="G6" s="6" t="n">
        <v>85903</v>
      </c>
    </row>
    <row r="7">
      <c r="A7" s="6" t="inlineStr">
        <is>
          <t>Derivative financial instruments (asset)</t>
        </is>
      </c>
      <c r="B7" s="6" t="n">
        <v>2348</v>
      </c>
      <c r="C7" s="6" t="n">
        <v>11337</v>
      </c>
      <c r="D7" s="6" t="n">
        <v>33032</v>
      </c>
      <c r="E7" s="6" t="n">
        <v>34138</v>
      </c>
      <c r="F7" s="6" t="n">
        <v>2619</v>
      </c>
      <c r="G7" s="6" t="n">
        <v>0</v>
      </c>
    </row>
    <row r="8">
      <c r="A8" s="6" t="inlineStr">
        <is>
          <t>Fair value of hedged assets in portfolio hedges of interest rate risk</t>
        </is>
      </c>
      <c r="B8" s="6" t="n">
        <v>2377</v>
      </c>
      <c r="C8" s="6" t="n">
        <v>-371</v>
      </c>
      <c r="D8" s="6" t="n"/>
      <c r="E8" s="6" t="n"/>
      <c r="F8" s="6" t="n"/>
      <c r="G8" s="6" t="n"/>
    </row>
    <row r="9">
      <c r="A9" s="6" t="inlineStr">
        <is>
          <t>Financial assets held at FVTOCI</t>
        </is>
      </c>
      <c r="B9" s="6" t="n">
        <v>38098</v>
      </c>
      <c r="C9" s="6" t="n">
        <v>28282</v>
      </c>
      <c r="D9" s="6" t="n">
        <v>19512</v>
      </c>
      <c r="E9" s="6" t="n">
        <v>19351</v>
      </c>
      <c r="F9" s="6" t="n">
        <v>22951</v>
      </c>
      <c r="G9" s="6" t="n">
        <v>72095</v>
      </c>
    </row>
    <row r="10">
      <c r="A10" s="6" t="inlineStr">
        <is>
          <t>Financial assets held at FVTIS</t>
        </is>
      </c>
      <c r="B10" s="6" t="n">
        <v>2827</v>
      </c>
      <c r="C10" s="6" t="n">
        <v>8228</v>
      </c>
      <c r="D10" s="6" t="n">
        <v>18278</v>
      </c>
      <c r="E10" s="6" t="n">
        <v>17061</v>
      </c>
      <c r="F10" s="6" t="n">
        <v>26366</v>
      </c>
      <c r="G10" s="6" t="n">
        <v>0</v>
      </c>
    </row>
    <row r="11">
      <c r="A11" s="6" t="inlineStr">
        <is>
          <t>Investment in associate</t>
        </is>
      </c>
      <c r="B11" s="6" t="n"/>
      <c r="C11" s="6" t="n"/>
      <c r="D11" s="6" t="n"/>
      <c r="E11" s="6" t="n"/>
      <c r="F11" s="6" t="n">
        <v>14298</v>
      </c>
      <c r="G11" s="6" t="n">
        <v>15379</v>
      </c>
    </row>
    <row r="12">
      <c r="A12" s="6" t="inlineStr">
        <is>
          <t>Goodwill</t>
        </is>
      </c>
      <c r="B12" s="6" t="n"/>
      <c r="C12" s="6" t="n"/>
      <c r="D12" s="6" t="n">
        <v>4242</v>
      </c>
      <c r="E12" s="6" t="n">
        <v>4242</v>
      </c>
      <c r="F12" s="6" t="n">
        <v>4242</v>
      </c>
      <c r="G12" s="6" t="n"/>
    </row>
    <row r="13">
      <c r="A13" s="6" t="inlineStr">
        <is>
          <t>Intangible assets</t>
        </is>
      </c>
      <c r="B13" s="6" t="n">
        <v>2849</v>
      </c>
      <c r="C13" s="6" t="n">
        <v>6644</v>
      </c>
      <c r="D13" s="6" t="n">
        <v>1879</v>
      </c>
      <c r="E13" s="6" t="n">
        <v>1812</v>
      </c>
      <c r="F13" s="6" t="n">
        <v>1389</v>
      </c>
      <c r="G13" s="6" t="n">
        <v>339</v>
      </c>
    </row>
    <row r="14">
      <c r="A14" s="6" t="inlineStr">
        <is>
          <t>Property, plant and equipment and right-of-use assets</t>
        </is>
      </c>
      <c r="B14" s="6" t="n">
        <v>1126</v>
      </c>
      <c r="C14" s="6" t="n">
        <v>945</v>
      </c>
      <c r="D14" s="6" t="n">
        <v>1155</v>
      </c>
      <c r="E14" s="6" t="n">
        <v>1486</v>
      </c>
      <c r="F14" s="6" t="n">
        <v>1714</v>
      </c>
      <c r="G14" s="6" t="n">
        <v>13031</v>
      </c>
    </row>
    <row r="15">
      <c r="A15" s="6" t="inlineStr">
        <is>
          <t>Assets in disposal groups classified as held for sale</t>
        </is>
      </c>
      <c r="B15" s="6" t="n">
        <v>13551</v>
      </c>
      <c r="C15" s="6" t="n"/>
      <c r="D15" s="6" t="n"/>
      <c r="E15" s="6" t="n"/>
      <c r="F15" s="6" t="n"/>
      <c r="G15" s="6" t="n"/>
    </row>
    <row r="16">
      <c r="A16" s="6" t="inlineStr">
        <is>
          <t>Property held for sale</t>
        </is>
      </c>
      <c r="B16" s="6" t="n"/>
      <c r="C16" s="6" t="n"/>
      <c r="D16" s="6" t="n"/>
      <c r="E16" s="6" t="n"/>
      <c r="F16" s="6" t="n">
        <v>4537</v>
      </c>
      <c r="G16" s="6" t="n"/>
    </row>
    <row r="17">
      <c r="A17" s="6" t="inlineStr">
        <is>
          <t>Other assets</t>
        </is>
      </c>
      <c r="B17" s="6" t="n">
        <v>36503</v>
      </c>
      <c r="C17" s="6" t="n">
        <v>8857</v>
      </c>
      <c r="D17" s="6" t="n">
        <v>4016</v>
      </c>
      <c r="E17" s="6" t="n">
        <v>2571</v>
      </c>
      <c r="F17" s="6" t="n">
        <v>5533</v>
      </c>
      <c r="G17" s="6" t="n">
        <v>4627</v>
      </c>
    </row>
    <row r="18">
      <c r="A18" s="6" t="inlineStr">
        <is>
          <t>Deferred tax assets</t>
        </is>
      </c>
      <c r="B18" s="6" t="n">
        <v>9374</v>
      </c>
      <c r="C18" s="6" t="n">
        <v>7427</v>
      </c>
      <c r="D18" s="6" t="n">
        <v>5260</v>
      </c>
      <c r="E18" s="6" t="n">
        <v>4525</v>
      </c>
      <c r="F18" s="6" t="n"/>
      <c r="G18" s="6" t="n"/>
    </row>
    <row r="19">
      <c r="A19" s="5" t="inlineStr">
        <is>
          <t>Total assets</t>
        </is>
      </c>
      <c r="B19" s="5" t="n">
        <v>1398211</v>
      </c>
      <c r="C19" s="5" t="n">
        <v>1415108</v>
      </c>
      <c r="D19" s="5" t="n">
        <v>1469773</v>
      </c>
      <c r="E19" s="5" t="n">
        <v>1335927</v>
      </c>
      <c r="F19" s="5" t="n">
        <v>1026358</v>
      </c>
      <c r="G19" s="5" t="n">
        <v>280526</v>
      </c>
    </row>
    <row r="20">
      <c r="A20" s="5" t="inlineStr">
        <is>
          <t>Liabilities</t>
        </is>
      </c>
      <c r="B20" s="6" t="n"/>
      <c r="C20" s="6" t="n"/>
      <c r="D20" s="6" t="n"/>
      <c r="E20" s="6" t="n"/>
      <c r="F20" s="6" t="n"/>
      <c r="G20" s="6" t="n"/>
    </row>
    <row r="21">
      <c r="A21" s="6" t="inlineStr">
        <is>
          <t>Financial liabilities measured at amortised cost</t>
        </is>
      </c>
      <c r="B21" s="6" t="n">
        <v>1287404</v>
      </c>
      <c r="C21" s="6" t="n">
        <v>1288977</v>
      </c>
      <c r="D21" s="6" t="n">
        <v>1316609</v>
      </c>
      <c r="E21" s="6" t="n">
        <v>1168586</v>
      </c>
      <c r="F21" s="6" t="n">
        <v>895637</v>
      </c>
      <c r="G21" s="6" t="n">
        <v>150077</v>
      </c>
    </row>
    <row r="22">
      <c r="A22" s="6" t="inlineStr">
        <is>
          <t>Financial liabilities held at FVTIS</t>
        </is>
      </c>
      <c r="B22" s="6" t="n"/>
      <c r="C22" s="6" t="n"/>
      <c r="D22" s="6" t="n"/>
      <c r="E22" s="6" t="n"/>
      <c r="F22" s="6" t="n">
        <v>1340</v>
      </c>
      <c r="G22" s="6" t="n"/>
    </row>
    <row r="23">
      <c r="A23" s="6" t="inlineStr">
        <is>
          <t>Derivative financial instruments (liability)</t>
        </is>
      </c>
      <c r="B23" s="6" t="n">
        <v>2736</v>
      </c>
      <c r="C23" s="6" t="n">
        <v>11110</v>
      </c>
      <c r="D23" s="6" t="n">
        <v>44010</v>
      </c>
      <c r="E23" s="6" t="n">
        <v>61224</v>
      </c>
      <c r="F23" s="6" t="n">
        <v>5033</v>
      </c>
      <c r="G23" s="6" t="n"/>
    </row>
    <row r="24">
      <c r="A24" s="6" t="inlineStr">
        <is>
          <t>Other liabilities</t>
        </is>
      </c>
      <c r="B24" s="6" t="n">
        <v>7562</v>
      </c>
      <c r="C24" s="6" t="n">
        <v>8649</v>
      </c>
      <c r="D24" s="6" t="n">
        <v>6926</v>
      </c>
      <c r="E24" s="6" t="n">
        <v>7333</v>
      </c>
      <c r="F24" s="6" t="n">
        <v>11696</v>
      </c>
      <c r="G24" s="6" t="n">
        <v>2481</v>
      </c>
    </row>
    <row r="25">
      <c r="A25" s="6" t="inlineStr">
        <is>
          <t>Liabilities directly associated with assets in disposal groups classified as held for sale</t>
        </is>
      </c>
      <c r="B25" s="6" t="n">
        <v>4743</v>
      </c>
      <c r="C25" s="6" t="n"/>
      <c r="D25" s="6" t="n"/>
      <c r="E25" s="6" t="n"/>
      <c r="F25" s="6" t="n"/>
      <c r="G25" s="6" t="n"/>
    </row>
    <row r="26">
      <c r="A26" s="5" t="inlineStr">
        <is>
          <t>Total liabilities</t>
        </is>
      </c>
      <c r="B26" s="5" t="n">
        <v>1302445</v>
      </c>
      <c r="C26" s="5" t="n">
        <v>1308736</v>
      </c>
      <c r="D26" s="5" t="n">
        <v>1367545</v>
      </c>
      <c r="E26" s="5" t="n">
        <v>1237143</v>
      </c>
      <c r="F26" s="5" t="n">
        <v>913706</v>
      </c>
      <c r="G26" s="5" t="n">
        <v>153065</v>
      </c>
    </row>
    <row r="27">
      <c r="A27" s="5" t="inlineStr">
        <is>
          <t>Equity</t>
        </is>
      </c>
      <c r="B27" s="6" t="n"/>
      <c r="C27" s="6" t="n"/>
      <c r="D27" s="6" t="n"/>
      <c r="E27" s="6" t="n"/>
      <c r="F27" s="6" t="n"/>
      <c r="G27" s="6" t="n"/>
    </row>
    <row r="28">
      <c r="A28" s="6" t="inlineStr">
        <is>
          <t>Share capital</t>
        </is>
      </c>
      <c r="B28" s="6" t="n">
        <v>150049</v>
      </c>
      <c r="C28" s="6" t="n">
        <v>150049</v>
      </c>
      <c r="D28" s="6" t="n">
        <v>150049</v>
      </c>
      <c r="E28" s="6" t="n">
        <v>150049</v>
      </c>
      <c r="F28" s="6" t="n">
        <v>150049</v>
      </c>
      <c r="G28" s="6" t="n">
        <v>150049</v>
      </c>
    </row>
    <row r="29">
      <c r="A29" s="6" t="inlineStr">
        <is>
          <t>Fair value through other comprehensive income reserve</t>
        </is>
      </c>
      <c r="B29" s="6" t="n">
        <v>-3616</v>
      </c>
      <c r="C29" s="6" t="n">
        <v>-4377</v>
      </c>
      <c r="D29" s="6" t="n">
        <v>-4721</v>
      </c>
      <c r="E29" s="6" t="n">
        <v>-5275</v>
      </c>
      <c r="F29" s="6" t="n">
        <v>-3848</v>
      </c>
      <c r="G29" s="6" t="n">
        <v>-394</v>
      </c>
    </row>
    <row r="30">
      <c r="A30" s="6" t="inlineStr">
        <is>
          <t>Foreign currency translation reserve</t>
        </is>
      </c>
      <c r="B30" s="6" t="n"/>
      <c r="C30" s="6" t="n"/>
      <c r="D30" s="6" t="n"/>
      <c r="E30" s="6" t="n"/>
      <c r="F30" s="6" t="n">
        <v>1792</v>
      </c>
      <c r="G30" s="6" t="n">
        <v>1571</v>
      </c>
    </row>
    <row r="31">
      <c r="A31" s="6" t="inlineStr">
        <is>
          <t>Reserve as a result of subsidiary acquisition</t>
        </is>
      </c>
      <c r="B31" s="6" t="n">
        <v>-15917</v>
      </c>
      <c r="C31" s="6" t="n">
        <v>-15917</v>
      </c>
      <c r="D31" s="6" t="n">
        <v>-15917</v>
      </c>
      <c r="E31" s="6" t="n">
        <v>-15917</v>
      </c>
      <c r="F31" s="6" t="n"/>
      <c r="G31" s="6" t="n"/>
    </row>
    <row r="32">
      <c r="A32" s="6" t="inlineStr">
        <is>
          <t>Retained earnings/(deficit)</t>
        </is>
      </c>
      <c r="B32" s="6" t="n">
        <v>-34750</v>
      </c>
      <c r="C32" s="6" t="n">
        <v>-23383</v>
      </c>
      <c r="D32" s="6" t="n">
        <v>-27183</v>
      </c>
      <c r="E32" s="6" t="n">
        <v>-30073</v>
      </c>
      <c r="F32" s="6" t="n">
        <v>-36644</v>
      </c>
      <c r="G32" s="6" t="n">
        <v>-23764</v>
      </c>
    </row>
    <row r="33">
      <c r="A33" s="5" t="inlineStr">
        <is>
          <t>Equity attributable to owners of the company</t>
        </is>
      </c>
      <c r="B33" s="5" t="n">
        <v>95766</v>
      </c>
      <c r="C33" s="5" t="n">
        <v>106372</v>
      </c>
      <c r="D33" s="5" t="n">
        <v>102228</v>
      </c>
      <c r="E33" s="5" t="n">
        <v>98784</v>
      </c>
      <c r="F33" s="5" t="n">
        <v>111349</v>
      </c>
      <c r="G33" s="5" t="n">
        <v>127462</v>
      </c>
    </row>
    <row r="34">
      <c r="A34" s="6" t="inlineStr">
        <is>
          <t>Non-controlling interest</t>
        </is>
      </c>
      <c r="B34" s="6" t="n"/>
      <c r="C34" s="6" t="n"/>
      <c r="D34" s="6" t="n">
        <v>0</v>
      </c>
      <c r="E34" s="6" t="n">
        <v>0</v>
      </c>
      <c r="F34" s="6" t="n">
        <v>1303</v>
      </c>
      <c r="G34" s="6" t="n"/>
    </row>
    <row r="35">
      <c r="A35" s="5" t="inlineStr">
        <is>
          <t>Total equity</t>
        </is>
      </c>
      <c r="B35" s="5" t="n">
        <v>95766</v>
      </c>
      <c r="C35" s="5" t="n">
        <v>106372</v>
      </c>
      <c r="D35" s="5" t="n">
        <v>102228</v>
      </c>
      <c r="E35" s="5" t="n">
        <v>98784</v>
      </c>
      <c r="F35" s="5" t="n">
        <v>112652</v>
      </c>
      <c r="G35" s="5" t="n">
        <v>127462</v>
      </c>
    </row>
    <row r="36">
      <c r="A36" s="5" t="inlineStr">
        <is>
          <t>Total equity and liabilities</t>
        </is>
      </c>
      <c r="B36" s="5" t="n">
        <v>1398211</v>
      </c>
      <c r="C36" s="5" t="n">
        <v>1415108</v>
      </c>
      <c r="D36" s="5" t="n">
        <v>1469773</v>
      </c>
      <c r="E36" s="5" t="n">
        <v>1335927</v>
      </c>
      <c r="F36" s="5" t="n">
        <v>1026358</v>
      </c>
      <c r="G36" s="5" t="n">
        <v>280526</v>
      </c>
    </row>
    <row r="37"/>
    <row r="38" ht="380" customHeight="1">
      <c r="A38"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c r="G10" s="6" t="n"/>
    </row>
    <row r="11">
      <c r="A11" s="6" t="inlineStr">
        <is>
          <t>Net gains from financial assets at FVTOCI</t>
        </is>
      </c>
      <c r="B11" s="6" t="n">
        <v>885</v>
      </c>
      <c r="C11" s="6" t="n">
        <v>344</v>
      </c>
      <c r="D11" s="6" t="n">
        <v>197</v>
      </c>
      <c r="E11" s="6" t="n">
        <v>376</v>
      </c>
      <c r="F11" s="6" t="n">
        <v>335</v>
      </c>
      <c r="G11" s="6" t="n"/>
    </row>
    <row r="12">
      <c r="A12" s="6" t="inlineStr">
        <is>
          <t>Other income/(loss)</t>
        </is>
      </c>
      <c r="B12" s="6" t="n"/>
      <c r="C12" s="6" t="n"/>
      <c r="D12" s="6" t="n">
        <v>-231</v>
      </c>
      <c r="E12" s="6" t="n">
        <v>335</v>
      </c>
      <c r="F12" s="6" t="n">
        <v>2178</v>
      </c>
      <c r="G12" s="6" t="n"/>
    </row>
    <row r="13">
      <c r="A13" s="6" t="inlineStr">
        <is>
          <t>(Loss)/gain on property held for sale</t>
        </is>
      </c>
      <c r="B13" s="6" t="n"/>
      <c r="C13" s="6" t="n"/>
      <c r="D13" s="6" t="n"/>
      <c r="E13" s="6" t="n"/>
      <c r="F13" s="6" t="n">
        <v>-472</v>
      </c>
      <c r="G13" s="6" t="n"/>
    </row>
    <row r="14">
      <c r="A14" s="6" t="inlineStr">
        <is>
          <t>Gain on investment properties</t>
        </is>
      </c>
      <c r="B14" s="6" t="n"/>
      <c r="C14" s="6" t="n"/>
      <c r="D14" s="6" t="n"/>
      <c r="E14" s="6" t="n"/>
      <c r="F14" s="6" t="n">
        <v>1412</v>
      </c>
      <c r="G14" s="6" t="n"/>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5" t="n">
        <v>10762</v>
      </c>
    </row>
    <row r="17">
      <c r="A17" s="5" t="inlineStr">
        <is>
          <t>Expenses</t>
        </is>
      </c>
      <c r="B17" s="6" t="n"/>
      <c r="C17" s="6" t="n"/>
      <c r="D17" s="6" t="n"/>
      <c r="E17" s="6" t="n"/>
      <c r="F17" s="6" t="n"/>
      <c r="G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5" t="n">
        <v>-11381</v>
      </c>
    </row>
    <row r="22">
      <c r="A22" s="5" t="inlineStr">
        <is>
          <t>Operating profit/(loss)</t>
        </is>
      </c>
      <c r="B22" s="5" t="n">
        <v>-15238</v>
      </c>
      <c r="C22" s="5" t="n">
        <v>-3414</v>
      </c>
      <c r="D22" s="5" t="n">
        <v>3153</v>
      </c>
      <c r="E22" s="5" t="n">
        <v>2555</v>
      </c>
      <c r="F22" s="5" t="n">
        <v>2713</v>
      </c>
      <c r="G22" s="5"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5"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5" t="n">
        <v>-351</v>
      </c>
    </row>
    <row r="27">
      <c r="A27" s="6" t="inlineStr">
        <is>
          <t>Profit for the year from discontinued operations</t>
        </is>
      </c>
      <c r="B27" s="6" t="n">
        <v>1924</v>
      </c>
      <c r="C27" s="6" t="n">
        <v>5047</v>
      </c>
      <c r="D27" s="6" t="n">
        <v>0</v>
      </c>
      <c r="E27" s="6" t="n">
        <v>1640</v>
      </c>
      <c r="F27" s="6" t="n"/>
      <c r="G27" s="6" t="n"/>
    </row>
    <row r="28">
      <c r="A28" s="5" t="inlineStr">
        <is>
          <t>(Loss)/profit for the year</t>
        </is>
      </c>
      <c r="B28" s="5" t="n">
        <v>-11367</v>
      </c>
      <c r="C28" s="5" t="n">
        <v>3800</v>
      </c>
      <c r="D28" s="5" t="n">
        <v>3157</v>
      </c>
      <c r="E28" s="5" t="n">
        <v>8128</v>
      </c>
      <c r="F28" s="5" t="n">
        <v>3464</v>
      </c>
      <c r="G28" s="5" t="n"/>
    </row>
    <row r="29">
      <c r="A29" s="5" t="inlineStr">
        <is>
          <t>Other comprehensive income</t>
        </is>
      </c>
      <c r="B29" s="6" t="n"/>
      <c r="C29" s="6" t="n"/>
      <c r="D29" s="6" t="n"/>
      <c r="E29" s="6" t="n"/>
      <c r="F29" s="6" t="n"/>
      <c r="G29" s="6" t="n"/>
    </row>
    <row r="30">
      <c r="A30" s="6" t="inlineStr">
        <is>
          <t>Net gain/(loss) on FVTOCI investments</t>
        </is>
      </c>
      <c r="B30" s="6" t="n">
        <v>761</v>
      </c>
      <c r="C30" s="6" t="n">
        <v>344</v>
      </c>
      <c r="D30" s="6" t="n">
        <v>554</v>
      </c>
      <c r="E30" s="6" t="n">
        <v>-1539</v>
      </c>
      <c r="F30" s="6" t="n">
        <v>-382</v>
      </c>
      <c r="G30" s="6" t="n"/>
    </row>
    <row r="31">
      <c r="A31" s="6" t="inlineStr">
        <is>
          <t>Foreign currency translation gains/(losses) from investment in associate (discontinued operation)</t>
        </is>
      </c>
      <c r="B31" s="6" t="n"/>
      <c r="C31" s="6" t="n"/>
      <c r="D31" s="6" t="n"/>
      <c r="E31" s="6" t="n">
        <v>-1792</v>
      </c>
      <c r="F31" s="6" t="n">
        <v>244</v>
      </c>
      <c r="G31" s="6" t="n"/>
    </row>
    <row r="32">
      <c r="A32" s="5" t="inlineStr">
        <is>
          <t>Other comprehensive income/(loss) for the year</t>
        </is>
      </c>
      <c r="B32" s="5" t="n">
        <v>761</v>
      </c>
      <c r="C32" s="5" t="n">
        <v>344</v>
      </c>
      <c r="D32" s="5" t="n">
        <v>554</v>
      </c>
      <c r="E32" s="5" t="n">
        <v>-3331</v>
      </c>
      <c r="F32" s="5" t="n">
        <v>-138</v>
      </c>
      <c r="G32" s="5" t="n">
        <v>-1032</v>
      </c>
    </row>
    <row r="33">
      <c r="A33" s="5" t="inlineStr">
        <is>
          <t>Total comprehensive (loss)/income for the year</t>
        </is>
      </c>
      <c r="B33" s="5" t="n">
        <v>-10606</v>
      </c>
      <c r="C33" s="5" t="n">
        <v>4144</v>
      </c>
      <c r="D33" s="5" t="n">
        <v>3711</v>
      </c>
      <c r="E33" s="5" t="n">
        <v>4797</v>
      </c>
      <c r="F33" s="5" t="n">
        <v>3326</v>
      </c>
      <c r="G33" s="5" t="n">
        <v>-1383</v>
      </c>
    </row>
    <row r="34"/>
    <row r="35" ht="380" customHeight="1">
      <c r="A35"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activities</t>
        </is>
      </c>
      <c r="B4" s="6" t="n"/>
      <c r="C4" s="6" t="n"/>
      <c r="D4" s="6" t="n"/>
      <c r="E4" s="6" t="n"/>
      <c r="F4" s="6" t="n"/>
      <c r="G4" s="6" t="n"/>
    </row>
    <row r="5">
      <c r="A5" s="6" t="inlineStr">
        <is>
          <t>Profit/(loss) after tax from continuing operations</t>
        </is>
      </c>
      <c r="B5" s="6" t="n">
        <v>-13291</v>
      </c>
      <c r="C5" s="6" t="n">
        <v>-1248</v>
      </c>
      <c r="D5" s="6" t="n">
        <v>3157</v>
      </c>
      <c r="E5" s="6" t="n">
        <v>6488</v>
      </c>
      <c r="F5" s="6" t="n"/>
      <c r="G5" s="6" t="n"/>
    </row>
    <row r="6">
      <c r="A6" s="6" t="inlineStr">
        <is>
          <t>Profit after tax from discontinued operations</t>
        </is>
      </c>
      <c r="B6" s="6" t="n">
        <v>1924</v>
      </c>
      <c r="C6" s="6" t="n">
        <v>5048</v>
      </c>
      <c r="D6" s="6" t="n">
        <v>0</v>
      </c>
      <c r="E6" s="6" t="n">
        <v>1640</v>
      </c>
      <c r="F6" s="6" t="n"/>
      <c r="G6" s="6" t="n"/>
    </row>
    <row r="7">
      <c r="A7" s="6" t="inlineStr">
        <is>
          <t>Operating profit on ordinary activities after tax (combined, not split this year)</t>
        </is>
      </c>
      <c r="B7" s="6" t="n"/>
      <c r="C7" s="6" t="n"/>
      <c r="D7" s="6" t="n"/>
      <c r="E7" s="6" t="n"/>
      <c r="F7" s="6" t="n">
        <v>3464</v>
      </c>
      <c r="G7" s="6" t="n"/>
    </row>
    <row r="8">
      <c r="A8" s="5" t="inlineStr">
        <is>
          <t>Profit/(loss) after tax for the year</t>
        </is>
      </c>
      <c r="B8" s="5" t="n">
        <v>-11367</v>
      </c>
      <c r="C8" s="5" t="n">
        <v>3800</v>
      </c>
      <c r="D8" s="5" t="n">
        <v>3157</v>
      </c>
      <c r="E8" s="5" t="n">
        <v>8128</v>
      </c>
      <c r="F8" s="5" t="n">
        <v>3464</v>
      </c>
      <c r="G8" s="5" t="n"/>
    </row>
    <row r="9">
      <c r="A9" s="6" t="inlineStr">
        <is>
          <t>Depreciation and amortisation</t>
        </is>
      </c>
      <c r="B9" s="6" t="n">
        <v>1043</v>
      </c>
      <c r="C9" s="6" t="n">
        <v>930</v>
      </c>
      <c r="D9" s="6" t="n">
        <v>1302</v>
      </c>
      <c r="E9" s="6" t="n">
        <v>1319</v>
      </c>
      <c r="F9" s="6" t="n">
        <v>1222</v>
      </c>
      <c r="G9" s="6" t="n"/>
    </row>
    <row r="10">
      <c r="A10" s="6" t="inlineStr">
        <is>
          <t>Impairment charge/(release)</t>
        </is>
      </c>
      <c r="B10" s="6" t="n">
        <v>2725</v>
      </c>
      <c r="C10" s="6" t="n">
        <v>-192</v>
      </c>
      <c r="D10" s="6" t="n">
        <v>847</v>
      </c>
      <c r="E10" s="6" t="n">
        <v>5714</v>
      </c>
      <c r="F10" s="6" t="n">
        <v>806</v>
      </c>
      <c r="G10" s="6" t="n"/>
    </row>
    <row r="11">
      <c r="A11" s="6" t="inlineStr">
        <is>
          <t>(Negative)/positive revaluation of financial instruments held at FVTIS (unquoted investments)</t>
        </is>
      </c>
      <c r="B11" s="6" t="n">
        <v>207</v>
      </c>
      <c r="C11" s="6" t="n">
        <v>-1969</v>
      </c>
      <c r="D11" s="6" t="n">
        <v>-22</v>
      </c>
      <c r="E11" s="6" t="n">
        <v>-2904</v>
      </c>
      <c r="F11" s="6" t="n">
        <v>210</v>
      </c>
      <c r="G11" s="6" t="n"/>
    </row>
    <row r="12">
      <c r="A12" s="6" t="inlineStr">
        <is>
          <t>Positive revaluation on investment properties</t>
        </is>
      </c>
      <c r="B12" s="6" t="n"/>
      <c r="C12" s="6" t="n"/>
      <c r="D12" s="6" t="n"/>
      <c r="E12" s="6" t="n"/>
      <c r="F12" s="6" t="n">
        <v>-1412</v>
      </c>
      <c r="G12" s="6" t="n"/>
    </row>
    <row r="13">
      <c r="A13" s="6" t="inlineStr">
        <is>
          <t>Loss/(gain) on sale of property held for sale</t>
        </is>
      </c>
      <c r="B13" s="6" t="n"/>
      <c r="C13" s="6" t="n"/>
      <c r="D13" s="6" t="n"/>
      <c r="E13" s="6" t="n"/>
      <c r="F13" s="6" t="n">
        <v>472</v>
      </c>
      <c r="G13" s="6" t="n"/>
    </row>
    <row r="14">
      <c r="A14" s="6" t="inlineStr">
        <is>
          <t>Share in profit of associate</t>
        </is>
      </c>
      <c r="B14" s="6" t="n"/>
      <c r="C14" s="6" t="n"/>
      <c r="D14" s="6" t="n">
        <v>0</v>
      </c>
      <c r="E14" s="6" t="n">
        <v>-1640</v>
      </c>
      <c r="F14" s="6" t="n">
        <v>-904</v>
      </c>
      <c r="G14" s="6" t="n"/>
    </row>
    <row r="15">
      <c r="A15" s="6" t="inlineStr">
        <is>
          <t>Fair value movement in derivative financial instruments (non-cash adjustment)</t>
        </is>
      </c>
      <c r="B15" s="6" t="n">
        <v>1844</v>
      </c>
      <c r="C15" s="6" t="n">
        <v>341</v>
      </c>
      <c r="D15" s="6" t="n">
        <v>-1083</v>
      </c>
      <c r="E15" s="6" t="n">
        <v>-1634</v>
      </c>
      <c r="F15" s="6" t="n">
        <v>160</v>
      </c>
      <c r="G15" s="6" t="n"/>
    </row>
    <row r="16">
      <c r="A16" s="6" t="inlineStr">
        <is>
          <t>Foreign exchange (gains)/losses</t>
        </is>
      </c>
      <c r="B16" s="6" t="n">
        <v>-321</v>
      </c>
      <c r="C16" s="6" t="n">
        <v>-120</v>
      </c>
      <c r="D16" s="6" t="n">
        <v>145</v>
      </c>
      <c r="E16" s="6" t="n">
        <v>-264</v>
      </c>
      <c r="F16" s="6" t="n">
        <v>461</v>
      </c>
      <c r="G16" s="6" t="n"/>
    </row>
    <row r="17">
      <c r="A17" s="6" t="inlineStr">
        <is>
          <t>Taxation/income tax expense (non-cash adjustment)</t>
        </is>
      </c>
      <c r="B17" s="6" t="n">
        <v>-1947</v>
      </c>
      <c r="C17" s="6" t="n">
        <v>-2167</v>
      </c>
      <c r="D17" s="6" t="n">
        <v>-4</v>
      </c>
      <c r="E17" s="6" t="n">
        <v>-3933</v>
      </c>
      <c r="F17" s="6" t="n">
        <v>153</v>
      </c>
      <c r="G17" s="6" t="n"/>
    </row>
    <row r="18">
      <c r="A18" s="6" t="inlineStr">
        <is>
          <t>Adjustment for assets/liabilities held for sale</t>
        </is>
      </c>
      <c r="B18" s="6" t="n">
        <v>3134</v>
      </c>
      <c r="C18" s="6" t="n">
        <v>3148</v>
      </c>
      <c r="D18" s="6" t="n"/>
      <c r="E18" s="6" t="n"/>
      <c r="F18" s="6" t="n"/>
      <c r="G18" s="6" t="n"/>
    </row>
    <row r="19">
      <c r="A19" s="6" t="inlineStr">
        <is>
          <t>Net (increase)/decrease in other assets</t>
        </is>
      </c>
      <c r="B19" s="6" t="n">
        <v>-30867</v>
      </c>
      <c r="C19" s="6" t="n">
        <v>-964</v>
      </c>
      <c r="D19" s="6" t="n">
        <v>-1712</v>
      </c>
      <c r="E19" s="6" t="n">
        <v>3007</v>
      </c>
      <c r="F19" s="6" t="n">
        <v>-1816</v>
      </c>
      <c r="G19" s="6" t="n"/>
    </row>
    <row r="20">
      <c r="A20" s="6" t="inlineStr">
        <is>
          <t>Changes in financing and advances at amortised cost</t>
        </is>
      </c>
      <c r="B20" s="6" t="n">
        <v>52974</v>
      </c>
      <c r="C20" s="6" t="n">
        <v>36152</v>
      </c>
      <c r="D20" s="6" t="n">
        <v>-130754</v>
      </c>
      <c r="E20" s="6" t="n">
        <v>-332498</v>
      </c>
      <c r="F20" s="6" t="n">
        <v>-199760</v>
      </c>
      <c r="G20" s="6" t="n"/>
    </row>
    <row r="21">
      <c r="A21" s="6" t="inlineStr">
        <is>
          <t>Fair value movement in derivative financial instruments (operating assets)</t>
        </is>
      </c>
      <c r="B21" s="6" t="n">
        <v>-8196</v>
      </c>
      <c r="C21" s="6" t="n">
        <v>-4080</v>
      </c>
      <c r="D21" s="6" t="n">
        <v>-14824</v>
      </c>
      <c r="E21" s="6" t="n">
        <v>26558</v>
      </c>
      <c r="F21" s="6" t="n"/>
      <c r="G21" s="6" t="n"/>
    </row>
    <row r="22">
      <c r="A22" s="6" t="inlineStr">
        <is>
          <t>Net investment in financial assets held at FVTIS</t>
        </is>
      </c>
      <c r="B22" s="6" t="n"/>
      <c r="C22" s="6" t="n"/>
      <c r="D22" s="6" t="n"/>
      <c r="E22" s="6" t="n"/>
      <c r="F22" s="6" t="n">
        <v>8683</v>
      </c>
      <c r="G22" s="6" t="n"/>
    </row>
    <row r="23">
      <c r="A23" s="6" t="inlineStr">
        <is>
          <t>Net investment in financial assets held at FVTOCI</t>
        </is>
      </c>
      <c r="B23" s="6" t="n"/>
      <c r="C23" s="6" t="n"/>
      <c r="D23" s="6" t="n"/>
      <c r="E23" s="6" t="n"/>
      <c r="F23" s="6" t="n">
        <v>-286</v>
      </c>
      <c r="G23" s="6" t="n"/>
    </row>
    <row r="24">
      <c r="A24" s="6" t="inlineStr">
        <is>
          <t>Changes in assets and liabilities held for sale</t>
        </is>
      </c>
      <c r="B24" s="6" t="n">
        <v>-4183</v>
      </c>
      <c r="C24" s="6" t="n">
        <v>-3876</v>
      </c>
      <c r="D24" s="6" t="n"/>
      <c r="E24" s="6" t="n"/>
      <c r="F24" s="6" t="n"/>
      <c r="G24" s="6" t="n"/>
    </row>
    <row r="25">
      <c r="A25" s="6" t="inlineStr">
        <is>
          <t>Intercompany payable/receivable</t>
        </is>
      </c>
      <c r="B25" s="6" t="n">
        <v>51</v>
      </c>
      <c r="C25" s="6" t="n">
        <v>0</v>
      </c>
      <c r="D25" s="6" t="n"/>
      <c r="E25" s="6" t="n"/>
      <c r="F25" s="6" t="n"/>
      <c r="G25" s="6" t="n"/>
    </row>
    <row r="26">
      <c r="A26" s="6" t="inlineStr">
        <is>
          <t>Changes in financial liabilities measured at amortised cost</t>
        </is>
      </c>
      <c r="B26" s="6" t="n">
        <v>-2094</v>
      </c>
      <c r="C26" s="6" t="n">
        <v>-27632</v>
      </c>
      <c r="D26" s="6" t="n">
        <v>-148024</v>
      </c>
      <c r="E26" s="6" t="n">
        <v>263503</v>
      </c>
      <c r="F26" s="6" t="n">
        <v>196339</v>
      </c>
      <c r="G26" s="6" t="n"/>
    </row>
    <row r="27">
      <c r="A27" s="6" t="inlineStr">
        <is>
          <t>Net increase/(decrease) in other liabilities</t>
        </is>
      </c>
      <c r="B27" s="6" t="n">
        <v>2578</v>
      </c>
      <c r="C27" s="6" t="n">
        <v>-534</v>
      </c>
      <c r="D27" s="6" t="n">
        <v>156</v>
      </c>
      <c r="E27" s="6" t="n">
        <v>-3953</v>
      </c>
      <c r="F27" s="6" t="n">
        <v>4565</v>
      </c>
      <c r="G27" s="6" t="n"/>
    </row>
    <row r="28">
      <c r="A28" s="5" t="inlineStr">
        <is>
          <t>Cash generated from operations</t>
        </is>
      </c>
      <c r="B28" s="5" t="n">
        <v>5581</v>
      </c>
      <c r="C28" s="5" t="n">
        <v>2837</v>
      </c>
      <c r="D28" s="5" t="n"/>
      <c r="E28" s="5" t="n"/>
      <c r="F28" s="5" t="n"/>
      <c r="G28" s="5" t="n"/>
    </row>
    <row r="29">
      <c r="A29" s="6" t="inlineStr">
        <is>
          <t>Income tax paid (cash)</t>
        </is>
      </c>
      <c r="B29" s="6" t="n">
        <v>-1506</v>
      </c>
      <c r="C29" s="6" t="n">
        <v>-850</v>
      </c>
      <c r="D29" s="6" t="n">
        <v>-592</v>
      </c>
      <c r="E29" s="6" t="n">
        <v>-330</v>
      </c>
      <c r="F29" s="6" t="n"/>
      <c r="G29" s="6" t="n"/>
    </row>
    <row r="30">
      <c r="A30" s="5" t="inlineStr">
        <is>
          <t>Net cash flow from/(used in) operating activities</t>
        </is>
      </c>
      <c r="B30" s="5" t="n">
        <v>4075</v>
      </c>
      <c r="C30" s="5" t="n">
        <v>1987</v>
      </c>
      <c r="D30" s="5" t="n">
        <v>4640</v>
      </c>
      <c r="E30" s="5" t="n">
        <v>-38927</v>
      </c>
      <c r="F30" s="5" t="n">
        <v>12357</v>
      </c>
      <c r="G30" s="5" t="n">
        <v>30046</v>
      </c>
    </row>
    <row r="31">
      <c r="A31" s="5" t="inlineStr">
        <is>
          <t>Investing activities</t>
        </is>
      </c>
      <c r="B31" s="6" t="n"/>
      <c r="C31" s="6" t="n"/>
      <c r="D31" s="6" t="n"/>
      <c r="E31" s="6" t="n"/>
      <c r="F31" s="6" t="n"/>
      <c r="G31" s="6" t="n"/>
    </row>
    <row r="32">
      <c r="A32" s="6" t="inlineStr">
        <is>
          <t>Acquisitions of property, plant and equipment</t>
        </is>
      </c>
      <c r="B32" s="6" t="n">
        <v>-278</v>
      </c>
      <c r="C32" s="6" t="n">
        <v>-150</v>
      </c>
      <c r="D32" s="6" t="n">
        <v>-416</v>
      </c>
      <c r="E32" s="6" t="n">
        <v>-637</v>
      </c>
      <c r="F32" s="6" t="n">
        <v>-632</v>
      </c>
      <c r="G32" s="6" t="n"/>
    </row>
    <row r="33">
      <c r="A33" s="6" t="inlineStr">
        <is>
          <t>Proceeds from sale of property, plant and equipment</t>
        </is>
      </c>
      <c r="B33" s="6" t="n">
        <v>57</v>
      </c>
      <c r="C33" s="6" t="n">
        <v>30</v>
      </c>
      <c r="D33" s="6" t="n"/>
      <c r="E33" s="6" t="n"/>
      <c r="F33" s="6" t="n"/>
      <c r="G33" s="6" t="n"/>
    </row>
    <row r="34">
      <c r="A34" s="6" t="inlineStr">
        <is>
          <t>Acquisition of intangible assets</t>
        </is>
      </c>
      <c r="B34" s="6" t="n">
        <v>-1535</v>
      </c>
      <c r="C34" s="6" t="n">
        <v>-1057</v>
      </c>
      <c r="D34" s="6" t="n">
        <v>-623</v>
      </c>
      <c r="E34" s="6" t="n">
        <v>-878</v>
      </c>
      <c r="F34" s="6" t="n">
        <v>-320</v>
      </c>
      <c r="G34" s="6" t="n"/>
    </row>
    <row r="35">
      <c r="A35" s="6" t="inlineStr">
        <is>
          <t>Purchases of financial assets held at FVOCI</t>
        </is>
      </c>
      <c r="B35" s="6" t="n">
        <v>-14050</v>
      </c>
      <c r="C35" s="6" t="n">
        <v>-15693</v>
      </c>
      <c r="D35" s="6" t="n"/>
      <c r="E35" s="6" t="n"/>
      <c r="F35" s="6" t="n">
        <v>-17000</v>
      </c>
      <c r="G35" s="6" t="n"/>
    </row>
    <row r="36">
      <c r="A36" s="6" t="inlineStr">
        <is>
          <t>Proceeds from sale of financial assets held at FVTOCI</t>
        </is>
      </c>
      <c r="B36" s="6" t="n">
        <v>5098</v>
      </c>
      <c r="C36" s="6" t="n">
        <v>7254</v>
      </c>
      <c r="D36" s="6" t="n">
        <v>0</v>
      </c>
      <c r="E36" s="6" t="n">
        <v>2061</v>
      </c>
      <c r="F36" s="6" t="n">
        <v>11617</v>
      </c>
      <c r="G36" s="6" t="n"/>
    </row>
    <row r="37">
      <c r="A37" s="6" t="inlineStr">
        <is>
          <t>Purchase of financial assets held at FVTIS (unquoted investments)</t>
        </is>
      </c>
      <c r="B37" s="6" t="n">
        <v>-143</v>
      </c>
      <c r="C37" s="6" t="n">
        <v>-1775</v>
      </c>
      <c r="D37" s="6" t="n">
        <v>-1195</v>
      </c>
      <c r="E37" s="6" t="n">
        <v>-600</v>
      </c>
      <c r="F37" s="6" t="n"/>
      <c r="G37" s="6" t="n"/>
    </row>
    <row r="38">
      <c r="A38" s="6" t="inlineStr">
        <is>
          <t>Held for sale investing activities</t>
        </is>
      </c>
      <c r="B38" s="6" t="n">
        <v>-647</v>
      </c>
      <c r="C38" s="6" t="n">
        <v>-1391</v>
      </c>
      <c r="D38" s="6" t="n"/>
      <c r="E38" s="6" t="n"/>
      <c r="F38" s="6" t="n"/>
      <c r="G38" s="6" t="n"/>
    </row>
    <row r="39">
      <c r="A39" s="6" t="inlineStr">
        <is>
          <t>Proceeds from sale of financial assets held at FVTIS (unquoted investments)</t>
        </is>
      </c>
      <c r="B39" s="6" t="n">
        <v>4394</v>
      </c>
      <c r="C39" s="6" t="n">
        <v>14735</v>
      </c>
      <c r="D39" s="6" t="n">
        <v>0</v>
      </c>
      <c r="E39" s="6" t="n">
        <v>11468</v>
      </c>
      <c r="F39" s="6" t="n">
        <v>23238</v>
      </c>
      <c r="G39" s="6" t="n"/>
    </row>
    <row r="40">
      <c r="A40" s="6" t="inlineStr">
        <is>
          <t>Cash flow received from discontinued operations</t>
        </is>
      </c>
      <c r="B40" s="6" t="n"/>
      <c r="C40" s="6" t="n"/>
      <c r="D40" s="6" t="n">
        <v>0</v>
      </c>
      <c r="E40" s="6" t="n">
        <v>14253</v>
      </c>
      <c r="F40" s="6" t="n"/>
      <c r="G40" s="6" t="n"/>
    </row>
    <row r="41">
      <c r="A41" s="6" t="inlineStr">
        <is>
          <t>Dividend received from associate</t>
        </is>
      </c>
      <c r="B41" s="6" t="n"/>
      <c r="C41" s="6" t="n"/>
      <c r="D41" s="6" t="n"/>
      <c r="E41" s="6" t="n"/>
      <c r="F41" s="6" t="n">
        <v>859</v>
      </c>
      <c r="G41" s="6" t="n"/>
    </row>
    <row r="42">
      <c r="A42" s="6" t="inlineStr">
        <is>
          <t>Investments in subsidiaries</t>
        </is>
      </c>
      <c r="B42" s="6" t="n"/>
      <c r="C42" s="6" t="n"/>
      <c r="D42" s="6" t="n"/>
      <c r="E42" s="6" t="n"/>
      <c r="F42" s="6" t="n">
        <v>-437</v>
      </c>
      <c r="G42" s="6" t="n"/>
    </row>
    <row r="43">
      <c r="A43" s="6" t="inlineStr">
        <is>
          <t>Net proceeds from disposal of property held for sale</t>
        </is>
      </c>
      <c r="B43" s="6" t="n"/>
      <c r="C43" s="6" t="n"/>
      <c r="D43" s="6" t="n">
        <v>0</v>
      </c>
      <c r="E43" s="6" t="n">
        <v>4537</v>
      </c>
      <c r="F43" s="6" t="n">
        <v>0</v>
      </c>
      <c r="G43" s="6" t="n"/>
    </row>
    <row r="44">
      <c r="A44" s="5" t="inlineStr">
        <is>
          <t>Net cash flow from/(used in) investing activities</t>
        </is>
      </c>
      <c r="B44" s="5" t="n">
        <v>-7104</v>
      </c>
      <c r="C44" s="5" t="n">
        <v>1953</v>
      </c>
      <c r="D44" s="5" t="n">
        <v>-2234</v>
      </c>
      <c r="E44" s="5" t="n">
        <v>30204</v>
      </c>
      <c r="F44" s="5" t="n">
        <v>17325</v>
      </c>
      <c r="G44" s="5" t="n">
        <v>10353</v>
      </c>
    </row>
    <row r="45">
      <c r="A45" s="5" t="inlineStr">
        <is>
          <t>Financing activities</t>
        </is>
      </c>
      <c r="B45" s="6" t="n"/>
      <c r="C45" s="6" t="n"/>
      <c r="D45" s="6" t="n"/>
      <c r="E45" s="6" t="n"/>
      <c r="F45" s="6" t="n"/>
      <c r="G45" s="6" t="n"/>
    </row>
    <row r="46">
      <c r="A46" s="6" t="inlineStr">
        <is>
          <t>Acquisition of subsidiaries</t>
        </is>
      </c>
      <c r="B46" s="6" t="n"/>
      <c r="C46" s="6" t="n"/>
      <c r="D46" s="6" t="n">
        <v>0</v>
      </c>
      <c r="E46" s="6" t="n">
        <v>-9218</v>
      </c>
      <c r="F46" s="6" t="n"/>
      <c r="G46" s="6" t="n"/>
    </row>
    <row r="47">
      <c r="A47" s="6" t="inlineStr">
        <is>
          <t>Cash outflow for lease liabilities</t>
        </is>
      </c>
      <c r="B47" s="6" t="n">
        <v>-267</v>
      </c>
      <c r="C47" s="6" t="n">
        <v>-401</v>
      </c>
      <c r="D47" s="6" t="n">
        <v>-701</v>
      </c>
      <c r="E47" s="6" t="n">
        <v>-672</v>
      </c>
      <c r="F47" s="6" t="n">
        <v>-724</v>
      </c>
      <c r="G47" s="6" t="n"/>
    </row>
    <row r="48">
      <c r="A48" s="6" t="inlineStr">
        <is>
          <t>Held for sale financing activities</t>
        </is>
      </c>
      <c r="B48" s="6" t="n">
        <v>-40</v>
      </c>
      <c r="C48" s="6" t="n">
        <v>-296</v>
      </c>
      <c r="D48" s="6" t="n"/>
      <c r="E48" s="6" t="n"/>
      <c r="F48" s="6" t="n"/>
      <c r="G48" s="6" t="n"/>
    </row>
    <row r="49">
      <c r="A49" s="5" t="inlineStr">
        <is>
          <t>Net cash flow from/(used in) financing activities</t>
        </is>
      </c>
      <c r="B49" s="5" t="n">
        <v>-307</v>
      </c>
      <c r="C49" s="5" t="n">
        <v>-697</v>
      </c>
      <c r="D49" s="5" t="n">
        <v>-701</v>
      </c>
      <c r="E49" s="5" t="n">
        <v>-9890</v>
      </c>
      <c r="F49" s="5" t="n">
        <v>-724</v>
      </c>
      <c r="G49" s="5" t="n">
        <v>-36904</v>
      </c>
    </row>
    <row r="50">
      <c r="A50" s="5" t="inlineStr">
        <is>
          <t>Net (decrease)/increase in cash and cash equivalents</t>
        </is>
      </c>
      <c r="B50" s="5" t="n">
        <v>-3336</v>
      </c>
      <c r="C50" s="5" t="n">
        <v>3243</v>
      </c>
      <c r="D50" s="5" t="n">
        <v>1705</v>
      </c>
      <c r="E50" s="5" t="n">
        <v>-18613</v>
      </c>
      <c r="F50" s="5" t="n">
        <v>28958</v>
      </c>
      <c r="G50" s="5"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c r="G52" s="6" t="n"/>
    </row>
    <row r="53">
      <c r="A53" s="5" t="inlineStr">
        <is>
          <t>Cash and cash equivalents at end of year</t>
        </is>
      </c>
      <c r="B53" s="5" t="n">
        <v>24599</v>
      </c>
      <c r="C53" s="5" t="n">
        <v>27823</v>
      </c>
      <c r="D53" s="5" t="n">
        <v>24596</v>
      </c>
      <c r="E53" s="5" t="n">
        <v>22845</v>
      </c>
      <c r="F53" s="5" t="n">
        <v>41598</v>
      </c>
      <c r="G53" s="5" t="n">
        <v>11900</v>
      </c>
    </row>
    <row r="54">
      <c r="A54" s="5" t="inlineStr">
        <is>
          <t>Additional information on operational cash flows from profit and dividends</t>
        </is>
      </c>
      <c r="B54" s="6" t="n"/>
      <c r="C54" s="6" t="n"/>
      <c r="D54" s="6" t="n"/>
      <c r="E54" s="6" t="n"/>
      <c r="F54" s="6" t="n"/>
      <c r="G54" s="6" t="n"/>
    </row>
    <row r="55">
      <c r="A55" s="6" t="inlineStr">
        <is>
          <t>Profit paid</t>
        </is>
      </c>
      <c r="B55" s="6" t="n">
        <v>48829</v>
      </c>
      <c r="C55" s="6" t="n">
        <v>53847</v>
      </c>
      <c r="D55" s="6" t="n">
        <v>23431</v>
      </c>
      <c r="E55" s="6" t="n">
        <v>14671</v>
      </c>
      <c r="F55" s="6" t="n"/>
      <c r="G55" s="6" t="n"/>
    </row>
    <row r="56">
      <c r="A56" s="6" t="inlineStr">
        <is>
          <t>Profit received</t>
        </is>
      </c>
      <c r="B56" s="6" t="n">
        <v>65797</v>
      </c>
      <c r="C56" s="6" t="n">
        <v>65387</v>
      </c>
      <c r="D56" s="6" t="n">
        <v>55817</v>
      </c>
      <c r="E56" s="6" t="n">
        <v>43043</v>
      </c>
      <c r="F56" s="6" t="n"/>
      <c r="G56" s="6" t="n"/>
    </row>
    <row r="57">
      <c r="A57" s="6" t="inlineStr">
        <is>
          <t>Dividend received</t>
        </is>
      </c>
      <c r="B57" s="6" t="n">
        <v>0</v>
      </c>
      <c r="C57" s="6" t="n">
        <v>659</v>
      </c>
      <c r="D57" s="6" t="n">
        <v>845</v>
      </c>
      <c r="E57" s="6" t="n">
        <v>844</v>
      </c>
      <c r="F57" s="6" t="n"/>
      <c r="G57" s="6" t="n"/>
    </row>
    <row r="58"/>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59:G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Gross carrying value, by IFRS 9 stage</t>
        </is>
      </c>
      <c r="B4" s="6" t="n"/>
      <c r="C4" s="6" t="n"/>
      <c r="D4" s="6" t="n"/>
      <c r="E4" s="6" t="n"/>
      <c r="F4" s="6" t="n"/>
      <c r="G4" s="6" t="n"/>
    </row>
    <row r="5">
      <c r="A5" s="6" t="inlineStr">
        <is>
          <t>Stage 1 (12m ECL)</t>
        </is>
      </c>
      <c r="B5" s="6" t="n">
        <v>1098978</v>
      </c>
      <c r="C5" s="6" t="n">
        <v>1155258</v>
      </c>
      <c r="D5" s="6" t="n">
        <v>1193879</v>
      </c>
      <c r="E5" s="6" t="n">
        <v>1113761</v>
      </c>
      <c r="F5" s="6" t="n">
        <v>812023</v>
      </c>
      <c r="G5" s="6" t="n"/>
    </row>
    <row r="6">
      <c r="A6" s="6" t="inlineStr">
        <is>
          <t>Stage 2 (lifetime ECL)</t>
        </is>
      </c>
      <c r="B6" s="6" t="n">
        <v>94477</v>
      </c>
      <c r="C6" s="6" t="n">
        <v>91462</v>
      </c>
      <c r="D6" s="6" t="n">
        <v>116499</v>
      </c>
      <c r="E6" s="6" t="n">
        <v>106426</v>
      </c>
      <c r="F6" s="6" t="n">
        <v>79034</v>
      </c>
      <c r="G6" s="6" t="n"/>
    </row>
    <row r="7">
      <c r="A7" s="6" t="inlineStr">
        <is>
          <t>Stage 3 (lifetime ECL)</t>
        </is>
      </c>
      <c r="B7" s="6" t="n">
        <v>83611</v>
      </c>
      <c r="C7" s="6" t="n">
        <v>79036</v>
      </c>
      <c r="D7" s="6" t="n">
        <v>57596</v>
      </c>
      <c r="E7" s="6" t="n">
        <v>17035</v>
      </c>
      <c r="F7" s="6" t="n">
        <v>13666</v>
      </c>
      <c r="G7" s="6" t="n"/>
    </row>
    <row r="8">
      <c r="A8" s="5" t="inlineStr">
        <is>
          <t>Total gross carrying value</t>
        </is>
      </c>
      <c r="B8" s="5" t="n">
        <v>1277066</v>
      </c>
      <c r="C8" s="5" t="n">
        <v>1325756</v>
      </c>
      <c r="D8" s="5" t="n">
        <v>1367974</v>
      </c>
      <c r="E8" s="5" t="n">
        <v>1237222</v>
      </c>
      <c r="F8" s="5" t="n">
        <v>904723</v>
      </c>
      <c r="G8" s="5" t="n"/>
    </row>
    <row r="9">
      <c r="A9" s="5" t="inlineStr">
        <is>
          <t>Loss allowance, by IFRS 9 stage</t>
        </is>
      </c>
      <c r="B9" s="6" t="n"/>
      <c r="C9" s="6" t="n"/>
      <c r="D9" s="6" t="n"/>
      <c r="E9" s="6" t="n"/>
      <c r="F9" s="6" t="n"/>
      <c r="G9" s="6" t="n"/>
    </row>
    <row r="10">
      <c r="A10" s="6" t="inlineStr">
        <is>
          <t>Stage 1 (12m ECL)</t>
        </is>
      </c>
      <c r="B10" s="6" t="n">
        <v>-1363</v>
      </c>
      <c r="C10" s="6" t="n">
        <v>-790</v>
      </c>
      <c r="D10" s="6" t="n">
        <v>-1379</v>
      </c>
      <c r="E10" s="6" t="n">
        <v>-3108</v>
      </c>
      <c r="F10" s="6" t="n">
        <v>-413</v>
      </c>
      <c r="G10" s="6" t="n"/>
    </row>
    <row r="11">
      <c r="A11" s="6" t="inlineStr">
        <is>
          <t>Stage 2 (lifetime ECL)</t>
        </is>
      </c>
      <c r="B11" s="6" t="n">
        <v>-512</v>
      </c>
      <c r="C11" s="6" t="n">
        <v>-497</v>
      </c>
      <c r="D11" s="6" t="n">
        <v>-1362</v>
      </c>
      <c r="E11" s="6" t="n">
        <v>-5586</v>
      </c>
      <c r="F11" s="6" t="n">
        <v>-2468</v>
      </c>
      <c r="G11" s="6" t="n"/>
    </row>
    <row r="12">
      <c r="A12" s="6" t="inlineStr">
        <is>
          <t>Stage 3 (lifetime ECL)</t>
        </is>
      </c>
      <c r="B12" s="6" t="n">
        <v>-10632</v>
      </c>
      <c r="C12" s="6" t="n">
        <v>-8533</v>
      </c>
      <c r="D12" s="6" t="n">
        <v>-7430</v>
      </c>
      <c r="E12" s="6" t="n">
        <v>-632</v>
      </c>
      <c r="F12" s="6" t="n">
        <v>-731</v>
      </c>
      <c r="G12" s="6" t="n"/>
    </row>
    <row r="13">
      <c r="A13" s="5" t="inlineStr">
        <is>
          <t>Total loss allowance</t>
        </is>
      </c>
      <c r="B13" s="5" t="n">
        <v>-12507</v>
      </c>
      <c r="C13" s="5" t="n">
        <v>-9820</v>
      </c>
      <c r="D13" s="5" t="n">
        <v>-10171</v>
      </c>
      <c r="E13" s="5" t="n">
        <v>-9326</v>
      </c>
      <c r="F13" s="5" t="n">
        <v>-3612</v>
      </c>
      <c r="G13" s="5" t="n"/>
    </row>
    <row r="14">
      <c r="A14" s="5" t="inlineStr">
        <is>
          <t>Carrying value under IFRS 9, by stage</t>
        </is>
      </c>
      <c r="B14" s="6" t="n"/>
      <c r="C14" s="6" t="n"/>
      <c r="D14" s="6" t="n"/>
      <c r="E14" s="6" t="n"/>
      <c r="F14" s="6" t="n"/>
      <c r="G14" s="6" t="n"/>
    </row>
    <row r="15">
      <c r="A15" s="6" t="inlineStr">
        <is>
          <t>Stage 1</t>
        </is>
      </c>
      <c r="B15" s="6" t="n">
        <v>1097615</v>
      </c>
      <c r="C15" s="6" t="n">
        <v>1154468</v>
      </c>
      <c r="D15" s="6" t="n">
        <v>1192500</v>
      </c>
      <c r="E15" s="6" t="n">
        <v>1110653</v>
      </c>
      <c r="F15" s="6" t="n">
        <v>811610</v>
      </c>
      <c r="G15" s="6" t="n"/>
    </row>
    <row r="16">
      <c r="A16" s="6" t="inlineStr">
        <is>
          <t>Stage 2</t>
        </is>
      </c>
      <c r="B16" s="6" t="n">
        <v>93965</v>
      </c>
      <c r="C16" s="6" t="n">
        <v>90965</v>
      </c>
      <c r="D16" s="6" t="n">
        <v>115137</v>
      </c>
      <c r="E16" s="6" t="n">
        <v>100840</v>
      </c>
      <c r="F16" s="6" t="n">
        <v>76566</v>
      </c>
      <c r="G16" s="6" t="n"/>
    </row>
    <row r="17">
      <c r="A17" s="6" t="inlineStr">
        <is>
          <t>Stage 3</t>
        </is>
      </c>
      <c r="B17" s="6" t="n">
        <v>72979</v>
      </c>
      <c r="C17" s="6" t="n">
        <v>70503</v>
      </c>
      <c r="D17" s="6" t="n">
        <v>50166</v>
      </c>
      <c r="E17" s="6" t="n">
        <v>16403</v>
      </c>
      <c r="F17" s="6" t="n">
        <v>12935</v>
      </c>
      <c r="G17" s="6" t="n"/>
    </row>
    <row r="18">
      <c r="A18" s="5" t="inlineStr">
        <is>
          <t>Total carrying value (Financing and advances at amortised cost)</t>
        </is>
      </c>
      <c r="B18" s="5" t="n">
        <v>1264559</v>
      </c>
      <c r="C18" s="5" t="n">
        <v>1315936</v>
      </c>
      <c r="D18" s="5" t="n">
        <v>1357803</v>
      </c>
      <c r="E18" s="5" t="n">
        <v>1227896</v>
      </c>
      <c r="F18" s="5" t="n">
        <v>901111</v>
      </c>
      <c r="G18" s="5" t="n"/>
    </row>
    <row r="19">
      <c r="A19" s="5" t="inlineStr">
        <is>
          <t>Derived ratios</t>
        </is>
      </c>
      <c r="B19" s="6" t="n"/>
      <c r="C19" s="6" t="n"/>
      <c r="D19" s="6" t="n"/>
      <c r="E19" s="6" t="n"/>
      <c r="F19" s="6" t="n"/>
      <c r="G19" s="6" t="n"/>
    </row>
    <row r="20">
      <c r="A20" s="6" t="inlineStr">
        <is>
          <t>Stage 3 / total gross carrying value (NPL ratio)</t>
        </is>
      </c>
      <c r="B20" s="6" t="inlineStr">
        <is>
          <t>6.55%</t>
        </is>
      </c>
      <c r="C20" s="6" t="inlineStr">
        <is>
          <t>5.96%</t>
        </is>
      </c>
      <c r="D20" s="6" t="inlineStr">
        <is>
          <t>4.21%</t>
        </is>
      </c>
      <c r="E20" s="6" t="inlineStr">
        <is>
          <t>1.38%</t>
        </is>
      </c>
      <c r="F20" s="6" t="inlineStr">
        <is>
          <t>1.51%</t>
        </is>
      </c>
      <c r="G20" s="6" t="n"/>
    </row>
    <row r="21">
      <c r="A21" s="6" t="inlineStr">
        <is>
          <t>Total loss allowance coverage (total allowance / total gross)</t>
        </is>
      </c>
      <c r="B21" s="6" t="inlineStr">
        <is>
          <t>0.98%</t>
        </is>
      </c>
      <c r="C21" s="6" t="inlineStr">
        <is>
          <t>0.74%</t>
        </is>
      </c>
      <c r="D21" s="6" t="inlineStr">
        <is>
          <t>0.74%</t>
        </is>
      </c>
      <c r="E21" s="6" t="inlineStr">
        <is>
          <t>0.75%</t>
        </is>
      </c>
      <c r="F21" s="6" t="inlineStr">
        <is>
          <t>0.40%</t>
        </is>
      </c>
      <c r="G21" s="6" t="n"/>
    </row>
    <row r="22">
      <c r="A22" s="6" t="inlineStr">
        <is>
          <t>Stage 3 coverage (Stage 3 loss allowance / Stage 3 gross)</t>
        </is>
      </c>
      <c r="B22" s="6" t="inlineStr">
        <is>
          <t>12.72%</t>
        </is>
      </c>
      <c r="C22" s="6" t="inlineStr">
        <is>
          <t>10.80%</t>
        </is>
      </c>
      <c r="D22" s="6" t="inlineStr">
        <is>
          <t>12.90%</t>
        </is>
      </c>
      <c r="E22" s="6" t="inlineStr">
        <is>
          <t>3.71%</t>
        </is>
      </c>
      <c r="F22" s="6" t="inlineStr">
        <is>
          <t>5.35%</t>
        </is>
      </c>
      <c r="G22" s="6" t="n"/>
    </row>
    <row r="24" ht="300" customHeight="1">
      <c r="A24" s="8"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17.1%</t>
        </is>
      </c>
      <c r="D4" s="6" t="inlineStr">
        <is>
          <t>16.8%</t>
        </is>
      </c>
      <c r="E4" s="6" t="inlineStr">
        <is>
          <t>17.4%</t>
        </is>
      </c>
      <c r="F4" s="6" t="inlineStr">
        <is>
          <t>18.1%</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17.1%</t>
        </is>
      </c>
      <c r="D4" s="6" t="inlineStr">
        <is>
          <t>16.8%</t>
        </is>
      </c>
      <c r="E4" s="6" t="inlineStr">
        <is>
          <t>17.4%</t>
        </is>
      </c>
      <c r="F4" s="6" t="inlineStr">
        <is>
          <t>18.1%</t>
        </is>
      </c>
      <c r="G4" s="6" t="n"/>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c r="C4" s="6" t="n">
        <v>127.1</v>
      </c>
      <c r="D4" s="6" t="n">
        <v>126.7</v>
      </c>
      <c r="E4" s="6" t="n">
        <v>112.2</v>
      </c>
      <c r="F4" s="6" t="n">
        <v>103.5</v>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20.0%</t>
        </is>
      </c>
      <c r="D4" s="6" t="inlineStr">
        <is>
          <t>19.6%</t>
        </is>
      </c>
      <c r="E4" s="6" t="inlineStr">
        <is>
          <t>18.9%</t>
        </is>
      </c>
      <c r="F4" s="6" t="inlineStr">
        <is>
          <t>19.8%</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636.7</v>
      </c>
      <c r="D4" s="6" t="n">
        <v>644.8</v>
      </c>
      <c r="E4" s="6" t="n">
        <v>594.7</v>
      </c>
      <c r="F4" s="6" t="n">
        <v>523</v>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FY2017 (£m)</t>
        </is>
      </c>
    </row>
    <row r="4">
      <c r="A4" s="5" t="inlineStr">
        <is>
          <t>Credit risk RWA, by exposure class (Standardised approach)</t>
        </is>
      </c>
      <c r="B4" s="6" t="n"/>
      <c r="C4" s="6" t="n"/>
      <c r="D4" s="6" t="n"/>
      <c r="E4" s="6" t="n"/>
      <c r="F4" s="6" t="n"/>
      <c r="G4" s="6" t="n"/>
    </row>
    <row r="5">
      <c r="A5" s="6" t="inlineStr">
        <is>
          <t>Cash and balances with banks</t>
        </is>
      </c>
      <c r="B5" s="6" t="n"/>
      <c r="C5" s="6" t="n">
        <v>4.8</v>
      </c>
      <c r="D5" s="6" t="n">
        <v>4.5</v>
      </c>
      <c r="E5" s="6" t="n">
        <v>3.5</v>
      </c>
      <c r="F5" s="6" t="n">
        <v>3.6</v>
      </c>
      <c r="G5" s="6" t="n"/>
    </row>
    <row r="6">
      <c r="A6" s="6" t="inlineStr">
        <is>
          <t>Financing and advances at amortised cost</t>
        </is>
      </c>
      <c r="B6" s="6" t="n"/>
      <c r="C6" s="6" t="n">
        <v>498.8</v>
      </c>
      <c r="D6" s="6" t="n">
        <v>499.3</v>
      </c>
      <c r="E6" s="6" t="n">
        <v>446.7</v>
      </c>
      <c r="F6" s="6" t="n">
        <v>356.3</v>
      </c>
      <c r="G6" s="6" t="n"/>
    </row>
    <row r="7">
      <c r="A7" s="6" t="inlineStr">
        <is>
          <t>Financial assets held at fair value through the income statement</t>
        </is>
      </c>
      <c r="B7" s="6" t="n"/>
      <c r="C7" s="6" t="n">
        <v>10.9</v>
      </c>
      <c r="D7" s="6" t="n">
        <v>27.4</v>
      </c>
      <c r="E7" s="6" t="n">
        <v>25.6</v>
      </c>
      <c r="F7" s="6" t="n">
        <v>55.7</v>
      </c>
      <c r="G7" s="6" t="n"/>
    </row>
    <row r="8">
      <c r="A8" s="6" t="inlineStr">
        <is>
          <t>Financial assets at fair value through other comprehensive income</t>
        </is>
      </c>
      <c r="B8" s="6" t="n"/>
      <c r="C8" s="6" t="n">
        <v>0</v>
      </c>
      <c r="D8" s="6" t="n">
        <v>0</v>
      </c>
      <c r="E8" s="6" t="n">
        <v>0</v>
      </c>
      <c r="F8" s="6" t="n">
        <v>0</v>
      </c>
      <c r="G8" s="6" t="n"/>
    </row>
    <row r="9">
      <c r="A9" s="6" t="inlineStr">
        <is>
          <t>Derivative financial instruments</t>
        </is>
      </c>
      <c r="B9" s="6" t="n"/>
      <c r="C9" s="6" t="n">
        <v>6.2</v>
      </c>
      <c r="D9" s="6" t="n">
        <v>6.6</v>
      </c>
      <c r="E9" s="6" t="n">
        <v>6.8</v>
      </c>
      <c r="F9" s="6" t="n">
        <v>0.5</v>
      </c>
      <c r="G9" s="6" t="n"/>
    </row>
    <row r="10">
      <c r="A10" s="6" t="inlineStr">
        <is>
          <t>Investment in subsidiaries</t>
        </is>
      </c>
      <c r="B10" s="6" t="n"/>
      <c r="C10" s="6" t="n">
        <v>29.3</v>
      </c>
      <c r="D10" s="6" t="n">
        <v>29.2</v>
      </c>
      <c r="E10" s="6" t="n">
        <v>26.4</v>
      </c>
      <c r="F10" s="6" t="n">
        <v>6.5</v>
      </c>
      <c r="G10" s="6" t="n"/>
    </row>
    <row r="11">
      <c r="A11" s="6" t="inlineStr">
        <is>
          <t>Investment in associates</t>
        </is>
      </c>
      <c r="B11" s="6" t="n"/>
      <c r="C11" s="6" t="n"/>
      <c r="D11" s="6" t="n"/>
      <c r="E11" s="6" t="n"/>
      <c r="F11" s="6" t="n">
        <v>28.3</v>
      </c>
      <c r="G11" s="6" t="n"/>
    </row>
    <row r="12">
      <c r="A12" s="6" t="inlineStr">
        <is>
          <t>Other assets</t>
        </is>
      </c>
      <c r="B12" s="6" t="n"/>
      <c r="C12" s="6" t="n">
        <v>7.6</v>
      </c>
      <c r="D12" s="6" t="n">
        <v>4.3</v>
      </c>
      <c r="E12" s="6" t="n">
        <v>4.4</v>
      </c>
      <c r="F12" s="6" t="n">
        <v>3.9</v>
      </c>
      <c r="G12" s="6" t="n"/>
    </row>
    <row r="13">
      <c r="A13" s="6" t="inlineStr">
        <is>
          <t>Off balance sheet assets</t>
        </is>
      </c>
      <c r="B13" s="6" t="n"/>
      <c r="C13" s="6" t="n">
        <v>6.3</v>
      </c>
      <c r="D13" s="6" t="n">
        <v>3.8</v>
      </c>
      <c r="E13" s="6" t="n">
        <v>12.9</v>
      </c>
      <c r="F13" s="6" t="n">
        <v>8.199999999999999</v>
      </c>
      <c r="G13" s="6" t="n"/>
    </row>
    <row r="14">
      <c r="A14" s="5" t="inlineStr">
        <is>
          <t>Credit risk RWA, total</t>
        </is>
      </c>
      <c r="B14" s="5" t="n"/>
      <c r="C14" s="5" t="n">
        <v>563.9</v>
      </c>
      <c r="D14" s="5" t="n">
        <v>575.1</v>
      </c>
      <c r="E14" s="5" t="n">
        <v>526.3</v>
      </c>
      <c r="F14" s="5" t="n">
        <v>463</v>
      </c>
      <c r="G14" s="5" t="n"/>
    </row>
    <row r="15">
      <c r="A15" s="6" t="inlineStr">
        <is>
          <t>Operational risk RWA (derived: disclosed Pillar 1 capital requirement ÷ 8%)</t>
        </is>
      </c>
      <c r="B15" s="6" t="n"/>
      <c r="C15" s="6" t="n">
        <v>52.5</v>
      </c>
      <c r="D15" s="6" t="n">
        <v>60</v>
      </c>
      <c r="E15" s="6" t="n">
        <v>47.5</v>
      </c>
      <c r="F15" s="6" t="n">
        <v>35</v>
      </c>
      <c r="G15" s="6" t="n"/>
    </row>
    <row r="16">
      <c r="A16" s="6" t="inlineStr">
        <is>
          <t>Market risk, CVA and other Pillar 1 RWA (residual — Total RWA less disclosed Credit Risk and derived Operational Risk RWA)</t>
        </is>
      </c>
      <c r="B16" s="6" t="n"/>
      <c r="C16" s="6" t="n">
        <v>20.3</v>
      </c>
      <c r="D16" s="6" t="n">
        <v>9.699999999999999</v>
      </c>
      <c r="E16" s="6" t="n">
        <v>20.9</v>
      </c>
      <c r="F16" s="6" t="n">
        <v>25</v>
      </c>
      <c r="G16" s="6" t="n"/>
    </row>
    <row r="17">
      <c r="A17" s="5" t="inlineStr">
        <is>
          <t>Total RWAs</t>
        </is>
      </c>
      <c r="B17" s="5" t="n"/>
      <c r="C17" s="5" t="n">
        <v>636.7</v>
      </c>
      <c r="D17" s="5" t="n">
        <v>644.8</v>
      </c>
      <c r="E17" s="5" t="n">
        <v>594.7</v>
      </c>
      <c r="F17" s="5" t="n">
        <v>523</v>
      </c>
      <c r="G17" s="5" t="n"/>
    </row>
    <row r="19" ht="380" customHeight="1">
      <c r="A19" s="8"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were not published in the 2017 annual report; regulatory metric cells are left blank rather than inferred from the financial statements.
Full opening-to-closing cash balance chain (including the separately-disclosed FX effect on cash) ties exactly across all available years.</t>
        </is>
      </c>
    </row>
  </sheetData>
  <mergeCells count="1">
    <mergeCell ref="A19:G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n"/>
      <c r="C4" s="6" t="inlineStr">
        <is>
          <t>7.4%</t>
        </is>
      </c>
      <c r="D4" s="6" t="inlineStr">
        <is>
          <t>7.3%</t>
        </is>
      </c>
      <c r="E4" s="6" t="inlineStr">
        <is>
          <t>7.5%</t>
        </is>
      </c>
      <c r="F4" s="6" t="inlineStr">
        <is>
          <t>9.2%</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n"/>
      <c r="C4" s="6" t="inlineStr">
        <is>
          <t>447.6%</t>
        </is>
      </c>
      <c r="D4" s="6" t="inlineStr">
        <is>
          <t>691.6%</t>
        </is>
      </c>
      <c r="E4" s="6" t="inlineStr">
        <is>
          <t>350.7%</t>
        </is>
      </c>
      <c r="F4" s="6" t="inlineStr">
        <is>
          <t>365.4%</t>
        </is>
      </c>
      <c r="G4" s="6" t="n"/>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n"/>
      <c r="C4" s="6" t="inlineStr">
        <is>
          <t>153.5%</t>
        </is>
      </c>
      <c r="D4" s="6" t="inlineStr">
        <is>
          <t>151.1%</t>
        </is>
      </c>
      <c r="E4" s="6" t="inlineStr">
        <is>
          <t>150.6%</t>
        </is>
      </c>
      <c r="F4" s="6" t="n"/>
      <c r="G4" s="6" t="n"/>
    </row>
    <row r="5" ht="60" customHeight="1">
      <c r="A5" s="7" t="inlineStr">
        <is>
          <t>Note: Not disclosed for FY2021 - the Article 447 Key Metrics NSFR rows first appear from the FY2022 Pillar 3 disclosure onward.</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2026-09-06T08:19:25Z</dcterms:created>
  <dcterms:modified xsi:type="dcterms:W3CDTF">2026-09-06T08:19:26Z</dcterms:modified>
</cp:coreProperties>
</file>