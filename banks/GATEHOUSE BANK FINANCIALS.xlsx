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v>280526</v>
      </c>
      <c r="J6" t="inlineStr">
        <is>
          <t>Total assets</t>
        </is>
      </c>
      <c r="K6" t="n">
        <v>280526</v>
      </c>
      <c r="L6" t="n">
        <v>1026358</v>
      </c>
      <c r="M6" t="n">
        <v>1335927</v>
      </c>
      <c r="N6" t="n">
        <v>1469773</v>
      </c>
      <c r="O6" t="n">
        <v>1415108</v>
      </c>
      <c r="P6" t="n">
        <v>1398211</v>
      </c>
      <c r="AT6" t="inlineStr">
        <is>
          <t>CET1 Ratio</t>
        </is>
      </c>
      <c r="AU6" t="n">
        <v>37.3</v>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v>85903</v>
      </c>
      <c r="J7" t="inlineStr">
        <is>
          <t>Financing and advances at amortised cost</t>
        </is>
      </c>
      <c r="K7" t="n">
        <v>85903</v>
      </c>
      <c r="L7" t="n">
        <v>901111</v>
      </c>
      <c r="M7" t="n">
        <v>1227896</v>
      </c>
      <c r="N7" t="n">
        <v>1357803</v>
      </c>
      <c r="O7" t="n">
        <v>1315936</v>
      </c>
      <c r="P7" t="n">
        <v>1264559</v>
      </c>
      <c r="AT7" t="inlineStr">
        <is>
          <t>Total Capital Ratio</t>
        </is>
      </c>
      <c r="AU7" t="n">
        <v>37.3</v>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v>150077</v>
      </c>
      <c r="J8" t="inlineStr">
        <is>
          <t>Financial liabilities measured at amortised cost</t>
        </is>
      </c>
      <c r="K8" t="n">
        <v>150077</v>
      </c>
      <c r="L8" t="n">
        <v>895637</v>
      </c>
      <c r="M8" t="n">
        <v>1168586</v>
      </c>
      <c r="N8" t="n">
        <v>1316609</v>
      </c>
      <c r="O8" t="n">
        <v>1288977</v>
      </c>
      <c r="P8" t="n">
        <v>1287404</v>
      </c>
      <c r="AT8" t="inlineStr">
        <is>
          <t>Leverage Ratio</t>
        </is>
      </c>
      <c r="AU8" t="n">
        <v>37.8</v>
      </c>
      <c r="AV8" t="n">
        <v>9.199999999999999</v>
      </c>
      <c r="AW8" t="n">
        <v>7.5</v>
      </c>
      <c r="AX8" t="n">
        <v>7.3</v>
      </c>
      <c r="AY8" t="n">
        <v>7.4</v>
      </c>
    </row>
    <row r="9">
      <c r="A9" s="5" t="inlineStr">
        <is>
          <t>Total equity</t>
        </is>
      </c>
      <c r="B9" s="5" t="n">
        <v>95766</v>
      </c>
      <c r="C9" s="5" t="n">
        <v>106372</v>
      </c>
      <c r="D9" s="5" t="n">
        <v>102228</v>
      </c>
      <c r="E9" s="5" t="n">
        <v>98784</v>
      </c>
      <c r="F9" s="5" t="n">
        <v>112652</v>
      </c>
      <c r="G9" s="5" t="n">
        <v>127462</v>
      </c>
      <c r="J9" t="inlineStr">
        <is>
          <t>Total equity</t>
        </is>
      </c>
      <c r="K9" t="n">
        <v>127462</v>
      </c>
      <c r="L9" t="n">
        <v>112652</v>
      </c>
      <c r="M9" t="n">
        <v>98784</v>
      </c>
      <c r="N9" t="n">
        <v>102228</v>
      </c>
      <c r="O9" t="n">
        <v>106372</v>
      </c>
      <c r="P9" t="n">
        <v>95766</v>
      </c>
      <c r="AT9" t="inlineStr">
        <is>
          <t>LCR</t>
        </is>
      </c>
      <c r="AU9" t="n">
        <v>641.3</v>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v>10762</v>
      </c>
      <c r="S13" t="inlineStr">
        <is>
          <t>Total operating income</t>
        </is>
      </c>
      <c r="T13" t="n">
        <v>10762</v>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v>-11381</v>
      </c>
      <c r="S14" t="inlineStr">
        <is>
          <t>Total operating expenses</t>
        </is>
      </c>
      <c r="T14" t="n">
        <v>-11381</v>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v>30046</v>
      </c>
      <c r="AK26" t="inlineStr">
        <is>
          <t>Net cash flow from/(used in) operating activities</t>
        </is>
      </c>
      <c r="AL26" t="n">
        <v>30046</v>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v>10353</v>
      </c>
      <c r="AK27" t="inlineStr">
        <is>
          <t>Net cash flow from/(used in) investing activities</t>
        </is>
      </c>
      <c r="AL27" t="n">
        <v>10353</v>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v>-36904</v>
      </c>
      <c r="AK28" t="inlineStr">
        <is>
          <t>Net cash flow from/(used in) financing activities</t>
        </is>
      </c>
      <c r="AL28" t="n">
        <v>-36904</v>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v>11900</v>
      </c>
      <c r="AK29" t="inlineStr">
        <is>
          <t>Cash and cash equivalents at end of year</t>
        </is>
      </c>
      <c r="AL29" t="n">
        <v>11900</v>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n"/>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with banks</t>
        </is>
      </c>
      <c r="B5" s="6" t="n">
        <v>24599</v>
      </c>
      <c r="C5" s="6" t="n">
        <v>27823</v>
      </c>
      <c r="D5" s="6" t="n">
        <v>24596</v>
      </c>
      <c r="E5" s="6" t="n">
        <v>22845</v>
      </c>
      <c r="F5" s="6" t="n">
        <v>41598</v>
      </c>
      <c r="G5" s="6" t="n">
        <v>11900</v>
      </c>
    </row>
    <row r="6">
      <c r="A6" s="6" t="inlineStr">
        <is>
          <t>Due from financial institutions (FY2017 presentation only - see source note)</t>
        </is>
      </c>
      <c r="B6" s="6" t="n"/>
      <c r="C6" s="6" t="n"/>
      <c r="D6" s="6" t="n"/>
      <c r="E6" s="6" t="n"/>
      <c r="F6" s="6" t="n"/>
      <c r="G6" s="6" t="n">
        <v>77251</v>
      </c>
    </row>
    <row r="7">
      <c r="A7" s="6" t="inlineStr">
        <is>
          <t>Financing and advances at amortised cost</t>
        </is>
      </c>
      <c r="B7" s="6" t="n">
        <v>1264559</v>
      </c>
      <c r="C7" s="6" t="n">
        <v>1315936</v>
      </c>
      <c r="D7" s="6" t="n">
        <v>1357803</v>
      </c>
      <c r="E7" s="6" t="n">
        <v>1227896</v>
      </c>
      <c r="F7" s="6" t="n">
        <v>901111</v>
      </c>
      <c r="G7" s="6" t="n">
        <v>85903</v>
      </c>
    </row>
    <row r="8">
      <c r="A8" s="6" t="inlineStr">
        <is>
          <t>Derivative financial instruments (asset)</t>
        </is>
      </c>
      <c r="B8" s="6" t="n">
        <v>2348</v>
      </c>
      <c r="C8" s="6" t="n">
        <v>11337</v>
      </c>
      <c r="D8" s="6" t="n">
        <v>33032</v>
      </c>
      <c r="E8" s="6" t="n">
        <v>34138</v>
      </c>
      <c r="F8" s="6" t="n">
        <v>2619</v>
      </c>
      <c r="G8" s="6" t="n">
        <v>0</v>
      </c>
    </row>
    <row r="9">
      <c r="A9" s="6" t="inlineStr">
        <is>
          <t>Fair value of hedged assets in portfolio hedges of interest rate risk</t>
        </is>
      </c>
      <c r="B9" s="6" t="n">
        <v>2377</v>
      </c>
      <c r="C9" s="6" t="n">
        <v>-371</v>
      </c>
      <c r="D9" s="6" t="n"/>
      <c r="E9" s="6" t="n"/>
      <c r="F9" s="6" t="n"/>
    </row>
    <row r="10">
      <c r="A10" s="6" t="inlineStr">
        <is>
          <t>Financial assets held at FVTOCI</t>
        </is>
      </c>
      <c r="B10" s="6" t="n">
        <v>38098</v>
      </c>
      <c r="C10" s="6" t="n">
        <v>28282</v>
      </c>
      <c r="D10" s="6" t="n">
        <v>19512</v>
      </c>
      <c r="E10" s="6" t="n">
        <v>19351</v>
      </c>
      <c r="F10" s="6" t="n">
        <v>22951</v>
      </c>
      <c r="G10" s="6" t="n">
        <v>72095</v>
      </c>
    </row>
    <row r="11">
      <c r="A11" s="6" t="inlineStr">
        <is>
          <t>Financial assets held at FVTIS</t>
        </is>
      </c>
      <c r="B11" s="6" t="n">
        <v>2827</v>
      </c>
      <c r="C11" s="6" t="n">
        <v>8228</v>
      </c>
      <c r="D11" s="6" t="n">
        <v>18278</v>
      </c>
      <c r="E11" s="6" t="n">
        <v>17061</v>
      </c>
      <c r="F11" s="6" t="n">
        <v>26366</v>
      </c>
      <c r="G11" s="6" t="n">
        <v>0</v>
      </c>
    </row>
    <row r="12">
      <c r="A12" s="6" t="inlineStr">
        <is>
          <t>Investment in associate</t>
        </is>
      </c>
      <c r="B12" s="6" t="n"/>
      <c r="C12" s="6" t="n"/>
      <c r="D12" s="6" t="n"/>
      <c r="E12" s="6" t="n"/>
      <c r="F12" s="6" t="n">
        <v>14298</v>
      </c>
      <c r="G12" s="6" t="n">
        <v>15379</v>
      </c>
    </row>
    <row r="13">
      <c r="A13" s="6" t="inlineStr">
        <is>
          <t>Goodwill</t>
        </is>
      </c>
      <c r="B13" s="6" t="n"/>
      <c r="C13" s="6" t="n"/>
      <c r="D13" s="6" t="n">
        <v>4242</v>
      </c>
      <c r="E13" s="6" t="n">
        <v>4242</v>
      </c>
      <c r="F13" s="6" t="n">
        <v>4242</v>
      </c>
    </row>
    <row r="14">
      <c r="A14" s="6" t="inlineStr">
        <is>
          <t>Intangible assets</t>
        </is>
      </c>
      <c r="B14" s="6" t="n">
        <v>2849</v>
      </c>
      <c r="C14" s="6" t="n">
        <v>6644</v>
      </c>
      <c r="D14" s="6" t="n">
        <v>1879</v>
      </c>
      <c r="E14" s="6" t="n">
        <v>1812</v>
      </c>
      <c r="F14" s="6" t="n">
        <v>1389</v>
      </c>
      <c r="G14" s="6" t="n">
        <v>339</v>
      </c>
    </row>
    <row r="15">
      <c r="A15" s="6" t="inlineStr">
        <is>
          <t>Property, plant and equipment and right-of-use assets</t>
        </is>
      </c>
      <c r="B15" s="6" t="n">
        <v>1126</v>
      </c>
      <c r="C15" s="6" t="n">
        <v>945</v>
      </c>
      <c r="D15" s="6" t="n">
        <v>1155</v>
      </c>
      <c r="E15" s="6" t="n">
        <v>1486</v>
      </c>
      <c r="F15" s="6" t="n">
        <v>1714</v>
      </c>
      <c r="G15" s="6" t="n">
        <v>13031</v>
      </c>
    </row>
    <row r="16">
      <c r="A16" s="6" t="inlineStr">
        <is>
          <t>Assets in disposal groups classified as held for sale</t>
        </is>
      </c>
      <c r="B16" s="6" t="n">
        <v>13551</v>
      </c>
      <c r="C16" s="6" t="n"/>
      <c r="D16" s="6" t="n"/>
      <c r="E16" s="6" t="n"/>
      <c r="F16" s="6" t="n"/>
    </row>
    <row r="17">
      <c r="A17" s="6" t="inlineStr">
        <is>
          <t>Property held for sale</t>
        </is>
      </c>
      <c r="B17" s="6" t="n"/>
      <c r="C17" s="6" t="n"/>
      <c r="D17" s="6" t="n"/>
      <c r="E17" s="6" t="n"/>
      <c r="F17" s="6" t="n">
        <v>4537</v>
      </c>
    </row>
    <row r="18">
      <c r="A18" s="6" t="inlineStr">
        <is>
          <t>Other assets</t>
        </is>
      </c>
      <c r="B18" s="6" t="n">
        <v>36503</v>
      </c>
      <c r="C18" s="6" t="n">
        <v>8857</v>
      </c>
      <c r="D18" s="6" t="n">
        <v>4016</v>
      </c>
      <c r="E18" s="6" t="n">
        <v>2571</v>
      </c>
      <c r="F18" s="6" t="n">
        <v>5533</v>
      </c>
      <c r="G18" s="6" t="n">
        <v>4627</v>
      </c>
    </row>
    <row r="19">
      <c r="A19" s="6" t="inlineStr">
        <is>
          <t>Deferred tax assets</t>
        </is>
      </c>
      <c r="B19" s="6" t="n">
        <v>9374</v>
      </c>
      <c r="C19" s="6" t="n">
        <v>7427</v>
      </c>
      <c r="D19" s="6" t="n">
        <v>5260</v>
      </c>
      <c r="E19" s="6" t="n">
        <v>4525</v>
      </c>
      <c r="F19" s="6" t="n"/>
    </row>
    <row r="20">
      <c r="A20" s="5" t="inlineStr">
        <is>
          <t>Total assets</t>
        </is>
      </c>
      <c r="B20" s="5" t="n">
        <v>1398211</v>
      </c>
      <c r="C20" s="5" t="n">
        <v>1415108</v>
      </c>
      <c r="D20" s="5" t="n">
        <v>1469773</v>
      </c>
      <c r="E20" s="5" t="n">
        <v>1335927</v>
      </c>
      <c r="F20" s="5" t="n">
        <v>1026358</v>
      </c>
      <c r="G20" s="6" t="n">
        <v>280526</v>
      </c>
    </row>
    <row r="21">
      <c r="A21" s="5" t="inlineStr">
        <is>
          <t>Liabilities</t>
        </is>
      </c>
      <c r="B21" s="6" t="n"/>
      <c r="C21" s="6" t="n"/>
      <c r="D21" s="6" t="n"/>
      <c r="E21" s="6" t="n"/>
      <c r="F21" s="6" t="n"/>
    </row>
    <row r="22">
      <c r="A22" s="6" t="inlineStr">
        <is>
          <t>Financial liabilities measured at amortised cost</t>
        </is>
      </c>
      <c r="B22" s="6" t="n">
        <v>1287404</v>
      </c>
      <c r="C22" s="6" t="n">
        <v>1288977</v>
      </c>
      <c r="D22" s="6" t="n">
        <v>1316609</v>
      </c>
      <c r="E22" s="6" t="n">
        <v>1168586</v>
      </c>
      <c r="F22" s="6" t="n">
        <v>895637</v>
      </c>
      <c r="G22" s="6" t="n">
        <v>150077</v>
      </c>
    </row>
    <row r="23">
      <c r="A23" s="6" t="inlineStr">
        <is>
          <t>Financial liabilities held at FVTIS</t>
        </is>
      </c>
      <c r="B23" s="6" t="n"/>
      <c r="C23" s="6" t="n"/>
      <c r="D23" s="6" t="n"/>
      <c r="E23" s="6" t="n"/>
      <c r="F23" s="6" t="n">
        <v>1340</v>
      </c>
    </row>
    <row r="24">
      <c r="A24" s="6" t="inlineStr">
        <is>
          <t>Derivative financial instruments (liability)</t>
        </is>
      </c>
      <c r="B24" s="6" t="n">
        <v>2736</v>
      </c>
      <c r="C24" s="6" t="n">
        <v>11110</v>
      </c>
      <c r="D24" s="6" t="n">
        <v>44010</v>
      </c>
      <c r="E24" s="6" t="n">
        <v>61224</v>
      </c>
      <c r="F24" s="6" t="n">
        <v>5033</v>
      </c>
      <c r="G24" s="6" t="n">
        <v>506</v>
      </c>
    </row>
    <row r="25">
      <c r="A25" s="6" t="inlineStr">
        <is>
          <t>Other liabilities</t>
        </is>
      </c>
      <c r="B25" s="6" t="n">
        <v>7562</v>
      </c>
      <c r="C25" s="6" t="n">
        <v>8649</v>
      </c>
      <c r="D25" s="6" t="n">
        <v>6926</v>
      </c>
      <c r="E25" s="6" t="n">
        <v>7333</v>
      </c>
      <c r="F25" s="6" t="n">
        <v>11696</v>
      </c>
      <c r="G25" s="6" t="n">
        <v>2481</v>
      </c>
    </row>
    <row r="26">
      <c r="A26" s="6" t="inlineStr">
        <is>
          <t>Liabilities directly associated with assets in disposal groups classified as held for sale</t>
        </is>
      </c>
      <c r="B26" s="6" t="n">
        <v>4743</v>
      </c>
      <c r="C26" s="6" t="n"/>
      <c r="D26" s="6" t="n"/>
      <c r="E26" s="6" t="n"/>
      <c r="F26" s="6" t="n"/>
    </row>
    <row r="27">
      <c r="A27" s="5" t="inlineStr">
        <is>
          <t>Total liabilities</t>
        </is>
      </c>
      <c r="B27" s="5" t="n">
        <v>1302445</v>
      </c>
      <c r="C27" s="5" t="n">
        <v>1308736</v>
      </c>
      <c r="D27" s="5" t="n">
        <v>1367545</v>
      </c>
      <c r="E27" s="5" t="n">
        <v>1237143</v>
      </c>
      <c r="F27" s="5" t="n">
        <v>913706</v>
      </c>
      <c r="G27" s="6" t="n">
        <v>153065</v>
      </c>
    </row>
    <row r="28">
      <c r="A28" s="5" t="inlineStr">
        <is>
          <t>Equity</t>
        </is>
      </c>
      <c r="B28" s="6" t="n"/>
      <c r="C28" s="6" t="n"/>
      <c r="D28" s="6" t="n"/>
      <c r="E28" s="6" t="n"/>
      <c r="F28" s="6" t="n"/>
    </row>
    <row r="29">
      <c r="A29" s="6" t="inlineStr">
        <is>
          <t>Share capital</t>
        </is>
      </c>
      <c r="B29" s="6" t="n">
        <v>150049</v>
      </c>
      <c r="C29" s="6" t="n">
        <v>150049</v>
      </c>
      <c r="D29" s="6" t="n">
        <v>150049</v>
      </c>
      <c r="E29" s="6" t="n">
        <v>150049</v>
      </c>
      <c r="F29" s="6" t="n">
        <v>150049</v>
      </c>
      <c r="G29" s="6" t="n">
        <v>150049</v>
      </c>
    </row>
    <row r="30">
      <c r="A30" s="6" t="inlineStr">
        <is>
          <t>Fair value through other comprehensive income reserve</t>
        </is>
      </c>
      <c r="B30" s="6" t="n">
        <v>-3616</v>
      </c>
      <c r="C30" s="6" t="n">
        <v>-4377</v>
      </c>
      <c r="D30" s="6" t="n">
        <v>-4721</v>
      </c>
      <c r="E30" s="6" t="n">
        <v>-5275</v>
      </c>
      <c r="F30" s="6" t="n">
        <v>-3848</v>
      </c>
      <c r="G30" s="6" t="n">
        <v>-394</v>
      </c>
    </row>
    <row r="31">
      <c r="A31" s="6" t="inlineStr">
        <is>
          <t>Foreign currency translation reserve</t>
        </is>
      </c>
      <c r="B31" s="6" t="n"/>
      <c r="C31" s="6" t="n"/>
      <c r="D31" s="6" t="n"/>
      <c r="E31" s="6" t="n"/>
      <c r="F31" s="6" t="n">
        <v>1792</v>
      </c>
      <c r="G31" s="6" t="n">
        <v>1571</v>
      </c>
    </row>
    <row r="32">
      <c r="A32" s="6" t="inlineStr">
        <is>
          <t>Reserve as a result of subsidiary acquisition</t>
        </is>
      </c>
      <c r="B32" s="6" t="n">
        <v>-15917</v>
      </c>
      <c r="C32" s="6" t="n">
        <v>-15917</v>
      </c>
      <c r="D32" s="6" t="n">
        <v>-15917</v>
      </c>
      <c r="E32" s="6" t="n">
        <v>-15917</v>
      </c>
      <c r="F32" s="6" t="n"/>
    </row>
    <row r="33">
      <c r="A33" s="6" t="inlineStr">
        <is>
          <t>Retained earnings/(deficit)</t>
        </is>
      </c>
      <c r="B33" s="6" t="n">
        <v>-34750</v>
      </c>
      <c r="C33" s="6" t="n">
        <v>-23383</v>
      </c>
      <c r="D33" s="6" t="n">
        <v>-27183</v>
      </c>
      <c r="E33" s="6" t="n">
        <v>-30073</v>
      </c>
      <c r="F33" s="6" t="n">
        <v>-36644</v>
      </c>
      <c r="G33" s="6" t="n">
        <v>-23764</v>
      </c>
    </row>
    <row r="34">
      <c r="A34" s="5" t="inlineStr">
        <is>
          <t>Equity attributable to owners of the company</t>
        </is>
      </c>
      <c r="B34" s="5" t="n">
        <v>95766</v>
      </c>
      <c r="C34" s="5" t="n">
        <v>106372</v>
      </c>
      <c r="D34" s="5" t="n">
        <v>102228</v>
      </c>
      <c r="E34" s="5" t="n">
        <v>98784</v>
      </c>
      <c r="F34" s="5" t="n">
        <v>111349</v>
      </c>
      <c r="G34" s="6" t="n">
        <v>127462</v>
      </c>
    </row>
    <row r="35">
      <c r="A35" s="6" t="inlineStr">
        <is>
          <t>Non-controlling interest</t>
        </is>
      </c>
      <c r="B35" s="6" t="n"/>
      <c r="C35" s="6" t="n"/>
      <c r="D35" s="6" t="n">
        <v>0</v>
      </c>
      <c r="E35" s="6" t="n">
        <v>0</v>
      </c>
      <c r="F35" s="6" t="n">
        <v>1303</v>
      </c>
    </row>
    <row r="36">
      <c r="A36" s="5" t="inlineStr">
        <is>
          <t>Total equity</t>
        </is>
      </c>
      <c r="B36" s="5" t="n">
        <v>95766</v>
      </c>
      <c r="C36" s="5" t="n">
        <v>106372</v>
      </c>
      <c r="D36" s="5" t="n">
        <v>102228</v>
      </c>
      <c r="E36" s="5" t="n">
        <v>98784</v>
      </c>
      <c r="F36" s="5" t="n">
        <v>112652</v>
      </c>
      <c r="G36" s="6" t="n">
        <v>127462</v>
      </c>
    </row>
    <row r="37">
      <c r="A37" s="5" t="inlineStr">
        <is>
          <t>Total equity and liabilities</t>
        </is>
      </c>
      <c r="B37" s="5" t="n">
        <v>1398211</v>
      </c>
      <c r="C37" s="5" t="n">
        <v>1415108</v>
      </c>
      <c r="D37" s="5" t="n">
        <v>1469773</v>
      </c>
      <c r="E37" s="5" t="n">
        <v>1335927</v>
      </c>
      <c r="F37" s="5" t="n">
        <v>1026358</v>
      </c>
      <c r="G37" s="6" t="n">
        <v>280526</v>
      </c>
    </row>
    <row r="38"/>
    <row r="39" ht="380" customHeight="1">
      <c r="A39"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row>
    <row r="11">
      <c r="A11" s="6" t="inlineStr">
        <is>
          <t>Net gains from financial assets at FVTOCI</t>
        </is>
      </c>
      <c r="B11" s="6" t="n">
        <v>885</v>
      </c>
      <c r="C11" s="6" t="n">
        <v>344</v>
      </c>
      <c r="D11" s="6" t="n">
        <v>197</v>
      </c>
      <c r="E11" s="6" t="n">
        <v>376</v>
      </c>
      <c r="F11" s="6" t="n">
        <v>335</v>
      </c>
    </row>
    <row r="12">
      <c r="A12" s="6" t="inlineStr">
        <is>
          <t>Other income/(loss)</t>
        </is>
      </c>
      <c r="B12" s="6" t="n"/>
      <c r="C12" s="6" t="n"/>
      <c r="D12" s="6" t="n">
        <v>-231</v>
      </c>
      <c r="E12" s="6" t="n">
        <v>335</v>
      </c>
      <c r="F12" s="6" t="n">
        <v>2178</v>
      </c>
    </row>
    <row r="13">
      <c r="A13" s="6" t="inlineStr">
        <is>
          <t>(Loss)/gain on property held for sale</t>
        </is>
      </c>
      <c r="B13" s="6" t="n"/>
      <c r="C13" s="6" t="n"/>
      <c r="D13" s="6" t="n"/>
      <c r="E13" s="6" t="n"/>
      <c r="F13" s="6" t="n">
        <v>-472</v>
      </c>
    </row>
    <row r="14">
      <c r="A14" s="6" t="inlineStr">
        <is>
          <t>Gain on investment properties</t>
        </is>
      </c>
      <c r="B14" s="6" t="n"/>
      <c r="C14" s="6" t="n"/>
      <c r="D14" s="6" t="n"/>
      <c r="E14" s="6" t="n"/>
      <c r="F14" s="6" t="n">
        <v>1412</v>
      </c>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6" t="n">
        <v>10762</v>
      </c>
    </row>
    <row r="17">
      <c r="A17" s="5" t="inlineStr">
        <is>
          <t>Expenses</t>
        </is>
      </c>
      <c r="B17" s="6" t="n"/>
      <c r="C17" s="6" t="n"/>
      <c r="D17" s="6" t="n"/>
      <c r="E17" s="6" t="n"/>
      <c r="F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6" t="n">
        <v>-11381</v>
      </c>
    </row>
    <row r="22">
      <c r="A22" s="5" t="inlineStr">
        <is>
          <t>Operating profit/(loss)</t>
        </is>
      </c>
      <c r="B22" s="5" t="n">
        <v>-15238</v>
      </c>
      <c r="C22" s="5" t="n">
        <v>-3414</v>
      </c>
      <c r="D22" s="5" t="n">
        <v>3153</v>
      </c>
      <c r="E22" s="5" t="n">
        <v>2555</v>
      </c>
      <c r="F22" s="5" t="n">
        <v>2713</v>
      </c>
      <c r="G22" s="6"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6"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6" t="n">
        <v>-351</v>
      </c>
    </row>
    <row r="27">
      <c r="A27" s="6" t="inlineStr">
        <is>
          <t>Profit for the year from discontinued operations</t>
        </is>
      </c>
      <c r="B27" s="6" t="n">
        <v>1924</v>
      </c>
      <c r="C27" s="6" t="n">
        <v>5047</v>
      </c>
      <c r="D27" s="6" t="n">
        <v>0</v>
      </c>
      <c r="E27" s="6" t="n">
        <v>1640</v>
      </c>
      <c r="F27" s="6" t="n"/>
    </row>
    <row r="28">
      <c r="A28" s="5" t="inlineStr">
        <is>
          <t>(Loss)/profit for the year</t>
        </is>
      </c>
      <c r="B28" s="5" t="n">
        <v>-11367</v>
      </c>
      <c r="C28" s="5" t="n">
        <v>3800</v>
      </c>
      <c r="D28" s="5" t="n">
        <v>3157</v>
      </c>
      <c r="E28" s="5" t="n">
        <v>8128</v>
      </c>
      <c r="F28" s="5" t="n">
        <v>3464</v>
      </c>
    </row>
    <row r="29">
      <c r="A29" s="5" t="inlineStr">
        <is>
          <t>Other comprehensive income</t>
        </is>
      </c>
      <c r="B29" s="6" t="n"/>
      <c r="C29" s="6" t="n"/>
      <c r="D29" s="6" t="n"/>
      <c r="E29" s="6" t="n"/>
      <c r="F29" s="6" t="n"/>
    </row>
    <row r="30">
      <c r="A30" s="6" t="inlineStr">
        <is>
          <t>Net gain/(loss) on FVTOCI investments</t>
        </is>
      </c>
      <c r="B30" s="6" t="n">
        <v>761</v>
      </c>
      <c r="C30" s="6" t="n">
        <v>344</v>
      </c>
      <c r="D30" s="6" t="n">
        <v>554</v>
      </c>
      <c r="E30" s="6" t="n">
        <v>-1539</v>
      </c>
      <c r="F30" s="6" t="n">
        <v>-382</v>
      </c>
    </row>
    <row r="31">
      <c r="A31" s="6" t="inlineStr">
        <is>
          <t>Foreign currency translation gains/(losses) from investment in associate (discontinued operation)</t>
        </is>
      </c>
      <c r="B31" s="6" t="n"/>
      <c r="C31" s="6" t="n"/>
      <c r="D31" s="6" t="n"/>
      <c r="E31" s="6" t="n">
        <v>-1792</v>
      </c>
      <c r="F31" s="6" t="n">
        <v>244</v>
      </c>
    </row>
    <row r="32">
      <c r="A32" s="5" t="inlineStr">
        <is>
          <t>Other comprehensive income/(loss) for the year</t>
        </is>
      </c>
      <c r="B32" s="5" t="n">
        <v>761</v>
      </c>
      <c r="C32" s="5" t="n">
        <v>344</v>
      </c>
      <c r="D32" s="5" t="n">
        <v>554</v>
      </c>
      <c r="E32" s="5" t="n">
        <v>-3331</v>
      </c>
      <c r="F32" s="5" t="n">
        <v>-138</v>
      </c>
      <c r="G32" s="6" t="n">
        <v>-1032</v>
      </c>
    </row>
    <row r="33">
      <c r="A33" s="5" t="inlineStr">
        <is>
          <t>Total comprehensive (loss)/income for the year</t>
        </is>
      </c>
      <c r="B33" s="5" t="n">
        <v>-10606</v>
      </c>
      <c r="C33" s="5" t="n">
        <v>4144</v>
      </c>
      <c r="D33" s="5" t="n">
        <v>3711</v>
      </c>
      <c r="E33" s="5" t="n">
        <v>4797</v>
      </c>
      <c r="F33" s="5" t="n">
        <v>3326</v>
      </c>
      <c r="G33" s="6" t="n">
        <v>-1383</v>
      </c>
    </row>
    <row r="34"/>
    <row r="35" ht="380" customHeight="1">
      <c r="A35"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Operating activities</t>
        </is>
      </c>
      <c r="B4" s="6" t="n"/>
      <c r="C4" s="6" t="n"/>
      <c r="D4" s="6" t="n"/>
      <c r="E4" s="6" t="n"/>
      <c r="F4" s="6" t="n"/>
    </row>
    <row r="5">
      <c r="A5" s="6" t="inlineStr">
        <is>
          <t>Profit/(loss) after tax from continuing operations</t>
        </is>
      </c>
      <c r="B5" s="6" t="n">
        <v>-13291</v>
      </c>
      <c r="C5" s="6" t="n">
        <v>-1248</v>
      </c>
      <c r="D5" s="6" t="n">
        <v>3157</v>
      </c>
      <c r="E5" s="6" t="n">
        <v>6488</v>
      </c>
      <c r="F5" s="6" t="n"/>
    </row>
    <row r="6">
      <c r="A6" s="6" t="inlineStr">
        <is>
          <t>Profit after tax from discontinued operations</t>
        </is>
      </c>
      <c r="B6" s="6" t="n">
        <v>1924</v>
      </c>
      <c r="C6" s="6" t="n">
        <v>5048</v>
      </c>
      <c r="D6" s="6" t="n">
        <v>0</v>
      </c>
      <c r="E6" s="6" t="n">
        <v>1640</v>
      </c>
      <c r="F6" s="6" t="n"/>
    </row>
    <row r="7">
      <c r="A7" s="6" t="inlineStr">
        <is>
          <t>Operating profit on ordinary activities after tax (combined, not split this year)</t>
        </is>
      </c>
      <c r="B7" s="6" t="n"/>
      <c r="C7" s="6" t="n"/>
      <c r="D7" s="6" t="n"/>
      <c r="E7" s="6" t="n"/>
      <c r="F7" s="6" t="n">
        <v>3464</v>
      </c>
    </row>
    <row r="8">
      <c r="A8" s="5" t="inlineStr">
        <is>
          <t>Profit/(loss) after tax for the year</t>
        </is>
      </c>
      <c r="B8" s="5" t="n">
        <v>-11367</v>
      </c>
      <c r="C8" s="5" t="n">
        <v>3800</v>
      </c>
      <c r="D8" s="5" t="n">
        <v>3157</v>
      </c>
      <c r="E8" s="5" t="n">
        <v>8128</v>
      </c>
      <c r="F8" s="5" t="n">
        <v>3464</v>
      </c>
    </row>
    <row r="9">
      <c r="A9" s="6" t="inlineStr">
        <is>
          <t>Depreciation and amortisation</t>
        </is>
      </c>
      <c r="B9" s="6" t="n">
        <v>1043</v>
      </c>
      <c r="C9" s="6" t="n">
        <v>930</v>
      </c>
      <c r="D9" s="6" t="n">
        <v>1302</v>
      </c>
      <c r="E9" s="6" t="n">
        <v>1319</v>
      </c>
      <c r="F9" s="6" t="n">
        <v>1222</v>
      </c>
    </row>
    <row r="10">
      <c r="A10" s="6" t="inlineStr">
        <is>
          <t>Impairment charge/(release)</t>
        </is>
      </c>
      <c r="B10" s="6" t="n">
        <v>2725</v>
      </c>
      <c r="C10" s="6" t="n">
        <v>-192</v>
      </c>
      <c r="D10" s="6" t="n">
        <v>847</v>
      </c>
      <c r="E10" s="6" t="n">
        <v>5714</v>
      </c>
      <c r="F10" s="6" t="n">
        <v>806</v>
      </c>
    </row>
    <row r="11">
      <c r="A11" s="6" t="inlineStr">
        <is>
          <t>(Negative)/positive revaluation of financial instruments held at FVTIS (unquoted investments)</t>
        </is>
      </c>
      <c r="B11" s="6" t="n">
        <v>207</v>
      </c>
      <c r="C11" s="6" t="n">
        <v>-1969</v>
      </c>
      <c r="D11" s="6" t="n">
        <v>-22</v>
      </c>
      <c r="E11" s="6" t="n">
        <v>-2904</v>
      </c>
      <c r="F11" s="6" t="n">
        <v>210</v>
      </c>
    </row>
    <row r="12">
      <c r="A12" s="6" t="inlineStr">
        <is>
          <t>Positive revaluation on investment properties</t>
        </is>
      </c>
      <c r="B12" s="6" t="n"/>
      <c r="C12" s="6" t="n"/>
      <c r="D12" s="6" t="n"/>
      <c r="E12" s="6" t="n"/>
      <c r="F12" s="6" t="n">
        <v>-1412</v>
      </c>
    </row>
    <row r="13">
      <c r="A13" s="6" t="inlineStr">
        <is>
          <t>Loss/(gain) on sale of property held for sale</t>
        </is>
      </c>
      <c r="B13" s="6" t="n"/>
      <c r="C13" s="6" t="n"/>
      <c r="D13" s="6" t="n"/>
      <c r="E13" s="6" t="n"/>
      <c r="F13" s="6" t="n">
        <v>472</v>
      </c>
    </row>
    <row r="14">
      <c r="A14" s="6" t="inlineStr">
        <is>
          <t>Share in profit of associate</t>
        </is>
      </c>
      <c r="B14" s="6" t="n"/>
      <c r="C14" s="6" t="n"/>
      <c r="D14" s="6" t="n">
        <v>0</v>
      </c>
      <c r="E14" s="6" t="n">
        <v>-1640</v>
      </c>
      <c r="F14" s="6" t="n">
        <v>-904</v>
      </c>
    </row>
    <row r="15">
      <c r="A15" s="6" t="inlineStr">
        <is>
          <t>Fair value movement in derivative financial instruments (non-cash adjustment)</t>
        </is>
      </c>
      <c r="B15" s="6" t="n">
        <v>1844</v>
      </c>
      <c r="C15" s="6" t="n">
        <v>341</v>
      </c>
      <c r="D15" s="6" t="n">
        <v>-1083</v>
      </c>
      <c r="E15" s="6" t="n">
        <v>-1634</v>
      </c>
      <c r="F15" s="6" t="n">
        <v>160</v>
      </c>
    </row>
    <row r="16">
      <c r="A16" s="6" t="inlineStr">
        <is>
          <t>Foreign exchange (gains)/losses</t>
        </is>
      </c>
      <c r="B16" s="6" t="n">
        <v>-321</v>
      </c>
      <c r="C16" s="6" t="n">
        <v>-120</v>
      </c>
      <c r="D16" s="6" t="n">
        <v>145</v>
      </c>
      <c r="E16" s="6" t="n">
        <v>-264</v>
      </c>
      <c r="F16" s="6" t="n">
        <v>461</v>
      </c>
    </row>
    <row r="17">
      <c r="A17" s="6" t="inlineStr">
        <is>
          <t>Taxation/income tax expense (non-cash adjustment)</t>
        </is>
      </c>
      <c r="B17" s="6" t="n">
        <v>-1947</v>
      </c>
      <c r="C17" s="6" t="n">
        <v>-2167</v>
      </c>
      <c r="D17" s="6" t="n">
        <v>-4</v>
      </c>
      <c r="E17" s="6" t="n">
        <v>-3933</v>
      </c>
      <c r="F17" s="6" t="n">
        <v>153</v>
      </c>
    </row>
    <row r="18">
      <c r="A18" s="6" t="inlineStr">
        <is>
          <t>Adjustment for assets/liabilities held for sale</t>
        </is>
      </c>
      <c r="B18" s="6" t="n">
        <v>3134</v>
      </c>
      <c r="C18" s="6" t="n">
        <v>3148</v>
      </c>
      <c r="D18" s="6" t="n"/>
      <c r="E18" s="6" t="n"/>
      <c r="F18" s="6" t="n"/>
    </row>
    <row r="19">
      <c r="A19" s="6" t="inlineStr">
        <is>
          <t>Net (increase)/decrease in other assets</t>
        </is>
      </c>
      <c r="B19" s="6" t="n">
        <v>-30867</v>
      </c>
      <c r="C19" s="6" t="n">
        <v>-964</v>
      </c>
      <c r="D19" s="6" t="n">
        <v>-1712</v>
      </c>
      <c r="E19" s="6" t="n">
        <v>3007</v>
      </c>
      <c r="F19" s="6" t="n">
        <v>-1816</v>
      </c>
    </row>
    <row r="20">
      <c r="A20" s="6" t="inlineStr">
        <is>
          <t>Changes in financing and advances at amortised cost</t>
        </is>
      </c>
      <c r="B20" s="6" t="n">
        <v>52974</v>
      </c>
      <c r="C20" s="6" t="n">
        <v>36152</v>
      </c>
      <c r="D20" s="6" t="n">
        <v>-130754</v>
      </c>
      <c r="E20" s="6" t="n">
        <v>-332498</v>
      </c>
      <c r="F20" s="6" t="n">
        <v>-199760</v>
      </c>
    </row>
    <row r="21">
      <c r="A21" s="6" t="inlineStr">
        <is>
          <t>Fair value movement in derivative financial instruments (operating assets)</t>
        </is>
      </c>
      <c r="B21" s="6" t="n">
        <v>-8196</v>
      </c>
      <c r="C21" s="6" t="n">
        <v>-4080</v>
      </c>
      <c r="D21" s="6" t="n">
        <v>-14824</v>
      </c>
      <c r="E21" s="6" t="n">
        <v>26558</v>
      </c>
      <c r="F21" s="6" t="n"/>
    </row>
    <row r="22">
      <c r="A22" s="6" t="inlineStr">
        <is>
          <t>Net investment in financial assets held at FVTIS</t>
        </is>
      </c>
      <c r="B22" s="6" t="n"/>
      <c r="C22" s="6" t="n"/>
      <c r="D22" s="6" t="n"/>
      <c r="E22" s="6" t="n"/>
      <c r="F22" s="6" t="n">
        <v>8683</v>
      </c>
    </row>
    <row r="23">
      <c r="A23" s="6" t="inlineStr">
        <is>
          <t>Net investment in financial assets held at FVTOCI</t>
        </is>
      </c>
      <c r="B23" s="6" t="n"/>
      <c r="C23" s="6" t="n"/>
      <c r="D23" s="6" t="n"/>
      <c r="E23" s="6" t="n"/>
      <c r="F23" s="6" t="n">
        <v>-286</v>
      </c>
    </row>
    <row r="24">
      <c r="A24" s="6" t="inlineStr">
        <is>
          <t>Changes in assets and liabilities held for sale</t>
        </is>
      </c>
      <c r="B24" s="6" t="n">
        <v>-4183</v>
      </c>
      <c r="C24" s="6" t="n">
        <v>-3876</v>
      </c>
      <c r="D24" s="6" t="n"/>
      <c r="E24" s="6" t="n"/>
      <c r="F24" s="6" t="n"/>
    </row>
    <row r="25">
      <c r="A25" s="6" t="inlineStr">
        <is>
          <t>Intercompany payable/receivable</t>
        </is>
      </c>
      <c r="B25" s="6" t="n">
        <v>51</v>
      </c>
      <c r="C25" s="6" t="n">
        <v>0</v>
      </c>
      <c r="D25" s="6" t="n"/>
      <c r="E25" s="6" t="n"/>
      <c r="F25" s="6" t="n"/>
    </row>
    <row r="26">
      <c r="A26" s="6" t="inlineStr">
        <is>
          <t>Changes in financial liabilities measured at amortised cost</t>
        </is>
      </c>
      <c r="B26" s="6" t="n">
        <v>-2094</v>
      </c>
      <c r="C26" s="6" t="n">
        <v>-27632</v>
      </c>
      <c r="D26" s="6" t="n">
        <v>-148024</v>
      </c>
      <c r="E26" s="6" t="n">
        <v>263503</v>
      </c>
      <c r="F26" s="6" t="n">
        <v>196339</v>
      </c>
    </row>
    <row r="27">
      <c r="A27" s="6" t="inlineStr">
        <is>
          <t>Net increase/(decrease) in other liabilities</t>
        </is>
      </c>
      <c r="B27" s="6" t="n">
        <v>2578</v>
      </c>
      <c r="C27" s="6" t="n">
        <v>-534</v>
      </c>
      <c r="D27" s="6" t="n">
        <v>156</v>
      </c>
      <c r="E27" s="6" t="n">
        <v>-3953</v>
      </c>
      <c r="F27" s="6" t="n">
        <v>4565</v>
      </c>
    </row>
    <row r="28">
      <c r="A28" s="5" t="inlineStr">
        <is>
          <t>Cash generated from operations</t>
        </is>
      </c>
      <c r="B28" s="5" t="n">
        <v>5581</v>
      </c>
      <c r="C28" s="5" t="n">
        <v>2837</v>
      </c>
      <c r="D28" s="5" t="n"/>
      <c r="E28" s="5" t="n"/>
      <c r="F28" s="5" t="n"/>
    </row>
    <row r="29">
      <c r="A29" s="6" t="inlineStr">
        <is>
          <t>Income tax paid (cash)</t>
        </is>
      </c>
      <c r="B29" s="6" t="n">
        <v>-1506</v>
      </c>
      <c r="C29" s="6" t="n">
        <v>-850</v>
      </c>
      <c r="D29" s="6" t="n">
        <v>-592</v>
      </c>
      <c r="E29" s="6" t="n">
        <v>-330</v>
      </c>
      <c r="F29" s="6" t="n"/>
    </row>
    <row r="30">
      <c r="A30" s="5" t="inlineStr">
        <is>
          <t>Net cash flow from/(used in) operating activities</t>
        </is>
      </c>
      <c r="B30" s="5" t="n">
        <v>4075</v>
      </c>
      <c r="C30" s="5" t="n">
        <v>1987</v>
      </c>
      <c r="D30" s="5" t="n">
        <v>4640</v>
      </c>
      <c r="E30" s="5" t="n">
        <v>-38927</v>
      </c>
      <c r="F30" s="5" t="n">
        <v>12357</v>
      </c>
      <c r="G30" s="6" t="n">
        <v>30046</v>
      </c>
    </row>
    <row r="31">
      <c r="A31" s="5" t="inlineStr">
        <is>
          <t>Investing activities</t>
        </is>
      </c>
      <c r="B31" s="6" t="n"/>
      <c r="C31" s="6" t="n"/>
      <c r="D31" s="6" t="n"/>
      <c r="E31" s="6" t="n"/>
      <c r="F31" s="6" t="n"/>
    </row>
    <row r="32">
      <c r="A32" s="6" t="inlineStr">
        <is>
          <t>Acquisitions of property, plant and equipment</t>
        </is>
      </c>
      <c r="B32" s="6" t="n">
        <v>-278</v>
      </c>
      <c r="C32" s="6" t="n">
        <v>-150</v>
      </c>
      <c r="D32" s="6" t="n">
        <v>-416</v>
      </c>
      <c r="E32" s="6" t="n">
        <v>-637</v>
      </c>
      <c r="F32" s="6" t="n">
        <v>-632</v>
      </c>
    </row>
    <row r="33">
      <c r="A33" s="6" t="inlineStr">
        <is>
          <t>Proceeds from sale of property, plant and equipment</t>
        </is>
      </c>
      <c r="B33" s="6" t="n">
        <v>57</v>
      </c>
      <c r="C33" s="6" t="n">
        <v>30</v>
      </c>
      <c r="D33" s="6" t="n"/>
      <c r="E33" s="6" t="n"/>
      <c r="F33" s="6" t="n"/>
    </row>
    <row r="34">
      <c r="A34" s="6" t="inlineStr">
        <is>
          <t>Acquisition of intangible assets</t>
        </is>
      </c>
      <c r="B34" s="6" t="n">
        <v>-1535</v>
      </c>
      <c r="C34" s="6" t="n">
        <v>-1057</v>
      </c>
      <c r="D34" s="6" t="n">
        <v>-623</v>
      </c>
      <c r="E34" s="6" t="n">
        <v>-878</v>
      </c>
      <c r="F34" s="6" t="n">
        <v>-320</v>
      </c>
    </row>
    <row r="35">
      <c r="A35" s="6" t="inlineStr">
        <is>
          <t>Purchases of financial assets held at FVOCI</t>
        </is>
      </c>
      <c r="B35" s="6" t="n">
        <v>-14050</v>
      </c>
      <c r="C35" s="6" t="n">
        <v>-15693</v>
      </c>
      <c r="D35" s="6" t="n"/>
      <c r="E35" s="6" t="n"/>
      <c r="F35" s="6" t="n">
        <v>-17000</v>
      </c>
    </row>
    <row r="36">
      <c r="A36" s="6" t="inlineStr">
        <is>
          <t>Proceeds from sale of financial assets held at FVTOCI</t>
        </is>
      </c>
      <c r="B36" s="6" t="n">
        <v>5098</v>
      </c>
      <c r="C36" s="6" t="n">
        <v>7254</v>
      </c>
      <c r="D36" s="6" t="n">
        <v>0</v>
      </c>
      <c r="E36" s="6" t="n">
        <v>2061</v>
      </c>
      <c r="F36" s="6" t="n">
        <v>11617</v>
      </c>
    </row>
    <row r="37">
      <c r="A37" s="6" t="inlineStr">
        <is>
          <t>Purchase of financial assets held at FVTIS (unquoted investments)</t>
        </is>
      </c>
      <c r="B37" s="6" t="n">
        <v>-143</v>
      </c>
      <c r="C37" s="6" t="n">
        <v>-1775</v>
      </c>
      <c r="D37" s="6" t="n">
        <v>-1195</v>
      </c>
      <c r="E37" s="6" t="n">
        <v>-600</v>
      </c>
      <c r="F37" s="6" t="n"/>
    </row>
    <row r="38">
      <c r="A38" s="6" t="inlineStr">
        <is>
          <t>Held for sale investing activities</t>
        </is>
      </c>
      <c r="B38" s="6" t="n">
        <v>-647</v>
      </c>
      <c r="C38" s="6" t="n">
        <v>-1391</v>
      </c>
      <c r="D38" s="6" t="n"/>
      <c r="E38" s="6" t="n"/>
      <c r="F38" s="6" t="n"/>
    </row>
    <row r="39">
      <c r="A39" s="6" t="inlineStr">
        <is>
          <t>Proceeds from sale of financial assets held at FVTIS (unquoted investments)</t>
        </is>
      </c>
      <c r="B39" s="6" t="n">
        <v>4394</v>
      </c>
      <c r="C39" s="6" t="n">
        <v>14735</v>
      </c>
      <c r="D39" s="6" t="n">
        <v>0</v>
      </c>
      <c r="E39" s="6" t="n">
        <v>11468</v>
      </c>
      <c r="F39" s="6" t="n">
        <v>23238</v>
      </c>
    </row>
    <row r="40">
      <c r="A40" s="6" t="inlineStr">
        <is>
          <t>Cash flow received from discontinued operations</t>
        </is>
      </c>
      <c r="B40" s="6" t="n"/>
      <c r="C40" s="6" t="n"/>
      <c r="D40" s="6" t="n">
        <v>0</v>
      </c>
      <c r="E40" s="6" t="n">
        <v>14253</v>
      </c>
      <c r="F40" s="6" t="n"/>
    </row>
    <row r="41">
      <c r="A41" s="6" t="inlineStr">
        <is>
          <t>Dividend received from associate</t>
        </is>
      </c>
      <c r="B41" s="6" t="n"/>
      <c r="C41" s="6" t="n"/>
      <c r="D41" s="6" t="n"/>
      <c r="E41" s="6" t="n"/>
      <c r="F41" s="6" t="n">
        <v>859</v>
      </c>
    </row>
    <row r="42">
      <c r="A42" s="6" t="inlineStr">
        <is>
          <t>Investments in subsidiaries</t>
        </is>
      </c>
      <c r="B42" s="6" t="n"/>
      <c r="C42" s="6" t="n"/>
      <c r="D42" s="6" t="n"/>
      <c r="E42" s="6" t="n"/>
      <c r="F42" s="6" t="n">
        <v>-437</v>
      </c>
    </row>
    <row r="43">
      <c r="A43" s="6" t="inlineStr">
        <is>
          <t>Net proceeds from disposal of property held for sale</t>
        </is>
      </c>
      <c r="B43" s="6" t="n"/>
      <c r="C43" s="6" t="n"/>
      <c r="D43" s="6" t="n">
        <v>0</v>
      </c>
      <c r="E43" s="6" t="n">
        <v>4537</v>
      </c>
      <c r="F43" s="6" t="n">
        <v>0</v>
      </c>
    </row>
    <row r="44">
      <c r="A44" s="5" t="inlineStr">
        <is>
          <t>Net cash flow from/(used in) investing activities</t>
        </is>
      </c>
      <c r="B44" s="5" t="n">
        <v>-7104</v>
      </c>
      <c r="C44" s="5" t="n">
        <v>1953</v>
      </c>
      <c r="D44" s="5" t="n">
        <v>-2234</v>
      </c>
      <c r="E44" s="5" t="n">
        <v>30204</v>
      </c>
      <c r="F44" s="5" t="n">
        <v>17325</v>
      </c>
      <c r="G44" s="6" t="n">
        <v>10353</v>
      </c>
    </row>
    <row r="45">
      <c r="A45" s="5" t="inlineStr">
        <is>
          <t>Financing activities</t>
        </is>
      </c>
      <c r="B45" s="6" t="n"/>
      <c r="C45" s="6" t="n"/>
      <c r="D45" s="6" t="n"/>
      <c r="E45" s="6" t="n"/>
      <c r="F45" s="6" t="n"/>
    </row>
    <row r="46">
      <c r="A46" s="6" t="inlineStr">
        <is>
          <t>Acquisition of subsidiaries</t>
        </is>
      </c>
      <c r="B46" s="6" t="n"/>
      <c r="C46" s="6" t="n"/>
      <c r="D46" s="6" t="n">
        <v>0</v>
      </c>
      <c r="E46" s="6" t="n">
        <v>-9218</v>
      </c>
      <c r="F46" s="6" t="n"/>
    </row>
    <row r="47">
      <c r="A47" s="6" t="inlineStr">
        <is>
          <t>Cash outflow for lease liabilities</t>
        </is>
      </c>
      <c r="B47" s="6" t="n">
        <v>-267</v>
      </c>
      <c r="C47" s="6" t="n">
        <v>-401</v>
      </c>
      <c r="D47" s="6" t="n">
        <v>-701</v>
      </c>
      <c r="E47" s="6" t="n">
        <v>-672</v>
      </c>
      <c r="F47" s="6" t="n">
        <v>-724</v>
      </c>
    </row>
    <row r="48">
      <c r="A48" s="6" t="inlineStr">
        <is>
          <t>Held for sale financing activities</t>
        </is>
      </c>
      <c r="B48" s="6" t="n">
        <v>-40</v>
      </c>
      <c r="C48" s="6" t="n">
        <v>-296</v>
      </c>
      <c r="D48" s="6" t="n"/>
      <c r="E48" s="6" t="n"/>
      <c r="F48" s="6" t="n"/>
    </row>
    <row r="49">
      <c r="A49" s="5" t="inlineStr">
        <is>
          <t>Net cash flow from/(used in) financing activities</t>
        </is>
      </c>
      <c r="B49" s="5" t="n">
        <v>-307</v>
      </c>
      <c r="C49" s="5" t="n">
        <v>-697</v>
      </c>
      <c r="D49" s="5" t="n">
        <v>-701</v>
      </c>
      <c r="E49" s="5" t="n">
        <v>-9890</v>
      </c>
      <c r="F49" s="5" t="n">
        <v>-724</v>
      </c>
      <c r="G49" s="6" t="n">
        <v>-36904</v>
      </c>
    </row>
    <row r="50">
      <c r="A50" s="5" t="inlineStr">
        <is>
          <t>Net (decrease)/increase in cash and cash equivalents</t>
        </is>
      </c>
      <c r="B50" s="5" t="n">
        <v>-3336</v>
      </c>
      <c r="C50" s="5" t="n">
        <v>3243</v>
      </c>
      <c r="D50" s="5" t="n">
        <v>1705</v>
      </c>
      <c r="E50" s="5" t="n">
        <v>-18613</v>
      </c>
      <c r="F50" s="5" t="n">
        <v>28958</v>
      </c>
      <c r="G50" s="6"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row>
    <row r="53">
      <c r="A53" s="5" t="inlineStr">
        <is>
          <t>Cash and cash equivalents at end of year</t>
        </is>
      </c>
      <c r="B53" s="5" t="n">
        <v>24599</v>
      </c>
      <c r="C53" s="5" t="n">
        <v>27823</v>
      </c>
      <c r="D53" s="5" t="n">
        <v>24596</v>
      </c>
      <c r="E53" s="5" t="n">
        <v>22845</v>
      </c>
      <c r="F53" s="5" t="n">
        <v>41598</v>
      </c>
      <c r="G53" s="6" t="n">
        <v>11900</v>
      </c>
    </row>
    <row r="54">
      <c r="A54" s="5" t="inlineStr">
        <is>
          <t>Additional information on operational cash flows from profit and dividends</t>
        </is>
      </c>
      <c r="B54" s="6" t="n"/>
      <c r="C54" s="6" t="n"/>
      <c r="D54" s="6" t="n"/>
      <c r="E54" s="6" t="n"/>
      <c r="F54" s="6" t="n"/>
    </row>
    <row r="55">
      <c r="A55" s="6" t="inlineStr">
        <is>
          <t>Profit paid</t>
        </is>
      </c>
      <c r="B55" s="6" t="n">
        <v>48829</v>
      </c>
      <c r="C55" s="6" t="n">
        <v>53847</v>
      </c>
      <c r="D55" s="6" t="n">
        <v>23431</v>
      </c>
      <c r="E55" s="6" t="n">
        <v>14671</v>
      </c>
      <c r="F55" s="6" t="n"/>
    </row>
    <row r="56">
      <c r="A56" s="6" t="inlineStr">
        <is>
          <t>Profit received</t>
        </is>
      </c>
      <c r="B56" s="6" t="n">
        <v>65797</v>
      </c>
      <c r="C56" s="6" t="n">
        <v>65387</v>
      </c>
      <c r="D56" s="6" t="n">
        <v>55817</v>
      </c>
      <c r="E56" s="6" t="n">
        <v>43043</v>
      </c>
      <c r="F56" s="6" t="n"/>
    </row>
    <row r="57">
      <c r="A57" s="6" t="inlineStr">
        <is>
          <t>Dividend received</t>
        </is>
      </c>
      <c r="B57" s="6" t="n">
        <v>0</v>
      </c>
      <c r="C57" s="6" t="n">
        <v>659</v>
      </c>
      <c r="D57" s="6" t="n">
        <v>845</v>
      </c>
      <c r="E57" s="6" t="n">
        <v>844</v>
      </c>
      <c r="F57" s="6" t="n"/>
    </row>
    <row r="58"/>
    <row r="59" ht="340" customHeight="1">
      <c r="A59" s="9"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value, by IFRS 9 stage</t>
        </is>
      </c>
      <c r="B4" s="6" t="n"/>
      <c r="C4" s="6" t="n"/>
      <c r="D4" s="6" t="n"/>
      <c r="E4" s="6" t="n"/>
      <c r="F4" s="6" t="n"/>
    </row>
    <row r="5">
      <c r="A5" s="6" t="inlineStr">
        <is>
          <t>Stage 1 (12m ECL)</t>
        </is>
      </c>
      <c r="B5" s="6" t="n">
        <v>1098978</v>
      </c>
      <c r="C5" s="6" t="n">
        <v>1155258</v>
      </c>
      <c r="D5" s="6" t="n">
        <v>1193879</v>
      </c>
      <c r="E5" s="6" t="n">
        <v>1113761</v>
      </c>
      <c r="F5" s="6" t="n">
        <v>812023</v>
      </c>
    </row>
    <row r="6">
      <c r="A6" s="6" t="inlineStr">
        <is>
          <t>Stage 2 (lifetime ECL)</t>
        </is>
      </c>
      <c r="B6" s="6" t="n">
        <v>94477</v>
      </c>
      <c r="C6" s="6" t="n">
        <v>91462</v>
      </c>
      <c r="D6" s="6" t="n">
        <v>116499</v>
      </c>
      <c r="E6" s="6" t="n">
        <v>106426</v>
      </c>
      <c r="F6" s="6" t="n">
        <v>79034</v>
      </c>
    </row>
    <row r="7">
      <c r="A7" s="6" t="inlineStr">
        <is>
          <t>Stage 3 (lifetime ECL)</t>
        </is>
      </c>
      <c r="B7" s="6" t="n">
        <v>83611</v>
      </c>
      <c r="C7" s="6" t="n">
        <v>79036</v>
      </c>
      <c r="D7" s="6" t="n">
        <v>57596</v>
      </c>
      <c r="E7" s="6" t="n">
        <v>17035</v>
      </c>
      <c r="F7" s="6" t="n">
        <v>13666</v>
      </c>
    </row>
    <row r="8">
      <c r="A8" s="5" t="inlineStr">
        <is>
          <t>Total gross carrying value</t>
        </is>
      </c>
      <c r="B8" s="5" t="n">
        <v>1277066</v>
      </c>
      <c r="C8" s="5" t="n">
        <v>1325756</v>
      </c>
      <c r="D8" s="5" t="n">
        <v>1367974</v>
      </c>
      <c r="E8" s="5" t="n">
        <v>1237222</v>
      </c>
      <c r="F8" s="5" t="n">
        <v>904723</v>
      </c>
    </row>
    <row r="9">
      <c r="A9" s="5" t="inlineStr">
        <is>
          <t>Loss allowance, by IFRS 9 stage</t>
        </is>
      </c>
      <c r="B9" s="6" t="n"/>
      <c r="C9" s="6" t="n"/>
      <c r="D9" s="6" t="n"/>
      <c r="E9" s="6" t="n"/>
      <c r="F9" s="6" t="n"/>
    </row>
    <row r="10">
      <c r="A10" s="6" t="inlineStr">
        <is>
          <t>Stage 1 (12m ECL)</t>
        </is>
      </c>
      <c r="B10" s="6" t="n">
        <v>-1363</v>
      </c>
      <c r="C10" s="6" t="n">
        <v>-790</v>
      </c>
      <c r="D10" s="6" t="n">
        <v>-1379</v>
      </c>
      <c r="E10" s="6" t="n">
        <v>-3108</v>
      </c>
      <c r="F10" s="6" t="n">
        <v>-413</v>
      </c>
    </row>
    <row r="11">
      <c r="A11" s="6" t="inlineStr">
        <is>
          <t>Stage 2 (lifetime ECL)</t>
        </is>
      </c>
      <c r="B11" s="6" t="n">
        <v>-512</v>
      </c>
      <c r="C11" s="6" t="n">
        <v>-497</v>
      </c>
      <c r="D11" s="6" t="n">
        <v>-1362</v>
      </c>
      <c r="E11" s="6" t="n">
        <v>-5586</v>
      </c>
      <c r="F11" s="6" t="n">
        <v>-2468</v>
      </c>
    </row>
    <row r="12">
      <c r="A12" s="6" t="inlineStr">
        <is>
          <t>Stage 3 (lifetime ECL)</t>
        </is>
      </c>
      <c r="B12" s="6" t="n">
        <v>-10632</v>
      </c>
      <c r="C12" s="6" t="n">
        <v>-8533</v>
      </c>
      <c r="D12" s="6" t="n">
        <v>-7430</v>
      </c>
      <c r="E12" s="6" t="n">
        <v>-632</v>
      </c>
      <c r="F12" s="6" t="n">
        <v>-731</v>
      </c>
    </row>
    <row r="13">
      <c r="A13" s="5" t="inlineStr">
        <is>
          <t>Total loss allowance</t>
        </is>
      </c>
      <c r="B13" s="5" t="n">
        <v>-12507</v>
      </c>
      <c r="C13" s="5" t="n">
        <v>-9820</v>
      </c>
      <c r="D13" s="5" t="n">
        <v>-10171</v>
      </c>
      <c r="E13" s="5" t="n">
        <v>-9326</v>
      </c>
      <c r="F13" s="5" t="n">
        <v>-3612</v>
      </c>
    </row>
    <row r="14">
      <c r="A14" s="5" t="inlineStr">
        <is>
          <t>Carrying value under IFRS 9, by stage</t>
        </is>
      </c>
      <c r="B14" s="6" t="n"/>
      <c r="C14" s="6" t="n"/>
      <c r="D14" s="6" t="n"/>
      <c r="E14" s="6" t="n"/>
      <c r="F14" s="6" t="n"/>
    </row>
    <row r="15">
      <c r="A15" s="6" t="inlineStr">
        <is>
          <t>Stage 1</t>
        </is>
      </c>
      <c r="B15" s="6" t="n">
        <v>1097615</v>
      </c>
      <c r="C15" s="6" t="n">
        <v>1154468</v>
      </c>
      <c r="D15" s="6" t="n">
        <v>1192500</v>
      </c>
      <c r="E15" s="6" t="n">
        <v>1110653</v>
      </c>
      <c r="F15" s="6" t="n">
        <v>811610</v>
      </c>
    </row>
    <row r="16">
      <c r="A16" s="6" t="inlineStr">
        <is>
          <t>Stage 2</t>
        </is>
      </c>
      <c r="B16" s="6" t="n">
        <v>93965</v>
      </c>
      <c r="C16" s="6" t="n">
        <v>90965</v>
      </c>
      <c r="D16" s="6" t="n">
        <v>115137</v>
      </c>
      <c r="E16" s="6" t="n">
        <v>100840</v>
      </c>
      <c r="F16" s="6" t="n">
        <v>76566</v>
      </c>
    </row>
    <row r="17">
      <c r="A17" s="6" t="inlineStr">
        <is>
          <t>Stage 3</t>
        </is>
      </c>
      <c r="B17" s="6" t="n">
        <v>72979</v>
      </c>
      <c r="C17" s="6" t="n">
        <v>70503</v>
      </c>
      <c r="D17" s="6" t="n">
        <v>50166</v>
      </c>
      <c r="E17" s="6" t="n">
        <v>16403</v>
      </c>
      <c r="F17" s="6" t="n">
        <v>12935</v>
      </c>
    </row>
    <row r="18">
      <c r="A18" s="5" t="inlineStr">
        <is>
          <t>Total carrying value (Financing and advances at amortised cost)</t>
        </is>
      </c>
      <c r="B18" s="5" t="n">
        <v>1264559</v>
      </c>
      <c r="C18" s="5" t="n">
        <v>1315936</v>
      </c>
      <c r="D18" s="5" t="n">
        <v>1357803</v>
      </c>
      <c r="E18" s="5" t="n">
        <v>1227896</v>
      </c>
      <c r="F18" s="5" t="n">
        <v>901111</v>
      </c>
    </row>
    <row r="19">
      <c r="A19" s="5" t="inlineStr">
        <is>
          <t>Derived ratios</t>
        </is>
      </c>
      <c r="B19" s="6" t="n"/>
      <c r="C19" s="6" t="n"/>
      <c r="D19" s="6" t="n"/>
      <c r="E19" s="6" t="n"/>
      <c r="F19" s="6" t="n"/>
    </row>
    <row r="20">
      <c r="A20" s="6" t="inlineStr">
        <is>
          <t>Stage 3 / total gross carrying value (NPL ratio)</t>
        </is>
      </c>
      <c r="B20" s="6" t="inlineStr">
        <is>
          <t>6.55%</t>
        </is>
      </c>
      <c r="C20" s="6" t="inlineStr">
        <is>
          <t>5.96%</t>
        </is>
      </c>
      <c r="D20" s="6" t="inlineStr">
        <is>
          <t>4.21%</t>
        </is>
      </c>
      <c r="E20" s="6" t="inlineStr">
        <is>
          <t>1.38%</t>
        </is>
      </c>
      <c r="F20" s="6" t="inlineStr">
        <is>
          <t>1.51%</t>
        </is>
      </c>
    </row>
    <row r="21">
      <c r="A21" s="6" t="inlineStr">
        <is>
          <t>Total loss allowance coverage (total allowance / total gross)</t>
        </is>
      </c>
      <c r="B21" s="6" t="inlineStr">
        <is>
          <t>0.98%</t>
        </is>
      </c>
      <c r="C21" s="6" t="inlineStr">
        <is>
          <t>0.74%</t>
        </is>
      </c>
      <c r="D21" s="6" t="inlineStr">
        <is>
          <t>0.74%</t>
        </is>
      </c>
      <c r="E21" s="6" t="inlineStr">
        <is>
          <t>0.75%</t>
        </is>
      </c>
      <c r="F21" s="6" t="inlineStr">
        <is>
          <t>0.40%</t>
        </is>
      </c>
    </row>
    <row r="22">
      <c r="A22" s="6" t="inlineStr">
        <is>
          <t>Stage 3 coverage (Stage 3 loss allowance / Stage 3 gross)</t>
        </is>
      </c>
      <c r="B22" s="6" t="inlineStr">
        <is>
          <t>12.72%</t>
        </is>
      </c>
      <c r="C22" s="6" t="inlineStr">
        <is>
          <t>10.80%</t>
        </is>
      </c>
      <c r="D22" s="6" t="inlineStr">
        <is>
          <t>12.90%</t>
        </is>
      </c>
      <c r="E22" s="6" t="inlineStr">
        <is>
          <t>3.71%</t>
        </is>
      </c>
      <c r="F22" s="6" t="inlineStr">
        <is>
          <t>5.35%</t>
        </is>
      </c>
    </row>
    <row r="24" ht="300" customHeight="1">
      <c r="A24" s="9"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KM1 Key Metrics</t>
        </is>
      </c>
    </row>
    <row r="2">
      <c r="A2" s="2" t="inlineStr">
        <is>
          <t>The Bank's own UK KM1 key-metrics template, reproduced in its own row order, row numbers, labels and precision. Amounts in £'m, ratios as printed (the source prints them without a percent sign, under a heading that states they are percentages). Each edition prints five quarterly columns; only column T - that edition's own year-end - is used. FY2021 is the FY2022 edition's 31 December 2021 comparative column. FY2025 carries no template figures: no FY2025 Pillar 3 has been published, and the top row states that in the column itself. FY2017 predates the template entirely.</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Not published - no FY2025 Pillar III edition as at 19/09/2026</t>
        </is>
      </c>
      <c r="C4" s="6" t="n"/>
      <c r="D4" s="6" t="n"/>
      <c r="E4" s="6" t="n"/>
      <c r="F4" s="6" t="n"/>
    </row>
    <row r="5">
      <c r="A5" s="5" t="inlineStr">
        <is>
          <t>Available own funds (amounts)</t>
        </is>
      </c>
      <c r="B5" s="6" t="n"/>
      <c r="C5" s="6" t="n"/>
      <c r="D5" s="6" t="n"/>
      <c r="E5" s="6" t="n"/>
      <c r="F5" s="6" t="n"/>
    </row>
    <row r="6">
      <c r="A6" s="6" t="inlineStr">
        <is>
          <t>1  Common Equity Tier 1 (CET1) capital (£'m)</t>
        </is>
      </c>
      <c r="B6" s="6" t="n"/>
      <c r="C6" s="6" t="n">
        <v>108.6</v>
      </c>
      <c r="D6" s="6" t="n">
        <v>108.2</v>
      </c>
      <c r="E6" s="6" t="n">
        <v>103.2</v>
      </c>
      <c r="F6" s="6" t="n">
        <v>94.5</v>
      </c>
    </row>
    <row r="7">
      <c r="A7" s="6" t="inlineStr">
        <is>
          <t>2  Tier 1 capital (£'m)</t>
        </is>
      </c>
      <c r="B7" s="6" t="n"/>
      <c r="C7" s="6" t="n">
        <v>108.6</v>
      </c>
      <c r="D7" s="6" t="n">
        <v>108.2</v>
      </c>
      <c r="E7" s="6" t="n">
        <v>103.2</v>
      </c>
      <c r="F7" s="6" t="n">
        <v>94.5</v>
      </c>
    </row>
    <row r="8">
      <c r="A8" s="6" t="inlineStr">
        <is>
          <t>3  Total capital (£'m)</t>
        </is>
      </c>
      <c r="B8" s="6" t="n"/>
      <c r="C8" s="6" t="n">
        <v>127.1</v>
      </c>
      <c r="D8" s="6" t="n">
        <v>126.7</v>
      </c>
      <c r="E8" s="6" t="n">
        <v>112.2</v>
      </c>
      <c r="F8" s="6" t="n">
        <v>103.5</v>
      </c>
    </row>
    <row r="9">
      <c r="A9" s="5" t="inlineStr">
        <is>
          <t>Risk-weighted exposure amounts</t>
        </is>
      </c>
      <c r="B9" s="6" t="n"/>
      <c r="C9" s="6" t="n"/>
      <c r="D9" s="6" t="n"/>
      <c r="E9" s="6" t="n"/>
      <c r="F9" s="6" t="n"/>
    </row>
    <row r="10">
      <c r="A10" s="6" t="inlineStr">
        <is>
          <t>4  Total risk-weighted exposure amount (£'m)</t>
        </is>
      </c>
      <c r="B10" s="6" t="n"/>
      <c r="C10" s="6" t="n">
        <v>636.7</v>
      </c>
      <c r="D10" s="6" t="n">
        <v>644.8</v>
      </c>
      <c r="E10" s="6" t="n">
        <v>594.7</v>
      </c>
      <c r="F10" s="6" t="n">
        <v>523</v>
      </c>
    </row>
    <row r="11">
      <c r="A11" s="5" t="inlineStr">
        <is>
          <t>Capital ratios (as a percentage of risk-weighted exposure amount)</t>
        </is>
      </c>
      <c r="B11" s="6" t="n"/>
      <c r="C11" s="6" t="n"/>
      <c r="D11" s="6" t="n"/>
      <c r="E11" s="6" t="n"/>
      <c r="F11" s="6" t="n"/>
    </row>
    <row r="12">
      <c r="A12" s="6" t="inlineStr">
        <is>
          <t>5  Common Equity Tier 1 ratio (%)</t>
        </is>
      </c>
      <c r="B12" s="6" t="n"/>
      <c r="C12" s="6" t="n">
        <v>17.1</v>
      </c>
      <c r="D12" s="6" t="n">
        <v>16.8</v>
      </c>
      <c r="E12" s="6" t="n">
        <v>17.4</v>
      </c>
      <c r="F12" s="6" t="n">
        <v>18.1</v>
      </c>
    </row>
    <row r="13">
      <c r="A13" s="6" t="inlineStr">
        <is>
          <t>6  Tier 1 ratio (%)</t>
        </is>
      </c>
      <c r="B13" s="6" t="n"/>
      <c r="C13" s="6" t="n">
        <v>17.1</v>
      </c>
      <c r="D13" s="6" t="n">
        <v>16.8</v>
      </c>
      <c r="E13" s="6" t="n">
        <v>17.4</v>
      </c>
      <c r="F13" s="6" t="n">
        <v>18.1</v>
      </c>
    </row>
    <row r="14">
      <c r="A14" s="6" t="inlineStr">
        <is>
          <t>7  Total capital ratio (%)</t>
        </is>
      </c>
      <c r="B14" s="6" t="n"/>
      <c r="C14" s="6" t="n">
        <v>20</v>
      </c>
      <c r="D14" s="6" t="n">
        <v>19.6</v>
      </c>
      <c r="E14" s="6" t="n">
        <v>18.9</v>
      </c>
      <c r="F14" s="6" t="n">
        <v>19.8</v>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v>7.3</v>
      </c>
      <c r="D16" s="6" t="n">
        <v>7.3</v>
      </c>
      <c r="E16" s="6" t="n">
        <v>2.8</v>
      </c>
      <c r="F16" s="6" t="n">
        <v>2</v>
      </c>
    </row>
    <row r="17">
      <c r="A17" s="6" t="inlineStr">
        <is>
          <t>UK 7d  Total SREP own funds requirements (%)</t>
        </is>
      </c>
      <c r="B17" s="6" t="n"/>
      <c r="C17" s="6" t="n">
        <v>13</v>
      </c>
      <c r="D17" s="6" t="n">
        <v>13</v>
      </c>
      <c r="E17" s="6" t="n">
        <v>13</v>
      </c>
      <c r="F17" s="6" t="n">
        <v>11.6</v>
      </c>
    </row>
    <row r="18">
      <c r="A18" s="5" t="inlineStr">
        <is>
          <t>Combined buffer requirement (as a percentage of risk-weighted exposure amount)</t>
        </is>
      </c>
      <c r="B18" s="6" t="n"/>
      <c r="C18" s="6" t="n"/>
      <c r="D18" s="6" t="n"/>
      <c r="E18" s="6" t="n"/>
      <c r="F18" s="6" t="n"/>
    </row>
    <row r="19">
      <c r="A19" s="6" t="inlineStr">
        <is>
          <t>8  Capital conservation buffer (%)</t>
        </is>
      </c>
      <c r="B19" s="6" t="n"/>
      <c r="C19" s="6" t="n">
        <v>2.5</v>
      </c>
      <c r="D19" s="6" t="n">
        <v>2.5</v>
      </c>
      <c r="E19" s="6" t="n">
        <v>2.5</v>
      </c>
      <c r="F19" s="6" t="n">
        <v>2.5</v>
      </c>
    </row>
    <row r="20">
      <c r="A20" s="6" t="inlineStr">
        <is>
          <t>9  Institution specific countercyclical capital buffer (%)</t>
        </is>
      </c>
      <c r="B20" s="6" t="n"/>
      <c r="C20" s="6" t="n">
        <v>1.5</v>
      </c>
      <c r="D20" s="6" t="n">
        <v>1.4</v>
      </c>
      <c r="E20" s="6" t="n">
        <v>0.7</v>
      </c>
      <c r="F20" s="6" t="n">
        <v>0</v>
      </c>
    </row>
    <row r="21">
      <c r="A21" s="6" t="inlineStr">
        <is>
          <t>UK 11a  Overall capital requirements (%)</t>
        </is>
      </c>
      <c r="B21" s="6" t="n"/>
      <c r="C21" s="6" t="n">
        <v>17</v>
      </c>
      <c r="D21" s="6" t="n">
        <v>16.9</v>
      </c>
      <c r="E21" s="6" t="n">
        <v>16.2</v>
      </c>
      <c r="F21" s="6" t="n">
        <v>14.2</v>
      </c>
    </row>
    <row r="22">
      <c r="A22" s="5" t="inlineStr">
        <is>
          <t>Leverage ratio</t>
        </is>
      </c>
      <c r="B22" s="6" t="n"/>
      <c r="C22" s="6" t="n"/>
      <c r="D22" s="6" t="n"/>
      <c r="E22" s="6" t="n"/>
      <c r="F22" s="6" t="n"/>
    </row>
    <row r="23">
      <c r="A23" s="6" t="inlineStr">
        <is>
          <t>13  Total exposure measure excluding claims on central banks (£'m)</t>
        </is>
      </c>
      <c r="B23" s="6" t="n"/>
      <c r="C23" s="6" t="n">
        <v>1460.6</v>
      </c>
      <c r="D23" s="6" t="n">
        <v>1487.9</v>
      </c>
      <c r="E23" s="6" t="n">
        <v>1382.5</v>
      </c>
      <c r="F23" s="6" t="n">
        <v>1028.4</v>
      </c>
    </row>
    <row r="24">
      <c r="A24" s="6" t="inlineStr">
        <is>
          <t>14  Leverage ratio excluding claims on central banks (%)</t>
        </is>
      </c>
      <c r="B24" s="6" t="n"/>
      <c r="C24" s="6" t="n">
        <v>7.4</v>
      </c>
      <c r="D24" s="6" t="n">
        <v>7.3</v>
      </c>
      <c r="E24" s="6" t="n">
        <v>7.5</v>
      </c>
      <c r="F24" s="6" t="n">
        <v>9.199999999999999</v>
      </c>
    </row>
    <row r="25">
      <c r="A25" s="5" t="inlineStr">
        <is>
          <t>Additional leverage ratio disclosure requirements</t>
        </is>
      </c>
      <c r="B25" s="6" t="n"/>
      <c r="C25" s="6" t="n"/>
      <c r="D25" s="6" t="n"/>
      <c r="E25" s="6" t="n"/>
      <c r="F25" s="6" t="n"/>
    </row>
    <row r="26">
      <c r="A26" s="6" t="inlineStr">
        <is>
          <t>14b  Leverage ratio including claims on central banks (%)</t>
        </is>
      </c>
      <c r="B26" s="6" t="n"/>
      <c r="C26" s="6" t="n">
        <v>7.4</v>
      </c>
      <c r="D26" s="6" t="n">
        <v>7.3</v>
      </c>
      <c r="E26" s="6" t="n">
        <v>7.5</v>
      </c>
      <c r="F26" s="6" t="n">
        <v>9.199999999999999</v>
      </c>
    </row>
    <row r="27">
      <c r="A27" s="5" t="inlineStr">
        <is>
          <t>Liquidity Coverage Ratio</t>
        </is>
      </c>
      <c r="B27" s="6" t="n"/>
      <c r="C27" s="6" t="n"/>
      <c r="D27" s="6" t="n"/>
      <c r="E27" s="6" t="n"/>
      <c r="F27" s="6" t="n"/>
    </row>
    <row r="28">
      <c r="A28" s="6" t="inlineStr">
        <is>
          <t>15  Total high-quality liquid assets (HQLA) (Weighted value -average) (£'m)</t>
        </is>
      </c>
      <c r="B28" s="6" t="n"/>
      <c r="C28" s="6" t="n">
        <v>39.8</v>
      </c>
      <c r="D28" s="6" t="n">
        <v>38.7</v>
      </c>
      <c r="E28" s="6" t="n">
        <v>39.4</v>
      </c>
      <c r="F28" s="6" t="n">
        <v>33.1</v>
      </c>
    </row>
    <row r="29">
      <c r="A29" s="6" t="inlineStr">
        <is>
          <t>UK 16a  Cash outflows - Total weighted value (£'m)</t>
        </is>
      </c>
      <c r="B29" s="6" t="n"/>
      <c r="C29" s="6" t="n">
        <v>35.5</v>
      </c>
      <c r="D29" s="6" t="n">
        <v>22.4</v>
      </c>
      <c r="E29" s="6" t="n">
        <v>44.9</v>
      </c>
      <c r="F29" s="6" t="n">
        <v>36.2</v>
      </c>
    </row>
    <row r="30">
      <c r="A30" s="6" t="inlineStr">
        <is>
          <t>UK 16b  Cash inflows - Total weighted value (£'m)</t>
        </is>
      </c>
      <c r="B30" s="6" t="n"/>
      <c r="C30" s="6" t="n">
        <v>94.40000000000001</v>
      </c>
      <c r="D30" s="6" t="n">
        <v>81.40000000000001</v>
      </c>
      <c r="E30" s="6" t="n">
        <v>115.3</v>
      </c>
      <c r="F30" s="6" t="n">
        <v>39.1</v>
      </c>
    </row>
    <row r="31">
      <c r="A31" s="6" t="inlineStr">
        <is>
          <t>16  Total net cash outflows (adjusted value) (£'m)</t>
        </is>
      </c>
      <c r="B31" s="6" t="n"/>
      <c r="C31" s="6" t="n">
        <v>8.9</v>
      </c>
      <c r="D31" s="6" t="n">
        <v>5.6</v>
      </c>
      <c r="E31" s="6" t="n">
        <v>11.2</v>
      </c>
      <c r="F31" s="6" t="n">
        <v>9</v>
      </c>
    </row>
    <row r="32">
      <c r="A32" s="6" t="inlineStr">
        <is>
          <t>17  Liquidity coverage ratio (%)</t>
        </is>
      </c>
      <c r="B32" s="6" t="n"/>
      <c r="C32" s="6" t="n">
        <v>447.6</v>
      </c>
      <c r="D32" s="6" t="n">
        <v>691.6</v>
      </c>
      <c r="E32" s="6" t="n">
        <v>350.7</v>
      </c>
      <c r="F32" s="6" t="n">
        <v>365.4</v>
      </c>
    </row>
    <row r="33">
      <c r="A33" s="5" t="inlineStr">
        <is>
          <t>Net Stable Funding Ratio (FY2021 prints '-' in the source: the CRR2 requirement took effect 1 January 2022)</t>
        </is>
      </c>
      <c r="B33" s="6" t="n"/>
      <c r="C33" s="6" t="n"/>
      <c r="D33" s="6" t="n"/>
      <c r="E33" s="6" t="n"/>
      <c r="F33" s="6" t="n"/>
    </row>
    <row r="34">
      <c r="A34" s="6" t="inlineStr">
        <is>
          <t>18  Total available stable funding (£'m)</t>
        </is>
      </c>
      <c r="B34" s="6" t="n"/>
      <c r="C34" s="6" t="n">
        <v>1331.2</v>
      </c>
      <c r="D34" s="6" t="n">
        <v>1370.4</v>
      </c>
      <c r="E34" s="6" t="n">
        <v>1201.5</v>
      </c>
      <c r="F34" s="6" t="inlineStr">
        <is>
          <t>-</t>
        </is>
      </c>
    </row>
    <row r="35">
      <c r="A35" s="6" t="inlineStr">
        <is>
          <t>19  Total required stable funding (£'m)</t>
        </is>
      </c>
      <c r="B35" s="6" t="n"/>
      <c r="C35" s="6" t="n">
        <v>866.9</v>
      </c>
      <c r="D35" s="6" t="n">
        <v>906.8</v>
      </c>
      <c r="E35" s="6" t="n">
        <v>797.9</v>
      </c>
      <c r="F35" s="6" t="inlineStr">
        <is>
          <t>-</t>
        </is>
      </c>
    </row>
    <row r="36">
      <c r="A36" s="6" t="inlineStr">
        <is>
          <t>20  NSFR ratio (%)</t>
        </is>
      </c>
      <c r="B36" s="6" t="n"/>
      <c r="C36" s="6" t="n">
        <v>153.5</v>
      </c>
      <c r="D36" s="6" t="n">
        <v>151.1</v>
      </c>
      <c r="E36" s="6" t="n">
        <v>150.6</v>
      </c>
      <c r="F36" s="6" t="inlineStr">
        <is>
          <t>-</t>
        </is>
      </c>
    </row>
    <row r="38" ht="740" customHeight="1">
      <c r="A3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
KM1 key-metrics table by edition (printed folios, not PDF sheet indices): FY2024 = Pillar III Disclosures 2024, folio 32. FY2023 = Pillar III Disclosures 2023, folio 31. FY2022 = Pillar III Disclosures 2022, folios 32-33 (the table breaks across a page boundary: rows 18-20, the Net Stable Funding Ratio block, sit on folio 33). FY2021 = the 31 December 2021 (T-4) comparative column of that same 2022 edition.
LATEST-EDITION CHECK: the Bank's own corporate-governance publications index was read live on 2026-09-17. It lists Pillar III editions for 2017-2024 and no 2025 edition, while separately listing an Annual Report 2025. The newest Pillar III disclosure is therefore FY2024, and FY2025 is blank on this sheet because no FY2025 edition exists - not because none was looked for.
KM1 KEY METRICS SHEET - WHAT THIS IS AND HOW IT WAS BUILT
Gatehouse Bank prints the UK KM1 key-metrics template with the Bank's own row numbers (1-9, UK 7a, UK 7d, UK 11a, 13, 14, 14b, 15, UK 16a, UK 16b, 16-20). Those numbers are reproduced exactly as printed and are NOT renumbered onto the full template sequence.
ONLY COLUMN 'T' OF EACH EDITION IS USED. Each edition prints FIVE quarterly columns (T, T-1, T-2, T-3, T-4). Only column T - the edition's own year-end - is transcribed into that edition's FY column. The intermediate quarters are real disclosures but they are not year-ends and are not carried into a financial-year column. The editions corroborate each other on this reading: the 2024 edition's T-4 column (108.2) is exactly the 2023 edition's T column, and the 2022 edition's T-4 column (94.5) is the FY2021 year-end, so the column dating is confirmed from the documents themselves rather than assumed.
FY2021 IS A COMPARATIVE COLUMN, NOT AN OWN EDITION. The FY2021 Pillar 3 edition does not carry the key-metrics template. The FY2021 column here is therefore the FY2022 edition's own 31 December 2021 (T-4) column, reproduced in that edition's row structure and flagged so it is never mistaken for a FY2021-edition disclosure.
ROWS 18, 19 AND 20 CARRY A DASH FOR FY2021 BECAUSE THAT IS WHAT THE SOURCE PRINTS. The FY2022 edition's NSFR block prints '-' in its 31 December 2021 column - re-read off folio 33 of that edition on 2026-09-18 - so those three cells carry a literal '-'. The CRR2 NSFR requirement took effect on 1 January 2022, so the Bank is stating that the ratio did not apply to it at that date rather than failing to publish a figure. That is a different statement from a BLANK cell on this sheet, which means the Bank printed nothing at all; and it is a different statement again from a printed zero, which would be a measured nil.
ROWS THE BANK DOES NOT PRINT ARE ABSENT, NOT ZERO. Rows 10, 11, 12, UK 7c and UK 14a-14f do not appear in any edition of this table. The Bank states in its own appendices that blank cells have been removed from its templates, so their absence is the Bank's presentation choice and is reproduced as absence. They are not filled in from any other source.
THE TOP ROW IS NOT PART OF THE TEMPLATE (added 2026-09-19). It is bracketed, unnumbered and labelled '[Edition status for this year - not a KM1 template row]'. It exists only so that the FY2025 column states in the grid what this note states in prose: there is no FY2025 edition to transcribe. It carries no figure, it is not one of the Bank's rows, and the Bank's own rows below it are untouched - same order, same numbers, same labels, same precision.
SOURCE DEFECT RECORDED, NOT CORRECTED: in the 2024 edition, row 13 prints '1433,3' in its T-2 column -a comma where a decimal point belongs. That column is not transcribed here (only column T is), but the defect is recorded so a later reader does not treat it as a transcription slip of this workbook's.</t>
        </is>
      </c>
    </row>
  </sheetData>
  <mergeCells count="1">
    <mergeCell ref="A38:F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CET1 ratio — Annual Report 2025 KPI table (Bank's own KPI basis, not Pillar 3)</t>
        </is>
      </c>
      <c r="B5" s="6" t="inlineStr">
        <is>
          <t>15.74%</t>
        </is>
      </c>
      <c r="C5" s="6" t="inlineStr">
        <is>
          <t>16.56%</t>
        </is>
      </c>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Tier 1 ratio — Annual Report 2025 KPI table, shown there as the CET1 ratio (Tier 1 = CET1: no AT1 in issue). Bank's own KPI basis, not Pillar 3</t>
        </is>
      </c>
      <c r="B5" s="6" t="inlineStr">
        <is>
          <t>15.74%</t>
        </is>
      </c>
      <c r="C5" s="6" t="inlineStr">
        <is>
          <t>16.56%</t>
        </is>
      </c>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Not published - no FY2025 Pillar III edition; figure absent from Annual Report 2025</t>
        </is>
      </c>
      <c r="C4" s="6" t="inlineStr">
        <is>
          <t>20.0%</t>
        </is>
      </c>
      <c r="D4" s="6" t="inlineStr">
        <is>
          <t>19.6%</t>
        </is>
      </c>
      <c r="E4" s="6" t="inlineStr">
        <is>
          <t>18.9%</t>
        </is>
      </c>
      <c r="F4" s="6" t="inlineStr">
        <is>
          <t>19.8%</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Unlike the CET1 and leverage ratios, the Annual Report 2025 prints NO total capital ratio anywhere: its Key Performance Indicators table (p.21) carries only CET1 ratio, leverage ratio and average risk weight, and its Strategic Report (p.20) says only that 'our total regulatory capital and total capital adequacy ratios [exceed] the minimum levels required' - a qualitative statement with no figure. The regulatory capital note (p.126) gives the capital AMOUNT (Total regulatory capital £111,120k) but no denominator. It is not computed from the amount and the KPI table's average risk weight.</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inlineStr">
        <is>
          <t>Not published - no FY2025 Pillar III edition; figure absent from Annual Report 2025</t>
        </is>
      </c>
      <c r="C4" s="6" t="n">
        <v>636.7</v>
      </c>
      <c r="D4" s="6" t="n">
        <v>644.8</v>
      </c>
      <c r="E4" s="6" t="n">
        <v>594.7</v>
      </c>
      <c r="F4" s="6" t="n">
        <v>523</v>
      </c>
      <c r="G4" s="6" t="n">
        <v>256.2</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prints no risk-weighted-asset amount in any year column: a text search of the full report returns 'risk weighted' only in the KPI footnote definitions on p.21 and in the narrative phrase 'risk weighted asset intensity' on the same page (richness control: the same extraction returns 2,129 hits for ' the ', so the document has a real text layer and the absence is the document's, not the instrument's). The KPI table's 'Average risk weight' of 40.97% is a ratio to total assets, not an RWA, and is NOT multiplied out here.</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[No RWA breakdown published for this year - see note below]</t>
        </is>
      </c>
      <c r="B4" s="6" t="inlineStr">
        <is>
          <t>Not published - no FY2025 Pillar III edition as at 19/09/2026</t>
        </is>
      </c>
      <c r="C4" s="6" t="n"/>
      <c r="D4" s="6" t="n"/>
      <c r="E4" s="6" t="n"/>
      <c r="F4" s="6" t="n"/>
    </row>
    <row r="5">
      <c r="A5" s="5" t="inlineStr">
        <is>
          <t>Credit risk RWA, by exposure class (Standardised approach)</t>
        </is>
      </c>
      <c r="B5" s="6" t="n"/>
      <c r="C5" s="6" t="n"/>
      <c r="D5" s="6" t="n"/>
      <c r="E5" s="6" t="n"/>
      <c r="F5" s="6" t="n"/>
    </row>
    <row r="6">
      <c r="A6" s="6" t="inlineStr">
        <is>
          <t>Cash and balances with banks</t>
        </is>
      </c>
      <c r="B6" s="6" t="n"/>
      <c r="C6" s="6" t="n">
        <v>4.8</v>
      </c>
      <c r="D6" s="6" t="n">
        <v>4.5</v>
      </c>
      <c r="E6" s="6" t="n">
        <v>3.5</v>
      </c>
      <c r="F6" s="6" t="n">
        <v>3.6</v>
      </c>
    </row>
    <row r="7">
      <c r="A7" s="6" t="inlineStr">
        <is>
          <t>Financing and advances at amortised cost</t>
        </is>
      </c>
      <c r="B7" s="6" t="n"/>
      <c r="C7" s="6" t="n">
        <v>498.8</v>
      </c>
      <c r="D7" s="6" t="n">
        <v>499.3</v>
      </c>
      <c r="E7" s="6" t="n">
        <v>446.7</v>
      </c>
      <c r="F7" s="6" t="n">
        <v>356.3</v>
      </c>
    </row>
    <row r="8">
      <c r="A8" s="6" t="inlineStr">
        <is>
          <t>Financial assets held at fair value through the income statement</t>
        </is>
      </c>
      <c r="B8" s="6" t="n"/>
      <c r="C8" s="6" t="n">
        <v>10.9</v>
      </c>
      <c r="D8" s="6" t="n">
        <v>27.4</v>
      </c>
      <c r="E8" s="6" t="n">
        <v>25.6</v>
      </c>
      <c r="F8" s="6" t="n">
        <v>55.7</v>
      </c>
    </row>
    <row r="9">
      <c r="A9" s="6" t="inlineStr">
        <is>
          <t>Financial assets at fair value through other comprehensive income</t>
        </is>
      </c>
      <c r="B9" s="6" t="n"/>
      <c r="C9" s="6" t="n">
        <v>0</v>
      </c>
      <c r="D9" s="6" t="n">
        <v>0</v>
      </c>
      <c r="E9" s="6" t="n">
        <v>0</v>
      </c>
      <c r="F9" s="6" t="n">
        <v>0</v>
      </c>
    </row>
    <row r="10">
      <c r="A10" s="6" t="inlineStr">
        <is>
          <t>Derivative financial instruments</t>
        </is>
      </c>
      <c r="B10" s="6" t="n"/>
      <c r="C10" s="6" t="n">
        <v>6.2</v>
      </c>
      <c r="D10" s="6" t="n">
        <v>6.6</v>
      </c>
      <c r="E10" s="6" t="n">
        <v>6.8</v>
      </c>
      <c r="F10" s="6" t="n">
        <v>0.5</v>
      </c>
    </row>
    <row r="11">
      <c r="A11" s="6" t="inlineStr">
        <is>
          <t>Investment in subsidiaries</t>
        </is>
      </c>
      <c r="B11" s="6" t="n"/>
      <c r="C11" s="6" t="n">
        <v>29.3</v>
      </c>
      <c r="D11" s="6" t="n">
        <v>29.2</v>
      </c>
      <c r="E11" s="6" t="n">
        <v>26.4</v>
      </c>
      <c r="F11" s="6" t="n">
        <v>6.5</v>
      </c>
    </row>
    <row r="12">
      <c r="A12" s="6" t="inlineStr">
        <is>
          <t>Investment in associates</t>
        </is>
      </c>
      <c r="B12" s="6" t="n"/>
      <c r="C12" s="6" t="n"/>
      <c r="D12" s="6" t="n"/>
      <c r="E12" s="6" t="n"/>
      <c r="F12" s="6" t="n">
        <v>28.3</v>
      </c>
    </row>
    <row r="13">
      <c r="A13" s="6" t="inlineStr">
        <is>
          <t>Other assets</t>
        </is>
      </c>
      <c r="B13" s="6" t="n"/>
      <c r="C13" s="6" t="n">
        <v>7.6</v>
      </c>
      <c r="D13" s="6" t="n">
        <v>4.3</v>
      </c>
      <c r="E13" s="6" t="n">
        <v>4.4</v>
      </c>
      <c r="F13" s="6" t="n">
        <v>3.9</v>
      </c>
    </row>
    <row r="14">
      <c r="A14" s="6" t="inlineStr">
        <is>
          <t>Off balance sheet assets</t>
        </is>
      </c>
      <c r="B14" s="6" t="n"/>
      <c r="C14" s="6" t="n">
        <v>6.3</v>
      </c>
      <c r="D14" s="6" t="n">
        <v>3.8</v>
      </c>
      <c r="E14" s="6" t="n">
        <v>12.9</v>
      </c>
      <c r="F14" s="6" t="n">
        <v>8.199999999999999</v>
      </c>
    </row>
    <row r="15">
      <c r="A15" s="5" t="inlineStr">
        <is>
          <t>Credit risk RWA, total</t>
        </is>
      </c>
      <c r="B15" s="5" t="n"/>
      <c r="C15" s="5" t="n">
        <v>563.9</v>
      </c>
      <c r="D15" s="5" t="n">
        <v>575.1</v>
      </c>
      <c r="E15" s="5" t="n">
        <v>526.3</v>
      </c>
      <c r="F15" s="5" t="n">
        <v>463</v>
      </c>
    </row>
    <row r="16">
      <c r="A16" s="6" t="inlineStr">
        <is>
          <t>Operational risk RWA (derived: disclosed Pillar 1 capital requirement ÷ 8%)</t>
        </is>
      </c>
      <c r="B16" s="6" t="n"/>
      <c r="C16" s="6" t="n">
        <v>52.5</v>
      </c>
      <c r="D16" s="6" t="n">
        <v>60</v>
      </c>
      <c r="E16" s="6" t="n">
        <v>47.5</v>
      </c>
      <c r="F16" s="6" t="n">
        <v>35</v>
      </c>
    </row>
    <row r="17">
      <c r="A17" s="6" t="inlineStr">
        <is>
          <t>Market risk, CVA and other Pillar 1 RWA (residual — Total RWA less disclosed Credit Risk and derived Operational Risk RWA)</t>
        </is>
      </c>
      <c r="B17" s="6" t="n"/>
      <c r="C17" s="6" t="n">
        <v>20.3</v>
      </c>
      <c r="D17" s="6" t="n">
        <v>9.699999999999999</v>
      </c>
      <c r="E17" s="6" t="n">
        <v>20.9</v>
      </c>
      <c r="F17" s="6" t="n">
        <v>25</v>
      </c>
    </row>
    <row r="18">
      <c r="A18" s="5" t="inlineStr">
        <is>
          <t>Total RWAs</t>
        </is>
      </c>
      <c r="B18" s="5" t="n"/>
      <c r="C18" s="5" t="n">
        <v>636.7</v>
      </c>
      <c r="D18" s="5" t="n">
        <v>644.8</v>
      </c>
      <c r="E18" s="5" t="n">
        <v>594.7</v>
      </c>
      <c r="F18" s="5" t="n">
        <v>523</v>
      </c>
    </row>
    <row r="20" ht="380" customHeight="1">
      <c r="A20" s="9"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Not published - no FY2025 Pillar III edition as at 19/09/2026</t>
        </is>
      </c>
      <c r="C4" s="6" t="inlineStr">
        <is>
          <t>7.4%</t>
        </is>
      </c>
      <c r="D4" s="6" t="inlineStr">
        <is>
          <t>7.3%</t>
        </is>
      </c>
      <c r="E4" s="6" t="inlineStr">
        <is>
          <t>7.5%</t>
        </is>
      </c>
      <c r="F4" s="6" t="inlineStr">
        <is>
          <t>9.2%</t>
        </is>
      </c>
      <c r="G4" s="6" t="inlineStr">
        <is>
          <t>37.8%</t>
        </is>
      </c>
    </row>
    <row r="5">
      <c r="A5" s="6" t="inlineStr">
        <is>
          <t>Leverage ratio — Annual Report 2025 KPI table (Tier 1 capital ÷ total exposures, Bank's own KPI basis, not Pillar 3)</t>
        </is>
      </c>
      <c r="B5" s="6" t="inlineStr">
        <is>
          <t>6.53%</t>
        </is>
      </c>
      <c r="C5" s="6" t="inlineStr">
        <is>
          <t>7.29%</t>
        </is>
      </c>
      <c r="D5" s="6" t="n"/>
      <c r="E5" s="6" t="n"/>
      <c r="F5" s="6" t="n"/>
      <c r="G5" s="6" t="n"/>
    </row>
    <row r="6">
      <c r="A6" s="6" t="inlineStr">
        <is>
          <t>Total leverage ratio exposure (£m)</t>
        </is>
      </c>
      <c r="B6" s="6" t="n"/>
      <c r="C6" s="6" t="n"/>
      <c r="D6" s="6" t="n"/>
      <c r="E6" s="6" t="n"/>
      <c r="F6" s="6" t="n"/>
      <c r="G6" s="6" t="n">
        <v>253.3</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9" ht="260"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Not disclosed - AR2025 is qualitative on LCR; no FY2025 Pillar III edition</t>
        </is>
      </c>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mentions the LCR exactly once, in the Strategic Report's business-model section (printed p.20): 'the Bank maintained solid capital, funding and liquidity levels. Our liquidity coverage ratio remained comfortably above the regulatory threshold'. That is the whole of it - no percentage, no buffer amount, no net-outflow amount, and no LCR table anywhere in the report. A qualitative assurance is not a disclosed ratio and is not transcribed as one. The figure would come from the FY2025 Pillar 3, which does not exist yet.</t>
        </is>
      </c>
    </row>
    <row r="9" ht="260"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no FY2025 Pillar III edition; NSFR absent from AR2025</t>
        </is>
      </c>
      <c r="C4" s="6" t="inlineStr">
        <is>
          <t>153.5%</t>
        </is>
      </c>
      <c r="D4" s="6" t="inlineStr">
        <is>
          <t>151.1%</t>
        </is>
      </c>
      <c r="E4" s="6" t="inlineStr">
        <is>
          <t>150.6%</t>
        </is>
      </c>
    </row>
    <row r="5" ht="6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FY2025 IS A RECORDED ABSENCE, NOT AN UNCHECKED CELL (2026-09-19): unlike the LCR, the NSFR is not even mentioned qualitatively in the Annual Report 2025 - 'net stable funding', 'NSFR' and 'stable funding' all return zero hits across the full report (richness control: ' the ' returns 2,129 hits in the same extraction).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Unreached today – FY2025 Pillar 3 is 'available on request' only (AR2025 p.125); not on the index, CDN or Wayback CDX (2026-09-18/19); Common Crawl 2026-04..2026-39 checked. AR2025 has no MREL</t>
        </is>
      </c>
      <c r="C4" s="6" t="inlineStr">
        <is>
          <t>Not published – zero 'MREL' in the FY2024 Pillar 3 and in AR2025, which carries FY2024 comparatives (searched 2026-09-19); absent from BoE MREL-above-MCR lists 2023-26</t>
        </is>
      </c>
      <c r="D4" s="6" t="inlineStr">
        <is>
          <t>Not published – zero 'MREL' in the FY2023 Pillar 3 and Annual Report (full text searched 2026-09-19); Gatehouse absent from BoE MREL-above-MCR lists 2023-26</t>
        </is>
      </c>
      <c r="E4" s="6" t="inlineStr">
        <is>
          <t>Not published – zero 'MREL' in the FY2022 Pillar 3 and Annual Report (full text searched 2026-09-19); Gatehouse absent from BoE MREL-above-MCR lists 2023-26</t>
        </is>
      </c>
      <c r="F4" s="6" t="inlineStr">
        <is>
          <t>Not published – zero 'MREL' in the FY2021 Pillar 3 and Annual Report (full text searched 2026-09-19); Gatehouse absent from BoE MREL-above-MCR lists 2023-26</t>
        </is>
      </c>
      <c r="G4" s="6" t="inlineStr">
        <is>
          <t>Not published – zero 'MREL' in the FY2017 Pillar 3 and Annual Report (full text searched 2026-09-19); Gatehouse absent from BoE MREL-above-MCR lists 2023-26</t>
        </is>
      </c>
    </row>
    <row r="5" ht="60" customHeight="1">
      <c r="A5" s="7" t="inlineStr">
        <is>
          <t>Note: Not publicly disclosed any year, and no exemption is stated in the Bank's own documents. POSITIVE RECORD ADDED 18 September 2026 (KM1-032): this note previously explained the absence as 'consistent with a small deposit taker below MREL-setting thresholds', which was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Gatehouse Bank plc is named in none of the four editions (18 firms at most in any one of them). So the absence has an affirmative reason: the firm has either no MREL above its minimum capital requirement, or no UK-incorporated resolution entity. Note the BoE publishes the REQUIREMENT, not the ratio a bank holds against it, so nothing from that table is or could be transcribed onto this sheet - it establishes that there was nothing for the Bank to disclose. GA-020 RE-CHECK 2026-09-19: the 2017, 2021, 2022, 2023 and 2024 Pillar 3 editions and the 2017, 2021, 2022, 2023 and 2025 Annual Reports (the *_URL documents above, text-native, 64-130 'capital' hits each) return zero 'MREL', 'loss-absorbing' or 'eligible liabilities'. FY2025 stays 'Unreached today' because its Pillar 3 exists but is 'available on request' only (AR2025 p.125) and has not been read. File-host check 2026-09-19: the live corporate-governance page lists Pillar 3 up to 2024 only; every PDF it links sits on assets.gatehousebank.com (BunnyCDN over S3, not listable - 403); Wayback CDX matchType=domain on that host holds Pillar III 2017-2024 and nothing for 2025; filename guesses (2025-FINAL, 2025, Pillar-3-2025, slug pillar-3-disclosure-2025) 404 while the 2024 control returns %PDF. COMMON CRAWL (2026-09-19): gatehousebank.com and all its subdomains (incl. assets.) in every crawl CC-MAIN-2026-04..2026-39 (11 crawls, 278-863 records each): Pillar III 2018-2022 and 2024 PDFs and the 2017-2022 download slugs are captured (positive control), no 2025 Pillar 3 under any name.</t>
        </is>
      </c>
    </row>
    <row r="7" ht="150" customHeight="1">
      <c r="A7" s="9"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2026-10-08T23:03:35Z</dcterms:created>
  <dcterms:modified xmlns:dcterms="http://purl.org/dc/terms/" xmlns:xsi="http://www.w3.org/2001/XMLSchema-instance" xsi:type="dcterms:W3CDTF">2026-10-08T23:03:35Z</dcterms:modified>
</cp:coreProperties>
</file>