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3574</v>
      </c>
      <c r="C6" s="5" t="n">
        <v>2907.4</v>
      </c>
      <c r="D6" s="5" t="n">
        <v>2609.5</v>
      </c>
      <c r="E6" s="5" t="n">
        <v>1867.4</v>
      </c>
      <c r="F6" s="5" t="n">
        <v>1700.3</v>
      </c>
      <c r="I6" t="inlineStr">
        <is>
          <t>Total assets</t>
        </is>
      </c>
      <c r="J6" t="n">
        <v>1700.3</v>
      </c>
      <c r="K6" t="n">
        <v>1867.4</v>
      </c>
      <c r="L6" t="n">
        <v>2609.5</v>
      </c>
      <c r="M6" t="n">
        <v>2907.4</v>
      </c>
      <c r="N6" t="n">
        <v>3574</v>
      </c>
      <c r="AO6" t="inlineStr">
        <is>
          <t>CET1 Ratio</t>
        </is>
      </c>
      <c r="AP6" t="n">
        <v>29.1</v>
      </c>
      <c r="AQ6" t="n">
        <v>26.4</v>
      </c>
      <c r="AR6" t="n">
        <v>20.5</v>
      </c>
      <c r="AS6" t="n">
        <v>18.8</v>
      </c>
      <c r="AT6" t="n">
        <v>16.5</v>
      </c>
    </row>
    <row r="7">
      <c r="A7" s="5" t="inlineStr">
        <is>
          <t>Amounts receivable from customers</t>
        </is>
      </c>
      <c r="B7" s="5" t="n">
        <v>2003.2</v>
      </c>
      <c r="C7" s="5" t="n">
        <v>1419.2</v>
      </c>
      <c r="D7" s="5" t="n">
        <v>1382.9</v>
      </c>
      <c r="E7" s="5" t="n">
        <v>1257.9</v>
      </c>
      <c r="F7" s="5" t="n">
        <v>1091.5</v>
      </c>
      <c r="I7" t="inlineStr">
        <is>
          <t>Amounts receivable from customers</t>
        </is>
      </c>
      <c r="J7" t="n">
        <v>1091.5</v>
      </c>
      <c r="K7" t="n">
        <v>1257.9</v>
      </c>
      <c r="L7" t="n">
        <v>1382.9</v>
      </c>
      <c r="M7" t="n">
        <v>1419.2</v>
      </c>
      <c r="N7" t="n">
        <v>2003.2</v>
      </c>
      <c r="AO7" t="inlineStr">
        <is>
          <t>Tier 1 Ratio</t>
        </is>
      </c>
      <c r="AP7" t="n">
        <v>29.1</v>
      </c>
      <c r="AQ7" t="n">
        <v>26.4</v>
      </c>
      <c r="AR7" t="n">
        <v>20.5</v>
      </c>
      <c r="AS7" t="n">
        <v>18.8</v>
      </c>
      <c r="AT7" t="n">
        <v>19.3</v>
      </c>
    </row>
    <row r="8">
      <c r="A8" s="5" t="inlineStr">
        <is>
          <t>Retail deposits</t>
        </is>
      </c>
      <c r="B8" s="5" t="n">
        <v>3019.9</v>
      </c>
      <c r="C8" s="5" t="n">
        <v>2428.1</v>
      </c>
      <c r="D8" s="5" t="n">
        <v>1950.5</v>
      </c>
      <c r="E8" s="5" t="n">
        <v>1100.6</v>
      </c>
      <c r="F8" s="5" t="n">
        <v>1018.6</v>
      </c>
      <c r="I8" t="inlineStr">
        <is>
          <t>Retail deposits</t>
        </is>
      </c>
      <c r="J8" t="n">
        <v>1018.6</v>
      </c>
      <c r="K8" t="n">
        <v>1100.6</v>
      </c>
      <c r="L8" t="n">
        <v>1950.5</v>
      </c>
      <c r="M8" t="n">
        <v>2428.1</v>
      </c>
      <c r="N8" t="n">
        <v>3019.9</v>
      </c>
      <c r="AO8" t="inlineStr">
        <is>
          <t>Total Capital Ratio</t>
        </is>
      </c>
      <c r="AP8" t="n">
        <v>40.6</v>
      </c>
      <c r="AQ8" t="n">
        <v>37.5</v>
      </c>
      <c r="AR8" t="n">
        <v>30.6</v>
      </c>
      <c r="AS8" t="n">
        <v>29.7</v>
      </c>
      <c r="AT8" t="n">
        <v>26.1</v>
      </c>
    </row>
    <row r="9">
      <c r="A9" s="5" t="inlineStr">
        <is>
          <t>Total equity</t>
        </is>
      </c>
      <c r="B9" s="5" t="n">
        <v>438</v>
      </c>
      <c r="C9" s="5" t="n">
        <v>361.7</v>
      </c>
      <c r="D9" s="5" t="n">
        <v>393.7</v>
      </c>
      <c r="E9" s="5" t="n">
        <v>385</v>
      </c>
      <c r="F9" s="5" t="n">
        <v>385.3</v>
      </c>
      <c r="I9" t="inlineStr">
        <is>
          <t>Total equity</t>
        </is>
      </c>
      <c r="J9" t="n">
        <v>385.3</v>
      </c>
      <c r="K9" t="n">
        <v>385</v>
      </c>
      <c r="L9" t="n">
        <v>393.7</v>
      </c>
      <c r="M9" t="n">
        <v>361.7</v>
      </c>
      <c r="N9" t="n">
        <v>438</v>
      </c>
      <c r="AO9" t="inlineStr">
        <is>
          <t>Leverage Ratio</t>
        </is>
      </c>
      <c r="AP9" t="n">
        <v>18.1</v>
      </c>
      <c r="AQ9" t="n">
        <v>21</v>
      </c>
      <c r="AR9" t="n">
        <v>16.4</v>
      </c>
      <c r="AS9" t="n">
        <v>13.9</v>
      </c>
      <c r="AT9" t="n">
        <v>12.1</v>
      </c>
    </row>
    <row r="10">
      <c r="AO10" t="inlineStr">
        <is>
          <t>LCR</t>
        </is>
      </c>
      <c r="AP10" t="n">
        <v>2073</v>
      </c>
      <c r="AQ10" t="n">
        <v>986.2</v>
      </c>
      <c r="AR10" t="n">
        <v>847.1</v>
      </c>
      <c r="AS10" t="n">
        <v>1001.2</v>
      </c>
      <c r="AT10" t="n">
        <v>391.6</v>
      </c>
    </row>
    <row r="11">
      <c r="A11" s="3" t="inlineStr">
        <is>
          <t>Profit &amp; Loss Summary (£m)</t>
        </is>
      </c>
      <c r="AO11" t="inlineStr">
        <is>
          <t>NSFR</t>
        </is>
      </c>
      <c r="AQ11" t="n">
        <v>140.4</v>
      </c>
      <c r="AR11" t="n">
        <v>142.8</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374.3</v>
      </c>
      <c r="C13" s="5" t="n">
        <v>366.3</v>
      </c>
      <c r="D13" s="5" t="n">
        <v>385.4</v>
      </c>
      <c r="E13" s="5" t="n">
        <v>375.4</v>
      </c>
      <c r="F13" s="5" t="n"/>
      <c r="Q13" t="inlineStr">
        <is>
          <t>Total income</t>
        </is>
      </c>
      <c r="S13" t="n">
        <v>375.4</v>
      </c>
      <c r="T13" t="n">
        <v>385.4</v>
      </c>
      <c r="U13" t="n">
        <v>366.3</v>
      </c>
      <c r="V13" t="n">
        <v>374.3</v>
      </c>
    </row>
    <row r="14">
      <c r="A14" s="5" t="inlineStr">
        <is>
          <t>Impairment charges</t>
        </is>
      </c>
      <c r="B14" s="5" t="n">
        <v>-139.2</v>
      </c>
      <c r="C14" s="5" t="n">
        <v>-124.7</v>
      </c>
      <c r="D14" s="5" t="n">
        <v>-150.9</v>
      </c>
      <c r="E14" s="5" t="n">
        <v>-25.3</v>
      </c>
      <c r="F14" s="5" t="n">
        <v>-5.9</v>
      </c>
      <c r="Q14" t="inlineStr">
        <is>
          <t>Impairment charges</t>
        </is>
      </c>
      <c r="R14" t="n">
        <v>-5.9</v>
      </c>
      <c r="S14" t="n">
        <v>-25.3</v>
      </c>
      <c r="T14" t="n">
        <v>-150.9</v>
      </c>
      <c r="U14" t="n">
        <v>-124.7</v>
      </c>
      <c r="V14" t="n">
        <v>-139.2</v>
      </c>
    </row>
    <row r="15">
      <c r="A15" s="5" t="inlineStr">
        <is>
          <t>Operating costs</t>
        </is>
      </c>
      <c r="B15" s="5" t="n">
        <v>-190.6</v>
      </c>
      <c r="C15" s="5" t="n">
        <v>-236.6</v>
      </c>
      <c r="D15" s="5" t="n">
        <v>-223.4</v>
      </c>
      <c r="E15" s="5" t="n">
        <v>-219.7</v>
      </c>
      <c r="F15" s="5" t="n">
        <v>-195.6</v>
      </c>
      <c r="Q15" t="inlineStr">
        <is>
          <t>Operating costs</t>
        </is>
      </c>
      <c r="R15" t="n">
        <v>-195.6</v>
      </c>
      <c r="S15" t="n">
        <v>-219.7</v>
      </c>
      <c r="T15" t="n">
        <v>-223.4</v>
      </c>
      <c r="U15" t="n">
        <v>-236.6</v>
      </c>
      <c r="V15" t="n">
        <v>-190.6</v>
      </c>
    </row>
    <row r="16">
      <c r="A16" s="5" t="inlineStr">
        <is>
          <t>Profit for the year</t>
        </is>
      </c>
      <c r="B16" s="5" t="n">
        <v>35.7</v>
      </c>
      <c r="C16" s="5" t="n">
        <v>7.5</v>
      </c>
      <c r="D16" s="5" t="n">
        <v>7.6</v>
      </c>
      <c r="E16" s="5" t="n">
        <v>93.8</v>
      </c>
      <c r="F16" s="5" t="n">
        <v>146</v>
      </c>
      <c r="Q16" t="inlineStr">
        <is>
          <t>Profit for the year</t>
        </is>
      </c>
      <c r="R16" t="n">
        <v>146</v>
      </c>
      <c r="S16" t="n">
        <v>93.8</v>
      </c>
      <c r="T16" t="n">
        <v>7.6</v>
      </c>
      <c r="U16" t="n">
        <v>7.5</v>
      </c>
      <c r="V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361.7</v>
      </c>
      <c r="C20" s="5" t="n">
        <v>393.7</v>
      </c>
      <c r="D20" s="5" t="n">
        <v>385</v>
      </c>
      <c r="E20" s="5" t="n">
        <v>385.3</v>
      </c>
      <c r="F20" s="5" t="n">
        <v>327.1</v>
      </c>
      <c r="Y20" t="inlineStr">
        <is>
          <t>Opening equity</t>
        </is>
      </c>
      <c r="Z20" t="n">
        <v>327.1</v>
      </c>
      <c r="AA20" t="n">
        <v>385.3</v>
      </c>
      <c r="AB20" t="n">
        <v>385</v>
      </c>
      <c r="AC20" t="n">
        <v>393.7</v>
      </c>
      <c r="AD20" t="n">
        <v>361.7</v>
      </c>
    </row>
    <row r="21">
      <c r="A21" s="5" t="inlineStr">
        <is>
          <t>Total comprehensive income for the year</t>
        </is>
      </c>
      <c r="B21" s="5" t="n">
        <v>35.7</v>
      </c>
      <c r="C21" s="5" t="n">
        <v>7.5</v>
      </c>
      <c r="D21" s="5" t="n">
        <v>7.6</v>
      </c>
      <c r="E21" s="5" t="n">
        <v>93.8</v>
      </c>
      <c r="F21" s="5" t="n">
        <v>142.1</v>
      </c>
      <c r="Y21" t="inlineStr">
        <is>
          <t>Total comprehensive income for the year</t>
        </is>
      </c>
      <c r="Z21" t="n">
        <v>142.1</v>
      </c>
      <c r="AA21" t="n">
        <v>93.8</v>
      </c>
      <c r="AB21" t="n">
        <v>7.6</v>
      </c>
      <c r="AC21" t="n">
        <v>7.5</v>
      </c>
      <c r="AD21" t="n">
        <v>35.7</v>
      </c>
    </row>
    <row r="22">
      <c r="A22" s="5" t="inlineStr">
        <is>
          <t>Other equity movements, net</t>
        </is>
      </c>
      <c r="B22" s="5" t="n">
        <v>40.6</v>
      </c>
      <c r="C22" s="5" t="n">
        <v>-39.5</v>
      </c>
      <c r="D22" s="5" t="n">
        <v>1.1</v>
      </c>
      <c r="E22" s="5" t="n">
        <v>-94.09999999999999</v>
      </c>
      <c r="F22" s="5" t="n">
        <v>-83.90000000000001</v>
      </c>
      <c r="Y22" t="inlineStr">
        <is>
          <t>Other equity movements, net</t>
        </is>
      </c>
      <c r="Z22" t="n">
        <v>-83.90000000000001</v>
      </c>
      <c r="AA22" t="n">
        <v>-94.09999999999999</v>
      </c>
      <c r="AB22" t="n">
        <v>1.1</v>
      </c>
      <c r="AC22" t="n">
        <v>-39.5</v>
      </c>
      <c r="AD22" t="n">
        <v>40.6</v>
      </c>
    </row>
    <row r="23">
      <c r="A23" s="5" t="inlineStr">
        <is>
          <t>Closing equity</t>
        </is>
      </c>
      <c r="B23" s="5" t="n">
        <v>438</v>
      </c>
      <c r="C23" s="5" t="n">
        <v>361.7</v>
      </c>
      <c r="D23" s="5" t="n">
        <v>393.7</v>
      </c>
      <c r="E23" s="5" t="n">
        <v>385</v>
      </c>
      <c r="F23" s="5" t="n">
        <v>385.3</v>
      </c>
      <c r="Y23" t="inlineStr">
        <is>
          <t>Closing equity</t>
        </is>
      </c>
      <c r="Z23" t="n">
        <v>385.3</v>
      </c>
      <c r="AA23" t="n">
        <v>385</v>
      </c>
      <c r="AB23" t="n">
        <v>393.7</v>
      </c>
      <c r="AC23" t="n">
        <v>361.7</v>
      </c>
      <c r="AD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19.6</v>
      </c>
      <c r="C27" s="5" t="n">
        <v>469</v>
      </c>
      <c r="D27" s="5" t="n">
        <v>-534</v>
      </c>
      <c r="E27" s="5" t="n">
        <v>50.9</v>
      </c>
      <c r="F27" s="5" t="n">
        <v>180.9</v>
      </c>
      <c r="AG27" t="inlineStr">
        <is>
          <t>Net cash from/(used in) operating activities</t>
        </is>
      </c>
      <c r="AH27" t="n">
        <v>180.9</v>
      </c>
      <c r="AI27" t="n">
        <v>50.9</v>
      </c>
      <c r="AJ27" t="n">
        <v>-534</v>
      </c>
      <c r="AK27" t="n">
        <v>469</v>
      </c>
      <c r="AL27" t="n">
        <v>19.6</v>
      </c>
    </row>
    <row r="28">
      <c r="A28" s="5" t="inlineStr">
        <is>
          <t>Net cash from/(used in) investing activities</t>
        </is>
      </c>
      <c r="B28" s="5" t="n">
        <v>-267.8</v>
      </c>
      <c r="C28" s="5" t="n">
        <v>-8.5</v>
      </c>
      <c r="D28" s="5" t="n">
        <v>-8</v>
      </c>
      <c r="E28" s="5" t="n">
        <v>-21.7</v>
      </c>
      <c r="F28" s="5" t="n">
        <v>-17.6</v>
      </c>
      <c r="AG28" t="inlineStr">
        <is>
          <t>Net cash from/(used in) investing activities</t>
        </is>
      </c>
      <c r="AH28" t="n">
        <v>-17.6</v>
      </c>
      <c r="AI28" t="n">
        <v>-21.7</v>
      </c>
      <c r="AJ28" t="n">
        <v>-8</v>
      </c>
      <c r="AK28" t="n">
        <v>-8.5</v>
      </c>
      <c r="AL28" t="n">
        <v>-267.8</v>
      </c>
    </row>
    <row r="29">
      <c r="A29" s="5" t="inlineStr">
        <is>
          <t>Net cash from/(used in) financing activities</t>
        </is>
      </c>
      <c r="B29" s="5" t="n">
        <v>49</v>
      </c>
      <c r="C29" s="5" t="n">
        <v>-195.6</v>
      </c>
      <c r="D29" s="5" t="n">
        <v>809.1</v>
      </c>
      <c r="E29" s="5" t="n">
        <v>-29.6</v>
      </c>
      <c r="F29" s="5" t="n">
        <v>-583.5</v>
      </c>
      <c r="AG29" t="inlineStr">
        <is>
          <t>Net cash from/(used in) financing activities</t>
        </is>
      </c>
      <c r="AH29" t="n">
        <v>-583.5</v>
      </c>
      <c r="AI29" t="n">
        <v>-29.6</v>
      </c>
      <c r="AJ29" t="n">
        <v>809.1</v>
      </c>
      <c r="AK29" t="n">
        <v>-195.6</v>
      </c>
      <c r="AL29" t="n">
        <v>49</v>
      </c>
    </row>
    <row r="30">
      <c r="A30" s="5" t="inlineStr">
        <is>
          <t>Cash and cash equivalents at end of year</t>
        </is>
      </c>
      <c r="B30" s="5" t="n">
        <v>745.8</v>
      </c>
      <c r="C30" s="5" t="n">
        <v>945</v>
      </c>
      <c r="D30" s="5" t="n">
        <v>680.1</v>
      </c>
      <c r="E30" s="5" t="n">
        <v>413</v>
      </c>
      <c r="F30" s="5" t="n">
        <v>413.4</v>
      </c>
      <c r="AG30" t="inlineStr">
        <is>
          <t>Cash and cash equivalents at end of year</t>
        </is>
      </c>
      <c r="AH30" t="n">
        <v>413.4</v>
      </c>
      <c r="AI30" t="n">
        <v>413</v>
      </c>
      <c r="AJ30" t="n">
        <v>680.1</v>
      </c>
      <c r="AK30" t="n">
        <v>945</v>
      </c>
      <c r="AL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16.5%</t>
        </is>
      </c>
      <c r="C34" s="6" t="inlineStr">
        <is>
          <t>18.8%</t>
        </is>
      </c>
      <c r="D34" s="6" t="inlineStr">
        <is>
          <t>20.5%</t>
        </is>
      </c>
      <c r="E34" s="6" t="inlineStr">
        <is>
          <t>26.4%</t>
        </is>
      </c>
      <c r="F34" s="6" t="inlineStr">
        <is>
          <t>29.1%</t>
        </is>
      </c>
    </row>
    <row r="35">
      <c r="A35" s="6" t="inlineStr">
        <is>
          <t>Tier 1 Ratio</t>
        </is>
      </c>
      <c r="B35" s="6" t="inlineStr">
        <is>
          <t>19.3%</t>
        </is>
      </c>
      <c r="C35" s="6" t="inlineStr">
        <is>
          <t>18.8%</t>
        </is>
      </c>
      <c r="D35" s="6" t="inlineStr">
        <is>
          <t>20.5%</t>
        </is>
      </c>
      <c r="E35" s="6" t="inlineStr">
        <is>
          <t>26.4%</t>
        </is>
      </c>
      <c r="F35" s="6" t="inlineStr">
        <is>
          <t>29.1%</t>
        </is>
      </c>
    </row>
    <row r="36">
      <c r="A36" s="6" t="inlineStr">
        <is>
          <t>Total Capital Ratio</t>
        </is>
      </c>
      <c r="B36" s="6" t="inlineStr">
        <is>
          <t>26.1%</t>
        </is>
      </c>
      <c r="C36" s="6" t="inlineStr">
        <is>
          <t>29.7%</t>
        </is>
      </c>
      <c r="D36" s="6" t="inlineStr">
        <is>
          <t>30.6%</t>
        </is>
      </c>
      <c r="E36" s="6" t="inlineStr">
        <is>
          <t>37.5%</t>
        </is>
      </c>
      <c r="F36" s="6" t="inlineStr">
        <is>
          <t>40.6%</t>
        </is>
      </c>
    </row>
    <row r="37">
      <c r="A37" s="6" t="inlineStr">
        <is>
          <t>Leverage Ratio</t>
        </is>
      </c>
      <c r="B37" s="6" t="inlineStr">
        <is>
          <t>12.1%</t>
        </is>
      </c>
      <c r="C37" s="6" t="inlineStr">
        <is>
          <t>13.9%</t>
        </is>
      </c>
      <c r="D37" s="6" t="inlineStr">
        <is>
          <t>16.4%</t>
        </is>
      </c>
      <c r="E37" s="6" t="inlineStr">
        <is>
          <t>21.0%</t>
        </is>
      </c>
      <c r="F37" s="6" t="inlineStr">
        <is>
          <t>18.1%</t>
        </is>
      </c>
    </row>
    <row r="38">
      <c r="A38" s="6" t="inlineStr">
        <is>
          <t>LCR</t>
        </is>
      </c>
      <c r="B38" s="6" t="inlineStr">
        <is>
          <t>391.6%</t>
        </is>
      </c>
      <c r="C38" s="6" t="inlineStr">
        <is>
          <t>1,001.2%</t>
        </is>
      </c>
      <c r="D38" s="6" t="inlineStr">
        <is>
          <t>847.1%</t>
        </is>
      </c>
      <c r="E38" s="6" t="inlineStr">
        <is>
          <t>986.2%</t>
        </is>
      </c>
      <c r="F38" s="6" t="inlineStr">
        <is>
          <t>2,073%</t>
        </is>
      </c>
    </row>
    <row r="39">
      <c r="A39" s="6" t="inlineStr">
        <is>
          <t>NSFR</t>
        </is>
      </c>
      <c r="B39" s="6" t="n"/>
      <c r="C39" s="6" t="n"/>
      <c r="D39" s="6" t="inlineStr">
        <is>
          <t>142.8%</t>
        </is>
      </c>
      <c r="E39" s="6" t="inlineStr">
        <is>
          <t>140.4%</t>
        </is>
      </c>
      <c r="F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 Vanquis does not publish a Bank-only Pillar 3 breakdown. See the Cash Flow Statement sheet's entity note for detail.</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cash equivalents</t>
        </is>
      </c>
      <c r="B5" s="6" t="n">
        <v>745.8</v>
      </c>
      <c r="C5" s="6" t="n">
        <v>945</v>
      </c>
      <c r="D5" s="6" t="n">
        <v>680.1</v>
      </c>
      <c r="E5" s="6" t="n">
        <v>413</v>
      </c>
      <c r="F5" s="6" t="n">
        <v>413.4</v>
      </c>
    </row>
    <row r="6">
      <c r="A6" s="6" t="inlineStr">
        <is>
          <t>Investment securities</t>
        </is>
      </c>
      <c r="B6" s="6" t="n">
        <v>254.6</v>
      </c>
      <c r="C6" s="6" t="n">
        <v>0</v>
      </c>
      <c r="D6" s="6" t="n"/>
      <c r="E6" s="6" t="n"/>
      <c r="F6" s="6" t="n"/>
    </row>
    <row r="7">
      <c r="A7" s="6" t="inlineStr">
        <is>
          <t>Amounts receivable from customers</t>
        </is>
      </c>
      <c r="B7" s="6" t="n">
        <v>2003.2</v>
      </c>
      <c r="C7" s="6" t="n">
        <v>1419.2</v>
      </c>
      <c r="D7" s="6" t="n">
        <v>1382.9</v>
      </c>
      <c r="E7" s="6" t="n">
        <v>1257.9</v>
      </c>
      <c r="F7" s="6" t="n">
        <v>1091.5</v>
      </c>
    </row>
    <row r="8">
      <c r="A8" s="6" t="inlineStr">
        <is>
          <t>Trade and other receivables</t>
        </is>
      </c>
      <c r="B8" s="6" t="n">
        <v>121.2</v>
      </c>
      <c r="C8" s="6" t="n">
        <v>83.5</v>
      </c>
      <c r="D8" s="6" t="n">
        <v>67.40000000000001</v>
      </c>
      <c r="E8" s="6" t="n">
        <v>40.3</v>
      </c>
      <c r="F8" s="6" t="n">
        <v>30.5</v>
      </c>
    </row>
    <row r="9">
      <c r="A9" s="6" t="inlineStr">
        <is>
          <t>Loan to related party / ultimate parent undertaking</t>
        </is>
      </c>
      <c r="B9" s="6" t="n">
        <v>359.2</v>
      </c>
      <c r="C9" s="6" t="n">
        <v>379.7</v>
      </c>
      <c r="D9" s="6" t="n">
        <v>398.4</v>
      </c>
      <c r="E9" s="6" t="n">
        <v>69.3</v>
      </c>
      <c r="F9" s="6" t="n">
        <v>69.3</v>
      </c>
    </row>
    <row r="10">
      <c r="A10" s="6" t="inlineStr">
        <is>
          <t>Investments</t>
        </is>
      </c>
      <c r="B10" s="6" t="n">
        <v>2.4</v>
      </c>
      <c r="C10" s="6" t="n">
        <v>2.3</v>
      </c>
      <c r="D10" s="6" t="n">
        <v>5.4</v>
      </c>
      <c r="E10" s="6" t="n">
        <v>10.7</v>
      </c>
      <c r="F10" s="6" t="n">
        <v>9.1</v>
      </c>
    </row>
    <row r="11">
      <c r="A11" s="6" t="inlineStr">
        <is>
          <t>Property, plant and equipment</t>
        </is>
      </c>
      <c r="B11" s="6" t="n">
        <v>7.2</v>
      </c>
      <c r="C11" s="6" t="n">
        <v>5.4</v>
      </c>
      <c r="D11" s="6" t="n">
        <v>4.9</v>
      </c>
      <c r="E11" s="6" t="n">
        <v>4.8</v>
      </c>
      <c r="F11" s="6" t="n">
        <v>5</v>
      </c>
    </row>
    <row r="12">
      <c r="A12" s="6" t="inlineStr">
        <is>
          <t>Right-of-use assets</t>
        </is>
      </c>
      <c r="B12" s="6" t="n">
        <v>12.1</v>
      </c>
      <c r="C12" s="6" t="n">
        <v>9</v>
      </c>
      <c r="D12" s="6" t="n">
        <v>10.4</v>
      </c>
      <c r="E12" s="6" t="n">
        <v>18</v>
      </c>
      <c r="F12" s="6" t="n">
        <v>30.6</v>
      </c>
    </row>
    <row r="13">
      <c r="A13" s="6" t="inlineStr">
        <is>
          <t>Intangible assets</t>
        </is>
      </c>
      <c r="B13" s="6" t="n">
        <v>55.4</v>
      </c>
      <c r="C13" s="6" t="n">
        <v>49.5</v>
      </c>
      <c r="D13" s="6" t="n">
        <v>38.4</v>
      </c>
      <c r="E13" s="6" t="n">
        <v>34.5</v>
      </c>
      <c r="F13" s="6" t="n">
        <v>24.5</v>
      </c>
    </row>
    <row r="14">
      <c r="A14" s="6" t="inlineStr">
        <is>
          <t>Derivative financial instruments (asset)</t>
        </is>
      </c>
      <c r="B14" s="6" t="n">
        <v>4.4</v>
      </c>
      <c r="C14" s="6" t="n">
        <v>0.2</v>
      </c>
      <c r="D14" s="6" t="n">
        <v>1.2</v>
      </c>
      <c r="E14" s="6" t="n">
        <v>0</v>
      </c>
      <c r="F14" s="6" t="n"/>
    </row>
    <row r="15">
      <c r="A15" s="6" t="inlineStr">
        <is>
          <t>Current tax assets</t>
        </is>
      </c>
      <c r="B15" s="6" t="n">
        <v>0</v>
      </c>
      <c r="C15" s="6" t="n">
        <v>3.8</v>
      </c>
      <c r="D15" s="6" t="n">
        <v>8.300000000000001</v>
      </c>
      <c r="E15" s="6" t="n">
        <v>3.4</v>
      </c>
      <c r="F15" s="6" t="n">
        <v>1.4</v>
      </c>
    </row>
    <row r="16">
      <c r="A16" s="6" t="inlineStr">
        <is>
          <t>Deferred tax assets</t>
        </is>
      </c>
      <c r="B16" s="6" t="n">
        <v>8.5</v>
      </c>
      <c r="C16" s="6" t="n">
        <v>9.800000000000001</v>
      </c>
      <c r="D16" s="6" t="n">
        <v>12.1</v>
      </c>
      <c r="E16" s="6" t="n">
        <v>15.5</v>
      </c>
      <c r="F16" s="6" t="n">
        <v>25</v>
      </c>
    </row>
    <row r="17">
      <c r="A17" s="5" t="inlineStr">
        <is>
          <t>Total assets</t>
        </is>
      </c>
      <c r="B17" s="5" t="n">
        <v>3574</v>
      </c>
      <c r="C17" s="5" t="n">
        <v>2907.4</v>
      </c>
      <c r="D17" s="5" t="n">
        <v>2609.5</v>
      </c>
      <c r="E17" s="5" t="n">
        <v>1867.4</v>
      </c>
      <c r="F17" s="5" t="n">
        <v>1700.3</v>
      </c>
    </row>
    <row r="18">
      <c r="A18" s="5" t="inlineStr">
        <is>
          <t>Liabilities</t>
        </is>
      </c>
      <c r="B18" s="6" t="n"/>
      <c r="C18" s="6" t="n"/>
      <c r="D18" s="6" t="n"/>
      <c r="E18" s="6" t="n"/>
      <c r="F18" s="6" t="n"/>
    </row>
    <row r="19">
      <c r="A19" s="6" t="inlineStr">
        <is>
          <t>Trade and other payables</t>
        </is>
      </c>
      <c r="B19" s="6" t="n">
        <v>76.7</v>
      </c>
      <c r="C19" s="6" t="n">
        <v>82.59999999999999</v>
      </c>
      <c r="D19" s="6" t="n">
        <v>61.6</v>
      </c>
      <c r="E19" s="6" t="n">
        <v>175.1</v>
      </c>
      <c r="F19" s="6" t="n">
        <v>81.3</v>
      </c>
    </row>
    <row r="20">
      <c r="A20" s="6" t="inlineStr">
        <is>
          <t>Current tax liabilities</t>
        </is>
      </c>
      <c r="B20" s="6" t="n">
        <v>8.1</v>
      </c>
      <c r="C20" s="6" t="n">
        <v>0</v>
      </c>
      <c r="D20" s="6" t="n">
        <v>0</v>
      </c>
      <c r="E20" s="6" t="n">
        <v>0</v>
      </c>
      <c r="F20" s="6" t="n">
        <v>0</v>
      </c>
    </row>
    <row r="21">
      <c r="A21" s="6" t="inlineStr">
        <is>
          <t>Provisions</t>
        </is>
      </c>
      <c r="B21" s="6" t="n">
        <v>3</v>
      </c>
      <c r="C21" s="6" t="n">
        <v>9.1</v>
      </c>
      <c r="D21" s="6" t="n">
        <v>2.7</v>
      </c>
      <c r="E21" s="6" t="n">
        <v>2.2</v>
      </c>
      <c r="F21" s="6" t="n">
        <v>5.3</v>
      </c>
    </row>
    <row r="22">
      <c r="A22" s="6" t="inlineStr">
        <is>
          <t>Lease liabilities</t>
        </is>
      </c>
      <c r="B22" s="6" t="n">
        <v>21.2</v>
      </c>
      <c r="C22" s="6" t="n">
        <v>21.1</v>
      </c>
      <c r="D22" s="6" t="n">
        <v>25.3</v>
      </c>
      <c r="E22" s="6" t="n">
        <v>30.8</v>
      </c>
      <c r="F22" s="6" t="n">
        <v>37.6</v>
      </c>
    </row>
    <row r="23">
      <c r="A23" s="6" t="inlineStr">
        <is>
          <t>Retail deposits</t>
        </is>
      </c>
      <c r="B23" s="6" t="n">
        <v>3019.9</v>
      </c>
      <c r="C23" s="6" t="n">
        <v>2428.1</v>
      </c>
      <c r="D23" s="6" t="n">
        <v>1950.5</v>
      </c>
      <c r="E23" s="6" t="n">
        <v>1100.6</v>
      </c>
      <c r="F23" s="6" t="n">
        <v>1018.6</v>
      </c>
    </row>
    <row r="24">
      <c r="A24" s="6" t="inlineStr">
        <is>
          <t>Derivative financial instruments (liability)</t>
        </is>
      </c>
      <c r="B24" s="6" t="n">
        <v>7.1</v>
      </c>
      <c r="C24" s="6" t="n">
        <v>0.6</v>
      </c>
      <c r="D24" s="6" t="n">
        <v>1</v>
      </c>
      <c r="E24" s="6" t="n">
        <v>0</v>
      </c>
      <c r="F24" s="6" t="n"/>
    </row>
    <row r="25">
      <c r="A25" s="6" t="inlineStr">
        <is>
          <t>Central bank facilities</t>
        </is>
      </c>
      <c r="B25" s="6" t="n">
        <v>0</v>
      </c>
      <c r="C25" s="6" t="n">
        <v>4.2</v>
      </c>
      <c r="D25" s="6" t="n"/>
      <c r="E25" s="6" t="n"/>
      <c r="F25" s="6" t="n"/>
    </row>
    <row r="26">
      <c r="A26" s="6" t="inlineStr">
        <is>
          <t>Collateralised loan</t>
        </is>
      </c>
      <c r="B26" s="6" t="n"/>
      <c r="C26" s="6" t="n"/>
      <c r="D26" s="6" t="n">
        <v>174.7</v>
      </c>
      <c r="E26" s="6" t="n">
        <v>173.7</v>
      </c>
      <c r="F26" s="6" t="n">
        <v>172.2</v>
      </c>
    </row>
    <row r="27">
      <c r="A27" s="5" t="inlineStr">
        <is>
          <t>Total liabilities</t>
        </is>
      </c>
      <c r="B27" s="5" t="n">
        <v>3136</v>
      </c>
      <c r="C27" s="5" t="n">
        <v>2545.7</v>
      </c>
      <c r="D27" s="5" t="n">
        <v>2215.8</v>
      </c>
      <c r="E27" s="5" t="n">
        <v>1482.4</v>
      </c>
      <c r="F27" s="5" t="n">
        <v>1315</v>
      </c>
    </row>
    <row r="28">
      <c r="A28" s="5" t="inlineStr">
        <is>
          <t>Equity</t>
        </is>
      </c>
      <c r="B28" s="6" t="n"/>
      <c r="C28" s="6" t="n"/>
      <c r="D28" s="6" t="n"/>
      <c r="E28" s="6" t="n"/>
      <c r="F28" s="6" t="n"/>
    </row>
    <row r="29">
      <c r="A29" s="6" t="inlineStr">
        <is>
          <t>Share capital</t>
        </is>
      </c>
      <c r="B29" s="6" t="n">
        <v>124.2</v>
      </c>
      <c r="C29" s="6" t="n">
        <v>124.2</v>
      </c>
      <c r="D29" s="6" t="n">
        <v>124.2</v>
      </c>
      <c r="E29" s="6" t="n">
        <v>124.2</v>
      </c>
      <c r="F29" s="6" t="n">
        <v>124.2</v>
      </c>
    </row>
    <row r="30">
      <c r="A30" s="6" t="inlineStr">
        <is>
          <t>Share based payment reserve</t>
        </is>
      </c>
      <c r="B30" s="6" t="n">
        <v>1.7</v>
      </c>
      <c r="C30" s="6" t="n">
        <v>1.6</v>
      </c>
      <c r="D30" s="6" t="n">
        <v>1.8</v>
      </c>
      <c r="E30" s="6" t="n">
        <v>2.3</v>
      </c>
      <c r="F30" s="6" t="n">
        <v>1.9</v>
      </c>
    </row>
    <row r="31">
      <c r="A31" s="6" t="inlineStr">
        <is>
          <t>Retained earnings</t>
        </is>
      </c>
      <c r="B31" s="6" t="n">
        <v>252.2</v>
      </c>
      <c r="C31" s="6" t="n">
        <v>235.9</v>
      </c>
      <c r="D31" s="6" t="n">
        <v>267.7</v>
      </c>
      <c r="E31" s="6" t="n">
        <v>258.5</v>
      </c>
      <c r="F31" s="6" t="n">
        <v>259.2</v>
      </c>
    </row>
    <row r="32">
      <c r="A32" s="6" t="inlineStr">
        <is>
          <t>Other equity instruments</t>
        </is>
      </c>
      <c r="B32" s="6" t="n">
        <v>59.9</v>
      </c>
      <c r="C32" s="6" t="n">
        <v>0</v>
      </c>
      <c r="D32" s="6" t="n"/>
      <c r="E32" s="6" t="n"/>
      <c r="F32" s="6" t="n"/>
    </row>
    <row r="33">
      <c r="A33" s="5" t="inlineStr">
        <is>
          <t>Total equity</t>
        </is>
      </c>
      <c r="B33" s="5" t="n">
        <v>438</v>
      </c>
      <c r="C33" s="5" t="n">
        <v>361.7</v>
      </c>
      <c r="D33" s="5" t="n">
        <v>393.7</v>
      </c>
      <c r="E33" s="5" t="n">
        <v>385</v>
      </c>
      <c r="F33" s="5" t="n">
        <v>385.3</v>
      </c>
    </row>
    <row r="34">
      <c r="A34" s="5" t="inlineStr">
        <is>
          <t>Total liabilities and equity</t>
        </is>
      </c>
      <c r="B34" s="5" t="n">
        <v>3574</v>
      </c>
      <c r="C34" s="5" t="n">
        <v>2907.4</v>
      </c>
      <c r="D34" s="5" t="n">
        <v>2609.5</v>
      </c>
      <c r="E34" s="5" t="n">
        <v>1867.4</v>
      </c>
      <c r="F34" s="5" t="n">
        <v>1700.3</v>
      </c>
    </row>
    <row r="36" ht="200" customHeight="1">
      <c r="A36" s="8" t="inlineStr">
        <is>
          <t>Sources - Vanquis Bank Limited's own (Company) Statement of Financial Position,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'Collateralised loan' (£172.2m-£174.7m, FY2021-FY2023) is not shown as a separate line in FY2024/FY2025's own Balance Sheet - not reproduced as a blank continuing line since it is genuinely absent from those years' own statements. Total assets = Total liabilities + Total equity exactly for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income</t>
        </is>
      </c>
      <c r="B5" s="6" t="n">
        <v>460.8</v>
      </c>
      <c r="C5" s="6" t="n">
        <v>434.8</v>
      </c>
      <c r="D5" s="6" t="n">
        <v>411.4</v>
      </c>
      <c r="E5" s="6" t="n">
        <v>354.7</v>
      </c>
      <c r="F5" s="6" t="n"/>
    </row>
    <row r="6">
      <c r="A6" s="6" t="inlineStr">
        <is>
          <t>Interest expense</t>
        </is>
      </c>
      <c r="B6" s="6" t="n">
        <v>-121.1</v>
      </c>
      <c r="C6" s="6" t="n">
        <v>-105</v>
      </c>
      <c r="D6" s="6" t="n">
        <v>-69.8</v>
      </c>
      <c r="E6" s="6" t="n">
        <v>-24.5</v>
      </c>
      <c r="F6" s="6" t="n"/>
    </row>
    <row r="7">
      <c r="A7" s="5" t="inlineStr">
        <is>
          <t>Net interest income</t>
        </is>
      </c>
      <c r="B7" s="5" t="n">
        <v>339.7</v>
      </c>
      <c r="C7" s="5" t="n">
        <v>329.8</v>
      </c>
      <c r="D7" s="5" t="n">
        <v>341.6</v>
      </c>
      <c r="E7" s="5" t="n">
        <v>330.2</v>
      </c>
      <c r="F7" s="5" t="n">
        <v>379.5</v>
      </c>
    </row>
    <row r="8">
      <c r="A8" s="6" t="inlineStr">
        <is>
          <t>Income (FY2021 net presentation, pre-funding-costs)</t>
        </is>
      </c>
      <c r="B8" s="6" t="n"/>
      <c r="C8" s="6" t="n"/>
      <c r="D8" s="6" t="n"/>
      <c r="E8" s="6" t="n"/>
      <c r="F8" s="6" t="n">
        <v>405.4</v>
      </c>
    </row>
    <row r="9">
      <c r="A9" s="6" t="inlineStr">
        <is>
          <t>Funding costs (FY2021 presentation)</t>
        </is>
      </c>
      <c r="B9" s="6" t="n"/>
      <c r="C9" s="6" t="n"/>
      <c r="D9" s="6" t="n"/>
      <c r="E9" s="6" t="n"/>
      <c r="F9" s="6" t="n">
        <v>-25.9</v>
      </c>
    </row>
    <row r="10">
      <c r="A10" s="6" t="inlineStr">
        <is>
          <t>Fee and commission income</t>
        </is>
      </c>
      <c r="B10" s="6" t="n">
        <v>36.7</v>
      </c>
      <c r="C10" s="6" t="n">
        <v>36.8</v>
      </c>
      <c r="D10" s="6" t="n">
        <v>44.2</v>
      </c>
      <c r="E10" s="6" t="n">
        <v>47</v>
      </c>
      <c r="F10" s="6" t="n"/>
    </row>
    <row r="11">
      <c r="A11" s="6" t="inlineStr">
        <is>
          <t>Fee and commission expense</t>
        </is>
      </c>
      <c r="B11" s="6" t="n">
        <v>-2.4</v>
      </c>
      <c r="C11" s="6" t="n">
        <v>-1.7</v>
      </c>
      <c r="D11" s="6" t="n">
        <v>-1.7</v>
      </c>
      <c r="E11" s="6" t="n">
        <v>-2.8</v>
      </c>
      <c r="F11" s="6" t="n"/>
    </row>
    <row r="12">
      <c r="A12" s="5" t="inlineStr">
        <is>
          <t>Net fee and commission income</t>
        </is>
      </c>
      <c r="B12" s="5" t="n">
        <v>34.3</v>
      </c>
      <c r="C12" s="5" t="n">
        <v>35.1</v>
      </c>
      <c r="D12" s="5" t="n">
        <v>42.5</v>
      </c>
      <c r="E12" s="5" t="n">
        <v>44.2</v>
      </c>
      <c r="F12" s="5" t="n"/>
    </row>
    <row r="13">
      <c r="A13" s="6" t="inlineStr">
        <is>
          <t>Other income</t>
        </is>
      </c>
      <c r="B13" s="6" t="n">
        <v>0.3</v>
      </c>
      <c r="C13" s="6" t="n">
        <v>1.4</v>
      </c>
      <c r="D13" s="6" t="n">
        <v>1.3</v>
      </c>
      <c r="E13" s="6" t="n">
        <v>1</v>
      </c>
      <c r="F13" s="6" t="n"/>
    </row>
    <row r="14">
      <c r="A14" s="5" t="inlineStr">
        <is>
          <t>Total income</t>
        </is>
      </c>
      <c r="B14" s="5" t="n">
        <v>374.3</v>
      </c>
      <c r="C14" s="5" t="n">
        <v>366.3</v>
      </c>
      <c r="D14" s="5" t="n">
        <v>385.4</v>
      </c>
      <c r="E14" s="5" t="n">
        <v>375.4</v>
      </c>
      <c r="F14" s="5" t="n"/>
    </row>
    <row r="15">
      <c r="A15" s="5" t="inlineStr">
        <is>
          <t>Costs</t>
        </is>
      </c>
      <c r="B15" s="6" t="n"/>
      <c r="C15" s="6" t="n"/>
      <c r="D15" s="6" t="n"/>
      <c r="E15" s="6" t="n"/>
      <c r="F15" s="6" t="n"/>
    </row>
    <row r="16">
      <c r="A16" s="6" t="inlineStr">
        <is>
          <t>Impairment charges</t>
        </is>
      </c>
      <c r="B16" s="6" t="n">
        <v>-139.2</v>
      </c>
      <c r="C16" s="6" t="n">
        <v>-124.7</v>
      </c>
      <c r="D16" s="6" t="n">
        <v>-150.9</v>
      </c>
      <c r="E16" s="6" t="n">
        <v>-25.3</v>
      </c>
      <c r="F16" s="6" t="n">
        <v>-5.9</v>
      </c>
    </row>
    <row r="17">
      <c r="A17" s="5" t="inlineStr">
        <is>
          <t>Risk-adjusted income</t>
        </is>
      </c>
      <c r="B17" s="5" t="n">
        <v>235.1</v>
      </c>
      <c r="C17" s="5" t="n">
        <v>241.6</v>
      </c>
      <c r="D17" s="5" t="n">
        <v>234.5</v>
      </c>
      <c r="E17" s="5" t="n">
        <v>350.1</v>
      </c>
      <c r="F17" s="5" t="n">
        <v>373.6</v>
      </c>
    </row>
    <row r="18">
      <c r="A18" s="6" t="inlineStr">
        <is>
          <t>Operating costs</t>
        </is>
      </c>
      <c r="B18" s="6" t="n">
        <v>-190.6</v>
      </c>
      <c r="C18" s="6" t="n">
        <v>-236.6</v>
      </c>
      <c r="D18" s="6" t="n">
        <v>-223.4</v>
      </c>
      <c r="E18" s="6" t="n">
        <v>-219.7</v>
      </c>
      <c r="F18" s="6" t="n">
        <v>-195.6</v>
      </c>
    </row>
    <row r="19">
      <c r="A19" s="5" t="inlineStr">
        <is>
          <t>Statutory profit before taxation</t>
        </is>
      </c>
      <c r="B19" s="5" t="n">
        <v>44.5</v>
      </c>
      <c r="C19" s="5" t="n">
        <v>5</v>
      </c>
      <c r="D19" s="5" t="n">
        <v>11.1</v>
      </c>
      <c r="E19" s="5" t="n">
        <v>130.4</v>
      </c>
      <c r="F19" s="5" t="n">
        <v>178</v>
      </c>
    </row>
    <row r="20">
      <c r="A20" s="6" t="inlineStr">
        <is>
          <t>Tax (charge)/credit</t>
        </is>
      </c>
      <c r="B20" s="6" t="n">
        <v>-9.5</v>
      </c>
      <c r="C20" s="6" t="n">
        <v>1.2</v>
      </c>
      <c r="D20" s="6" t="n">
        <v>-3.5</v>
      </c>
      <c r="E20" s="6" t="n">
        <v>-36.6</v>
      </c>
      <c r="F20" s="6" t="n">
        <v>-32</v>
      </c>
    </row>
    <row r="21">
      <c r="A21" s="5" t="inlineStr">
        <is>
          <t>Statutory profit after tax from continuing operations</t>
        </is>
      </c>
      <c r="B21" s="5" t="n">
        <v>35</v>
      </c>
      <c r="C21" s="5" t="n">
        <v>6.2</v>
      </c>
      <c r="D21" s="5" t="n"/>
      <c r="E21" s="5" t="n"/>
      <c r="F21" s="5" t="n"/>
    </row>
    <row r="22">
      <c r="A22" s="6" t="inlineStr">
        <is>
          <t>Profit after taxation from discontinued operations</t>
        </is>
      </c>
      <c r="B22" s="6" t="n">
        <v>0.7</v>
      </c>
      <c r="C22" s="6" t="n">
        <v>1.3</v>
      </c>
      <c r="D22" s="6" t="n"/>
      <c r="E22" s="6" t="n"/>
      <c r="F22" s="6" t="n"/>
    </row>
    <row r="23">
      <c r="A23" s="5" t="inlineStr">
        <is>
          <t>Profit for the year</t>
        </is>
      </c>
      <c r="B23" s="5" t="n">
        <v>35.7</v>
      </c>
      <c r="C23" s="5" t="n">
        <v>7.5</v>
      </c>
      <c r="D23" s="5" t="n">
        <v>7.6</v>
      </c>
      <c r="E23" s="5" t="n">
        <v>93.8</v>
      </c>
      <c r="F23" s="5" t="n">
        <v>146</v>
      </c>
    </row>
    <row r="24">
      <c r="A24" s="5" t="inlineStr">
        <is>
          <t>Other comprehensive income</t>
        </is>
      </c>
      <c r="B24" s="6" t="n"/>
      <c r="C24" s="6" t="n"/>
      <c r="D24" s="6" t="n"/>
      <c r="E24" s="6" t="n"/>
      <c r="F24" s="6" t="n"/>
    </row>
    <row r="25">
      <c r="A25" s="6" t="inlineStr">
        <is>
          <t>Fair value movements transferred to income statement</t>
        </is>
      </c>
      <c r="B25" s="6" t="n"/>
      <c r="C25" s="6" t="n"/>
      <c r="D25" s="6" t="n"/>
      <c r="E25" s="6" t="n"/>
      <c r="F25" s="6" t="n">
        <v>-5.3</v>
      </c>
    </row>
    <row r="26">
      <c r="A26" s="6" t="inlineStr">
        <is>
          <t>Tax on items taken directly to other comprehensive income</t>
        </is>
      </c>
      <c r="B26" s="6" t="n"/>
      <c r="C26" s="6" t="n"/>
      <c r="D26" s="6" t="n"/>
      <c r="E26" s="6" t="n"/>
      <c r="F26" s="6" t="n">
        <v>1.4</v>
      </c>
    </row>
    <row r="27">
      <c r="A27" s="5" t="inlineStr">
        <is>
          <t>Other comprehensive (expense)/income for the year</t>
        </is>
      </c>
      <c r="B27" s="5" t="n"/>
      <c r="C27" s="5" t="n"/>
      <c r="D27" s="5" t="n"/>
      <c r="E27" s="5" t="n"/>
      <c r="F27" s="5" t="n">
        <v>-3.9</v>
      </c>
    </row>
    <row r="28">
      <c r="A28" s="5" t="inlineStr">
        <is>
          <t>Total comprehensive income for the year</t>
        </is>
      </c>
      <c r="B28" s="5" t="n">
        <v>35.7</v>
      </c>
      <c r="C28" s="5" t="n">
        <v>7.5</v>
      </c>
      <c r="D28" s="5" t="n">
        <v>7.6</v>
      </c>
      <c r="E28" s="5" t="n">
        <v>93.8</v>
      </c>
      <c r="F28" s="5" t="n">
        <v>142.1</v>
      </c>
    </row>
    <row r="30" ht="220" customHeight="1">
      <c r="A30"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At 31 December 2020 / At 1 January 2021</t>
        </is>
      </c>
      <c r="B4" s="5" t="n">
        <v>124.2</v>
      </c>
      <c r="C4" s="5" t="n">
        <v>2</v>
      </c>
      <c r="D4" s="5" t="n">
        <v>3.9</v>
      </c>
      <c r="E4" s="5" t="n">
        <v>197</v>
      </c>
      <c r="F4" s="5" t="n"/>
      <c r="G4" s="5" t="n">
        <v>327.1</v>
      </c>
    </row>
    <row r="5">
      <c r="A5" s="6" t="inlineStr">
        <is>
          <t>Profit for the year</t>
        </is>
      </c>
      <c r="B5" s="6" t="n"/>
      <c r="C5" s="6" t="n"/>
      <c r="D5" s="6" t="n"/>
      <c r="E5" s="6" t="n">
        <v>146</v>
      </c>
      <c r="F5" s="6" t="n"/>
      <c r="G5" s="6" t="n">
        <v>146</v>
      </c>
    </row>
    <row r="6">
      <c r="A6" s="6" t="inlineStr">
        <is>
          <t>Fair value movements transferred to income statement</t>
        </is>
      </c>
      <c r="B6" s="6" t="n"/>
      <c r="C6" s="6" t="n"/>
      <c r="D6" s="6" t="n">
        <v>-5.3</v>
      </c>
      <c r="E6" s="6" t="n"/>
      <c r="F6" s="6" t="n"/>
      <c r="G6" s="6" t="n">
        <v>-5.3</v>
      </c>
    </row>
    <row r="7">
      <c r="A7" s="6" t="inlineStr">
        <is>
          <t>Tax on items taken directly to other comprehensive income</t>
        </is>
      </c>
      <c r="B7" s="6" t="n"/>
      <c r="C7" s="6" t="n"/>
      <c r="D7" s="6" t="n">
        <v>1.4</v>
      </c>
      <c r="E7" s="6" t="n"/>
      <c r="F7" s="6" t="n"/>
      <c r="G7" s="6" t="n">
        <v>1.4</v>
      </c>
    </row>
    <row r="8">
      <c r="A8" s="5" t="inlineStr">
        <is>
          <t>Total comprehensive income for the year (FY2021)</t>
        </is>
      </c>
      <c r="B8" s="5" t="n"/>
      <c r="C8" s="5" t="n"/>
      <c r="D8" s="5" t="n">
        <v>-3.9</v>
      </c>
      <c r="E8" s="5" t="n">
        <v>146</v>
      </c>
      <c r="F8" s="5" t="n"/>
      <c r="G8" s="5" t="n">
        <v>142.1</v>
      </c>
    </row>
    <row r="9">
      <c r="A9" s="6" t="inlineStr">
        <is>
          <t>Share-based payment charge</t>
        </is>
      </c>
      <c r="B9" s="6" t="n"/>
      <c r="C9" s="6" t="n">
        <v>1.1</v>
      </c>
      <c r="D9" s="6" t="n"/>
      <c r="E9" s="6" t="n"/>
      <c r="F9" s="6" t="n"/>
      <c r="G9" s="6" t="n">
        <v>1.1</v>
      </c>
    </row>
    <row r="10">
      <c r="A10" s="6" t="inlineStr">
        <is>
          <t>Transfer of share-based payment reserve</t>
        </is>
      </c>
      <c r="B10" s="6" t="n"/>
      <c r="C10" s="6" t="n">
        <v>-1.2</v>
      </c>
      <c r="D10" s="6" t="n"/>
      <c r="E10" s="6" t="n">
        <v>1.2</v>
      </c>
      <c r="F10" s="6" t="n"/>
      <c r="G10" s="6" t="n">
        <v>0</v>
      </c>
    </row>
    <row r="11">
      <c r="A11" s="6" t="inlineStr">
        <is>
          <t>Dividends</t>
        </is>
      </c>
      <c r="B11" s="6" t="n"/>
      <c r="C11" s="6" t="n"/>
      <c r="D11" s="6" t="n"/>
      <c r="E11" s="6" t="n">
        <v>-85</v>
      </c>
      <c r="F11" s="6" t="n"/>
      <c r="G11" s="6" t="n">
        <v>-85</v>
      </c>
    </row>
    <row r="12">
      <c r="A12" s="5" t="inlineStr">
        <is>
          <t>At 31 December 2021 / At 1 January 2022</t>
        </is>
      </c>
      <c r="B12" s="5" t="n">
        <v>124.2</v>
      </c>
      <c r="C12" s="5" t="n">
        <v>1.9</v>
      </c>
      <c r="D12" s="5" t="n">
        <v>0</v>
      </c>
      <c r="E12" s="5" t="n">
        <v>259.2</v>
      </c>
      <c r="F12" s="5" t="n"/>
      <c r="G12" s="5" t="n">
        <v>385.3</v>
      </c>
    </row>
    <row r="13">
      <c r="A13" s="6" t="inlineStr">
        <is>
          <t>Profit for the year</t>
        </is>
      </c>
      <c r="B13" s="6" t="n"/>
      <c r="C13" s="6" t="n"/>
      <c r="D13" s="6" t="n"/>
      <c r="E13" s="6" t="n">
        <v>93.8</v>
      </c>
      <c r="F13" s="6" t="n"/>
      <c r="G13" s="6" t="n">
        <v>93.8</v>
      </c>
    </row>
    <row r="14">
      <c r="A14" s="5" t="inlineStr">
        <is>
          <t>Total comprehensive income for the year (FY2022)</t>
        </is>
      </c>
      <c r="B14" s="5" t="n"/>
      <c r="C14" s="5" t="n"/>
      <c r="D14" s="5" t="n"/>
      <c r="E14" s="5" t="n">
        <v>93.8</v>
      </c>
      <c r="F14" s="5" t="n"/>
      <c r="G14" s="5" t="n">
        <v>93.8</v>
      </c>
    </row>
    <row r="15">
      <c r="A15" s="6" t="inlineStr">
        <is>
          <t>Share-based payment charge</t>
        </is>
      </c>
      <c r="B15" s="6" t="n"/>
      <c r="C15" s="6" t="n">
        <v>1</v>
      </c>
      <c r="D15" s="6" t="n"/>
      <c r="E15" s="6" t="n"/>
      <c r="F15" s="6" t="n"/>
      <c r="G15" s="6" t="n">
        <v>1</v>
      </c>
    </row>
    <row r="16">
      <c r="A16" s="6" t="inlineStr">
        <is>
          <t>Transfer of share-based payment reserve</t>
        </is>
      </c>
      <c r="B16" s="6" t="n"/>
      <c r="C16" s="6" t="n">
        <v>-0.6</v>
      </c>
      <c r="D16" s="6" t="n"/>
      <c r="E16" s="6" t="n">
        <v>0.6</v>
      </c>
      <c r="F16" s="6" t="n"/>
      <c r="G16" s="6" t="n">
        <v>0</v>
      </c>
    </row>
    <row r="17">
      <c r="A17" s="6" t="inlineStr">
        <is>
          <t>Dividends</t>
        </is>
      </c>
      <c r="B17" s="6" t="n"/>
      <c r="C17" s="6" t="n"/>
      <c r="D17" s="6" t="n"/>
      <c r="E17" s="6" t="n">
        <v>-95.09999999999999</v>
      </c>
      <c r="F17" s="6" t="n"/>
      <c r="G17" s="6" t="n">
        <v>-95.09999999999999</v>
      </c>
    </row>
    <row r="18">
      <c r="A18" s="5" t="inlineStr">
        <is>
          <t>At 31 December 2022 / At 1 January 2023</t>
        </is>
      </c>
      <c r="B18" s="5" t="n">
        <v>124.2</v>
      </c>
      <c r="C18" s="5" t="n">
        <v>2.3</v>
      </c>
      <c r="D18" s="5" t="n"/>
      <c r="E18" s="5" t="n">
        <v>258.5</v>
      </c>
      <c r="F18" s="5" t="n"/>
      <c r="G18" s="5" t="n">
        <v>385</v>
      </c>
    </row>
    <row r="19">
      <c r="A19" s="6" t="inlineStr">
        <is>
          <t>Profit for the year</t>
        </is>
      </c>
      <c r="B19" s="6" t="n"/>
      <c r="C19" s="6" t="n"/>
      <c r="D19" s="6" t="n"/>
      <c r="E19" s="6" t="n">
        <v>7.6</v>
      </c>
      <c r="F19" s="6" t="n"/>
      <c r="G19" s="6" t="n">
        <v>7.6</v>
      </c>
    </row>
    <row r="20">
      <c r="A20" s="5" t="inlineStr">
        <is>
          <t>Total comprehensive income for the year (FY2023)</t>
        </is>
      </c>
      <c r="B20" s="5" t="n"/>
      <c r="C20" s="5" t="n"/>
      <c r="D20" s="5" t="n"/>
      <c r="E20" s="5" t="n">
        <v>7.6</v>
      </c>
      <c r="F20" s="5" t="n"/>
      <c r="G20" s="5" t="n">
        <v>7.6</v>
      </c>
    </row>
    <row r="21">
      <c r="A21" s="6" t="inlineStr">
        <is>
          <t>Share-based payment charge</t>
        </is>
      </c>
      <c r="B21" s="6" t="n"/>
      <c r="C21" s="6" t="n">
        <v>1.1</v>
      </c>
      <c r="D21" s="6" t="n"/>
      <c r="E21" s="6" t="n"/>
      <c r="F21" s="6" t="n"/>
      <c r="G21" s="6" t="n">
        <v>1.1</v>
      </c>
    </row>
    <row r="22">
      <c r="A22" s="6" t="inlineStr">
        <is>
          <t>Transfer of share-based payment reserve</t>
        </is>
      </c>
      <c r="B22" s="6" t="n"/>
      <c r="C22" s="6" t="n">
        <v>-1.6</v>
      </c>
      <c r="D22" s="6" t="n"/>
      <c r="E22" s="6" t="n">
        <v>1.6</v>
      </c>
      <c r="F22" s="6" t="n"/>
      <c r="G22" s="6" t="n">
        <v>0</v>
      </c>
    </row>
    <row r="23">
      <c r="A23" s="5" t="inlineStr">
        <is>
          <t>At 31 December 2023 / At 1 January 2024</t>
        </is>
      </c>
      <c r="B23" s="5" t="n">
        <v>124.2</v>
      </c>
      <c r="C23" s="5" t="n">
        <v>1.8</v>
      </c>
      <c r="D23" s="5" t="n"/>
      <c r="E23" s="5" t="n">
        <v>267.7</v>
      </c>
      <c r="F23" s="5" t="n"/>
      <c r="G23" s="5" t="n">
        <v>393.7</v>
      </c>
    </row>
    <row r="24">
      <c r="A24" s="6" t="inlineStr">
        <is>
          <t>Profit for the year</t>
        </is>
      </c>
      <c r="B24" s="6" t="n"/>
      <c r="C24" s="6" t="n"/>
      <c r="D24" s="6" t="n"/>
      <c r="E24" s="6" t="n">
        <v>7.5</v>
      </c>
      <c r="F24" s="6" t="n"/>
      <c r="G24" s="6" t="n">
        <v>7.5</v>
      </c>
    </row>
    <row r="25">
      <c r="A25" s="5" t="inlineStr">
        <is>
          <t>Total comprehensive income for the year (FY2024)</t>
        </is>
      </c>
      <c r="B25" s="5" t="n"/>
      <c r="C25" s="5" t="n"/>
      <c r="D25" s="5" t="n"/>
      <c r="E25" s="5" t="n">
        <v>7.5</v>
      </c>
      <c r="F25" s="5" t="n"/>
      <c r="G25" s="5" t="n">
        <v>7.5</v>
      </c>
    </row>
    <row r="26">
      <c r="A26" s="6" t="inlineStr">
        <is>
          <t>Share-based payment charge</t>
        </is>
      </c>
      <c r="B26" s="6" t="n"/>
      <c r="C26" s="6" t="n">
        <v>0.5</v>
      </c>
      <c r="D26" s="6" t="n"/>
      <c r="E26" s="6" t="n"/>
      <c r="F26" s="6" t="n"/>
      <c r="G26" s="6" t="n">
        <v>0.5</v>
      </c>
    </row>
    <row r="27">
      <c r="A27" s="6" t="inlineStr">
        <is>
          <t>Transfer of share-based payment reserve</t>
        </is>
      </c>
      <c r="B27" s="6" t="n"/>
      <c r="C27" s="6" t="n">
        <v>-0.7</v>
      </c>
      <c r="D27" s="6" t="n"/>
      <c r="E27" s="6" t="n">
        <v>0.7</v>
      </c>
      <c r="F27" s="6" t="n"/>
      <c r="G27" s="6" t="n">
        <v>0</v>
      </c>
    </row>
    <row r="28">
      <c r="A28" s="6" t="inlineStr">
        <is>
          <t>Dividends</t>
        </is>
      </c>
      <c r="B28" s="6" t="n"/>
      <c r="C28" s="6" t="n"/>
      <c r="D28" s="6" t="n"/>
      <c r="E28" s="6" t="n">
        <v>-40</v>
      </c>
      <c r="F28" s="6" t="n"/>
      <c r="G28" s="6" t="n">
        <v>-40</v>
      </c>
    </row>
    <row r="29">
      <c r="A29" s="5" t="inlineStr">
        <is>
          <t>At 31 December 2024 / At 1 January 2025</t>
        </is>
      </c>
      <c r="B29" s="5" t="n">
        <v>124.2</v>
      </c>
      <c r="C29" s="5" t="n">
        <v>1.6</v>
      </c>
      <c r="D29" s="5" t="n"/>
      <c r="E29" s="5" t="n">
        <v>235.9</v>
      </c>
      <c r="F29" s="5" t="n"/>
      <c r="G29" s="5" t="n">
        <v>361.7</v>
      </c>
    </row>
    <row r="30">
      <c r="A30" s="6" t="inlineStr">
        <is>
          <t>Profit for the year</t>
        </is>
      </c>
      <c r="B30" s="6" t="n"/>
      <c r="C30" s="6" t="n"/>
      <c r="D30" s="6" t="n"/>
      <c r="E30" s="6" t="n">
        <v>35.7</v>
      </c>
      <c r="F30" s="6" t="n"/>
      <c r="G30" s="6" t="n">
        <v>35.7</v>
      </c>
    </row>
    <row r="31">
      <c r="A31" s="5" t="inlineStr">
        <is>
          <t>Total comprehensive income for the year (FY2025)</t>
        </is>
      </c>
      <c r="B31" s="5" t="n"/>
      <c r="C31" s="5" t="n"/>
      <c r="D31" s="5" t="n"/>
      <c r="E31" s="5" t="n">
        <v>35.7</v>
      </c>
      <c r="F31" s="5" t="n"/>
      <c r="G31" s="5" t="n">
        <v>35.7</v>
      </c>
    </row>
    <row r="32">
      <c r="A32" s="6" t="inlineStr">
        <is>
          <t>Share-based payment charge</t>
        </is>
      </c>
      <c r="B32" s="6" t="n"/>
      <c r="C32" s="6" t="n">
        <v>0.7</v>
      </c>
      <c r="D32" s="6" t="n"/>
      <c r="E32" s="6" t="n"/>
      <c r="F32" s="6" t="n"/>
      <c r="G32" s="6" t="n">
        <v>0.7</v>
      </c>
    </row>
    <row r="33">
      <c r="A33" s="6" t="inlineStr">
        <is>
          <t>Transfer of share-based payment reserve</t>
        </is>
      </c>
      <c r="B33" s="6" t="n"/>
      <c r="C33" s="6" t="n">
        <v>-0.6</v>
      </c>
      <c r="D33" s="6" t="n"/>
      <c r="E33" s="6" t="n">
        <v>0.6</v>
      </c>
      <c r="F33" s="6" t="n"/>
      <c r="G33" s="6" t="n">
        <v>0</v>
      </c>
    </row>
    <row r="34">
      <c r="A34" s="6" t="inlineStr">
        <is>
          <t>Issuance of other equity instruments</t>
        </is>
      </c>
      <c r="B34" s="6" t="n"/>
      <c r="C34" s="6" t="n"/>
      <c r="D34" s="6" t="n"/>
      <c r="E34" s="6" t="n"/>
      <c r="F34" s="6" t="n">
        <v>59.9</v>
      </c>
      <c r="G34" s="6" t="n">
        <v>59.9</v>
      </c>
    </row>
    <row r="35">
      <c r="A35" s="6" t="inlineStr">
        <is>
          <t>Dividends</t>
        </is>
      </c>
      <c r="B35" s="6" t="n"/>
      <c r="C35" s="6" t="n"/>
      <c r="D35" s="6" t="n"/>
      <c r="E35" s="6" t="n">
        <v>-20</v>
      </c>
      <c r="F35" s="6" t="n"/>
      <c r="G35" s="6" t="n">
        <v>-20</v>
      </c>
    </row>
    <row r="36">
      <c r="A36" s="5" t="inlineStr">
        <is>
          <t>At 31 December 2025</t>
        </is>
      </c>
      <c r="B36" s="5" t="n">
        <v>124.2</v>
      </c>
      <c r="C36" s="5" t="n">
        <v>1.7</v>
      </c>
      <c r="D36" s="5" t="n"/>
      <c r="E36" s="5" t="n">
        <v>252.2</v>
      </c>
      <c r="F36" s="5" t="n">
        <v>59.9</v>
      </c>
      <c r="G36" s="5" t="n">
        <v>438</v>
      </c>
    </row>
    <row r="38" ht="220" customHeight="1">
      <c r="A38"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8:G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Cash (used in)/generated from operations</t>
        </is>
      </c>
      <c r="B5" s="6" t="n">
        <v>15.5</v>
      </c>
      <c r="C5" s="6" t="n">
        <v>460.8</v>
      </c>
      <c r="D5" s="6" t="n">
        <v>-494.1</v>
      </c>
      <c r="E5" s="6" t="n">
        <v>75.2</v>
      </c>
      <c r="F5" s="6" t="n">
        <v>212.9</v>
      </c>
    </row>
    <row r="6">
      <c r="A6" s="6" t="inlineStr">
        <is>
          <t>Funding costs paid</t>
        </is>
      </c>
      <c r="B6" s="6" t="n"/>
      <c r="C6" s="6" t="n"/>
      <c r="D6" s="6" t="n">
        <v>-33.8</v>
      </c>
      <c r="E6" s="6" t="n">
        <v>-10.9</v>
      </c>
      <c r="F6" s="6" t="n">
        <v>-25.9</v>
      </c>
    </row>
    <row r="7">
      <c r="A7" s="6" t="inlineStr">
        <is>
          <t>Tax paid</t>
        </is>
      </c>
      <c r="B7" s="6" t="n"/>
      <c r="C7" s="6" t="n"/>
      <c r="D7" s="6" t="n">
        <v>-6.1</v>
      </c>
      <c r="E7" s="6" t="n">
        <v>-13.4</v>
      </c>
      <c r="F7" s="6" t="n">
        <v>-6.1</v>
      </c>
    </row>
    <row r="8">
      <c r="A8" s="6" t="inlineStr">
        <is>
          <t>Tax received</t>
        </is>
      </c>
      <c r="B8" s="6" t="n">
        <v>4.1</v>
      </c>
      <c r="C8" s="6" t="n">
        <v>8.199999999999999</v>
      </c>
      <c r="D8" s="6" t="n"/>
      <c r="E8" s="6" t="n"/>
      <c r="F8" s="6" t="n"/>
    </row>
    <row r="9">
      <c r="A9" s="5" t="inlineStr">
        <is>
          <t>Net cash (used in)/generated from operating activities</t>
        </is>
      </c>
      <c r="B9" s="5" t="n">
        <v>19.6</v>
      </c>
      <c r="C9" s="5" t="n">
        <v>469</v>
      </c>
      <c r="D9" s="5" t="n">
        <v>-534</v>
      </c>
      <c r="E9" s="5" t="n">
        <v>50.9</v>
      </c>
      <c r="F9" s="5" t="n">
        <v>180.9</v>
      </c>
    </row>
    <row r="10">
      <c r="A10" s="5" t="inlineStr">
        <is>
          <t>Investing activities</t>
        </is>
      </c>
      <c r="B10" s="6" t="n"/>
      <c r="C10" s="6" t="n"/>
      <c r="D10" s="6" t="n"/>
      <c r="E10" s="6" t="n"/>
      <c r="F10" s="6" t="n"/>
    </row>
    <row r="11">
      <c r="A11" s="6" t="inlineStr">
        <is>
          <t>Purchase of property and equipment</t>
        </is>
      </c>
      <c r="B11" s="6" t="n">
        <v>-1.4</v>
      </c>
      <c r="C11" s="6" t="n">
        <v>-1.2</v>
      </c>
      <c r="D11" s="6" t="n">
        <v>-1.9</v>
      </c>
      <c r="E11" s="6" t="n">
        <v>-2.5</v>
      </c>
      <c r="F11" s="6" t="n">
        <v>-0.7</v>
      </c>
    </row>
    <row r="12">
      <c r="A12" s="6" t="inlineStr">
        <is>
          <t>Purchase of intangible assets</t>
        </is>
      </c>
      <c r="B12" s="6" t="n">
        <v>-14.6</v>
      </c>
      <c r="C12" s="6" t="n">
        <v>-11.6</v>
      </c>
      <c r="D12" s="6" t="n">
        <v>-12.5</v>
      </c>
      <c r="E12" s="6" t="n">
        <v>-19.2</v>
      </c>
      <c r="F12" s="6" t="n">
        <v>-16.9</v>
      </c>
    </row>
    <row r="13">
      <c r="A13" s="6" t="inlineStr">
        <is>
          <t>Purchase of investment securities</t>
        </is>
      </c>
      <c r="B13" s="6" t="n">
        <v>-291.8</v>
      </c>
      <c r="C13" s="6" t="n"/>
      <c r="D13" s="6" t="n"/>
      <c r="E13" s="6" t="n"/>
      <c r="F13" s="6" t="n"/>
    </row>
    <row r="14">
      <c r="A14" s="6" t="inlineStr">
        <is>
          <t>Proceeds from maturity of investment securities</t>
        </is>
      </c>
      <c r="B14" s="6" t="n">
        <v>40</v>
      </c>
      <c r="C14" s="6" t="n"/>
      <c r="D14" s="6" t="n"/>
      <c r="E14" s="6" t="n"/>
      <c r="F14" s="6" t="n"/>
    </row>
    <row r="15">
      <c r="A15" s="6" t="inlineStr">
        <is>
          <t>Proceeds from sale of investments</t>
        </is>
      </c>
      <c r="B15" s="6" t="n"/>
      <c r="C15" s="6" t="n">
        <v>4.3</v>
      </c>
      <c r="D15" s="6" t="n">
        <v>6.4</v>
      </c>
      <c r="E15" s="6" t="n"/>
      <c r="F15" s="6" t="n"/>
    </row>
    <row r="16">
      <c r="A16" s="5" t="inlineStr">
        <is>
          <t>Net cash used in investing activities</t>
        </is>
      </c>
      <c r="B16" s="5" t="n">
        <v>-267.8</v>
      </c>
      <c r="C16" s="5" t="n">
        <v>-8.5</v>
      </c>
      <c r="D16" s="5" t="n">
        <v>-8</v>
      </c>
      <c r="E16" s="5" t="n">
        <v>-21.7</v>
      </c>
      <c r="F16" s="5" t="n">
        <v>-17.6</v>
      </c>
    </row>
    <row r="17">
      <c r="A17" s="5" t="inlineStr">
        <is>
          <t>Financing activities</t>
        </is>
      </c>
      <c r="B17" s="6" t="n"/>
      <c r="C17" s="6" t="n"/>
      <c r="D17" s="6" t="n"/>
      <c r="E17" s="6" t="n"/>
      <c r="F17" s="6" t="n"/>
    </row>
    <row r="18">
      <c r="A18" s="6" t="inlineStr">
        <is>
          <t>Payment/capital elements of lease liabilities</t>
        </is>
      </c>
      <c r="B18" s="6" t="n">
        <v>-6.8</v>
      </c>
      <c r="C18" s="6" t="n">
        <v>-5.5</v>
      </c>
      <c r="D18" s="6" t="n">
        <v>-6</v>
      </c>
      <c r="E18" s="6" t="n">
        <v>-6.1</v>
      </c>
      <c r="F18" s="6" t="n">
        <v>-6.1</v>
      </c>
    </row>
    <row r="19">
      <c r="A19" s="6" t="inlineStr">
        <is>
          <t>Financing of loan to related party</t>
        </is>
      </c>
      <c r="B19" s="6" t="n">
        <v>-163</v>
      </c>
      <c r="C19" s="6" t="n">
        <v>-140</v>
      </c>
      <c r="D19" s="6" t="n"/>
      <c r="E19" s="6" t="n"/>
      <c r="F19" s="6" t="n"/>
    </row>
    <row r="20">
      <c r="A20" s="6" t="inlineStr">
        <is>
          <t>Repayment of loan to related party</t>
        </is>
      </c>
      <c r="B20" s="6" t="n">
        <v>183.9</v>
      </c>
      <c r="C20" s="6" t="n">
        <v>158.9</v>
      </c>
      <c r="D20" s="6" t="n"/>
      <c r="E20" s="6" t="n"/>
      <c r="F20" s="6" t="n"/>
    </row>
    <row r="21">
      <c r="A21" s="6" t="inlineStr">
        <is>
          <t>Proceeds from borrowings</t>
        </is>
      </c>
      <c r="B21" s="6" t="n"/>
      <c r="C21" s="6" t="n">
        <v>5</v>
      </c>
      <c r="D21" s="6" t="n">
        <v>1100</v>
      </c>
      <c r="E21" s="6" t="n">
        <v>330</v>
      </c>
      <c r="F21" s="6" t="n">
        <v>295.8</v>
      </c>
    </row>
    <row r="22">
      <c r="A22" s="6" t="inlineStr">
        <is>
          <t>Repayment of borrowings</t>
        </is>
      </c>
      <c r="B22" s="6" t="n">
        <v>-5</v>
      </c>
      <c r="C22" s="6" t="n">
        <v>-174</v>
      </c>
      <c r="D22" s="6" t="n">
        <v>-284.8</v>
      </c>
      <c r="E22" s="6" t="n">
        <v>-258.4</v>
      </c>
      <c r="F22" s="6" t="n">
        <v>-788.2</v>
      </c>
    </row>
    <row r="23">
      <c r="A23" s="6" t="inlineStr">
        <is>
          <t>Proceeds of issuance of other equity instruments</t>
        </is>
      </c>
      <c r="B23" s="6" t="n">
        <v>59.9</v>
      </c>
      <c r="C23" s="6" t="n"/>
      <c r="D23" s="6" t="n"/>
      <c r="E23" s="6" t="n"/>
      <c r="F23" s="6" t="n"/>
    </row>
    <row r="24">
      <c r="A24" s="6" t="inlineStr">
        <is>
          <t>Dividends paid to company shareholder</t>
        </is>
      </c>
      <c r="B24" s="6" t="n">
        <v>-20</v>
      </c>
      <c r="C24" s="6" t="n">
        <v>-40</v>
      </c>
      <c r="D24" s="6" t="n"/>
      <c r="E24" s="6" t="n">
        <v>-95.09999999999999</v>
      </c>
      <c r="F24" s="6" t="n">
        <v>-85</v>
      </c>
    </row>
    <row r="25">
      <c r="A25" s="5" t="inlineStr">
        <is>
          <t>Net cash generated/(used in) financing activities</t>
        </is>
      </c>
      <c r="B25" s="5" t="n">
        <v>49</v>
      </c>
      <c r="C25" s="5" t="n">
        <v>-195.6</v>
      </c>
      <c r="D25" s="5" t="n">
        <v>809.1</v>
      </c>
      <c r="E25" s="5" t="n">
        <v>-29.6</v>
      </c>
      <c r="F25" s="5" t="n">
        <v>-583.5</v>
      </c>
    </row>
    <row r="26">
      <c r="A26" s="5" t="inlineStr">
        <is>
          <t>Net (decrease)/increase in cash and cash equivalents</t>
        </is>
      </c>
      <c r="B26" s="5" t="n">
        <v>-199.2</v>
      </c>
      <c r="C26" s="5" t="n">
        <v>264.9</v>
      </c>
      <c r="D26" s="5" t="n">
        <v>267.1</v>
      </c>
      <c r="E26" s="5" t="n">
        <v>-0.4</v>
      </c>
      <c r="F26" s="5" t="n">
        <v>-420.2</v>
      </c>
    </row>
    <row r="27">
      <c r="A27" s="6" t="inlineStr">
        <is>
          <t>Cash and cash equivalents at beginning of year</t>
        </is>
      </c>
      <c r="B27" s="6" t="n">
        <v>945</v>
      </c>
      <c r="C27" s="6" t="n">
        <v>680.1</v>
      </c>
      <c r="D27" s="6" t="n">
        <v>413</v>
      </c>
      <c r="E27" s="6" t="n">
        <v>413.4</v>
      </c>
      <c r="F27" s="6" t="n">
        <v>833.6</v>
      </c>
    </row>
    <row r="28">
      <c r="A28" s="5" t="inlineStr">
        <is>
          <t>Cash and cash equivalents at end of year</t>
        </is>
      </c>
      <c r="B28" s="5" t="n">
        <v>745.8</v>
      </c>
      <c r="C28" s="5" t="n">
        <v>945</v>
      </c>
      <c r="D28" s="5" t="n">
        <v>680.1</v>
      </c>
      <c r="E28" s="5" t="n">
        <v>413</v>
      </c>
      <c r="F28" s="5" t="n">
        <v>413.4</v>
      </c>
    </row>
    <row r="30" ht="260" customHeight="1">
      <c r="A30"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t>
        </is>
      </c>
    </row>
  </sheetData>
  <mergeCells count="1">
    <mergeCell ref="A30:F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receivables by product</t>
        </is>
      </c>
      <c r="B4" s="6" t="n"/>
      <c r="C4" s="6" t="n"/>
      <c r="D4" s="6" t="n"/>
      <c r="E4" s="6" t="n"/>
      <c r="F4" s="6" t="n"/>
    </row>
    <row r="5">
      <c r="A5" s="6" t="inlineStr">
        <is>
          <t>Credit Cards (gross)</t>
        </is>
      </c>
      <c r="B5" s="6" t="n">
        <v>1553.8</v>
      </c>
      <c r="C5" s="6" t="n">
        <v>1309.9</v>
      </c>
      <c r="D5" s="6" t="n">
        <v>1476.4</v>
      </c>
      <c r="E5" s="6" t="n">
        <v>1452</v>
      </c>
      <c r="F5" s="6" t="n"/>
    </row>
    <row r="6">
      <c r="A6" s="6" t="inlineStr">
        <is>
          <t>Personal Loans (gross)</t>
        </is>
      </c>
      <c r="B6" s="6" t="n"/>
      <c r="C6" s="6" t="n"/>
      <c r="D6" s="6" t="n">
        <v>117.5</v>
      </c>
      <c r="E6" s="6" t="n">
        <v>85.5</v>
      </c>
      <c r="F6" s="6" t="n"/>
    </row>
    <row r="7">
      <c r="A7" s="6" t="inlineStr">
        <is>
          <t>Second Charge Mortgages (gross)</t>
        </is>
      </c>
      <c r="B7" s="6" t="n">
        <v>619.4</v>
      </c>
      <c r="C7" s="6" t="n">
        <v>225.5</v>
      </c>
      <c r="D7" s="6" t="n">
        <v>2.8</v>
      </c>
      <c r="E7" s="6" t="n"/>
      <c r="F7" s="6" t="n"/>
    </row>
    <row r="8">
      <c r="A8" s="6" t="inlineStr">
        <is>
          <t>Whole book (gross, FY2021 - not split by product that year)</t>
        </is>
      </c>
      <c r="B8" s="6" t="n"/>
      <c r="C8" s="6" t="n"/>
      <c r="D8" s="6" t="n"/>
      <c r="E8" s="6" t="n"/>
      <c r="F8" s="6" t="n">
        <v>1451</v>
      </c>
    </row>
    <row r="9">
      <c r="A9" s="5" t="inlineStr">
        <is>
          <t>Gross amounts receivable from customers (continuing operations)</t>
        </is>
      </c>
      <c r="B9" s="5" t="n">
        <v>2173.2</v>
      </c>
      <c r="C9" s="5" t="n">
        <v>1535.4</v>
      </c>
      <c r="D9" s="5" t="n">
        <v>1596.7</v>
      </c>
      <c r="E9" s="5" t="n">
        <v>1537.5</v>
      </c>
      <c r="F9" s="5" t="n">
        <v>1451</v>
      </c>
    </row>
    <row r="10">
      <c r="A10" s="5" t="inlineStr">
        <is>
          <t>Allowance account by product</t>
        </is>
      </c>
      <c r="B10" s="6" t="n"/>
      <c r="C10" s="6" t="n"/>
      <c r="D10" s="6" t="n"/>
      <c r="E10" s="6" t="n"/>
      <c r="F10" s="6" t="n"/>
    </row>
    <row r="11">
      <c r="A11" s="6" t="inlineStr">
        <is>
          <t>Credit Cards allowance</t>
        </is>
      </c>
      <c r="B11" s="6" t="n">
        <v>-169.5</v>
      </c>
      <c r="C11" s="6" t="n">
        <v>-160</v>
      </c>
      <c r="D11" s="6" t="n">
        <v>-198.7</v>
      </c>
      <c r="E11" s="6" t="n">
        <v>-270.4</v>
      </c>
      <c r="F11" s="6" t="n"/>
    </row>
    <row r="12">
      <c r="A12" s="6" t="inlineStr">
        <is>
          <t>Personal Loans allowance</t>
        </is>
      </c>
      <c r="B12" s="6" t="n"/>
      <c r="C12" s="6" t="n"/>
      <c r="D12" s="6" t="n">
        <v>-15.1</v>
      </c>
      <c r="E12" s="6" t="n">
        <v>-9.199999999999999</v>
      </c>
      <c r="F12" s="6" t="n"/>
    </row>
    <row r="13">
      <c r="A13" s="6" t="inlineStr">
        <is>
          <t>Second Charge Mortgages allowance</t>
        </is>
      </c>
      <c r="B13" s="6" t="n">
        <v>-0.9</v>
      </c>
      <c r="C13" s="6" t="n">
        <v>-0.2</v>
      </c>
      <c r="D13" s="6" t="n"/>
      <c r="E13" s="6" t="n"/>
      <c r="F13" s="6" t="n"/>
    </row>
    <row r="14">
      <c r="A14" s="6" t="inlineStr">
        <is>
          <t>Whole book allowance (FY2021 - not split by product that year)</t>
        </is>
      </c>
      <c r="B14" s="6" t="n"/>
      <c r="C14" s="6" t="n"/>
      <c r="D14" s="6" t="n"/>
      <c r="E14" s="6" t="n"/>
      <c r="F14" s="6" t="n">
        <v>-359.5</v>
      </c>
    </row>
    <row r="15">
      <c r="A15" s="5" t="inlineStr">
        <is>
          <t>Allowance account (continuing operations)</t>
        </is>
      </c>
      <c r="B15" s="5" t="n">
        <v>-170.4</v>
      </c>
      <c r="C15" s="5" t="n">
        <v>-160.2</v>
      </c>
      <c r="D15" s="5" t="n">
        <v>-213.8</v>
      </c>
      <c r="E15" s="5" t="n">
        <v>-279.6</v>
      </c>
      <c r="F15" s="5" t="n">
        <v>-359.5</v>
      </c>
    </row>
    <row r="16">
      <c r="A16" s="5" t="inlineStr">
        <is>
          <t>Net amounts receivable from customers (continuing operations)</t>
        </is>
      </c>
      <c r="B16" s="5" t="n">
        <v>2002.8</v>
      </c>
      <c r="C16" s="5" t="n">
        <v>1375.2</v>
      </c>
      <c r="D16" s="5" t="n">
        <v>1382.9</v>
      </c>
      <c r="E16" s="5" t="n">
        <v>1257.9</v>
      </c>
      <c r="F16" s="5" t="n">
        <v>1091.5</v>
      </c>
    </row>
    <row r="17">
      <c r="A17" s="6" t="inlineStr">
        <is>
          <t>Fair value adjustment for portfolio hedged risk (Second Charge Mortgages)</t>
        </is>
      </c>
      <c r="B17" s="6" t="n">
        <v>0.4</v>
      </c>
      <c r="C17" s="6" t="n"/>
      <c r="D17" s="6" t="n"/>
      <c r="E17" s="6" t="n"/>
      <c r="F17" s="6" t="n"/>
    </row>
    <row r="18">
      <c r="A18" s="6" t="inlineStr">
        <is>
          <t>Discontinued operations (Personal Loans, sold March 2025)</t>
        </is>
      </c>
      <c r="B18" s="6" t="n"/>
      <c r="C18" s="6" t="n">
        <v>44</v>
      </c>
      <c r="D18" s="6" t="n"/>
      <c r="E18" s="6" t="n"/>
      <c r="F18" s="6" t="n"/>
    </row>
    <row r="19">
      <c r="A19" s="5" t="inlineStr">
        <is>
          <t>Reported amounts receivable from customers (per Balance Sheet)</t>
        </is>
      </c>
      <c r="B19" s="5" t="n">
        <v>2003.2</v>
      </c>
      <c r="C19" s="5" t="n">
        <v>1419.2</v>
      </c>
      <c r="D19" s="5" t="n">
        <v>1382.9</v>
      </c>
      <c r="E19" s="5" t="n">
        <v>1257.9</v>
      </c>
      <c r="F19" s="5" t="n">
        <v>1091.5</v>
      </c>
    </row>
    <row r="20">
      <c r="A20" s="5" t="inlineStr">
        <is>
          <t>Credit quality by IFRS 9 stage</t>
        </is>
      </c>
      <c r="B20" s="6" t="n"/>
      <c r="C20" s="6" t="n"/>
      <c r="D20" s="6" t="n"/>
      <c r="E20" s="6" t="n"/>
      <c r="F20" s="6" t="n"/>
    </row>
    <row r="21">
      <c r="A21" s="6" t="inlineStr">
        <is>
          <t>Stage 1 (gross)</t>
        </is>
      </c>
      <c r="B21" s="6" t="n">
        <v>1351.5</v>
      </c>
      <c r="C21" s="6" t="n">
        <v>1136.6</v>
      </c>
      <c r="D21" s="6" t="n">
        <v>1200.8</v>
      </c>
      <c r="E21" s="6" t="n">
        <v>1116.6</v>
      </c>
      <c r="F21" s="6" t="n">
        <v>913.7</v>
      </c>
    </row>
    <row r="22">
      <c r="A22" s="6" t="inlineStr">
        <is>
          <t>Stage 2 (gross)</t>
        </is>
      </c>
      <c r="B22" s="6" t="n">
        <v>139.1</v>
      </c>
      <c r="C22" s="6" t="n">
        <v>99.8</v>
      </c>
      <c r="D22" s="6" t="n">
        <v>161.4</v>
      </c>
      <c r="E22" s="6" t="n">
        <v>148.7</v>
      </c>
      <c r="F22" s="6" t="n">
        <v>342.8</v>
      </c>
    </row>
    <row r="23">
      <c r="A23" s="6" t="inlineStr">
        <is>
          <t>Stage 3 / non-performing (gross)</t>
        </is>
      </c>
      <c r="B23" s="6" t="n">
        <v>63.2</v>
      </c>
      <c r="C23" s="6" t="n">
        <v>73.5</v>
      </c>
      <c r="D23" s="6" t="n">
        <v>114.2</v>
      </c>
      <c r="E23" s="6" t="n">
        <v>186.7</v>
      </c>
      <c r="F23" s="6" t="n">
        <v>194.5</v>
      </c>
    </row>
    <row r="24">
      <c r="A24" s="5" t="inlineStr">
        <is>
          <t>Total gross (Credit Cards; FY2021 whole book)</t>
        </is>
      </c>
      <c r="B24" s="5" t="n">
        <v>1553.8</v>
      </c>
      <c r="C24" s="5" t="n">
        <v>1309.9</v>
      </c>
      <c r="D24" s="5" t="n">
        <v>1476.4</v>
      </c>
      <c r="E24" s="5" t="n">
        <v>1452</v>
      </c>
      <c r="F24" s="5" t="n">
        <v>1451</v>
      </c>
    </row>
    <row r="25">
      <c r="A25" s="6" t="inlineStr">
        <is>
          <t>Stage 3 as % of gross - NPL ratio (derived)</t>
        </is>
      </c>
      <c r="B25" s="6" t="inlineStr">
        <is>
          <t>4.07%</t>
        </is>
      </c>
      <c r="C25" s="6" t="inlineStr">
        <is>
          <t>5.61%</t>
        </is>
      </c>
      <c r="D25" s="6" t="inlineStr">
        <is>
          <t>7.74%</t>
        </is>
      </c>
      <c r="E25" s="6" t="inlineStr">
        <is>
          <t>12.86%</t>
        </is>
      </c>
      <c r="F25" s="6" t="inlineStr">
        <is>
          <t>13.40%</t>
        </is>
      </c>
    </row>
    <row r="26">
      <c r="A26" s="6" t="inlineStr">
        <is>
          <t>Coverage ratio - allowance / gross (derived)</t>
        </is>
      </c>
      <c r="B26" s="6" t="inlineStr">
        <is>
          <t>10.91%</t>
        </is>
      </c>
      <c r="C26" s="6" t="inlineStr">
        <is>
          <t>12.21%</t>
        </is>
      </c>
      <c r="D26" s="6" t="inlineStr">
        <is>
          <t>13.46%</t>
        </is>
      </c>
      <c r="E26" s="6" t="inlineStr">
        <is>
          <t>18.62%</t>
        </is>
      </c>
      <c r="F26" s="6" t="inlineStr">
        <is>
          <t>24.78%</t>
        </is>
      </c>
    </row>
    <row r="28" ht="240" customHeight="1">
      <c r="A28"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28:F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341.3</v>
      </c>
      <c r="C4" s="6" t="n">
        <v>344.3</v>
      </c>
      <c r="D4" s="6" t="n">
        <v>409</v>
      </c>
      <c r="E4" s="6" t="n">
        <v>478.8</v>
      </c>
      <c r="F4" s="6" t="n">
        <v>506.5</v>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16.5%</t>
        </is>
      </c>
      <c r="C4" s="6" t="inlineStr">
        <is>
          <t>18.8%</t>
        </is>
      </c>
      <c r="D4" s="6" t="inlineStr">
        <is>
          <t>20.5%</t>
        </is>
      </c>
      <c r="E4" s="6" t="inlineStr">
        <is>
          <t>26.4%</t>
        </is>
      </c>
      <c r="F4" s="6" t="inlineStr">
        <is>
          <t>29.1%</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400</v>
      </c>
      <c r="C4" s="6" t="n">
        <v>344.3</v>
      </c>
      <c r="D4" s="6" t="n">
        <v>409</v>
      </c>
      <c r="E4" s="6" t="n">
        <v>478.8</v>
      </c>
      <c r="F4" s="6" t="n">
        <v>506.5</v>
      </c>
    </row>
    <row r="5" ht="60" customHeight="1">
      <c r="A5" s="7" t="inlineStr">
        <is>
          <t>Note: FY2025 is the first year Tier 1 capital exceeds CET1 - the Group issued £59.9m of other (AT1) equity instruments during 2025 (see Cash Flow Statement sheet, financing activities). All other years shown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19.3%</t>
        </is>
      </c>
      <c r="C4" s="6" t="inlineStr">
        <is>
          <t>18.8%</t>
        </is>
      </c>
      <c r="D4" s="6" t="inlineStr">
        <is>
          <t>20.5%</t>
        </is>
      </c>
      <c r="E4" s="6" t="inlineStr">
        <is>
          <t>26.4%</t>
        </is>
      </c>
      <c r="F4" s="6" t="inlineStr">
        <is>
          <t>29.1%</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541.5</v>
      </c>
      <c r="C4" s="6" t="n">
        <v>544.3</v>
      </c>
      <c r="D4" s="6" t="n">
        <v>609</v>
      </c>
      <c r="E4" s="6" t="n">
        <v>678.8</v>
      </c>
      <c r="F4" s="6" t="n">
        <v>706.5</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26.1%</t>
        </is>
      </c>
      <c r="C4" s="6" t="inlineStr">
        <is>
          <t>29.7%</t>
        </is>
      </c>
      <c r="D4" s="6" t="inlineStr">
        <is>
          <t>30.6%</t>
        </is>
      </c>
      <c r="E4" s="6" t="inlineStr">
        <is>
          <t>37.5%</t>
        </is>
      </c>
      <c r="F4" s="6" t="inlineStr">
        <is>
          <t>40.6%</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2073.2</v>
      </c>
      <c r="C4" s="6" t="n">
        <v>1834.8</v>
      </c>
      <c r="D4" s="6" t="n">
        <v>1990.6</v>
      </c>
      <c r="E4" s="6" t="n">
        <v>1810.8</v>
      </c>
      <c r="F4" s="6" t="n">
        <v>1740.6</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1931.5</v>
      </c>
      <c r="C4" s="6" t="n">
        <v>1696.8</v>
      </c>
      <c r="D4" s="6" t="n">
        <v>1848.8</v>
      </c>
      <c r="E4" s="6" t="n">
        <v>1656.5</v>
      </c>
      <c r="F4" s="6" t="n">
        <v>1595</v>
      </c>
    </row>
    <row r="5">
      <c r="A5" s="6" t="inlineStr">
        <is>
          <t>Counterparty credit risk (CCR, incl. CVA)</t>
        </is>
      </c>
      <c r="B5" s="6" t="n">
        <v>3</v>
      </c>
      <c r="C5" s="6" t="n">
        <v>3.8</v>
      </c>
      <c r="D5" s="6" t="n">
        <v>10.6</v>
      </c>
      <c r="E5" s="6" t="n">
        <v>23</v>
      </c>
      <c r="F5" s="6" t="n">
        <v>4.1</v>
      </c>
    </row>
    <row r="6">
      <c r="A6" s="6" t="inlineStr">
        <is>
          <t>Securitisation exposures</t>
        </is>
      </c>
      <c r="B6" s="6" t="n">
        <v>0</v>
      </c>
      <c r="C6" s="6" t="n">
        <v>0</v>
      </c>
      <c r="D6" s="6" t="n">
        <v>0</v>
      </c>
      <c r="E6" s="6" t="n">
        <v>0</v>
      </c>
      <c r="F6" s="6" t="n"/>
    </row>
    <row r="7">
      <c r="A7" s="6" t="inlineStr">
        <is>
          <t>Market risk</t>
        </is>
      </c>
      <c r="B7" s="6" t="n">
        <v>0</v>
      </c>
      <c r="C7" s="6" t="n">
        <v>0</v>
      </c>
      <c r="D7" s="6" t="n">
        <v>0</v>
      </c>
      <c r="E7" s="6" t="n">
        <v>0</v>
      </c>
      <c r="F7" s="6" t="n">
        <v>0</v>
      </c>
    </row>
    <row r="8">
      <c r="A8" s="6" t="inlineStr">
        <is>
          <t>Operational risk</t>
        </is>
      </c>
      <c r="B8" s="6" t="n">
        <v>138.7</v>
      </c>
      <c r="C8" s="6" t="n">
        <v>134.2</v>
      </c>
      <c r="D8" s="6" t="n">
        <v>131.2</v>
      </c>
      <c r="E8" s="6" t="n">
        <v>131.3</v>
      </c>
      <c r="F8" s="6" t="n">
        <v>141.5</v>
      </c>
    </row>
    <row r="9">
      <c r="A9" s="6" t="inlineStr">
        <is>
          <t>Amounts below thresholds for deduction (memo, not summed into Total)</t>
        </is>
      </c>
      <c r="B9" s="6" t="n">
        <v>40.2</v>
      </c>
      <c r="C9" s="6" t="n">
        <v>46.5</v>
      </c>
      <c r="D9" s="6" t="n">
        <v>49.8</v>
      </c>
      <c r="E9" s="6" t="n">
        <v>29.4</v>
      </c>
      <c r="F9" s="6" t="n"/>
    </row>
    <row r="10">
      <c r="A10" s="5" t="inlineStr">
        <is>
          <t>Total risk-weighted exposure amount</t>
        </is>
      </c>
      <c r="B10" s="5" t="n">
        <v>2073.2</v>
      </c>
      <c r="C10" s="5" t="n">
        <v>1834.8</v>
      </c>
      <c r="D10" s="5" t="n">
        <v>1990.6</v>
      </c>
      <c r="E10" s="5" t="n">
        <v>1810.8</v>
      </c>
      <c r="F10" s="5" t="n">
        <v>1740.6</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v>3299.2</v>
      </c>
      <c r="C4" s="6" t="n">
        <v>2482.6</v>
      </c>
      <c r="D4" s="6" t="n">
        <v>2489.5</v>
      </c>
      <c r="E4" s="6" t="n">
        <v>2284.8</v>
      </c>
      <c r="F4" s="6" t="n">
        <v>2798</v>
      </c>
    </row>
    <row r="5">
      <c r="A5" s="6" t="inlineStr">
        <is>
          <t>Leverage ratio (%)</t>
        </is>
      </c>
      <c r="B5" s="6" t="inlineStr">
        <is>
          <t>12.1%</t>
        </is>
      </c>
      <c r="C5" s="6" t="inlineStr">
        <is>
          <t>13.9%</t>
        </is>
      </c>
      <c r="D5" s="6" t="inlineStr">
        <is>
          <t>16.4%</t>
        </is>
      </c>
      <c r="E5" s="6" t="inlineStr">
        <is>
          <t>21.0%</t>
        </is>
      </c>
      <c r="F5" s="6" t="inlineStr">
        <is>
          <t>18.1%</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 liquidity buffer</t>
        </is>
      </c>
      <c r="B4" s="6" t="n">
        <v>930</v>
      </c>
      <c r="C4" s="6" t="n">
        <v>802</v>
      </c>
      <c r="D4" s="6" t="n">
        <v>512</v>
      </c>
      <c r="E4" s="6" t="n">
        <v>383.2</v>
      </c>
      <c r="F4" s="6" t="n">
        <v>439</v>
      </c>
    </row>
    <row r="5">
      <c r="A5" s="6" t="inlineStr">
        <is>
          <t>Total net cash outflows (adjusted value)</t>
        </is>
      </c>
      <c r="B5" s="6" t="n">
        <v>249.4</v>
      </c>
      <c r="C5" s="6" t="n">
        <v>116.4</v>
      </c>
      <c r="D5" s="6" t="n">
        <v>74.7</v>
      </c>
      <c r="E5" s="6" t="n">
        <v>48</v>
      </c>
      <c r="F5" s="6" t="n">
        <v>21</v>
      </c>
    </row>
    <row r="6">
      <c r="A6" s="6" t="inlineStr">
        <is>
          <t>Liquidity Coverage Ratio (%)</t>
        </is>
      </c>
      <c r="B6" s="6" t="inlineStr">
        <is>
          <t>391.6%</t>
        </is>
      </c>
      <c r="C6" s="6" t="inlineStr">
        <is>
          <t>1,001.2%</t>
        </is>
      </c>
      <c r="D6" s="6" t="inlineStr">
        <is>
          <t>847.1%</t>
        </is>
      </c>
      <c r="E6" s="6" t="inlineStr">
        <is>
          <t>986.2%</t>
        </is>
      </c>
      <c r="F6" s="6" t="inlineStr">
        <is>
          <t>2,073%</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c r="D4" s="6" t="n">
        <v>2611.7</v>
      </c>
      <c r="E4" s="6" t="n">
        <v>2198</v>
      </c>
      <c r="F4" s="6" t="n"/>
    </row>
    <row r="5">
      <c r="A5" s="6" t="inlineStr">
        <is>
          <t>Total required stable funding</t>
        </is>
      </c>
      <c r="B5" s="6" t="n"/>
      <c r="C5" s="6" t="n"/>
      <c r="D5" s="6" t="n">
        <v>1828.1</v>
      </c>
      <c r="E5" s="6" t="n">
        <v>1565.7</v>
      </c>
      <c r="F5" s="6" t="n"/>
    </row>
    <row r="6">
      <c r="A6" s="6" t="inlineStr">
        <is>
          <t>NSFR ratio (%)</t>
        </is>
      </c>
      <c r="B6" s="6" t="inlineStr">
        <is>
          <t>Not required</t>
        </is>
      </c>
      <c r="C6" s="6" t="inlineStr">
        <is>
          <t>Not required</t>
        </is>
      </c>
      <c r="D6" s="6" t="inlineStr">
        <is>
          <t>142.8%</t>
        </is>
      </c>
      <c r="E6" s="6" t="inlineStr">
        <is>
          <t>140.4%</t>
        </is>
      </c>
      <c r="F6" s="6" t="inlineStr">
        <is>
          <t>Not required</t>
        </is>
      </c>
    </row>
    <row r="7" ht="60" customHeight="1">
      <c r="A7" s="7" t="inlineStr">
        <is>
          <t>Note: Not required for FY2021 (NSFR only became binding in the UK from 1 January 2022).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t>
        </is>
      </c>
    </row>
    <row r="9" ht="120" customHeight="1">
      <c r="A9" s="8" t="inlineStr">
        <is>
          <t>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No MREL disclosure of any kind (numeric or qualitative) appears in any Pillar 3 Disclosures document reviewed, FY2021-FY2025 - consistent with Vanquis Banking Group not being a resolution entity subject to a standalone MREL requirement.</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2026-09-03T23:03:48Z</dcterms:created>
  <dcterms:modified xmlns:dcterms="http://purl.org/dc/terms/" xmlns:xsi="http://www.w3.org/2001/XMLSchema-instance" xsi:type="dcterms:W3CDTF">2026-09-03T23:03:48Z</dcterms:modified>
</cp:coreProperties>
</file>