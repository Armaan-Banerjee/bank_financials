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B4F6C"/>
        <bgColor rgb="000B4F6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Vanquis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'Overview'!T6</f>
            </strRef>
          </tx>
          <spPr>
            <a:ln xmlns:a="http://schemas.openxmlformats.org/drawingml/2006/main">
              <a:prstDash val="solid"/>
            </a:ln>
          </spPr>
          <cat>
            <numRef>
              <f>'Overview'!$U$5:$AJ$5</f>
            </numRef>
          </cat>
          <val>
            <numRef>
              <f>'Overview'!$U$6:$AJ$6</f>
            </numRef>
          </val>
        </ser>
        <ser>
          <idx val="1"/>
          <order val="1"/>
          <tx>
            <strRef>
              <f>'Overview'!T7</f>
            </strRef>
          </tx>
          <spPr>
            <a:ln xmlns:a="http://schemas.openxmlformats.org/drawingml/2006/main">
              <a:prstDash val="solid"/>
            </a:ln>
          </spPr>
          <cat>
            <numRef>
              <f>'Overview'!$U$5:$AJ$5</f>
            </numRef>
          </cat>
          <val>
            <numRef>
              <f>'Overview'!$U$7:$AJ$7</f>
            </numRef>
          </val>
        </ser>
        <ser>
          <idx val="2"/>
          <order val="2"/>
          <tx>
            <strRef>
              <f>'Overview'!T8</f>
            </strRef>
          </tx>
          <spPr>
            <a:ln xmlns:a="http://schemas.openxmlformats.org/drawingml/2006/main">
              <a:prstDash val="solid"/>
            </a:ln>
          </spPr>
          <cat>
            <numRef>
              <f>'Overview'!$U$5:$AJ$5</f>
            </numRef>
          </cat>
          <val>
            <numRef>
              <f>'Overview'!$U$8:$AJ$8</f>
            </numRef>
          </val>
        </ser>
        <ser>
          <idx val="3"/>
          <order val="3"/>
          <tx>
            <strRef>
              <f>'Overview'!T9</f>
            </strRef>
          </tx>
          <spPr>
            <a:ln xmlns:a="http://schemas.openxmlformats.org/drawingml/2006/main">
              <a:prstDash val="solid"/>
            </a:ln>
          </spPr>
          <cat>
            <numRef>
              <f>'Overview'!$U$5:$AJ$5</f>
            </numRef>
          </cat>
          <val>
            <numRef>
              <f>'Overview'!$U$9:$AJ$9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Vanquis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'Overview'!AM13</f>
            </strRef>
          </tx>
          <spPr>
            <a:ln xmlns:a="http://schemas.openxmlformats.org/drawingml/2006/main">
              <a:prstDash val="solid"/>
            </a:ln>
          </spPr>
          <cat>
            <numRef>
              <f>'Overview'!$AN$12:$BC$12</f>
            </numRef>
          </cat>
          <val>
            <numRef>
              <f>'Overview'!$AN$13:$BC$13</f>
            </numRef>
          </val>
        </ser>
        <ser>
          <idx val="1"/>
          <order val="1"/>
          <tx>
            <strRef>
              <f>'Overview'!AM14</f>
            </strRef>
          </tx>
          <spPr>
            <a:ln xmlns:a="http://schemas.openxmlformats.org/drawingml/2006/main">
              <a:prstDash val="solid"/>
            </a:ln>
          </spPr>
          <cat>
            <numRef>
              <f>'Overview'!$AN$12:$BC$12</f>
            </numRef>
          </cat>
          <val>
            <numRef>
              <f>'Overview'!$AN$14:$BC$14</f>
            </numRef>
          </val>
        </ser>
        <ser>
          <idx val="2"/>
          <order val="2"/>
          <tx>
            <strRef>
              <f>'Overview'!AM15</f>
            </strRef>
          </tx>
          <spPr>
            <a:ln xmlns:a="http://schemas.openxmlformats.org/drawingml/2006/main">
              <a:prstDash val="solid"/>
            </a:ln>
          </spPr>
          <cat>
            <numRef>
              <f>'Overview'!$AN$12:$BC$12</f>
            </numRef>
          </cat>
          <val>
            <numRef>
              <f>'Overview'!$AN$15:$BC$15</f>
            </numRef>
          </val>
        </ser>
        <ser>
          <idx val="3"/>
          <order val="3"/>
          <tx>
            <strRef>
              <f>'Overview'!AM16</f>
            </strRef>
          </tx>
          <spPr>
            <a:ln xmlns:a="http://schemas.openxmlformats.org/drawingml/2006/main">
              <a:prstDash val="solid"/>
            </a:ln>
          </spPr>
          <cat>
            <numRef>
              <f>'Overview'!$AN$12:$BC$12</f>
            </numRef>
          </cat>
          <val>
            <numRef>
              <f>'Overview'!$AN$16:$BC$16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Vanquis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'Overview'!BF20</f>
            </strRef>
          </tx>
          <spPr>
            <a:ln xmlns:a="http://schemas.openxmlformats.org/drawingml/2006/main">
              <a:prstDash val="solid"/>
            </a:ln>
          </spPr>
          <cat>
            <numRef>
              <f>'Overview'!$BG$19:$BR$19</f>
            </numRef>
          </cat>
          <val>
            <numRef>
              <f>'Overview'!$BG$20:$BR$20</f>
            </numRef>
          </val>
        </ser>
        <ser>
          <idx val="1"/>
          <order val="1"/>
          <tx>
            <strRef>
              <f>'Overview'!BF21</f>
            </strRef>
          </tx>
          <spPr>
            <a:ln xmlns:a="http://schemas.openxmlformats.org/drawingml/2006/main">
              <a:prstDash val="solid"/>
            </a:ln>
          </spPr>
          <cat>
            <numRef>
              <f>'Overview'!$BG$19:$BR$19</f>
            </numRef>
          </cat>
          <val>
            <numRef>
              <f>'Overview'!$BG$21:$BR$21</f>
            </numRef>
          </val>
        </ser>
        <ser>
          <idx val="2"/>
          <order val="2"/>
          <tx>
            <strRef>
              <f>'Overview'!BF22</f>
            </strRef>
          </tx>
          <spPr>
            <a:ln xmlns:a="http://schemas.openxmlformats.org/drawingml/2006/main">
              <a:prstDash val="solid"/>
            </a:ln>
          </spPr>
          <cat>
            <numRef>
              <f>'Overview'!$BG$19:$BR$19</f>
            </numRef>
          </cat>
          <val>
            <numRef>
              <f>'Overview'!$BG$22:$BR$22</f>
            </numRef>
          </val>
        </ser>
        <ser>
          <idx val="3"/>
          <order val="3"/>
          <tx>
            <strRef>
              <f>'Overview'!BF23</f>
            </strRef>
          </tx>
          <spPr>
            <a:ln xmlns:a="http://schemas.openxmlformats.org/drawingml/2006/main">
              <a:prstDash val="solid"/>
            </a:ln>
          </spPr>
          <cat>
            <numRef>
              <f>'Overview'!$BG$19:$BR$19</f>
            </numRef>
          </cat>
          <val>
            <numRef>
              <f>'Overview'!$BG$23:$BR$23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Vanquis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'Overview'!BU27</f>
            </strRef>
          </tx>
          <spPr>
            <a:ln xmlns:a="http://schemas.openxmlformats.org/drawingml/2006/main">
              <a:prstDash val="solid"/>
            </a:ln>
          </spPr>
          <cat>
            <numRef>
              <f>'Overview'!$BV$26:$CJ$26</f>
            </numRef>
          </cat>
          <val>
            <numRef>
              <f>'Overview'!$BV$27:$CJ$27</f>
            </numRef>
          </val>
        </ser>
        <ser>
          <idx val="1"/>
          <order val="1"/>
          <tx>
            <strRef>
              <f>'Overview'!BU28</f>
            </strRef>
          </tx>
          <spPr>
            <a:ln xmlns:a="http://schemas.openxmlformats.org/drawingml/2006/main">
              <a:prstDash val="solid"/>
            </a:ln>
          </spPr>
          <cat>
            <numRef>
              <f>'Overview'!$BV$26:$CJ$26</f>
            </numRef>
          </cat>
          <val>
            <numRef>
              <f>'Overview'!$BV$28:$CJ$28</f>
            </numRef>
          </val>
        </ser>
        <ser>
          <idx val="2"/>
          <order val="2"/>
          <tx>
            <strRef>
              <f>'Overview'!BU29</f>
            </strRef>
          </tx>
          <spPr>
            <a:ln xmlns:a="http://schemas.openxmlformats.org/drawingml/2006/main">
              <a:prstDash val="solid"/>
            </a:ln>
          </spPr>
          <cat>
            <numRef>
              <f>'Overview'!$BV$26:$CJ$26</f>
            </numRef>
          </cat>
          <val>
            <numRef>
              <f>'Overview'!$BV$29:$CJ$29</f>
            </numRef>
          </val>
        </ser>
        <ser>
          <idx val="3"/>
          <order val="3"/>
          <tx>
            <strRef>
              <f>'Overview'!BU30</f>
            </strRef>
          </tx>
          <spPr>
            <a:ln xmlns:a="http://schemas.openxmlformats.org/drawingml/2006/main">
              <a:prstDash val="solid"/>
            </a:ln>
          </spPr>
          <cat>
            <numRef>
              <f>'Overview'!$BV$26:$CJ$26</f>
            </numRef>
          </cat>
          <val>
            <numRef>
              <f>'Overview'!$BV$30:$CJ$30</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Vanquis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'Overview'!CM6</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'Overview'!$CN$6:$CY$6</f>
            </numRef>
          </val>
          <smooth val="0"/>
        </ser>
        <ser>
          <idx val="1"/>
          <order val="1"/>
          <tx>
            <strRef>
              <f>'Overview'!CM7</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'Overview'!$CN$7:$CY$7</f>
            </numRef>
          </val>
          <smooth val="0"/>
        </ser>
        <ser>
          <idx val="2"/>
          <order val="2"/>
          <tx>
            <strRef>
              <f>'Overview'!CM8</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'Overview'!$CN$8:$CY$8</f>
            </numRef>
          </val>
          <smooth val="0"/>
        </ser>
        <ser>
          <idx val="3"/>
          <order val="3"/>
          <tx>
            <strRef>
              <f>'Overview'!CM9</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'Overview'!$CN$9:$CY$9</f>
            </numRef>
          </val>
          <smooth val="0"/>
        </ser>
        <ser>
          <idx val="4"/>
          <order val="4"/>
          <tx>
            <strRef>
              <f>'Overview'!CM10</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'Overview'!$CN$10:$CY$10</f>
            </numRef>
          </val>
          <smooth val="0"/>
        </ser>
        <ser>
          <idx val="5"/>
          <order val="5"/>
          <tx>
            <strRef>
              <f>'Overview'!CM11</f>
            </strRef>
          </tx>
          <spPr>
            <a:ln xmlns:a="http://schemas.openxmlformats.org/drawingml/2006/main">
              <a:prstDash val="solid"/>
            </a:ln>
          </spPr>
          <marker>
            <symbol val="none"/>
            <spPr>
              <a:ln xmlns:a="http://schemas.openxmlformats.org/drawingml/2006/main">
                <a:prstDash val="solid"/>
              </a:ln>
            </spPr>
          </marker>
          <cat>
            <numRef>
              <f>'Overview'!$CN$5:$CY$5</f>
            </numRef>
          </cat>
          <val>
            <numRef>
              <f>'Overview'!$CN$11:$CY$11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Y4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s>
  <sheetData>
    <row r="1">
      <c r="A1" s="1" t="inlineStr">
        <is>
          <t>Vanquis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t>
        </is>
      </c>
      <c r="U5" t="inlineStr">
        <is>
          <t>FY2010</t>
        </is>
      </c>
      <c r="V5" t="inlineStr">
        <is>
          <t>FY2011</t>
        </is>
      </c>
      <c r="W5" t="inlineStr">
        <is>
          <t>FY2012</t>
        </is>
      </c>
      <c r="X5" t="inlineStr">
        <is>
          <t>FY2013</t>
        </is>
      </c>
      <c r="Y5" t="inlineStr">
        <is>
          <t>FY2014</t>
        </is>
      </c>
      <c r="Z5" t="inlineStr">
        <is>
          <t>FY2015</t>
        </is>
      </c>
      <c r="AA5" t="inlineStr">
        <is>
          <t>FY2016</t>
        </is>
      </c>
      <c r="AB5" t="inlineStr">
        <is>
          <t>FY2017</t>
        </is>
      </c>
      <c r="AC5" t="inlineStr">
        <is>
          <t>FY2018</t>
        </is>
      </c>
      <c r="AD5" t="inlineStr">
        <is>
          <t>FY2019</t>
        </is>
      </c>
      <c r="AE5" t="inlineStr">
        <is>
          <t>FY2020</t>
        </is>
      </c>
      <c r="AF5" t="inlineStr">
        <is>
          <t>FY2021</t>
        </is>
      </c>
      <c r="AG5" t="inlineStr">
        <is>
          <t>FY2022</t>
        </is>
      </c>
      <c r="AH5" t="inlineStr">
        <is>
          <t>FY2023</t>
        </is>
      </c>
      <c r="AI5" t="inlineStr">
        <is>
          <t>FY2024</t>
        </is>
      </c>
      <c r="AJ5" t="inlineStr">
        <is>
          <t>FY2025</t>
        </is>
      </c>
      <c r="CN5" t="inlineStr">
        <is>
          <t>FY2014</t>
        </is>
      </c>
      <c r="CO5" t="inlineStr">
        <is>
          <t>FY2015</t>
        </is>
      </c>
      <c r="CP5" t="inlineStr">
        <is>
          <t>FY2016</t>
        </is>
      </c>
      <c r="CQ5" t="inlineStr">
        <is>
          <t>FY2017</t>
        </is>
      </c>
      <c r="CR5" t="inlineStr">
        <is>
          <t>FY2018</t>
        </is>
      </c>
      <c r="CS5" t="inlineStr">
        <is>
          <t>FY2019</t>
        </is>
      </c>
      <c r="CT5" t="inlineStr">
        <is>
          <t>FY2020</t>
        </is>
      </c>
      <c r="CU5" t="inlineStr">
        <is>
          <t>FY2021</t>
        </is>
      </c>
      <c r="CV5" t="inlineStr">
        <is>
          <t>FY2022</t>
        </is>
      </c>
      <c r="CW5" t="inlineStr">
        <is>
          <t>FY2023</t>
        </is>
      </c>
      <c r="CX5" t="inlineStr">
        <is>
          <t>FY2024</t>
        </is>
      </c>
      <c r="CY5" t="inlineStr">
        <is>
          <t>FY2025</t>
        </is>
      </c>
    </row>
    <row r="6">
      <c r="A6" s="5" t="inlineStr">
        <is>
          <t>Total assets</t>
        </is>
      </c>
      <c r="B6" s="5" t="n">
        <v>3574</v>
      </c>
      <c r="C6" s="5" t="n">
        <v>2907.4</v>
      </c>
      <c r="D6" s="5" t="n">
        <v>2609.5</v>
      </c>
      <c r="E6" s="5" t="n">
        <v>1867.4</v>
      </c>
      <c r="F6" s="5" t="n">
        <v>1700.3</v>
      </c>
      <c r="G6" s="5" t="n">
        <v>2106.4</v>
      </c>
      <c r="H6" s="5" t="n">
        <v>1889.4</v>
      </c>
      <c r="I6" s="5" t="n">
        <v>1958.6</v>
      </c>
      <c r="J6" s="5" t="n">
        <v>1855.1</v>
      </c>
      <c r="K6" s="5" t="n">
        <v>1628.7</v>
      </c>
      <c r="L6" s="5" t="n">
        <v>1424.7</v>
      </c>
      <c r="M6" s="5" t="n">
        <v>1257.3</v>
      </c>
      <c r="N6" s="5" t="n">
        <v>969.8</v>
      </c>
      <c r="O6" s="5" t="n">
        <v>714.6</v>
      </c>
      <c r="P6" s="5" t="n">
        <v>486.6</v>
      </c>
      <c r="Q6" s="5" t="n">
        <v>373.4</v>
      </c>
      <c r="T6" t="inlineStr">
        <is>
          <t>Total assets</t>
        </is>
      </c>
      <c r="U6" t="n">
        <v>373.4</v>
      </c>
      <c r="V6" t="n">
        <v>486.6</v>
      </c>
      <c r="W6" t="n">
        <v>714.6</v>
      </c>
      <c r="X6" t="n">
        <v>969.8</v>
      </c>
      <c r="Y6" t="n">
        <v>1257.3</v>
      </c>
      <c r="Z6" t="n">
        <v>1424.7</v>
      </c>
      <c r="AA6" t="n">
        <v>1628.7</v>
      </c>
      <c r="AB6" t="n">
        <v>1855.1</v>
      </c>
      <c r="AC6" t="n">
        <v>1958.6</v>
      </c>
      <c r="AD6" t="n">
        <v>1889.4</v>
      </c>
      <c r="AE6" t="n">
        <v>2106.4</v>
      </c>
      <c r="AF6" t="n">
        <v>1700.3</v>
      </c>
      <c r="AG6" t="n">
        <v>1867.4</v>
      </c>
      <c r="AH6" t="n">
        <v>2609.5</v>
      </c>
      <c r="AI6" t="n">
        <v>2907.4</v>
      </c>
      <c r="AJ6" t="n">
        <v>3574</v>
      </c>
      <c r="CM6" t="inlineStr">
        <is>
          <t>CET1 Ratio</t>
        </is>
      </c>
      <c r="CN6" t="n">
        <v>20</v>
      </c>
      <c r="CO6" t="n">
        <v>21.5</v>
      </c>
      <c r="CP6" t="n">
        <v>21.7</v>
      </c>
      <c r="CQ6" t="n">
        <v>14.5</v>
      </c>
      <c r="CR6" t="n">
        <v>28.2</v>
      </c>
      <c r="CS6" t="n">
        <v>31.1</v>
      </c>
      <c r="CT6" t="n">
        <v>34.2</v>
      </c>
      <c r="CU6" t="n">
        <v>29.1</v>
      </c>
      <c r="CV6" t="n">
        <v>26.4</v>
      </c>
      <c r="CW6" t="n">
        <v>20.5</v>
      </c>
      <c r="CX6" t="n">
        <v>18.8</v>
      </c>
      <c r="CY6" t="n">
        <v>16.5</v>
      </c>
    </row>
    <row r="7">
      <c r="A7" s="5" t="inlineStr">
        <is>
          <t>Amounts receivable from customers</t>
        </is>
      </c>
      <c r="B7" s="5" t="n">
        <v>2003.2</v>
      </c>
      <c r="C7" s="5" t="n">
        <v>1419.2</v>
      </c>
      <c r="D7" s="5" t="n">
        <v>1382.9</v>
      </c>
      <c r="E7" s="5" t="n">
        <v>1257.9</v>
      </c>
      <c r="F7" s="5" t="n">
        <v>1091.5</v>
      </c>
      <c r="G7" s="5" t="n">
        <v>1094.3</v>
      </c>
      <c r="H7" s="5" t="n">
        <v>1461.5</v>
      </c>
      <c r="I7" s="5" t="n">
        <v>1473.8</v>
      </c>
      <c r="J7" s="5" t="n">
        <v>1554.7</v>
      </c>
      <c r="K7" s="5" t="n">
        <v>1424.7</v>
      </c>
      <c r="L7" s="5" t="n">
        <v>1252</v>
      </c>
      <c r="M7" s="5" t="n">
        <v>1109.4</v>
      </c>
      <c r="N7" s="5" t="n">
        <v>866.6</v>
      </c>
      <c r="O7" s="5" t="n">
        <v>643.3</v>
      </c>
      <c r="P7" s="5" t="n">
        <v>453.4</v>
      </c>
      <c r="Q7" s="5" t="n">
        <v>343.2</v>
      </c>
      <c r="T7" t="inlineStr">
        <is>
          <t>Amounts receivable from customers</t>
        </is>
      </c>
      <c r="U7" t="n">
        <v>343.2</v>
      </c>
      <c r="V7" t="n">
        <v>453.4</v>
      </c>
      <c r="W7" t="n">
        <v>643.3</v>
      </c>
      <c r="X7" t="n">
        <v>866.6</v>
      </c>
      <c r="Y7" t="n">
        <v>1109.4</v>
      </c>
      <c r="Z7" t="n">
        <v>1252</v>
      </c>
      <c r="AA7" t="n">
        <v>1424.7</v>
      </c>
      <c r="AB7" t="n">
        <v>1554.7</v>
      </c>
      <c r="AC7" t="n">
        <v>1473.8</v>
      </c>
      <c r="AD7" t="n">
        <v>1461.5</v>
      </c>
      <c r="AE7" t="n">
        <v>1094.3</v>
      </c>
      <c r="AF7" t="n">
        <v>1091.5</v>
      </c>
      <c r="AG7" t="n">
        <v>1257.9</v>
      </c>
      <c r="AH7" t="n">
        <v>1382.9</v>
      </c>
      <c r="AI7" t="n">
        <v>1419.2</v>
      </c>
      <c r="AJ7" t="n">
        <v>2003.2</v>
      </c>
      <c r="CM7" t="inlineStr">
        <is>
          <t>Tier 1 Ratio</t>
        </is>
      </c>
      <c r="CN7" t="n">
        <v>20</v>
      </c>
      <c r="CO7" t="n">
        <v>21.5</v>
      </c>
      <c r="CP7" t="n">
        <v>21.7</v>
      </c>
      <c r="CQ7" t="n">
        <v>14.5</v>
      </c>
      <c r="CR7" t="n">
        <v>28.2</v>
      </c>
      <c r="CS7" t="n">
        <v>31.1</v>
      </c>
      <c r="CT7" t="n">
        <v>34.2</v>
      </c>
      <c r="CU7" t="n">
        <v>29.1</v>
      </c>
      <c r="CV7" t="n">
        <v>26.4</v>
      </c>
      <c r="CW7" t="n">
        <v>20.5</v>
      </c>
      <c r="CX7" t="n">
        <v>18.8</v>
      </c>
      <c r="CY7" t="n">
        <v>19.3</v>
      </c>
    </row>
    <row r="8">
      <c r="A8" s="5" t="inlineStr">
        <is>
          <t>Retail deposits</t>
        </is>
      </c>
      <c r="B8" s="5" t="n">
        <v>3019.9</v>
      </c>
      <c r="C8" s="5" t="n">
        <v>2428.1</v>
      </c>
      <c r="D8" s="5" t="n">
        <v>1950.5</v>
      </c>
      <c r="E8" s="5" t="n">
        <v>1100.6</v>
      </c>
      <c r="F8" s="5" t="n">
        <v>1018.6</v>
      </c>
      <c r="G8" s="5" t="n">
        <v>1683.2</v>
      </c>
      <c r="H8" s="5" t="n">
        <v>1345.2</v>
      </c>
      <c r="I8" s="5" t="n">
        <v>1431.7</v>
      </c>
      <c r="J8" s="5" t="n">
        <v>1291.8</v>
      </c>
      <c r="K8" s="5" t="n"/>
      <c r="L8" s="5" t="n"/>
      <c r="M8" s="5" t="n"/>
      <c r="N8" s="5" t="n"/>
      <c r="O8" s="5" t="n"/>
      <c r="P8" s="5" t="n"/>
      <c r="Q8" s="5" t="n"/>
      <c r="T8" t="inlineStr">
        <is>
          <t>Retail deposits</t>
        </is>
      </c>
      <c r="AB8" t="n">
        <v>1291.8</v>
      </c>
      <c r="AC8" t="n">
        <v>1431.7</v>
      </c>
      <c r="AD8" t="n">
        <v>1345.2</v>
      </c>
      <c r="AE8" t="n">
        <v>1683.2</v>
      </c>
      <c r="AF8" t="n">
        <v>1018.6</v>
      </c>
      <c r="AG8" t="n">
        <v>1100.6</v>
      </c>
      <c r="AH8" t="n">
        <v>1950.5</v>
      </c>
      <c r="AI8" t="n">
        <v>2428.1</v>
      </c>
      <c r="AJ8" t="n">
        <v>3019.9</v>
      </c>
      <c r="CM8" t="inlineStr">
        <is>
          <t>Total Capital Ratio</t>
        </is>
      </c>
      <c r="CN8" t="n">
        <v>20</v>
      </c>
      <c r="CO8" t="n">
        <v>21.5</v>
      </c>
      <c r="CP8" t="n">
        <v>21.7</v>
      </c>
      <c r="CQ8" t="n">
        <v>14.5</v>
      </c>
      <c r="CR8" t="n">
        <v>28.2</v>
      </c>
      <c r="CS8" t="n">
        <v>31.1</v>
      </c>
      <c r="CT8" t="n">
        <v>34.2</v>
      </c>
      <c r="CU8" t="n">
        <v>40.6</v>
      </c>
      <c r="CV8" t="n">
        <v>37.5</v>
      </c>
      <c r="CW8" t="n">
        <v>30.6</v>
      </c>
      <c r="CX8" t="n">
        <v>29.7</v>
      </c>
      <c r="CY8" t="n">
        <v>26.1</v>
      </c>
    </row>
    <row r="9">
      <c r="A9" s="5" t="inlineStr">
        <is>
          <t>Total equity</t>
        </is>
      </c>
      <c r="B9" s="5" t="n">
        <v>438</v>
      </c>
      <c r="C9" s="5" t="n">
        <v>361.7</v>
      </c>
      <c r="D9" s="5" t="n">
        <v>393.7</v>
      </c>
      <c r="E9" s="5" t="n">
        <v>385</v>
      </c>
      <c r="F9" s="5" t="n">
        <v>385.3</v>
      </c>
      <c r="G9" s="5" t="n">
        <v>327.1</v>
      </c>
      <c r="H9" s="5" t="n">
        <v>391.1</v>
      </c>
      <c r="I9" s="5" t="n">
        <v>375.4</v>
      </c>
      <c r="J9" s="5" t="n">
        <v>289.3</v>
      </c>
      <c r="K9" s="5" t="n">
        <v>379.7</v>
      </c>
      <c r="L9" s="5" t="n">
        <v>355.1</v>
      </c>
      <c r="M9" s="5" t="n">
        <v>284.6</v>
      </c>
      <c r="N9" s="5" t="n">
        <v>210.7</v>
      </c>
      <c r="O9" s="5" t="n">
        <v>152.7</v>
      </c>
      <c r="P9" s="5" t="n">
        <v>102.3</v>
      </c>
      <c r="Q9" s="5" t="n">
        <v>76.5</v>
      </c>
      <c r="T9" t="inlineStr">
        <is>
          <t>Total equity</t>
        </is>
      </c>
      <c r="U9" t="n">
        <v>76.5</v>
      </c>
      <c r="V9" t="n">
        <v>102.3</v>
      </c>
      <c r="W9" t="n">
        <v>152.7</v>
      </c>
      <c r="X9" t="n">
        <v>210.7</v>
      </c>
      <c r="Y9" t="n">
        <v>284.6</v>
      </c>
      <c r="Z9" t="n">
        <v>355.1</v>
      </c>
      <c r="AA9" t="n">
        <v>379.7</v>
      </c>
      <c r="AB9" t="n">
        <v>289.3</v>
      </c>
      <c r="AC9" t="n">
        <v>375.4</v>
      </c>
      <c r="AD9" t="n">
        <v>391.1</v>
      </c>
      <c r="AE9" t="n">
        <v>327.1</v>
      </c>
      <c r="AF9" t="n">
        <v>385.3</v>
      </c>
      <c r="AG9" t="n">
        <v>385</v>
      </c>
      <c r="AH9" t="n">
        <v>393.7</v>
      </c>
      <c r="AI9" t="n">
        <v>361.7</v>
      </c>
      <c r="AJ9" t="n">
        <v>438</v>
      </c>
      <c r="CM9" t="inlineStr">
        <is>
          <t>Leverage Ratio</t>
        </is>
      </c>
      <c r="CN9" t="n">
        <v>15.5</v>
      </c>
      <c r="CO9" t="n">
        <v>16.5</v>
      </c>
      <c r="CP9" t="n">
        <v>16.7</v>
      </c>
      <c r="CQ9" t="n">
        <v>10.8</v>
      </c>
      <c r="CR9" t="n">
        <v>20.3</v>
      </c>
      <c r="CS9" t="n">
        <v>22.8</v>
      </c>
      <c r="CT9" t="n">
        <v>20.8</v>
      </c>
      <c r="CU9" t="n">
        <v>18.1</v>
      </c>
      <c r="CV9" t="n">
        <v>21</v>
      </c>
      <c r="CW9" t="n">
        <v>16.4</v>
      </c>
      <c r="CX9" t="n">
        <v>13.9</v>
      </c>
      <c r="CY9" t="n">
        <v>12.1</v>
      </c>
    </row>
    <row r="10">
      <c r="CM10" t="inlineStr">
        <is>
          <t>LCR</t>
        </is>
      </c>
      <c r="CP10" t="n">
        <v>251</v>
      </c>
      <c r="CQ10" t="n">
        <v>242</v>
      </c>
      <c r="CR10" t="n">
        <v>490</v>
      </c>
      <c r="CS10" t="n">
        <v>578</v>
      </c>
      <c r="CT10" t="n">
        <v>1756</v>
      </c>
      <c r="CU10" t="n">
        <v>2073</v>
      </c>
      <c r="CV10" t="n">
        <v>986.2</v>
      </c>
      <c r="CW10" t="n">
        <v>847.1</v>
      </c>
      <c r="CX10" t="n">
        <v>1001.2</v>
      </c>
      <c r="CY10" t="n">
        <v>391.6</v>
      </c>
    </row>
    <row r="11">
      <c r="A11" s="3" t="inlineStr">
        <is>
          <t>Profit &amp; Loss Summary (£m)</t>
        </is>
      </c>
      <c r="CM11" t="inlineStr">
        <is>
          <t>NSFR</t>
        </is>
      </c>
      <c r="CV11" t="n">
        <v>140.6</v>
      </c>
      <c r="CW11" t="n">
        <v>142.8</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N12" s="4" t="inlineStr">
        <is>
          <t>FY2013</t>
        </is>
      </c>
      <c r="O12" s="4" t="inlineStr">
        <is>
          <t>FY2012</t>
        </is>
      </c>
      <c r="P12" s="4" t="inlineStr">
        <is>
          <t>FY2011</t>
        </is>
      </c>
      <c r="Q12" s="4" t="inlineStr">
        <is>
          <t>FY2010</t>
        </is>
      </c>
      <c r="AN12" t="inlineStr">
        <is>
          <t>FY2010</t>
        </is>
      </c>
      <c r="AO12" t="inlineStr">
        <is>
          <t>FY2011</t>
        </is>
      </c>
      <c r="AP12" t="inlineStr">
        <is>
          <t>FY2012</t>
        </is>
      </c>
      <c r="AQ12" t="inlineStr">
        <is>
          <t>FY2013</t>
        </is>
      </c>
      <c r="AR12" t="inlineStr">
        <is>
          <t>FY2014</t>
        </is>
      </c>
      <c r="AS12" t="inlineStr">
        <is>
          <t>FY2015</t>
        </is>
      </c>
      <c r="AT12" t="inlineStr">
        <is>
          <t>FY2016</t>
        </is>
      </c>
      <c r="AU12" t="inlineStr">
        <is>
          <t>FY2017</t>
        </is>
      </c>
      <c r="AV12" t="inlineStr">
        <is>
          <t>FY2018</t>
        </is>
      </c>
      <c r="AW12" t="inlineStr">
        <is>
          <t>FY2019</t>
        </is>
      </c>
      <c r="AX12" t="inlineStr">
        <is>
          <t>FY2020</t>
        </is>
      </c>
      <c r="AY12" t="inlineStr">
        <is>
          <t>FY2021</t>
        </is>
      </c>
      <c r="AZ12" t="inlineStr">
        <is>
          <t>FY2022</t>
        </is>
      </c>
      <c r="BA12" t="inlineStr">
        <is>
          <t>FY2023</t>
        </is>
      </c>
      <c r="BB12" t="inlineStr">
        <is>
          <t>FY2024</t>
        </is>
      </c>
      <c r="BC12" t="inlineStr">
        <is>
          <t>FY2025</t>
        </is>
      </c>
    </row>
    <row r="13">
      <c r="A13" s="5" t="inlineStr">
        <is>
          <t>Total income</t>
        </is>
      </c>
      <c r="B13" s="5" t="n">
        <v>374.3</v>
      </c>
      <c r="C13" s="5" t="n">
        <v>366.3</v>
      </c>
      <c r="D13" s="5" t="n">
        <v>385.4</v>
      </c>
      <c r="E13" s="5" t="n">
        <v>375.4</v>
      </c>
      <c r="F13" s="5" t="n"/>
      <c r="G13" s="5" t="n">
        <v>453.7</v>
      </c>
      <c r="H13" s="5" t="n">
        <v>556</v>
      </c>
      <c r="I13" s="5" t="n">
        <v>622.7</v>
      </c>
      <c r="J13" s="5" t="n">
        <v>607.4</v>
      </c>
      <c r="K13" s="5" t="n">
        <v>545.6</v>
      </c>
      <c r="L13" s="5" t="n">
        <v>501.3</v>
      </c>
      <c r="M13" s="5" t="n">
        <v>431.7</v>
      </c>
      <c r="N13" s="5" t="n">
        <v>348.2</v>
      </c>
      <c r="O13" s="5" t="n">
        <v>256.3</v>
      </c>
      <c r="P13" s="5" t="n">
        <v>189.5</v>
      </c>
      <c r="Q13" s="5" t="n">
        <v>157.4</v>
      </c>
      <c r="AM13" t="inlineStr">
        <is>
          <t>Total income</t>
        </is>
      </c>
      <c r="AN13" t="n">
        <v>157.4</v>
      </c>
      <c r="AO13" t="n">
        <v>189.5</v>
      </c>
      <c r="AP13" t="n">
        <v>256.3</v>
      </c>
      <c r="AQ13" t="n">
        <v>348.2</v>
      </c>
      <c r="AR13" t="n">
        <v>431.7</v>
      </c>
      <c r="AS13" t="n">
        <v>501.3</v>
      </c>
      <c r="AT13" t="n">
        <v>545.6</v>
      </c>
      <c r="AU13" t="n">
        <v>607.4</v>
      </c>
      <c r="AV13" t="n">
        <v>622.7</v>
      </c>
      <c r="AW13" t="n">
        <v>556</v>
      </c>
      <c r="AX13" t="n">
        <v>453.7</v>
      </c>
      <c r="AZ13" t="n">
        <v>375.4</v>
      </c>
      <c r="BA13" t="n">
        <v>385.4</v>
      </c>
      <c r="BB13" t="n">
        <v>366.3</v>
      </c>
      <c r="BC13" t="n">
        <v>374.3</v>
      </c>
    </row>
    <row r="14">
      <c r="A14" s="5" t="inlineStr">
        <is>
          <t>Impairment charges</t>
        </is>
      </c>
      <c r="B14" s="5" t="n">
        <v>-139.2</v>
      </c>
      <c r="C14" s="5" t="n">
        <v>-124.7</v>
      </c>
      <c r="D14" s="5" t="n">
        <v>-150.9</v>
      </c>
      <c r="E14" s="5" t="n">
        <v>-25.3</v>
      </c>
      <c r="F14" s="5" t="n">
        <v>-5.9</v>
      </c>
      <c r="G14" s="5" t="n">
        <v>-239.9</v>
      </c>
      <c r="H14" s="5" t="n">
        <v>-198.9</v>
      </c>
      <c r="I14" s="5" t="n">
        <v>-241.6</v>
      </c>
      <c r="J14" s="5" t="n">
        <v>-171.9</v>
      </c>
      <c r="K14" s="5" t="n">
        <v>-162.6</v>
      </c>
      <c r="L14" s="5" t="n">
        <v>-149.9</v>
      </c>
      <c r="M14" s="5" t="n">
        <v>-149.1</v>
      </c>
      <c r="N14" s="5" t="n">
        <v>-129.4</v>
      </c>
      <c r="O14" s="5" t="n">
        <v>-95.90000000000001</v>
      </c>
      <c r="P14" s="5" t="n">
        <v>-76.90000000000001</v>
      </c>
      <c r="Q14" s="5" t="n">
        <v>-81.5</v>
      </c>
      <c r="AM14" t="inlineStr">
        <is>
          <t>Impairment charges</t>
        </is>
      </c>
      <c r="AN14" t="n">
        <v>-81.5</v>
      </c>
      <c r="AO14" t="n">
        <v>-76.90000000000001</v>
      </c>
      <c r="AP14" t="n">
        <v>-95.90000000000001</v>
      </c>
      <c r="AQ14" t="n">
        <v>-129.4</v>
      </c>
      <c r="AR14" t="n">
        <v>-149.1</v>
      </c>
      <c r="AS14" t="n">
        <v>-149.9</v>
      </c>
      <c r="AT14" t="n">
        <v>-162.6</v>
      </c>
      <c r="AU14" t="n">
        <v>-171.9</v>
      </c>
      <c r="AV14" t="n">
        <v>-241.6</v>
      </c>
      <c r="AW14" t="n">
        <v>-198.9</v>
      </c>
      <c r="AX14" t="n">
        <v>-239.9</v>
      </c>
      <c r="AY14" t="n">
        <v>-5.9</v>
      </c>
      <c r="AZ14" t="n">
        <v>-25.3</v>
      </c>
      <c r="BA14" t="n">
        <v>-150.9</v>
      </c>
      <c r="BB14" t="n">
        <v>-124.7</v>
      </c>
      <c r="BC14" t="n">
        <v>-139.2</v>
      </c>
    </row>
    <row r="15">
      <c r="A15" s="5" t="inlineStr">
        <is>
          <t>Operating costs</t>
        </is>
      </c>
      <c r="B15" s="5" t="n">
        <v>-190.6</v>
      </c>
      <c r="C15" s="5" t="n">
        <v>-236.6</v>
      </c>
      <c r="D15" s="5" t="n">
        <v>-223.4</v>
      </c>
      <c r="E15" s="5" t="n">
        <v>-219.7</v>
      </c>
      <c r="F15" s="5" t="n">
        <v>-195.6</v>
      </c>
      <c r="G15" s="5" t="n">
        <v>-171.4</v>
      </c>
      <c r="H15" s="5" t="n">
        <v>-179.5</v>
      </c>
      <c r="I15" s="5" t="n">
        <v>-190.4</v>
      </c>
      <c r="J15" s="5" t="n">
        <v>-222.7</v>
      </c>
      <c r="K15" s="5" t="n">
        <v>-175.2</v>
      </c>
      <c r="L15" s="5" t="n">
        <v>-162.3</v>
      </c>
      <c r="M15" s="5" t="n">
        <v>-138.9</v>
      </c>
      <c r="N15" s="5" t="n">
        <v>-108.1</v>
      </c>
      <c r="O15" s="5" t="n">
        <v>-89</v>
      </c>
      <c r="P15" s="5" t="n">
        <v>-67.90000000000001</v>
      </c>
      <c r="Q15" s="5" t="n">
        <v>-53.1</v>
      </c>
      <c r="AM15" t="inlineStr">
        <is>
          <t>Operating costs</t>
        </is>
      </c>
      <c r="AN15" t="n">
        <v>-53.1</v>
      </c>
      <c r="AO15" t="n">
        <v>-67.90000000000001</v>
      </c>
      <c r="AP15" t="n">
        <v>-89</v>
      </c>
      <c r="AQ15" t="n">
        <v>-108.1</v>
      </c>
      <c r="AR15" t="n">
        <v>-138.9</v>
      </c>
      <c r="AS15" t="n">
        <v>-162.3</v>
      </c>
      <c r="AT15" t="n">
        <v>-175.2</v>
      </c>
      <c r="AU15" t="n">
        <v>-222.7</v>
      </c>
      <c r="AV15" t="n">
        <v>-190.4</v>
      </c>
      <c r="AW15" t="n">
        <v>-179.5</v>
      </c>
      <c r="AX15" t="n">
        <v>-171.4</v>
      </c>
      <c r="AY15" t="n">
        <v>-195.6</v>
      </c>
      <c r="AZ15" t="n">
        <v>-219.7</v>
      </c>
      <c r="BA15" t="n">
        <v>-223.4</v>
      </c>
      <c r="BB15" t="n">
        <v>-236.6</v>
      </c>
      <c r="BC15" t="n">
        <v>-190.6</v>
      </c>
    </row>
    <row r="16">
      <c r="A16" s="5" t="inlineStr">
        <is>
          <t>Profit for the year</t>
        </is>
      </c>
      <c r="B16" s="5" t="n">
        <v>35.7</v>
      </c>
      <c r="C16" s="5" t="n">
        <v>7.5</v>
      </c>
      <c r="D16" s="5" t="n">
        <v>7.6</v>
      </c>
      <c r="E16" s="5" t="n">
        <v>93.8</v>
      </c>
      <c r="F16" s="5" t="n">
        <v>146</v>
      </c>
      <c r="G16" s="5" t="n">
        <v>42.6</v>
      </c>
      <c r="H16" s="5" t="n">
        <v>138.6</v>
      </c>
      <c r="I16" s="5" t="n">
        <v>145.9</v>
      </c>
      <c r="J16" s="5" t="n">
        <v>-24</v>
      </c>
      <c r="K16" s="5" t="n">
        <v>167.8</v>
      </c>
      <c r="L16" s="5" t="n">
        <v>152.6</v>
      </c>
      <c r="M16" s="5" t="n">
        <v>113.4</v>
      </c>
      <c r="N16" s="5" t="n">
        <v>85.2</v>
      </c>
      <c r="O16" s="5" t="n">
        <v>53.8</v>
      </c>
      <c r="P16" s="5" t="n">
        <v>32.8</v>
      </c>
      <c r="Q16" s="5" t="n">
        <v>16.5</v>
      </c>
      <c r="AM16" t="inlineStr">
        <is>
          <t>Profit for the year</t>
        </is>
      </c>
      <c r="AN16" t="n">
        <v>16.5</v>
      </c>
      <c r="AO16" t="n">
        <v>32.8</v>
      </c>
      <c r="AP16" t="n">
        <v>53.8</v>
      </c>
      <c r="AQ16" t="n">
        <v>85.2</v>
      </c>
      <c r="AR16" t="n">
        <v>113.4</v>
      </c>
      <c r="AS16" t="n">
        <v>152.6</v>
      </c>
      <c r="AT16" t="n">
        <v>167.8</v>
      </c>
      <c r="AU16" t="n">
        <v>-24</v>
      </c>
      <c r="AV16" t="n">
        <v>145.9</v>
      </c>
      <c r="AW16" t="n">
        <v>138.6</v>
      </c>
      <c r="AX16" t="n">
        <v>42.6</v>
      </c>
      <c r="AY16" t="n">
        <v>146</v>
      </c>
      <c r="AZ16" t="n">
        <v>93.8</v>
      </c>
      <c r="BA16" t="n">
        <v>7.6</v>
      </c>
      <c r="BB16" t="n">
        <v>7.5</v>
      </c>
      <c r="BC16" t="n">
        <v>35.7</v>
      </c>
    </row>
    <row r="18">
      <c r="A18" s="3" t="inlineStr">
        <is>
          <t>Statement of Changes in Equity Summary (£m)</t>
        </is>
      </c>
    </row>
    <row r="19">
      <c r="A19" s="4" t="inlineStr">
        <is>
          <t>Line item</t>
        </is>
      </c>
      <c r="B19" s="4" t="inlineStr">
        <is>
          <t>FY2025</t>
        </is>
      </c>
      <c r="C19" s="4" t="inlineStr">
        <is>
          <t>FY2024</t>
        </is>
      </c>
      <c r="D19" s="4" t="inlineStr">
        <is>
          <t>FY2023</t>
        </is>
      </c>
      <c r="E19" s="4" t="inlineStr">
        <is>
          <t>FY2022</t>
        </is>
      </c>
      <c r="F19" s="4" t="inlineStr">
        <is>
          <t>FY2021</t>
        </is>
      </c>
      <c r="G19" s="4" t="inlineStr">
        <is>
          <t>FY2020</t>
        </is>
      </c>
      <c r="H19" s="4" t="inlineStr">
        <is>
          <t>FY2019</t>
        </is>
      </c>
      <c r="I19" s="4" t="inlineStr">
        <is>
          <t>FY2018</t>
        </is>
      </c>
      <c r="J19" s="4" t="inlineStr">
        <is>
          <t>FY2017</t>
        </is>
      </c>
      <c r="K19" s="4" t="inlineStr">
        <is>
          <t>FY2016</t>
        </is>
      </c>
      <c r="L19" s="4" t="inlineStr">
        <is>
          <t>FY2015</t>
        </is>
      </c>
      <c r="M19" s="4" t="inlineStr">
        <is>
          <t>FY2014</t>
        </is>
      </c>
      <c r="BG19" t="inlineStr">
        <is>
          <t>FY2014</t>
        </is>
      </c>
      <c r="BH19" t="inlineStr">
        <is>
          <t>FY2015</t>
        </is>
      </c>
      <c r="BI19" t="inlineStr">
        <is>
          <t>FY2016</t>
        </is>
      </c>
      <c r="BJ19" t="inlineStr">
        <is>
          <t>FY2017</t>
        </is>
      </c>
      <c r="BK19" t="inlineStr">
        <is>
          <t>FY2018</t>
        </is>
      </c>
      <c r="BL19" t="inlineStr">
        <is>
          <t>FY2019</t>
        </is>
      </c>
      <c r="BM19" t="inlineStr">
        <is>
          <t>FY2020</t>
        </is>
      </c>
      <c r="BN19" t="inlineStr">
        <is>
          <t>FY2021</t>
        </is>
      </c>
      <c r="BO19" t="inlineStr">
        <is>
          <t>FY2022</t>
        </is>
      </c>
      <c r="BP19" t="inlineStr">
        <is>
          <t>FY2023</t>
        </is>
      </c>
      <c r="BQ19" t="inlineStr">
        <is>
          <t>FY2024</t>
        </is>
      </c>
      <c r="BR19" t="inlineStr">
        <is>
          <t>FY2025</t>
        </is>
      </c>
    </row>
    <row r="20">
      <c r="A20" s="5" t="inlineStr">
        <is>
          <t>Opening equity</t>
        </is>
      </c>
      <c r="B20" s="5" t="n">
        <v>361.7</v>
      </c>
      <c r="C20" s="5" t="n">
        <v>393.7</v>
      </c>
      <c r="D20" s="5" t="n">
        <v>385</v>
      </c>
      <c r="E20" s="5" t="n">
        <v>385.3</v>
      </c>
      <c r="F20" s="5" t="n">
        <v>327.1</v>
      </c>
      <c r="G20" s="5" t="n">
        <v>391.1</v>
      </c>
      <c r="H20" s="5" t="n">
        <v>391.4</v>
      </c>
      <c r="I20" s="5" t="n">
        <v>289.3</v>
      </c>
      <c r="J20" s="5" t="n">
        <v>379.7</v>
      </c>
      <c r="K20" s="5" t="n">
        <v>355.1</v>
      </c>
      <c r="L20" s="5" t="n">
        <v>284.6</v>
      </c>
      <c r="M20" s="5" t="n">
        <v>210.7</v>
      </c>
      <c r="BF20" t="inlineStr">
        <is>
          <t>Opening equity</t>
        </is>
      </c>
      <c r="BG20" t="n">
        <v>210.7</v>
      </c>
      <c r="BH20" t="n">
        <v>284.6</v>
      </c>
      <c r="BI20" t="n">
        <v>355.1</v>
      </c>
      <c r="BJ20" t="n">
        <v>379.7</v>
      </c>
      <c r="BK20" t="n">
        <v>289.3</v>
      </c>
      <c r="BL20" t="n">
        <v>391.4</v>
      </c>
      <c r="BM20" t="n">
        <v>391.1</v>
      </c>
      <c r="BN20" t="n">
        <v>327.1</v>
      </c>
      <c r="BO20" t="n">
        <v>385.3</v>
      </c>
      <c r="BP20" t="n">
        <v>385</v>
      </c>
      <c r="BQ20" t="n">
        <v>393.7</v>
      </c>
      <c r="BR20" t="n">
        <v>361.7</v>
      </c>
    </row>
    <row r="21">
      <c r="A21" s="5" t="inlineStr">
        <is>
          <t>Total comprehensive income for the year</t>
        </is>
      </c>
      <c r="B21" s="5" t="n">
        <v>35.7</v>
      </c>
      <c r="C21" s="5" t="n">
        <v>7.5</v>
      </c>
      <c r="D21" s="5" t="n">
        <v>7.6</v>
      </c>
      <c r="E21" s="5" t="n">
        <v>93.8</v>
      </c>
      <c r="F21" s="5" t="n">
        <v>142.1</v>
      </c>
      <c r="G21" s="5" t="n">
        <v>45.2</v>
      </c>
      <c r="H21" s="5" t="n">
        <v>141.9</v>
      </c>
      <c r="I21" s="5" t="n">
        <v>147.6</v>
      </c>
      <c r="J21" s="5" t="n">
        <v>-22.6</v>
      </c>
      <c r="K21" s="5" t="n">
        <v>155.4</v>
      </c>
      <c r="L21" s="5" t="n">
        <v>165.3</v>
      </c>
      <c r="M21" s="5" t="n">
        <v>113.5</v>
      </c>
      <c r="BF21" t="inlineStr">
        <is>
          <t>Total comprehensive income for the year</t>
        </is>
      </c>
      <c r="BG21" t="n">
        <v>113.5</v>
      </c>
      <c r="BH21" t="n">
        <v>165.3</v>
      </c>
      <c r="BI21" t="n">
        <v>155.4</v>
      </c>
      <c r="BJ21" t="n">
        <v>-22.6</v>
      </c>
      <c r="BK21" t="n">
        <v>147.6</v>
      </c>
      <c r="BL21" t="n">
        <v>141.9</v>
      </c>
      <c r="BM21" t="n">
        <v>45.2</v>
      </c>
      <c r="BN21" t="n">
        <v>142.1</v>
      </c>
      <c r="BO21" t="n">
        <v>93.8</v>
      </c>
      <c r="BP21" t="n">
        <v>7.6</v>
      </c>
      <c r="BQ21" t="n">
        <v>7.5</v>
      </c>
      <c r="BR21" t="n">
        <v>35.7</v>
      </c>
    </row>
    <row r="22">
      <c r="A22" s="5" t="inlineStr">
        <is>
          <t>Other equity movements, net</t>
        </is>
      </c>
      <c r="B22" s="5" t="n">
        <v>40.6</v>
      </c>
      <c r="C22" s="5" t="n">
        <v>-39.5</v>
      </c>
      <c r="D22" s="5" t="n">
        <v>1.1</v>
      </c>
      <c r="E22" s="5" t="n">
        <v>-94.09999999999999</v>
      </c>
      <c r="F22" s="5" t="n">
        <v>-83.90000000000001</v>
      </c>
      <c r="G22" s="5" t="n">
        <v>-109.2</v>
      </c>
      <c r="H22" s="5" t="n">
        <v>-142.2</v>
      </c>
      <c r="I22" s="5" t="n">
        <v>-61.5</v>
      </c>
      <c r="J22" s="5" t="n">
        <v>-67.8</v>
      </c>
      <c r="K22" s="5" t="n">
        <v>-130.8</v>
      </c>
      <c r="L22" s="5" t="n">
        <v>-94.8</v>
      </c>
      <c r="M22" s="5" t="n">
        <v>-39.6</v>
      </c>
      <c r="BF22" t="inlineStr">
        <is>
          <t>Other equity movements, net</t>
        </is>
      </c>
      <c r="BG22" t="n">
        <v>-39.6</v>
      </c>
      <c r="BH22" t="n">
        <v>-94.8</v>
      </c>
      <c r="BI22" t="n">
        <v>-130.8</v>
      </c>
      <c r="BJ22" t="n">
        <v>-67.8</v>
      </c>
      <c r="BK22" t="n">
        <v>-61.5</v>
      </c>
      <c r="BL22" t="n">
        <v>-142.2</v>
      </c>
      <c r="BM22" t="n">
        <v>-109.2</v>
      </c>
      <c r="BN22" t="n">
        <v>-83.90000000000001</v>
      </c>
      <c r="BO22" t="n">
        <v>-94.09999999999999</v>
      </c>
      <c r="BP22" t="n">
        <v>1.1</v>
      </c>
      <c r="BQ22" t="n">
        <v>-39.5</v>
      </c>
      <c r="BR22" t="n">
        <v>40.6</v>
      </c>
    </row>
    <row r="23">
      <c r="A23" s="5" t="inlineStr">
        <is>
          <t>Closing equity</t>
        </is>
      </c>
      <c r="B23" s="5" t="n">
        <v>438</v>
      </c>
      <c r="C23" s="5" t="n">
        <v>361.7</v>
      </c>
      <c r="D23" s="5" t="n">
        <v>393.7</v>
      </c>
      <c r="E23" s="5" t="n">
        <v>385</v>
      </c>
      <c r="F23" s="5" t="n">
        <v>385.3</v>
      </c>
      <c r="G23" s="5" t="n">
        <v>327.1</v>
      </c>
      <c r="H23" s="5" t="n">
        <v>391.1</v>
      </c>
      <c r="I23" s="5" t="n">
        <v>375.4</v>
      </c>
      <c r="J23" s="5" t="n">
        <v>289.3</v>
      </c>
      <c r="K23" s="5" t="n">
        <v>379.7</v>
      </c>
      <c r="L23" s="5" t="n">
        <v>355.1</v>
      </c>
      <c r="M23" s="5" t="n">
        <v>284.6</v>
      </c>
      <c r="BF23" t="inlineStr">
        <is>
          <t>Closing equity</t>
        </is>
      </c>
      <c r="BG23" t="n">
        <v>284.6</v>
      </c>
      <c r="BH23" t="n">
        <v>355.1</v>
      </c>
      <c r="BI23" t="n">
        <v>379.7</v>
      </c>
      <c r="BJ23" t="n">
        <v>289.3</v>
      </c>
      <c r="BK23" t="n">
        <v>375.4</v>
      </c>
      <c r="BL23" t="n">
        <v>391.1</v>
      </c>
      <c r="BM23" t="n">
        <v>327.1</v>
      </c>
      <c r="BN23" t="n">
        <v>385.3</v>
      </c>
      <c r="BO23" t="n">
        <v>385</v>
      </c>
      <c r="BP23" t="n">
        <v>393.7</v>
      </c>
      <c r="BQ23" t="n">
        <v>361.7</v>
      </c>
      <c r="BR23" t="n">
        <v>438</v>
      </c>
    </row>
    <row r="25">
      <c r="A25" s="3" t="inlineStr">
        <is>
          <t>Cash Flow Summary (£m)</t>
        </is>
      </c>
    </row>
    <row r="26">
      <c r="A26" s="4" t="inlineStr">
        <is>
          <t>Line item</t>
        </is>
      </c>
      <c r="B26" s="4" t="inlineStr">
        <is>
          <t>FY2025</t>
        </is>
      </c>
      <c r="C26" s="4" t="inlineStr">
        <is>
          <t>FY2024</t>
        </is>
      </c>
      <c r="D26" s="4" t="inlineStr">
        <is>
          <t>FY2023</t>
        </is>
      </c>
      <c r="E26" s="4" t="inlineStr">
        <is>
          <t>FY2022</t>
        </is>
      </c>
      <c r="F26" s="4" t="inlineStr">
        <is>
          <t>FY2021</t>
        </is>
      </c>
      <c r="G26" s="4" t="inlineStr">
        <is>
          <t>FY2020</t>
        </is>
      </c>
      <c r="H26" s="4" t="inlineStr">
        <is>
          <t>FY2019</t>
        </is>
      </c>
      <c r="I26" s="4" t="inlineStr">
        <is>
          <t>FY2018</t>
        </is>
      </c>
      <c r="J26" s="4" t="inlineStr">
        <is>
          <t>FY2017</t>
        </is>
      </c>
      <c r="K26" s="4" t="inlineStr">
        <is>
          <t>FY2016</t>
        </is>
      </c>
      <c r="L26" s="4" t="inlineStr">
        <is>
          <t>FY2015</t>
        </is>
      </c>
      <c r="M26" s="4" t="inlineStr">
        <is>
          <t>FY2014</t>
        </is>
      </c>
      <c r="N26" s="4" t="inlineStr">
        <is>
          <t>FY2013</t>
        </is>
      </c>
      <c r="O26" s="4" t="inlineStr">
        <is>
          <t>FY2012</t>
        </is>
      </c>
      <c r="P26" s="4" t="inlineStr">
        <is>
          <t>FY2011</t>
        </is>
      </c>
      <c r="BV26" t="inlineStr">
        <is>
          <t>FY2011</t>
        </is>
      </c>
      <c r="BW26" t="inlineStr">
        <is>
          <t>FY2012</t>
        </is>
      </c>
      <c r="BX26" t="inlineStr">
        <is>
          <t>FY2013</t>
        </is>
      </c>
      <c r="BY26" t="inlineStr">
        <is>
          <t>FY2014</t>
        </is>
      </c>
      <c r="BZ26" t="inlineStr">
        <is>
          <t>FY2015</t>
        </is>
      </c>
      <c r="CA26" t="inlineStr">
        <is>
          <t>FY2016</t>
        </is>
      </c>
      <c r="CB26" t="inlineStr">
        <is>
          <t>FY2017</t>
        </is>
      </c>
      <c r="CC26" t="inlineStr">
        <is>
          <t>FY2018</t>
        </is>
      </c>
      <c r="CD26" t="inlineStr">
        <is>
          <t>FY2019</t>
        </is>
      </c>
      <c r="CE26" t="inlineStr">
        <is>
          <t>FY2020</t>
        </is>
      </c>
      <c r="CF26" t="inlineStr">
        <is>
          <t>FY2021</t>
        </is>
      </c>
      <c r="CG26" t="inlineStr">
        <is>
          <t>FY2022</t>
        </is>
      </c>
      <c r="CH26" t="inlineStr">
        <is>
          <t>FY2023</t>
        </is>
      </c>
      <c r="CI26" t="inlineStr">
        <is>
          <t>FY2024</t>
        </is>
      </c>
      <c r="CJ26" t="inlineStr">
        <is>
          <t>FY2025</t>
        </is>
      </c>
    </row>
    <row r="27">
      <c r="A27" s="5" t="inlineStr">
        <is>
          <t>Net cash from/(used in) operating activities</t>
        </is>
      </c>
      <c r="B27" s="5" t="n">
        <v>19.6</v>
      </c>
      <c r="C27" s="5" t="n">
        <v>469</v>
      </c>
      <c r="D27" s="5" t="n">
        <v>-534</v>
      </c>
      <c r="E27" s="5" t="n">
        <v>50.9</v>
      </c>
      <c r="F27" s="5" t="n">
        <v>180.9</v>
      </c>
      <c r="G27" s="5" t="n">
        <v>293.9</v>
      </c>
      <c r="H27" s="5" t="n">
        <v>154</v>
      </c>
      <c r="I27" s="5" t="n">
        <v>39.4</v>
      </c>
      <c r="J27" s="5" t="n">
        <v>-23.9</v>
      </c>
      <c r="K27" s="5" t="n">
        <v>0.2</v>
      </c>
      <c r="L27" s="5" t="n">
        <v>24</v>
      </c>
      <c r="M27" s="5" t="n">
        <v>-114.8</v>
      </c>
      <c r="N27" s="5" t="n">
        <v>-128.8</v>
      </c>
      <c r="O27" s="5" t="n">
        <v>-137.1</v>
      </c>
      <c r="P27" s="5" t="n">
        <v>-54.6</v>
      </c>
      <c r="BU27" t="inlineStr">
        <is>
          <t>Net cash from/(used in) operating activities</t>
        </is>
      </c>
      <c r="BV27" t="n">
        <v>-54.6</v>
      </c>
      <c r="BW27" t="n">
        <v>-137.1</v>
      </c>
      <c r="BX27" t="n">
        <v>-128.8</v>
      </c>
      <c r="BY27" t="n">
        <v>-114.8</v>
      </c>
      <c r="BZ27" t="n">
        <v>24</v>
      </c>
      <c r="CA27" t="n">
        <v>0.2</v>
      </c>
      <c r="CB27" t="n">
        <v>-23.9</v>
      </c>
      <c r="CC27" t="n">
        <v>39.4</v>
      </c>
      <c r="CD27" t="n">
        <v>154</v>
      </c>
      <c r="CE27" t="n">
        <v>293.9</v>
      </c>
      <c r="CF27" t="n">
        <v>180.9</v>
      </c>
      <c r="CG27" t="n">
        <v>50.9</v>
      </c>
      <c r="CH27" t="n">
        <v>-534</v>
      </c>
      <c r="CI27" t="n">
        <v>469</v>
      </c>
      <c r="CJ27" t="n">
        <v>19.6</v>
      </c>
    </row>
    <row r="28">
      <c r="A28" s="5" t="inlineStr">
        <is>
          <t>Net cash from/(used in) investing activities</t>
        </is>
      </c>
      <c r="B28" s="5" t="n">
        <v>-267.8</v>
      </c>
      <c r="C28" s="5" t="n">
        <v>-8.5</v>
      </c>
      <c r="D28" s="5" t="n">
        <v>-8</v>
      </c>
      <c r="E28" s="5" t="n">
        <v>-21.7</v>
      </c>
      <c r="F28" s="5" t="n">
        <v>-17.6</v>
      </c>
      <c r="G28" s="5" t="n">
        <v>-11.7</v>
      </c>
      <c r="H28" s="5" t="n">
        <v>28.7</v>
      </c>
      <c r="I28" s="5" t="n">
        <v>-3.4</v>
      </c>
      <c r="J28" s="5" t="n">
        <v>-42.4</v>
      </c>
      <c r="K28" s="5" t="n">
        <v>8.9</v>
      </c>
      <c r="L28" s="5" t="n">
        <v>-3.3</v>
      </c>
      <c r="M28" s="5" t="n">
        <v>-6.1</v>
      </c>
      <c r="N28" s="5" t="n">
        <v>-2</v>
      </c>
      <c r="O28" s="5" t="n">
        <v>-1.3</v>
      </c>
      <c r="P28" s="5" t="n">
        <v>-3.2</v>
      </c>
      <c r="BU28" t="inlineStr">
        <is>
          <t>Net cash from/(used in) investing activities</t>
        </is>
      </c>
      <c r="BV28" t="n">
        <v>-3.2</v>
      </c>
      <c r="BW28" t="n">
        <v>-1.3</v>
      </c>
      <c r="BX28" t="n">
        <v>-2</v>
      </c>
      <c r="BY28" t="n">
        <v>-6.1</v>
      </c>
      <c r="BZ28" t="n">
        <v>-3.3</v>
      </c>
      <c r="CA28" t="n">
        <v>8.9</v>
      </c>
      <c r="CB28" t="n">
        <v>-42.4</v>
      </c>
      <c r="CC28" t="n">
        <v>-3.4</v>
      </c>
      <c r="CD28" t="n">
        <v>28.7</v>
      </c>
      <c r="CE28" t="n">
        <v>-11.7</v>
      </c>
      <c r="CF28" t="n">
        <v>-17.6</v>
      </c>
      <c r="CG28" t="n">
        <v>-21.7</v>
      </c>
      <c r="CH28" t="n">
        <v>-8</v>
      </c>
      <c r="CI28" t="n">
        <v>-8.5</v>
      </c>
      <c r="CJ28" t="n">
        <v>-267.8</v>
      </c>
    </row>
    <row r="29">
      <c r="A29" s="5" t="inlineStr">
        <is>
          <t>Net cash from/(used in) financing activities</t>
        </is>
      </c>
      <c r="B29" s="5" t="n">
        <v>49</v>
      </c>
      <c r="C29" s="5" t="n">
        <v>-195.6</v>
      </c>
      <c r="D29" s="5" t="n">
        <v>809.1</v>
      </c>
      <c r="E29" s="5" t="n">
        <v>-29.6</v>
      </c>
      <c r="F29" s="5" t="n">
        <v>-583.5</v>
      </c>
      <c r="G29" s="5" t="n">
        <v>226.2</v>
      </c>
      <c r="H29" s="5" t="n">
        <v>-231.1</v>
      </c>
      <c r="I29" s="5" t="n">
        <v>106.1</v>
      </c>
      <c r="J29" s="5" t="n">
        <v>125.1</v>
      </c>
      <c r="K29" s="5" t="n">
        <v>25.9</v>
      </c>
      <c r="L29" s="5" t="n">
        <v>-11.4</v>
      </c>
      <c r="M29" s="5" t="n">
        <v>157.4</v>
      </c>
      <c r="N29" s="5" t="n">
        <v>165.1</v>
      </c>
      <c r="O29" s="5" t="n">
        <v>176.4</v>
      </c>
      <c r="P29" s="5" t="n">
        <v>64.7</v>
      </c>
      <c r="BU29" t="inlineStr">
        <is>
          <t>Net cash from/(used in) financing activities</t>
        </is>
      </c>
      <c r="BV29" t="n">
        <v>64.7</v>
      </c>
      <c r="BW29" t="n">
        <v>176.4</v>
      </c>
      <c r="BX29" t="n">
        <v>165.1</v>
      </c>
      <c r="BY29" t="n">
        <v>157.4</v>
      </c>
      <c r="BZ29" t="n">
        <v>-11.4</v>
      </c>
      <c r="CA29" t="n">
        <v>25.9</v>
      </c>
      <c r="CB29" t="n">
        <v>125.1</v>
      </c>
      <c r="CC29" t="n">
        <v>106.1</v>
      </c>
      <c r="CD29" t="n">
        <v>-231.1</v>
      </c>
      <c r="CE29" t="n">
        <v>226.2</v>
      </c>
      <c r="CF29" t="n">
        <v>-583.5</v>
      </c>
      <c r="CG29" t="n">
        <v>-29.6</v>
      </c>
      <c r="CH29" t="n">
        <v>809.1</v>
      </c>
      <c r="CI29" t="n">
        <v>-195.6</v>
      </c>
      <c r="CJ29" t="n">
        <v>49</v>
      </c>
    </row>
    <row r="30">
      <c r="A30" s="5" t="inlineStr">
        <is>
          <t>Cash and cash equivalents at end of year</t>
        </is>
      </c>
      <c r="B30" s="5" t="n">
        <v>745.8</v>
      </c>
      <c r="C30" s="5" t="n">
        <v>945</v>
      </c>
      <c r="D30" s="5" t="n">
        <v>680.1</v>
      </c>
      <c r="E30" s="5" t="n">
        <v>413</v>
      </c>
      <c r="F30" s="5" t="n">
        <v>413.4</v>
      </c>
      <c r="G30" s="5" t="n">
        <v>833.6</v>
      </c>
      <c r="H30" s="5" t="n">
        <v>325.2</v>
      </c>
      <c r="I30" s="5" t="n">
        <v>373.6</v>
      </c>
      <c r="J30" s="5" t="n">
        <v>231.5</v>
      </c>
      <c r="K30" s="5" t="n">
        <v>172.7</v>
      </c>
      <c r="L30" s="5" t="n">
        <v>137.7</v>
      </c>
      <c r="M30" s="5" t="n">
        <v>128.4</v>
      </c>
      <c r="N30" s="5" t="n">
        <v>91.90000000000001</v>
      </c>
      <c r="O30" s="5" t="n">
        <v>57.6</v>
      </c>
      <c r="P30" s="5" t="n">
        <v>19.6</v>
      </c>
      <c r="BU30" t="inlineStr">
        <is>
          <t>Cash and cash equivalents at end of year</t>
        </is>
      </c>
      <c r="BV30" t="n">
        <v>19.6</v>
      </c>
      <c r="BW30" t="n">
        <v>57.6</v>
      </c>
      <c r="BX30" t="n">
        <v>91.90000000000001</v>
      </c>
      <c r="BY30" t="n">
        <v>128.4</v>
      </c>
      <c r="BZ30" t="n">
        <v>137.7</v>
      </c>
      <c r="CA30" t="n">
        <v>172.7</v>
      </c>
      <c r="CB30" t="n">
        <v>231.5</v>
      </c>
      <c r="CC30" t="n">
        <v>373.6</v>
      </c>
      <c r="CD30" t="n">
        <v>325.2</v>
      </c>
      <c r="CE30" t="n">
        <v>833.6</v>
      </c>
      <c r="CF30" t="n">
        <v>413.4</v>
      </c>
      <c r="CG30" t="n">
        <v>413</v>
      </c>
      <c r="CH30" t="n">
        <v>680.1</v>
      </c>
      <c r="CI30" t="n">
        <v>945</v>
      </c>
      <c r="CJ30" t="n">
        <v>745.8</v>
      </c>
    </row>
    <row r="32">
      <c r="A32" s="3" t="inlineStr">
        <is>
          <t>Pillar 3 Key Metrics</t>
        </is>
      </c>
    </row>
    <row r="33">
      <c r="A33" s="4" t="inlineStr">
        <is>
          <t>Line item</t>
        </is>
      </c>
      <c r="B33" s="4" t="inlineStr">
        <is>
          <t>FY2025</t>
        </is>
      </c>
      <c r="C33" s="4" t="inlineStr">
        <is>
          <t>FY2024</t>
        </is>
      </c>
      <c r="D33" s="4" t="inlineStr">
        <is>
          <t>FY2023</t>
        </is>
      </c>
      <c r="E33" s="4" t="inlineStr">
        <is>
          <t>FY2022</t>
        </is>
      </c>
      <c r="F33" s="4" t="inlineStr">
        <is>
          <t>FY2021</t>
        </is>
      </c>
      <c r="G33" s="4" t="inlineStr">
        <is>
          <t>FY2020</t>
        </is>
      </c>
      <c r="H33" s="4" t="inlineStr">
        <is>
          <t>FY2019</t>
        </is>
      </c>
      <c r="I33" s="4" t="inlineStr">
        <is>
          <t>FY2018</t>
        </is>
      </c>
      <c r="J33" s="4" t="inlineStr">
        <is>
          <t>FY2017</t>
        </is>
      </c>
      <c r="K33" s="4" t="inlineStr">
        <is>
          <t>FY2016</t>
        </is>
      </c>
      <c r="L33" s="4" t="inlineStr">
        <is>
          <t>FY2015</t>
        </is>
      </c>
      <c r="M33" s="4" t="inlineStr">
        <is>
          <t>FY2014</t>
        </is>
      </c>
    </row>
    <row r="34">
      <c r="A34" s="6" t="inlineStr">
        <is>
          <t>CET1 Ratio</t>
        </is>
      </c>
      <c r="B34" s="6" t="inlineStr">
        <is>
          <t>16.5%</t>
        </is>
      </c>
      <c r="C34" s="6" t="inlineStr">
        <is>
          <t>18.8%</t>
        </is>
      </c>
      <c r="D34" s="6" t="inlineStr">
        <is>
          <t>20.5%</t>
        </is>
      </c>
      <c r="E34" s="6" t="inlineStr">
        <is>
          <t>26.4%</t>
        </is>
      </c>
      <c r="F34" s="6" t="inlineStr">
        <is>
          <t>29.1%</t>
        </is>
      </c>
      <c r="G34" s="6" t="inlineStr">
        <is>
          <t>34.2%</t>
        </is>
      </c>
      <c r="H34" s="6" t="inlineStr">
        <is>
          <t>31.1%</t>
        </is>
      </c>
      <c r="I34" s="6" t="inlineStr">
        <is>
          <t>28.2%</t>
        </is>
      </c>
      <c r="J34" s="6" t="inlineStr">
        <is>
          <t>14.5%</t>
        </is>
      </c>
      <c r="K34" s="6" t="inlineStr">
        <is>
          <t>21.7%</t>
        </is>
      </c>
      <c r="L34" s="6" t="inlineStr">
        <is>
          <t>21.5%</t>
        </is>
      </c>
      <c r="M34" s="6" t="inlineStr">
        <is>
          <t>20.0%</t>
        </is>
      </c>
    </row>
    <row r="35">
      <c r="A35" s="6" t="inlineStr">
        <is>
          <t>Tier 1 Ratio</t>
        </is>
      </c>
      <c r="B35" s="6" t="inlineStr">
        <is>
          <t>19.3%</t>
        </is>
      </c>
      <c r="C35" s="6" t="inlineStr">
        <is>
          <t>18.8%</t>
        </is>
      </c>
      <c r="D35" s="6" t="inlineStr">
        <is>
          <t>20.5%</t>
        </is>
      </c>
      <c r="E35" s="6" t="inlineStr">
        <is>
          <t>26.4%</t>
        </is>
      </c>
      <c r="F35" s="6" t="inlineStr">
        <is>
          <t>29.1%</t>
        </is>
      </c>
      <c r="G35" s="6" t="inlineStr">
        <is>
          <t>34.2%</t>
        </is>
      </c>
      <c r="H35" s="6" t="inlineStr">
        <is>
          <t>31.1%</t>
        </is>
      </c>
      <c r="I35" s="6" t="inlineStr">
        <is>
          <t>28.2%</t>
        </is>
      </c>
      <c r="J35" s="6" t="inlineStr">
        <is>
          <t>14.5%</t>
        </is>
      </c>
      <c r="K35" s="6" t="inlineStr">
        <is>
          <t>21.7%</t>
        </is>
      </c>
      <c r="L35" s="6" t="inlineStr">
        <is>
          <t>21.5%</t>
        </is>
      </c>
      <c r="M35" s="6" t="inlineStr">
        <is>
          <t>20.0%</t>
        </is>
      </c>
    </row>
    <row r="36">
      <c r="A36" s="6" t="inlineStr">
        <is>
          <t>Total Capital Ratio</t>
        </is>
      </c>
      <c r="B36" s="6" t="inlineStr">
        <is>
          <t>26.1%</t>
        </is>
      </c>
      <c r="C36" s="6" t="inlineStr">
        <is>
          <t>29.7%</t>
        </is>
      </c>
      <c r="D36" s="6" t="inlineStr">
        <is>
          <t>30.6%</t>
        </is>
      </c>
      <c r="E36" s="6" t="inlineStr">
        <is>
          <t>37.5%</t>
        </is>
      </c>
      <c r="F36" s="6" t="inlineStr">
        <is>
          <t>40.6%</t>
        </is>
      </c>
      <c r="G36" s="6" t="inlineStr">
        <is>
          <t>34.2%</t>
        </is>
      </c>
      <c r="H36" s="6" t="inlineStr">
        <is>
          <t>31.1%</t>
        </is>
      </c>
      <c r="I36" s="6" t="inlineStr">
        <is>
          <t>28.2%</t>
        </is>
      </c>
      <c r="J36" s="6" t="inlineStr">
        <is>
          <t>14.5%</t>
        </is>
      </c>
      <c r="K36" s="6" t="inlineStr">
        <is>
          <t>21.7%</t>
        </is>
      </c>
      <c r="L36" s="6" t="inlineStr">
        <is>
          <t>21.5%</t>
        </is>
      </c>
      <c r="M36" s="6" t="inlineStr">
        <is>
          <t>20.0%</t>
        </is>
      </c>
    </row>
    <row r="37">
      <c r="A37" s="6" t="inlineStr">
        <is>
          <t>Leverage Ratio</t>
        </is>
      </c>
      <c r="B37" s="6" t="inlineStr">
        <is>
          <t>12.1%</t>
        </is>
      </c>
      <c r="C37" s="6" t="inlineStr">
        <is>
          <t>13.9%</t>
        </is>
      </c>
      <c r="D37" s="6" t="inlineStr">
        <is>
          <t>16.4%</t>
        </is>
      </c>
      <c r="E37" s="6" t="inlineStr">
        <is>
          <t>21.0%</t>
        </is>
      </c>
      <c r="F37" s="6" t="inlineStr">
        <is>
          <t>18.1%</t>
        </is>
      </c>
      <c r="G37" s="6" t="inlineStr">
        <is>
          <t>20.8%</t>
        </is>
      </c>
      <c r="H37" s="6" t="inlineStr">
        <is>
          <t>22.8%</t>
        </is>
      </c>
      <c r="I37" s="6" t="inlineStr">
        <is>
          <t>20.3%</t>
        </is>
      </c>
      <c r="J37" s="6" t="inlineStr">
        <is>
          <t>10.8%</t>
        </is>
      </c>
      <c r="K37" s="6" t="inlineStr">
        <is>
          <t>16.7%</t>
        </is>
      </c>
      <c r="L37" s="6" t="inlineStr">
        <is>
          <t>16.5%</t>
        </is>
      </c>
      <c r="M37" s="6" t="inlineStr">
        <is>
          <t>15.5%</t>
        </is>
      </c>
    </row>
    <row r="38">
      <c r="A38" s="6" t="inlineStr">
        <is>
          <t>LCR</t>
        </is>
      </c>
      <c r="B38" s="6" t="inlineStr">
        <is>
          <t>391.6%</t>
        </is>
      </c>
      <c r="C38" s="6" t="inlineStr">
        <is>
          <t>1,001.2%</t>
        </is>
      </c>
      <c r="D38" s="6" t="inlineStr">
        <is>
          <t>847.1%</t>
        </is>
      </c>
      <c r="E38" s="6" t="inlineStr">
        <is>
          <t>986.2%</t>
        </is>
      </c>
      <c r="F38" s="6" t="inlineStr">
        <is>
          <t>2,073%</t>
        </is>
      </c>
      <c r="G38" s="6" t="inlineStr">
        <is>
          <t>1,756%</t>
        </is>
      </c>
      <c r="H38" s="6" t="inlineStr">
        <is>
          <t>578%</t>
        </is>
      </c>
      <c r="I38" s="6" t="inlineStr">
        <is>
          <t>490%</t>
        </is>
      </c>
      <c r="J38" s="6" t="inlineStr">
        <is>
          <t>242%</t>
        </is>
      </c>
      <c r="K38" s="6" t="inlineStr">
        <is>
          <t>251%</t>
        </is>
      </c>
      <c r="L38" s="6" t="n"/>
      <c r="M38" s="6" t="n"/>
    </row>
    <row r="39">
      <c r="A39" s="6" t="inlineStr">
        <is>
          <t>NSFR</t>
        </is>
      </c>
      <c r="B39" s="6" t="n"/>
      <c r="C39" s="6" t="n"/>
      <c r="D39" s="6" t="inlineStr">
        <is>
          <t>142.8%</t>
        </is>
      </c>
      <c r="E39" s="6" t="inlineStr">
        <is>
          <t>140.6%</t>
        </is>
      </c>
      <c r="F39" s="6" t="n"/>
      <c r="G39" s="6" t="n"/>
      <c r="H39" s="6" t="n"/>
      <c r="I39" s="6" t="n"/>
      <c r="J39" s="6" t="n"/>
      <c r="K39" s="6" t="n"/>
      <c r="L39" s="6" t="n"/>
      <c r="M39" s="6" t="n"/>
    </row>
    <row r="41" ht="30" customHeight="1">
      <c r="A41" s="7" t="inlineStr">
        <is>
          <t>Note: Figures are duplicated from the detail sheets for at-a-glance trend viewing; see each sheet's own source citation for the underlying document/page. IMPORTANT: the Cash Flow Summary above is Vanquis Bank Limited's own entity-level (Company) basis, but the Pillar 3 Key Metrics below are Vanquis Banking Group plc consolidated basis (Bank + Moneybarn No.1 Limited pre-2021 / Provident Financial plc pre-2021) - Vanquis does not publish a Bank-only Pillar 3 breakdown. See the Cash Flow Statement sheet's entity note for detail. FY2014-FY2020 is this build's historical-depth extension, capped at FY2014 per project decision - see HISTORICAL_NOTE on the Cash Flow Statement sheet for the OCR/Companies House sourcing methodology used for these years.</t>
        </is>
      </c>
    </row>
  </sheetData>
  <mergeCells count="1">
    <mergeCell ref="A41:Q4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Vanquis Bank Limited — Balance Sheet</t>
        </is>
      </c>
    </row>
    <row r="2">
      <c r="A2" s="2" t="inlineStr">
        <is>
          <t>Vanquis Bank Limited (Company)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row>
    <row r="4">
      <c r="A4" s="5" t="inlineStr">
        <is>
          <t>Assets</t>
        </is>
      </c>
      <c r="B4" s="6" t="n"/>
      <c r="C4" s="6" t="n"/>
      <c r="D4" s="6" t="n"/>
      <c r="E4" s="6" t="n"/>
      <c r="F4" s="6" t="n"/>
      <c r="G4" s="6" t="n"/>
      <c r="H4" s="6" t="n"/>
      <c r="I4" s="6" t="n"/>
      <c r="J4" s="6" t="n"/>
      <c r="K4" s="6" t="n"/>
      <c r="L4" s="6" t="n"/>
      <c r="M4" s="6" t="n"/>
      <c r="N4" s="6" t="n"/>
      <c r="O4" s="6" t="n"/>
      <c r="P4" s="6" t="n"/>
      <c r="Q4" s="6" t="n"/>
    </row>
    <row r="5">
      <c r="A5" s="6" t="inlineStr">
        <is>
          <t>Cash and cash equivalents</t>
        </is>
      </c>
      <c r="B5" s="6" t="n">
        <v>745.8</v>
      </c>
      <c r="C5" s="6" t="n">
        <v>945</v>
      </c>
      <c r="D5" s="6" t="n">
        <v>680.1</v>
      </c>
      <c r="E5" s="6" t="n">
        <v>413</v>
      </c>
      <c r="F5" s="6" t="n">
        <v>413.4</v>
      </c>
      <c r="G5" s="6" t="n">
        <v>833.6</v>
      </c>
      <c r="H5" s="6" t="n">
        <v>325.2</v>
      </c>
      <c r="I5" s="6" t="n">
        <v>373.6</v>
      </c>
      <c r="J5" s="6" t="n">
        <v>231.5</v>
      </c>
      <c r="K5" s="6" t="n">
        <v>172.7</v>
      </c>
      <c r="L5" s="6" t="n">
        <v>137.7</v>
      </c>
      <c r="M5" s="6" t="n">
        <v>128.4</v>
      </c>
      <c r="N5" s="6" t="n">
        <v>91.90000000000001</v>
      </c>
      <c r="O5" s="6" t="n">
        <v>57.6</v>
      </c>
      <c r="P5" s="6" t="n">
        <v>19.6</v>
      </c>
      <c r="Q5" s="6" t="n">
        <v>12.6</v>
      </c>
    </row>
    <row r="6">
      <c r="A6" s="6" t="inlineStr">
        <is>
          <t>Investment securities - UK Government gilts, held at amortised cost</t>
        </is>
      </c>
      <c r="B6" s="6" t="n">
        <v>254.6</v>
      </c>
      <c r="C6" s="6" t="n">
        <v>0</v>
      </c>
      <c r="D6" s="6" t="n"/>
      <c r="E6" s="6" t="n"/>
      <c r="F6" s="6" t="n"/>
      <c r="G6" s="6" t="n"/>
      <c r="H6" s="6" t="n"/>
      <c r="I6" s="6" t="n"/>
      <c r="J6" s="6" t="n"/>
      <c r="K6" s="6" t="n"/>
      <c r="L6" s="6" t="n"/>
      <c r="M6" s="6" t="n"/>
      <c r="N6" s="6" t="n"/>
      <c r="O6" s="6" t="n"/>
      <c r="P6" s="6" t="n"/>
      <c r="Q6" s="6" t="n"/>
    </row>
    <row r="7">
      <c r="A7" s="6" t="inlineStr">
        <is>
          <t>Amounts receivable from customers</t>
        </is>
      </c>
      <c r="B7" s="6" t="n">
        <v>2003.2</v>
      </c>
      <c r="C7" s="6" t="n">
        <v>1419.2</v>
      </c>
      <c r="D7" s="6" t="n">
        <v>1382.9</v>
      </c>
      <c r="E7" s="6" t="n">
        <v>1257.9</v>
      </c>
      <c r="F7" s="6" t="n">
        <v>1091.5</v>
      </c>
      <c r="G7" s="6" t="n">
        <v>1094.3</v>
      </c>
      <c r="H7" s="6" t="n">
        <v>1461.5</v>
      </c>
      <c r="I7" s="6" t="n">
        <v>1473.8</v>
      </c>
      <c r="J7" s="6" t="n">
        <v>1554.7</v>
      </c>
      <c r="K7" s="6" t="n">
        <v>1424.7</v>
      </c>
      <c r="L7" s="6" t="n">
        <v>1252</v>
      </c>
      <c r="M7" s="6" t="n">
        <v>1109.4</v>
      </c>
      <c r="N7" s="6" t="n">
        <v>866.6</v>
      </c>
      <c r="O7" s="6" t="n">
        <v>643.3</v>
      </c>
      <c r="P7" s="6" t="n">
        <v>453.4</v>
      </c>
      <c r="Q7" s="6" t="n">
        <v>343.2</v>
      </c>
    </row>
    <row r="8">
      <c r="A8" s="6" t="inlineStr">
        <is>
          <t>Trade and other receivables</t>
        </is>
      </c>
      <c r="B8" s="6" t="n">
        <v>121.2</v>
      </c>
      <c r="C8" s="6" t="n">
        <v>83.5</v>
      </c>
      <c r="D8" s="6" t="n">
        <v>67.40000000000001</v>
      </c>
      <c r="E8" s="6" t="n">
        <v>40.3</v>
      </c>
      <c r="F8" s="6" t="n">
        <v>30.5</v>
      </c>
      <c r="G8" s="6" t="n">
        <v>19.7</v>
      </c>
      <c r="H8" s="6" t="n">
        <v>7.8</v>
      </c>
      <c r="I8" s="6" t="n">
        <v>13.5</v>
      </c>
      <c r="J8" s="6" t="n">
        <v>12.7</v>
      </c>
      <c r="K8" s="6" t="n">
        <v>10.4</v>
      </c>
      <c r="L8" s="6" t="n">
        <v>8.199999999999999</v>
      </c>
      <c r="M8" s="6" t="n">
        <v>7.2</v>
      </c>
      <c r="N8" s="6" t="n">
        <v>4.8</v>
      </c>
      <c r="O8" s="6" t="n">
        <v>7.2</v>
      </c>
      <c r="P8" s="6" t="n">
        <v>6.7</v>
      </c>
      <c r="Q8" s="6" t="n">
        <v>15.3</v>
      </c>
    </row>
    <row r="9">
      <c r="A9" s="6" t="inlineStr">
        <is>
          <t>Loan to related party / ultimate parent undertaking</t>
        </is>
      </c>
      <c r="B9" s="6" t="n">
        <v>359.2</v>
      </c>
      <c r="C9" s="6" t="n">
        <v>379.7</v>
      </c>
      <c r="D9" s="6" t="n">
        <v>398.4</v>
      </c>
      <c r="E9" s="6" t="n">
        <v>69.3</v>
      </c>
      <c r="F9" s="6" t="n">
        <v>69.3</v>
      </c>
      <c r="G9" s="6" t="n">
        <v>69.3</v>
      </c>
      <c r="H9" s="6" t="n"/>
      <c r="I9" s="6" t="n"/>
      <c r="J9" s="6" t="n"/>
      <c r="K9" s="6" t="n"/>
      <c r="L9" s="6" t="n"/>
      <c r="M9" s="6" t="n"/>
      <c r="N9" s="6" t="n"/>
      <c r="O9" s="6" t="n"/>
      <c r="P9" s="6" t="n"/>
      <c r="Q9" s="6" t="n"/>
    </row>
    <row r="10">
      <c r="A10" s="6" t="inlineStr">
        <is>
          <t>Investments</t>
        </is>
      </c>
      <c r="B10" s="6" t="n">
        <v>2.4</v>
      </c>
      <c r="C10" s="6" t="n">
        <v>2.3</v>
      </c>
      <c r="D10" s="6" t="n">
        <v>5.4</v>
      </c>
      <c r="E10" s="6" t="n">
        <v>10.7</v>
      </c>
      <c r="F10" s="6" t="n">
        <v>9.1</v>
      </c>
      <c r="G10" s="6" t="n">
        <v>9.199999999999999</v>
      </c>
      <c r="H10" s="6" t="n">
        <v>16.6</v>
      </c>
      <c r="I10" s="6" t="n">
        <v>47.8</v>
      </c>
      <c r="J10" s="6" t="n">
        <v>45.8</v>
      </c>
      <c r="K10" s="6" t="n"/>
      <c r="L10" s="6" t="n"/>
      <c r="M10" s="6" t="n"/>
      <c r="N10" s="6" t="n"/>
      <c r="O10" s="6" t="n"/>
      <c r="P10" s="6" t="n"/>
      <c r="Q10" s="6" t="n">
        <v>0.1</v>
      </c>
    </row>
    <row r="11">
      <c r="A11" s="6" t="inlineStr">
        <is>
          <t>Property, plant and equipment</t>
        </is>
      </c>
      <c r="B11" s="6" t="n">
        <v>7.2</v>
      </c>
      <c r="C11" s="6" t="n">
        <v>5.4</v>
      </c>
      <c r="D11" s="6" t="n">
        <v>4.9</v>
      </c>
      <c r="E11" s="6" t="n">
        <v>4.8</v>
      </c>
      <c r="F11" s="6" t="n">
        <v>5</v>
      </c>
      <c r="G11" s="6" t="n">
        <v>6.4</v>
      </c>
      <c r="H11" s="6" t="n">
        <v>6.3</v>
      </c>
      <c r="I11" s="6" t="n">
        <v>5.1</v>
      </c>
      <c r="J11" s="6" t="n">
        <v>5.7</v>
      </c>
      <c r="K11" s="6" t="n">
        <v>6.4</v>
      </c>
      <c r="L11" s="6" t="n">
        <v>5.6</v>
      </c>
      <c r="M11" s="6" t="n">
        <v>6.7</v>
      </c>
      <c r="N11" s="6" t="n">
        <v>2.8</v>
      </c>
      <c r="O11" s="6" t="n">
        <v>2.2</v>
      </c>
      <c r="P11" s="6" t="n">
        <v>2</v>
      </c>
      <c r="Q11" s="6" t="n">
        <v>2.2</v>
      </c>
    </row>
    <row r="12">
      <c r="A12" s="6" t="inlineStr">
        <is>
          <t>Right-of-use assets</t>
        </is>
      </c>
      <c r="B12" s="6" t="n">
        <v>12.1</v>
      </c>
      <c r="C12" s="6" t="n">
        <v>9</v>
      </c>
      <c r="D12" s="6" t="n">
        <v>10.4</v>
      </c>
      <c r="E12" s="6" t="n">
        <v>18</v>
      </c>
      <c r="F12" s="6" t="n">
        <v>30.6</v>
      </c>
      <c r="G12" s="6" t="n">
        <v>35.7</v>
      </c>
      <c r="H12" s="6" t="n">
        <v>40.7</v>
      </c>
      <c r="I12" s="6" t="n"/>
      <c r="J12" s="6" t="n"/>
      <c r="K12" s="6" t="n"/>
      <c r="L12" s="6" t="n"/>
      <c r="M12" s="6" t="n"/>
      <c r="N12" s="6" t="n"/>
      <c r="O12" s="6" t="n"/>
      <c r="P12" s="6" t="n"/>
      <c r="Q12" s="6" t="n"/>
    </row>
    <row r="13">
      <c r="A13" s="6" t="inlineStr">
        <is>
          <t>Intangible assets</t>
        </is>
      </c>
      <c r="B13" s="6" t="n">
        <v>55.4</v>
      </c>
      <c r="C13" s="6" t="n">
        <v>49.5</v>
      </c>
      <c r="D13" s="6" t="n">
        <v>38.4</v>
      </c>
      <c r="E13" s="6" t="n">
        <v>34.5</v>
      </c>
      <c r="F13" s="6" t="n">
        <v>24.5</v>
      </c>
      <c r="G13" s="6" t="n">
        <v>14.4</v>
      </c>
      <c r="H13" s="6" t="n">
        <v>5.5</v>
      </c>
      <c r="I13" s="6" t="n">
        <v>4.4</v>
      </c>
      <c r="J13" s="6" t="n">
        <v>4</v>
      </c>
      <c r="K13" s="6" t="n">
        <v>1.7</v>
      </c>
      <c r="L13" s="6" t="n">
        <v>1.9</v>
      </c>
      <c r="M13" s="6" t="n">
        <v>0.5</v>
      </c>
      <c r="N13" s="6" t="n">
        <v>0.5</v>
      </c>
      <c r="O13" s="6" t="n">
        <v>1.1</v>
      </c>
      <c r="P13" s="6" t="n">
        <v>1.7</v>
      </c>
      <c r="Q13" s="6" t="n"/>
    </row>
    <row r="14">
      <c r="A14" s="6" t="inlineStr">
        <is>
          <t>Derivative financial instruments (asset)</t>
        </is>
      </c>
      <c r="B14" s="6" t="n">
        <v>4.4</v>
      </c>
      <c r="C14" s="6" t="n">
        <v>0.2</v>
      </c>
      <c r="D14" s="6" t="n">
        <v>1.2</v>
      </c>
      <c r="E14" s="6" t="n">
        <v>0</v>
      </c>
      <c r="F14" s="6" t="n"/>
      <c r="G14" s="6" t="n"/>
      <c r="H14" s="6" t="n"/>
      <c r="I14" s="6" t="n"/>
      <c r="J14" s="6" t="n"/>
      <c r="K14" s="6" t="n"/>
      <c r="L14" s="6" t="n"/>
      <c r="M14" s="6" t="n"/>
      <c r="N14" s="6" t="n"/>
      <c r="O14" s="6" t="n"/>
      <c r="P14" s="6" t="n"/>
      <c r="Q14" s="6" t="n"/>
    </row>
    <row r="15">
      <c r="A15" s="6" t="inlineStr">
        <is>
          <t>Current tax assets</t>
        </is>
      </c>
      <c r="B15" s="6" t="n">
        <v>0</v>
      </c>
      <c r="C15" s="6" t="n">
        <v>3.8</v>
      </c>
      <c r="D15" s="6" t="n">
        <v>8.300000000000001</v>
      </c>
      <c r="E15" s="6" t="n">
        <v>3.4</v>
      </c>
      <c r="F15" s="6" t="n">
        <v>1.4</v>
      </c>
      <c r="G15" s="6" t="n"/>
      <c r="H15" s="6" t="n"/>
      <c r="I15" s="6" t="n"/>
      <c r="J15" s="6" t="n"/>
      <c r="K15" s="6" t="n"/>
      <c r="L15" s="6" t="n"/>
      <c r="M15" s="6" t="n"/>
      <c r="N15" s="6" t="n"/>
      <c r="O15" s="6" t="n"/>
      <c r="P15" s="6" t="n"/>
      <c r="Q15" s="6" t="n"/>
    </row>
    <row r="16">
      <c r="A16" s="6" t="inlineStr">
        <is>
          <t>Deferred tax assets</t>
        </is>
      </c>
      <c r="B16" s="6" t="n">
        <v>8.5</v>
      </c>
      <c r="C16" s="6" t="n">
        <v>9.800000000000001</v>
      </c>
      <c r="D16" s="6" t="n">
        <v>12.1</v>
      </c>
      <c r="E16" s="6" t="n">
        <v>15.5</v>
      </c>
      <c r="F16" s="6" t="n">
        <v>25</v>
      </c>
      <c r="G16" s="6" t="n">
        <v>23.8</v>
      </c>
      <c r="H16" s="6" t="n">
        <v>25.8</v>
      </c>
      <c r="I16" s="6" t="n">
        <v>40.4</v>
      </c>
      <c r="J16" s="6" t="n">
        <v>0.7</v>
      </c>
      <c r="K16" s="6" t="n">
        <v>4.8</v>
      </c>
      <c r="L16" s="6" t="n">
        <v>1.8</v>
      </c>
      <c r="M16" s="6" t="n">
        <v>3.2</v>
      </c>
      <c r="N16" s="6" t="n">
        <v>3.2</v>
      </c>
      <c r="O16" s="6" t="n">
        <v>3.2</v>
      </c>
      <c r="P16" s="6" t="n">
        <v>3.2</v>
      </c>
      <c r="Q16" s="6" t="n"/>
    </row>
    <row r="17">
      <c r="A17" s="5" t="inlineStr">
        <is>
          <t>Total assets</t>
        </is>
      </c>
      <c r="B17" s="5" t="n">
        <v>3574</v>
      </c>
      <c r="C17" s="5" t="n">
        <v>2907.4</v>
      </c>
      <c r="D17" s="5" t="n">
        <v>2609.5</v>
      </c>
      <c r="E17" s="5" t="n">
        <v>1867.4</v>
      </c>
      <c r="F17" s="5" t="n">
        <v>1700.3</v>
      </c>
      <c r="G17" s="5" t="n">
        <v>2106.4</v>
      </c>
      <c r="H17" s="5" t="n">
        <v>1889.4</v>
      </c>
      <c r="I17" s="5" t="n">
        <v>1958.6</v>
      </c>
      <c r="J17" s="5" t="n">
        <v>1855.1</v>
      </c>
      <c r="K17" s="5" t="n">
        <v>1628.7</v>
      </c>
      <c r="L17" s="5" t="n">
        <v>1424.7</v>
      </c>
      <c r="M17" s="5" t="n">
        <v>1257.3</v>
      </c>
      <c r="N17" s="5" t="n">
        <v>969.8</v>
      </c>
      <c r="O17" s="5" t="n">
        <v>714.6</v>
      </c>
      <c r="P17" s="5" t="n">
        <v>486.6</v>
      </c>
      <c r="Q17" s="5" t="n">
        <v>373.4</v>
      </c>
    </row>
    <row r="18">
      <c r="A18" s="5" t="inlineStr">
        <is>
          <t>Liabilities</t>
        </is>
      </c>
      <c r="B18" s="6" t="n"/>
      <c r="C18" s="6" t="n"/>
      <c r="D18" s="6" t="n"/>
      <c r="E18" s="6" t="n"/>
      <c r="F18" s="6" t="n"/>
      <c r="G18" s="6" t="n"/>
      <c r="H18" s="6" t="n"/>
      <c r="I18" s="6" t="n"/>
      <c r="J18" s="6" t="n"/>
      <c r="K18" s="6" t="n"/>
      <c r="L18" s="6" t="n"/>
      <c r="M18" s="6" t="n"/>
      <c r="N18" s="6" t="n"/>
      <c r="O18" s="6" t="n"/>
      <c r="P18" s="6" t="n"/>
      <c r="Q18" s="6" t="n"/>
    </row>
    <row r="19">
      <c r="A19" s="6" t="inlineStr">
        <is>
          <t>Trade and other payables</t>
        </is>
      </c>
      <c r="B19" s="6" t="n">
        <v>76.7</v>
      </c>
      <c r="C19" s="6" t="n">
        <v>82.59999999999999</v>
      </c>
      <c r="D19" s="6" t="n">
        <v>61.6</v>
      </c>
      <c r="E19" s="6" t="n">
        <v>175.1</v>
      </c>
      <c r="F19" s="6" t="n">
        <v>81.3</v>
      </c>
      <c r="G19" s="6" t="n">
        <v>49.8</v>
      </c>
      <c r="H19" s="6" t="n">
        <v>59.2</v>
      </c>
      <c r="I19" s="6" t="n">
        <v>72.8</v>
      </c>
      <c r="J19" s="6" t="n">
        <v>54.4</v>
      </c>
      <c r="K19" s="6" t="n">
        <v>42.2</v>
      </c>
      <c r="L19" s="6" t="n">
        <v>33.7</v>
      </c>
      <c r="M19" s="6" t="n">
        <v>29.4</v>
      </c>
      <c r="N19" s="6" t="n">
        <v>18.8</v>
      </c>
      <c r="O19" s="6" t="n">
        <v>20.1</v>
      </c>
      <c r="P19" s="6" t="n">
        <v>26.3</v>
      </c>
      <c r="Q19" s="6" t="n">
        <v>4.4</v>
      </c>
    </row>
    <row r="20">
      <c r="A20" s="6" t="inlineStr">
        <is>
          <t>Current tax liabilities</t>
        </is>
      </c>
      <c r="B20" s="6" t="n">
        <v>8.1</v>
      </c>
      <c r="C20" s="6" t="n">
        <v>0</v>
      </c>
      <c r="D20" s="6" t="n">
        <v>0</v>
      </c>
      <c r="E20" s="6" t="n">
        <v>0</v>
      </c>
      <c r="F20" s="6" t="n">
        <v>0</v>
      </c>
      <c r="G20" s="6" t="n">
        <v>1</v>
      </c>
      <c r="H20" s="6" t="n">
        <v>34.7</v>
      </c>
      <c r="I20" s="6" t="n">
        <v>33</v>
      </c>
      <c r="J20" s="6" t="n">
        <v>48.4</v>
      </c>
      <c r="K20" s="6" t="n">
        <v>32.9</v>
      </c>
      <c r="L20" s="6" t="n">
        <v>21.9</v>
      </c>
      <c r="M20" s="6" t="n">
        <v>16.2</v>
      </c>
      <c r="N20" s="6" t="n">
        <v>13.1</v>
      </c>
      <c r="O20" s="6" t="n">
        <v>9.699999999999999</v>
      </c>
      <c r="P20" s="6" t="n">
        <v>7.3</v>
      </c>
      <c r="Q20" s="6" t="n"/>
    </row>
    <row r="21">
      <c r="A21" s="6" t="inlineStr">
        <is>
          <t>Provisions</t>
        </is>
      </c>
      <c r="B21" s="6" t="n">
        <v>3</v>
      </c>
      <c r="C21" s="6" t="n">
        <v>9.1</v>
      </c>
      <c r="D21" s="6" t="n">
        <v>2.7</v>
      </c>
      <c r="E21" s="6" t="n">
        <v>2.2</v>
      </c>
      <c r="F21" s="6" t="n">
        <v>5.3</v>
      </c>
      <c r="G21" s="6" t="n">
        <v>2.6</v>
      </c>
      <c r="H21" s="6" t="n">
        <v>11.6</v>
      </c>
      <c r="I21" s="6" t="n">
        <v>45.7</v>
      </c>
      <c r="J21" s="6" t="n">
        <v>96.7</v>
      </c>
      <c r="K21" s="6" t="n"/>
      <c r="L21" s="6" t="n"/>
      <c r="M21" s="6" t="n"/>
      <c r="N21" s="6" t="n"/>
      <c r="O21" s="6" t="n"/>
      <c r="P21" s="6" t="n"/>
      <c r="Q21" s="6" t="n"/>
    </row>
    <row r="22">
      <c r="A22" s="6" t="inlineStr">
        <is>
          <t>Lease liabilities</t>
        </is>
      </c>
      <c r="B22" s="6" t="n">
        <v>21.2</v>
      </c>
      <c r="C22" s="6" t="n">
        <v>21.1</v>
      </c>
      <c r="D22" s="6" t="n">
        <v>25.3</v>
      </c>
      <c r="E22" s="6" t="n">
        <v>30.8</v>
      </c>
      <c r="F22" s="6" t="n">
        <v>37.6</v>
      </c>
      <c r="G22" s="6" t="n">
        <v>42.7</v>
      </c>
      <c r="H22" s="6" t="n">
        <v>47.6</v>
      </c>
      <c r="I22" s="6" t="n"/>
      <c r="J22" s="6" t="n"/>
      <c r="K22" s="6" t="n"/>
      <c r="L22" s="6" t="n"/>
      <c r="M22" s="6" t="n"/>
      <c r="N22" s="6" t="n"/>
      <c r="O22" s="6" t="n"/>
      <c r="P22" s="6" t="n"/>
      <c r="Q22" s="6" t="n"/>
    </row>
    <row r="23">
      <c r="A23" s="6" t="inlineStr">
        <is>
          <t>Retail deposits</t>
        </is>
      </c>
      <c r="B23" s="6" t="n">
        <v>3019.9</v>
      </c>
      <c r="C23" s="6" t="n">
        <v>2428.1</v>
      </c>
      <c r="D23" s="6" t="n">
        <v>1950.5</v>
      </c>
      <c r="E23" s="6" t="n">
        <v>1100.6</v>
      </c>
      <c r="F23" s="6" t="n">
        <v>1018.6</v>
      </c>
      <c r="G23" s="6" t="n">
        <v>1683.2</v>
      </c>
      <c r="H23" s="6" t="n">
        <v>1345.2</v>
      </c>
      <c r="I23" s="6" t="n">
        <v>1431.7</v>
      </c>
      <c r="J23" s="6" t="n">
        <v>1291.8</v>
      </c>
      <c r="K23" s="6" t="n"/>
      <c r="L23" s="6" t="n"/>
      <c r="M23" s="6" t="n"/>
      <c r="N23" s="6" t="n"/>
      <c r="O23" s="6" t="n"/>
      <c r="P23" s="6" t="n"/>
      <c r="Q23" s="6" t="n"/>
    </row>
    <row r="24">
      <c r="A24" s="6" t="inlineStr">
        <is>
          <t>Bank and other borrowings (pre-retail-deposit funding)</t>
        </is>
      </c>
      <c r="B24" s="6" t="n"/>
      <c r="C24" s="6" t="n"/>
      <c r="D24" s="6" t="n"/>
      <c r="E24" s="6" t="n"/>
      <c r="F24" s="6" t="n"/>
      <c r="G24" s="6" t="n"/>
      <c r="H24" s="6" t="n"/>
      <c r="I24" s="6" t="n"/>
      <c r="J24" s="6" t="n">
        <v>74.5</v>
      </c>
      <c r="K24" s="6" t="n">
        <v>1173.9</v>
      </c>
      <c r="L24" s="6" t="n">
        <v>1014</v>
      </c>
      <c r="M24" s="6" t="n">
        <v>927.1</v>
      </c>
      <c r="N24" s="6" t="n">
        <v>727.2</v>
      </c>
      <c r="O24" s="6" t="n">
        <v>532.1</v>
      </c>
      <c r="P24" s="6" t="n">
        <v>350.7</v>
      </c>
      <c r="Q24" s="6" t="n"/>
    </row>
    <row r="25">
      <c r="A25" s="6" t="inlineStr">
        <is>
          <t>Other liabilities (UK GAAP basis, FY2010 only - a combined figure; see note)</t>
        </is>
      </c>
      <c r="B25" s="6" t="n"/>
      <c r="C25" s="6" t="n"/>
      <c r="D25" s="6" t="n"/>
      <c r="E25" s="6" t="n"/>
      <c r="F25" s="6" t="n"/>
      <c r="G25" s="6" t="n"/>
      <c r="H25" s="6" t="n"/>
      <c r="I25" s="6" t="n"/>
      <c r="J25" s="6" t="n"/>
      <c r="K25" s="6" t="n"/>
      <c r="L25" s="6" t="n"/>
      <c r="M25" s="6" t="n"/>
      <c r="N25" s="6" t="n"/>
      <c r="O25" s="6" t="n"/>
      <c r="P25" s="6" t="n"/>
      <c r="Q25" s="6" t="n">
        <v>292.5</v>
      </c>
    </row>
    <row r="26">
      <c r="A26" s="6" t="inlineStr">
        <is>
          <t>Derivative financial instruments (liability)</t>
        </is>
      </c>
      <c r="B26" s="6" t="n">
        <v>7.1</v>
      </c>
      <c r="C26" s="6" t="n">
        <v>0.6</v>
      </c>
      <c r="D26" s="6" t="n">
        <v>1</v>
      </c>
      <c r="E26" s="6" t="n">
        <v>0</v>
      </c>
      <c r="F26" s="6" t="n"/>
      <c r="G26" s="6" t="n"/>
      <c r="H26" s="6" t="n"/>
      <c r="I26" s="6" t="n"/>
      <c r="J26" s="6" t="n"/>
      <c r="K26" s="6" t="n"/>
      <c r="L26" s="6" t="n"/>
      <c r="M26" s="6" t="n"/>
      <c r="N26" s="6" t="n"/>
      <c r="O26" s="6" t="n"/>
      <c r="P26" s="6" t="n"/>
      <c r="Q26" s="6" t="n"/>
    </row>
    <row r="27">
      <c r="A27" s="6" t="inlineStr">
        <is>
          <t>Central bank facilities</t>
        </is>
      </c>
      <c r="B27" s="6" t="n">
        <v>0</v>
      </c>
      <c r="C27" s="6" t="n">
        <v>4.2</v>
      </c>
      <c r="D27" s="6" t="n"/>
      <c r="E27" s="6" t="n"/>
      <c r="F27" s="6" t="n"/>
      <c r="G27" s="6" t="n"/>
      <c r="H27" s="6" t="n"/>
      <c r="I27" s="6" t="n"/>
      <c r="J27" s="6" t="n"/>
      <c r="K27" s="6" t="n"/>
      <c r="L27" s="6" t="n"/>
      <c r="M27" s="6" t="n"/>
      <c r="N27" s="6" t="n"/>
      <c r="O27" s="6" t="n"/>
      <c r="P27" s="6" t="n"/>
      <c r="Q27" s="6" t="n"/>
    </row>
    <row r="28">
      <c r="A28" s="6" t="inlineStr">
        <is>
          <t>Collateralised loan</t>
        </is>
      </c>
      <c r="B28" s="6" t="n"/>
      <c r="C28" s="6" t="n"/>
      <c r="D28" s="6" t="n">
        <v>174.7</v>
      </c>
      <c r="E28" s="6" t="n">
        <v>173.7</v>
      </c>
      <c r="F28" s="6" t="n">
        <v>172.2</v>
      </c>
      <c r="G28" s="6" t="n"/>
      <c r="H28" s="6" t="n"/>
      <c r="I28" s="6" t="n"/>
      <c r="J28" s="6" t="n"/>
      <c r="K28" s="6" t="n"/>
      <c r="L28" s="6" t="n"/>
      <c r="M28" s="6" t="n"/>
      <c r="N28" s="6" t="n"/>
      <c r="O28" s="6" t="n"/>
      <c r="P28" s="6" t="n"/>
      <c r="Q28" s="6" t="n"/>
    </row>
    <row r="29">
      <c r="A29" s="5" t="inlineStr">
        <is>
          <t>Total liabilities</t>
        </is>
      </c>
      <c r="B29" s="5" t="n">
        <v>3136</v>
      </c>
      <c r="C29" s="5" t="n">
        <v>2545.7</v>
      </c>
      <c r="D29" s="5" t="n">
        <v>2215.8</v>
      </c>
      <c r="E29" s="5" t="n">
        <v>1482.4</v>
      </c>
      <c r="F29" s="5" t="n">
        <v>1315</v>
      </c>
      <c r="G29" s="5" t="n">
        <v>1779.3</v>
      </c>
      <c r="H29" s="5" t="n">
        <v>1498.3</v>
      </c>
      <c r="I29" s="5" t="n">
        <v>1583.2</v>
      </c>
      <c r="J29" s="5" t="n">
        <v>1565.8</v>
      </c>
      <c r="K29" s="5" t="n">
        <v>1249</v>
      </c>
      <c r="L29" s="5" t="n">
        <v>1069.6</v>
      </c>
      <c r="M29" s="5" t="n">
        <v>972.7</v>
      </c>
      <c r="N29" s="5" t="n">
        <v>759.1</v>
      </c>
      <c r="O29" s="5" t="n">
        <v>561.9</v>
      </c>
      <c r="P29" s="5" t="n">
        <v>384.3</v>
      </c>
      <c r="Q29" s="5" t="n">
        <v>296.9</v>
      </c>
    </row>
    <row r="30">
      <c r="A30" s="5" t="inlineStr">
        <is>
          <t>Equity</t>
        </is>
      </c>
      <c r="B30" s="6" t="n"/>
      <c r="C30" s="6" t="n"/>
      <c r="D30" s="6" t="n"/>
      <c r="E30" s="6" t="n"/>
      <c r="F30" s="6" t="n"/>
      <c r="G30" s="6" t="n"/>
      <c r="H30" s="6" t="n"/>
      <c r="I30" s="6" t="n"/>
      <c r="J30" s="6" t="n"/>
      <c r="K30" s="6" t="n"/>
      <c r="L30" s="6" t="n"/>
      <c r="M30" s="6" t="n"/>
      <c r="N30" s="6" t="n"/>
      <c r="O30" s="6" t="n"/>
      <c r="P30" s="6" t="n"/>
      <c r="Q30" s="6" t="n"/>
    </row>
    <row r="31">
      <c r="A31" s="6" t="inlineStr">
        <is>
          <t>Share capital</t>
        </is>
      </c>
      <c r="B31" s="6" t="n">
        <v>124.2</v>
      </c>
      <c r="C31" s="6" t="n">
        <v>124.2</v>
      </c>
      <c r="D31" s="6" t="n">
        <v>124.2</v>
      </c>
      <c r="E31" s="6" t="n">
        <v>124.2</v>
      </c>
      <c r="F31" s="6" t="n">
        <v>124.2</v>
      </c>
      <c r="G31" s="6" t="n">
        <v>124.2</v>
      </c>
      <c r="H31" s="6" t="n">
        <v>124.2</v>
      </c>
      <c r="I31" s="6" t="n">
        <v>124.2</v>
      </c>
      <c r="J31" s="6" t="n">
        <v>74.2</v>
      </c>
      <c r="K31" s="6" t="n">
        <v>74.2</v>
      </c>
      <c r="L31" s="6" t="n">
        <v>74.2</v>
      </c>
      <c r="M31" s="6" t="n">
        <v>74.2</v>
      </c>
      <c r="N31" s="6" t="n">
        <v>74.2</v>
      </c>
      <c r="O31" s="6" t="n">
        <v>74.2</v>
      </c>
      <c r="P31" s="6" t="n">
        <v>74.2</v>
      </c>
      <c r="Q31" s="6" t="n">
        <v>74.2</v>
      </c>
    </row>
    <row r="32">
      <c r="A32" s="6" t="inlineStr">
        <is>
          <t>Share based payment reserve</t>
        </is>
      </c>
      <c r="B32" s="6" t="n">
        <v>1.7</v>
      </c>
      <c r="C32" s="6" t="n">
        <v>1.6</v>
      </c>
      <c r="D32" s="6" t="n">
        <v>1.8</v>
      </c>
      <c r="E32" s="6" t="n">
        <v>2.3</v>
      </c>
      <c r="F32" s="6" t="n">
        <v>1.9</v>
      </c>
      <c r="G32" s="6" t="n">
        <v>2</v>
      </c>
      <c r="H32" s="6" t="n">
        <v>1.8</v>
      </c>
      <c r="I32" s="6" t="n">
        <v>1.8</v>
      </c>
      <c r="J32" s="6" t="n">
        <v>2.5</v>
      </c>
      <c r="K32" s="6" t="n">
        <v>6.1</v>
      </c>
      <c r="L32" s="6" t="n">
        <v>7</v>
      </c>
      <c r="M32" s="6" t="n">
        <v>6</v>
      </c>
      <c r="N32" s="6" t="n">
        <v>5.4</v>
      </c>
      <c r="O32" s="6" t="n">
        <v>3.8</v>
      </c>
      <c r="P32" s="6" t="n">
        <v>3.2</v>
      </c>
      <c r="Q32" s="6" t="n"/>
    </row>
    <row r="33">
      <c r="A33" s="6" t="inlineStr">
        <is>
          <t>Fair value / available-for-sale reserve</t>
        </is>
      </c>
      <c r="B33" s="6" t="n"/>
      <c r="C33" s="6" t="n"/>
      <c r="D33" s="6" t="n"/>
      <c r="E33" s="6" t="n"/>
      <c r="F33" s="6" t="n"/>
      <c r="G33" s="6" t="n">
        <v>3.9</v>
      </c>
      <c r="H33" s="6" t="n">
        <v>6.7</v>
      </c>
      <c r="I33" s="6" t="n">
        <v>3.4</v>
      </c>
      <c r="J33" s="6" t="n">
        <v>1.7</v>
      </c>
      <c r="K33" s="6" t="n">
        <v>0.3</v>
      </c>
      <c r="L33" s="6" t="n">
        <v>12.7</v>
      </c>
      <c r="M33" s="6" t="n"/>
      <c r="N33" s="6" t="n"/>
      <c r="O33" s="6" t="n"/>
      <c r="P33" s="6" t="n"/>
      <c r="Q33" s="6" t="n"/>
    </row>
    <row r="34">
      <c r="A34" s="6" t="inlineStr">
        <is>
          <t>Retained earnings</t>
        </is>
      </c>
      <c r="B34" s="6" t="n">
        <v>252.2</v>
      </c>
      <c r="C34" s="6" t="n">
        <v>235.9</v>
      </c>
      <c r="D34" s="6" t="n">
        <v>267.7</v>
      </c>
      <c r="E34" s="6" t="n">
        <v>258.5</v>
      </c>
      <c r="F34" s="6" t="n">
        <v>259.2</v>
      </c>
      <c r="G34" s="6" t="n">
        <v>197</v>
      </c>
      <c r="H34" s="6" t="n">
        <v>258.4</v>
      </c>
      <c r="I34" s="6" t="n">
        <v>246</v>
      </c>
      <c r="J34" s="6" t="n">
        <v>210.9</v>
      </c>
      <c r="K34" s="6" t="n">
        <v>299.1</v>
      </c>
      <c r="L34" s="6" t="n">
        <v>261.2</v>
      </c>
      <c r="M34" s="6" t="n">
        <v>204.4</v>
      </c>
      <c r="N34" s="6" t="n">
        <v>131.1</v>
      </c>
      <c r="O34" s="6" t="n">
        <v>74.7</v>
      </c>
      <c r="P34" s="6" t="n">
        <v>24.9</v>
      </c>
      <c r="Q34" s="6" t="n"/>
    </row>
    <row r="35">
      <c r="A35" s="6" t="inlineStr">
        <is>
          <t>Profit and loss account reserve (UK GAAP basis, FY2010 only - not comparable with the IFRS-basis Retained earnings used FY2011 onward; see note)</t>
        </is>
      </c>
      <c r="B35" s="6" t="n"/>
      <c r="C35" s="6" t="n"/>
      <c r="D35" s="6" t="n"/>
      <c r="E35" s="6" t="n"/>
      <c r="F35" s="6" t="n"/>
      <c r="G35" s="6" t="n"/>
      <c r="H35" s="6" t="n"/>
      <c r="I35" s="6" t="n"/>
      <c r="J35" s="6" t="n"/>
      <c r="K35" s="6" t="n"/>
      <c r="L35" s="6" t="n"/>
      <c r="M35" s="6" t="n"/>
      <c r="N35" s="6" t="n"/>
      <c r="O35" s="6" t="n"/>
      <c r="P35" s="6" t="n"/>
      <c r="Q35" s="6" t="n">
        <v>2.3</v>
      </c>
    </row>
    <row r="36">
      <c r="A36" s="6" t="inlineStr">
        <is>
          <t>Other equity instruments</t>
        </is>
      </c>
      <c r="B36" s="6" t="n">
        <v>59.9</v>
      </c>
      <c r="C36" s="6" t="n">
        <v>0</v>
      </c>
      <c r="D36" s="6" t="n"/>
      <c r="E36" s="6" t="n"/>
      <c r="F36" s="6" t="n"/>
      <c r="G36" s="6" t="n"/>
      <c r="H36" s="6" t="n"/>
      <c r="I36" s="6" t="n"/>
      <c r="J36" s="6" t="n"/>
      <c r="K36" s="6" t="n"/>
      <c r="L36" s="6" t="n"/>
      <c r="M36" s="6" t="n"/>
      <c r="N36" s="6" t="n"/>
      <c r="O36" s="6" t="n"/>
      <c r="P36" s="6" t="n"/>
      <c r="Q36" s="6" t="n"/>
    </row>
    <row r="37">
      <c r="A37" s="5" t="inlineStr">
        <is>
          <t>Total equity</t>
        </is>
      </c>
      <c r="B37" s="5" t="n">
        <v>438</v>
      </c>
      <c r="C37" s="5" t="n">
        <v>361.7</v>
      </c>
      <c r="D37" s="5" t="n">
        <v>393.7</v>
      </c>
      <c r="E37" s="5" t="n">
        <v>385</v>
      </c>
      <c r="F37" s="5" t="n">
        <v>385.3</v>
      </c>
      <c r="G37" s="5" t="n">
        <v>327.1</v>
      </c>
      <c r="H37" s="5" t="n">
        <v>391.1</v>
      </c>
      <c r="I37" s="5" t="n">
        <v>375.4</v>
      </c>
      <c r="J37" s="5" t="n">
        <v>289.3</v>
      </c>
      <c r="K37" s="5" t="n">
        <v>379.7</v>
      </c>
      <c r="L37" s="5" t="n">
        <v>355.1</v>
      </c>
      <c r="M37" s="5" t="n">
        <v>284.6</v>
      </c>
      <c r="N37" s="5" t="n">
        <v>210.7</v>
      </c>
      <c r="O37" s="5" t="n">
        <v>152.7</v>
      </c>
      <c r="P37" s="5" t="n">
        <v>102.3</v>
      </c>
      <c r="Q37" s="5" t="n">
        <v>76.5</v>
      </c>
    </row>
    <row r="38">
      <c r="A38" s="5" t="inlineStr">
        <is>
          <t>Total liabilities and equity</t>
        </is>
      </c>
      <c r="B38" s="5" t="n">
        <v>3574</v>
      </c>
      <c r="C38" s="5" t="n">
        <v>2907.4</v>
      </c>
      <c r="D38" s="5" t="n">
        <v>2609.5</v>
      </c>
      <c r="E38" s="5" t="n">
        <v>1867.4</v>
      </c>
      <c r="F38" s="5" t="n">
        <v>1700.3</v>
      </c>
      <c r="G38" s="5" t="n">
        <v>2106.4</v>
      </c>
      <c r="H38" s="5" t="n">
        <v>1889.4</v>
      </c>
      <c r="I38" s="5" t="n">
        <v>1958.6</v>
      </c>
      <c r="J38" s="5" t="n">
        <v>1855.1</v>
      </c>
      <c r="K38" s="5" t="n">
        <v>1628.7</v>
      </c>
      <c r="L38" s="5" t="n">
        <v>1424.7</v>
      </c>
      <c r="M38" s="5" t="n">
        <v>1257.3</v>
      </c>
      <c r="N38" s="5" t="n">
        <v>969.8</v>
      </c>
      <c r="O38" s="5" t="n">
        <v>714.6</v>
      </c>
      <c r="P38" s="5" t="n">
        <v>486.6</v>
      </c>
      <c r="Q38" s="5" t="n">
        <v>373.4</v>
      </c>
    </row>
    <row r="40" ht="377" customHeight="1">
      <c r="A40" s="8" t="inlineStr">
        <is>
          <t>Sources - Vanquis Bank Limited's own (Company) Statement of Financial Position (Balance Sheet, FY2014-FY2020; Statement of Financial Position, FY2021 onward), £m:
FY2025 &amp; FY2024: Annual Report and Financial Statements, year ended 31 December 2025, p.30 - https://www.vanquis.com/wp-content/uploads/2026/03/VBL-stats-2025-FINAL-Fully-Signed.pdf
FY2023 &amp; FY2022: Annual Report and Financial Statements, year ended 31 December 2023 (Companies House filing, 18 Apr 2024), p.31 - https://find-and-update.company-information.service.gov.uk/company/02558509/filing-history/MzQxNzkzNTkxNWFkaXF6a2N4/document?format=pdf&amp;download=0
FY2021: Annual Report and Financial Statements, year ended 31 December 2021, p.57 - https://www.vanquis.com/wp-content/uploads/2025/05/Vanquis_Bank_Ltd_31_12_2021_Signed.pdf
FY2020 &amp; FY2019: Annual Report and Financial Statements, year ended 31 December 2020, p.55 - https://find-and-update.company-information.service.gov.uk/company/02558509/filing-history/MzMxMjg4NDQzM2FkaXF6a2N4/document?format=pdf&amp;download=0
FY2018 &amp; FY2017: Annual Report and Financial Statements, year ended 31 December 2018, p.16 - https://find-and-update.company-information.service.gov.uk/company/02558509/filing-history/MzIzMTgyMDcyOGFkaXF6a2N4/document?format=pdf&amp;download=0
FY2016 &amp; FY2015: Annual Report and Financial Statements, year ended 31 December 2016, p.8 - https://find-and-update.company-information.service.gov.uk/company/02558509/filing-history/MzE3Mjg3NDA2OGFkaXF6a2N4/document?format=pdf&amp;download=0
FY2014: Annual Report and Financial Statements, year ended 31 December 2014, p.9 - https://find-and-update.company-information.service.gov.uk/company/02558509/filing-history/MzEzMzA5NjUxM2FkaXF6a2N4/document?format=pdf&amp;download=0
Note: 'Loan to related party' (FY2023-FY2025) was labelled 'Loan to ultimate parent undertaking' in FY2021-FY2022's own reports - same line, relabelled. 'Investment securities', 'Central bank facilities' and 'Other equity instruments' are new lines that only start appearing from FY2024/FY2025 (shown as 0 where the line exists that year at a nil balance, left blank where the line simply didn't exist yet). 'Investment securities' is entirely UK Government securities ('gilts') held at amortised cost as part of the Company's liquidity buffer, per Note 11 'Investment securities', p.55 of the FY2025 Annual Report (https://www.vanquis.com/wp-content/uploads/2026/03/VBL-stats-2025-FINAL-Fully-Signed.pdf): UK Government securities 253.3 + fair value adjustment for portfolio hedged risk (note 19) 1.3 = Total investment securities 254.6 (2024: nil). No FVOCI/FVTPL or non-government leg is disclosed - the whole balance is one measurement basis and one issuer type, so no sub-row split is shown. 'Collateralised loan' (£172.2m-£174.7m, FY2021-FY2023) is not shown as a separate line in FY2024/FY2025's own Balance Sheet - not reproduced as a blank continuing line since it is genuinely absent from those years' own statements. Total assets = Total liabilities + Total equity exactly for all 12 years.
FY2014-FY2020 additions (HD-050): 'Investments' before FY2021 is the Company's available-for-sale (FY2016-FY2017)/fair-value-through-OCI (FY2018-FY2020) investment securities holding - same balance-sheet role as the later 'Investments'/'Investment securities' lines, presentational continuity documented rather than a like-for-like restatement. 'Bank and other borrowings (pre-retail-deposit funding)' is a genuinely distinct funding line, not a renamed 'Retail deposits': Vanquis Bank funded itself through parent/wholesale borrowings until retail deposit-taking began during FY2017 (both lines appear on FY2017's own Balance Sheet simultaneously, £74.5m residual borrowings alongside £1,291.8m retail deposits); the borrowings line is genuinely absent from FY2018 onward (fully repaid - see Cash Flow Statement sheet). 'Fair value / available-for-sale reserve' is a real separate equity component from FY2015 (when the Company first held an available-for-sale investment) - FY2014's own Statement of Changes in Shareholders' Equity carries no such reserve column at all (the one immaterial FY2014 OCI item, foreign-exchange translation, was folded directly into Retained earnings that year), consistent with the equity roll-forward on the next sheet. 'Provisions' (£2.6m-£96.7m, FY2017-FY2020) and 'Lease liabilities' (FY2019-FY2020, following IFRS 16 adoption - see equity roll-forward) are genuinely new lines, not renamed continuations of an earlier line. FY2017's own Balance Sheet folds a small non-current 'amounts receivable from customers' instalment-loan portion (£14.5m) into the single combined receivables figure used here, matching how FY2020 onward presents just one combined line (no current/non-current split).
FY2010-FY2013 additions (HD-074): FY2013/FY2012/FY2011 are the Company's own IFRS-basis Statement of Financial Position - FY2013: Annual Report and Financial Statements, year ended 31 December 2013, p.10 - https://find-and-update.company-information.service.gov.uk/company/02558509/filing-history/MzA5OTg0MDE4NWFkaXF6a2N4/document?format=pdf&amp;download=0; FY2012: Annual Report and Financial Statements, year ended 31 December 2012, p.7 - https://find-and-update.company-information.service.gov.uk/company/02558509/filing-history/MzA3ODQwOTY4MWFkaXF6a2N4/document?format=pdf&amp;download=0; FY2011: Annual Report and Financial Statements, year ended 31 December 2011, p.7 - https://find-and-update.company-information.service.gov.uk/company/02558509/filing-history/MzA1NTU3NTQzNGFkaXF6a2N4/document?format=pdf&amp;download=0 (each cross-checked against the following year's own comparative column - no discrepancies). FY2010 is instead the Company's own UK GAAP Balance Sheet (pre-IFRS; the Company adopted IFRS from FY2011) - Annual Report and Financial Statements, year ended 31 December 2010, p.8 - https://find-and-update.company-information.service.gov.uk/company/02558509/filing-history/MzAzNTYxMDE0MGFkaXF6a2N4/document?format=pdf&amp;download=0 - which uses a different, bank-form layout: 'Cash and cash equivalents' combines that year's own 'Cash and balances at central banks' (£10.8m) and 'Items in the course of collection from banks' (£1.8m); 'Investments' is that year's own tiny 'Investments in securities' line (£0.1m), not the later, much larger available-for-sale holding; 'Trade and other receivables' combines 'Other assets' (£2.1m) and 'Prepayments and accrued income' (£13.2m); 'Other liabilities (UK GAAP basis, FY2010 only)' is that year's own single combined 'Other liabilities' line (£292.5m) - the UK GAAP accounts do not separately break this out into borrowings/deposits/payables the way the IFRS-basis accounts used from FY2011 onward do; 'Trade and other payables' for FY2010 is that year's own 'Accruals and deferred income' line (£4.4m). No separate Intangible assets, Deferred tax assets or Current tax liabilities line exists in FY2010's own UK GAAP Balance Sheet (each genuinely absent/not broken out that year, not a missed figure). 'Profit and loss account reserve (UK GAAP basis, FY2010 only)' is that year's own equity reserve figure and is NOT directly comparable with the IFRS-basis 'Retained earnings' used from FY2011 onward: the FY2011 Annual Report's own IFRS-restated comparative for 31 December 2010 shows Total equity of £72.6m (Retained earnings -£4.4m, Share-based payment reserve £2.8m) versus the £76.5m (Profit and loss account reserve £2.3m) shown here from FY2010's own originally-published UK GAAP accounts - a genuine GAAP-transition difference, documented rather than silently reconciled; see the Statement of Changes in Equity sheet for the transition shown explicitly as its own row. Total assets = Total liabilities + Total equity exactly for FY2010-FY2013 too.
Balance Sheet, Profit &amp; Loss, Statement of Changes in Equity and Asset Quality are all on Vanquis Bank Limited's own entity-level (Company) basis, £m - the same basis as the existing Cash Flow Statement sheet (see that sheet's entity note for the wider Pillar 3 basis mismatch, which does not affect these 4 sheets).</t>
        </is>
      </c>
    </row>
  </sheetData>
  <mergeCells count="1">
    <mergeCell ref="A40:Q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Vanquis Bank Limited — Profit &amp; Loss</t>
        </is>
      </c>
    </row>
    <row r="2">
      <c r="A2" s="2" t="inlineStr">
        <is>
          <t>Vanquis Bank Limited (Company) basis, £m. See presentation note at bottom re: structure changes across years.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(£m)</t>
        </is>
      </c>
    </row>
    <row r="4">
      <c r="A4" s="5" t="inlineStr">
        <is>
          <t>Income</t>
        </is>
      </c>
      <c r="B4" s="6" t="n"/>
      <c r="C4" s="6" t="n"/>
      <c r="D4" s="6" t="n"/>
      <c r="E4" s="6" t="n"/>
      <c r="F4" s="6" t="n"/>
      <c r="G4" s="6" t="n"/>
      <c r="H4" s="6" t="n"/>
      <c r="I4" s="6" t="n"/>
      <c r="J4" s="6" t="n"/>
      <c r="K4" s="6" t="n"/>
      <c r="L4" s="6" t="n"/>
      <c r="M4" s="6" t="n"/>
      <c r="N4" s="6" t="n"/>
      <c r="O4" s="6" t="n"/>
      <c r="P4" s="6" t="n"/>
      <c r="Q4" s="6" t="n"/>
    </row>
    <row r="5">
      <c r="A5" s="6" t="inlineStr">
        <is>
          <t>Interest income</t>
        </is>
      </c>
      <c r="B5" s="6" t="n">
        <v>460.8</v>
      </c>
      <c r="C5" s="6" t="n">
        <v>434.8</v>
      </c>
      <c r="D5" s="6" t="n">
        <v>411.4</v>
      </c>
      <c r="E5" s="6" t="n">
        <v>354.7</v>
      </c>
      <c r="F5" s="6" t="n"/>
      <c r="G5" s="6" t="n"/>
      <c r="H5" s="6" t="n"/>
      <c r="I5" s="6" t="n"/>
      <c r="J5" s="6" t="n"/>
      <c r="K5" s="6" t="n"/>
      <c r="L5" s="6" t="n"/>
      <c r="M5" s="6" t="n"/>
      <c r="N5" s="6" t="n"/>
      <c r="O5" s="6" t="n"/>
      <c r="P5" s="6" t="n"/>
      <c r="Q5" s="6" t="n"/>
    </row>
    <row r="6">
      <c r="A6" s="6" t="inlineStr">
        <is>
          <t>Interest expense</t>
        </is>
      </c>
      <c r="B6" s="6" t="n">
        <v>-121.1</v>
      </c>
      <c r="C6" s="6" t="n">
        <v>-105</v>
      </c>
      <c r="D6" s="6" t="n">
        <v>-69.8</v>
      </c>
      <c r="E6" s="6" t="n">
        <v>-24.5</v>
      </c>
      <c r="F6" s="6" t="n"/>
      <c r="G6" s="6" t="n"/>
      <c r="H6" s="6" t="n"/>
      <c r="I6" s="6" t="n"/>
      <c r="J6" s="6" t="n"/>
      <c r="K6" s="6" t="n"/>
      <c r="L6" s="6" t="n"/>
      <c r="M6" s="6" t="n"/>
      <c r="N6" s="6" t="n"/>
      <c r="O6" s="6" t="n"/>
      <c r="P6" s="6" t="n"/>
      <c r="Q6" s="6" t="n"/>
    </row>
    <row r="7">
      <c r="A7" s="5" t="inlineStr">
        <is>
          <t>Net interest income</t>
        </is>
      </c>
      <c r="B7" s="5" t="n">
        <v>339.7</v>
      </c>
      <c r="C7" s="5" t="n">
        <v>329.8</v>
      </c>
      <c r="D7" s="5" t="n">
        <v>341.6</v>
      </c>
      <c r="E7" s="5" t="n">
        <v>330.2</v>
      </c>
      <c r="F7" s="5" t="n">
        <v>379.5</v>
      </c>
      <c r="G7" s="5" t="n">
        <v>453.7</v>
      </c>
      <c r="H7" s="5" t="n">
        <v>556</v>
      </c>
      <c r="I7" s="5" t="n">
        <v>622.7</v>
      </c>
      <c r="J7" s="5" t="n">
        <v>607.4</v>
      </c>
      <c r="K7" s="5" t="n">
        <v>545.6</v>
      </c>
      <c r="L7" s="5" t="n">
        <v>501.3</v>
      </c>
      <c r="M7" s="5" t="n">
        <v>431.7</v>
      </c>
      <c r="N7" s="5" t="n"/>
      <c r="O7" s="5" t="n"/>
      <c r="P7" s="5" t="n"/>
      <c r="Q7" s="5" t="n"/>
    </row>
    <row r="8">
      <c r="A8" s="6" t="inlineStr">
        <is>
          <t>Income (FY2021 net presentation, pre-funding-costs)</t>
        </is>
      </c>
      <c r="B8" s="6" t="n"/>
      <c r="C8" s="6" t="n"/>
      <c r="D8" s="6" t="n"/>
      <c r="E8" s="6" t="n"/>
      <c r="F8" s="6" t="n">
        <v>405.4</v>
      </c>
      <c r="G8" s="6" t="n"/>
      <c r="H8" s="6" t="n"/>
      <c r="I8" s="6" t="n"/>
      <c r="J8" s="6" t="n"/>
      <c r="K8" s="6" t="n"/>
      <c r="L8" s="6" t="n"/>
      <c r="M8" s="6" t="n"/>
      <c r="N8" s="6" t="n"/>
      <c r="O8" s="6" t="n"/>
      <c r="P8" s="6" t="n"/>
      <c r="Q8" s="6" t="n"/>
    </row>
    <row r="9">
      <c r="A9" s="6" t="inlineStr">
        <is>
          <t>Funding costs (FY2021 presentation)</t>
        </is>
      </c>
      <c r="B9" s="6" t="n"/>
      <c r="C9" s="6" t="n"/>
      <c r="D9" s="6" t="n"/>
      <c r="E9" s="6" t="n"/>
      <c r="F9" s="6" t="n">
        <v>-25.9</v>
      </c>
      <c r="G9" s="6" t="n"/>
      <c r="H9" s="6" t="n"/>
      <c r="I9" s="6" t="n"/>
      <c r="J9" s="6" t="n"/>
      <c r="K9" s="6" t="n"/>
      <c r="L9" s="6" t="n"/>
      <c r="M9" s="6" t="n"/>
      <c r="N9" s="6" t="n"/>
      <c r="O9" s="6" t="n"/>
      <c r="P9" s="6" t="n"/>
      <c r="Q9" s="6" t="n"/>
    </row>
    <row r="10">
      <c r="A10" s="6" t="inlineStr">
        <is>
          <t>Revenue / Income (FY2010-FY2020 presentation, gross - not split into interest/fee income)</t>
        </is>
      </c>
      <c r="B10" s="6" t="n"/>
      <c r="C10" s="6" t="n"/>
      <c r="D10" s="6" t="n"/>
      <c r="E10" s="6" t="n"/>
      <c r="F10" s="6" t="n"/>
      <c r="G10" s="6" t="n">
        <v>489.2</v>
      </c>
      <c r="H10" s="6" t="n">
        <v>590.4</v>
      </c>
      <c r="I10" s="6" t="n">
        <v>658.8</v>
      </c>
      <c r="J10" s="6" t="n">
        <v>644</v>
      </c>
      <c r="K10" s="6" t="n">
        <v>589.4</v>
      </c>
      <c r="L10" s="6" t="n">
        <v>542.1</v>
      </c>
      <c r="M10" s="6" t="n">
        <v>471.2</v>
      </c>
      <c r="N10" s="6" t="n">
        <v>381</v>
      </c>
      <c r="O10" s="6" t="n">
        <v>283</v>
      </c>
      <c r="P10" s="6" t="n">
        <v>213.7</v>
      </c>
      <c r="Q10" s="6" t="n">
        <v>178.3</v>
      </c>
    </row>
    <row r="11">
      <c r="A11" s="6" t="inlineStr">
        <is>
          <t>Finance costs (FY2010-FY2020 presentation)</t>
        </is>
      </c>
      <c r="B11" s="6" t="n"/>
      <c r="C11" s="6" t="n"/>
      <c r="D11" s="6" t="n"/>
      <c r="E11" s="6" t="n"/>
      <c r="F11" s="6" t="n"/>
      <c r="G11" s="6" t="n">
        <v>-35.5</v>
      </c>
      <c r="H11" s="6" t="n">
        <v>-34.4</v>
      </c>
      <c r="I11" s="6" t="n">
        <v>-36.1</v>
      </c>
      <c r="J11" s="6" t="n">
        <v>-36.6</v>
      </c>
      <c r="K11" s="6" t="n">
        <v>-43.8</v>
      </c>
      <c r="L11" s="6" t="n">
        <v>-40.8</v>
      </c>
      <c r="M11" s="6" t="n">
        <v>-39.5</v>
      </c>
      <c r="N11" s="6" t="n">
        <v>-32.8</v>
      </c>
      <c r="O11" s="6" t="n">
        <v>-26.7</v>
      </c>
      <c r="P11" s="6" t="n">
        <v>-24.2</v>
      </c>
      <c r="Q11" s="6" t="n">
        <v>-20.9</v>
      </c>
    </row>
    <row r="12">
      <c r="A12" s="6" t="inlineStr">
        <is>
          <t>Fee and commission income</t>
        </is>
      </c>
      <c r="B12" s="6" t="n">
        <v>36.7</v>
      </c>
      <c r="C12" s="6" t="n">
        <v>36.8</v>
      </c>
      <c r="D12" s="6" t="n">
        <v>44.2</v>
      </c>
      <c r="E12" s="6" t="n">
        <v>47</v>
      </c>
      <c r="F12" s="6" t="n"/>
      <c r="G12" s="6" t="n"/>
      <c r="H12" s="6" t="n"/>
      <c r="I12" s="6" t="n"/>
      <c r="J12" s="6" t="n"/>
      <c r="K12" s="6" t="n"/>
      <c r="L12" s="6" t="n"/>
      <c r="M12" s="6" t="n"/>
      <c r="N12" s="6" t="n"/>
      <c r="O12" s="6" t="n"/>
      <c r="P12" s="6" t="n"/>
      <c r="Q12" s="6" t="n"/>
    </row>
    <row r="13">
      <c r="A13" s="6" t="inlineStr">
        <is>
          <t>Fee and commission expense</t>
        </is>
      </c>
      <c r="B13" s="6" t="n">
        <v>-2.4</v>
      </c>
      <c r="C13" s="6" t="n">
        <v>-1.7</v>
      </c>
      <c r="D13" s="6" t="n">
        <v>-1.7</v>
      </c>
      <c r="E13" s="6" t="n">
        <v>-2.8</v>
      </c>
      <c r="F13" s="6" t="n"/>
      <c r="G13" s="6" t="n"/>
      <c r="H13" s="6" t="n"/>
      <c r="I13" s="6" t="n"/>
      <c r="J13" s="6" t="n"/>
      <c r="K13" s="6" t="n"/>
      <c r="L13" s="6" t="n"/>
      <c r="M13" s="6" t="n"/>
      <c r="N13" s="6" t="n"/>
      <c r="O13" s="6" t="n"/>
      <c r="P13" s="6" t="n"/>
      <c r="Q13" s="6" t="n"/>
    </row>
    <row r="14">
      <c r="A14" s="5" t="inlineStr">
        <is>
          <t>Net fee and commission income</t>
        </is>
      </c>
      <c r="B14" s="5" t="n">
        <v>34.3</v>
      </c>
      <c r="C14" s="5" t="n">
        <v>35.1</v>
      </c>
      <c r="D14" s="5" t="n">
        <v>42.5</v>
      </c>
      <c r="E14" s="5" t="n">
        <v>44.2</v>
      </c>
      <c r="F14" s="5" t="n"/>
      <c r="G14" s="5" t="n"/>
      <c r="H14" s="5" t="n"/>
      <c r="I14" s="5" t="n"/>
      <c r="J14" s="5" t="n"/>
      <c r="K14" s="5" t="n"/>
      <c r="L14" s="5" t="n"/>
      <c r="M14" s="5" t="n"/>
      <c r="N14" s="5" t="n"/>
      <c r="O14" s="5" t="n"/>
      <c r="P14" s="5" t="n"/>
      <c r="Q14" s="5" t="n"/>
    </row>
    <row r="15">
      <c r="A15" s="6" t="inlineStr">
        <is>
          <t>Other income</t>
        </is>
      </c>
      <c r="B15" s="6" t="n">
        <v>0.3</v>
      </c>
      <c r="C15" s="6" t="n">
        <v>1.4</v>
      </c>
      <c r="D15" s="6" t="n">
        <v>1.3</v>
      </c>
      <c r="E15" s="6" t="n">
        <v>1</v>
      </c>
      <c r="F15" s="6" t="n"/>
      <c r="G15" s="6" t="n"/>
      <c r="H15" s="6" t="n"/>
      <c r="I15" s="6" t="n"/>
      <c r="J15" s="6" t="n"/>
      <c r="K15" s="6" t="n"/>
      <c r="L15" s="6" t="n"/>
      <c r="M15" s="6" t="n"/>
      <c r="N15" s="6" t="n"/>
      <c r="O15" s="6" t="n"/>
      <c r="P15" s="6" t="n"/>
      <c r="Q15" s="6" t="n"/>
    </row>
    <row r="16">
      <c r="A16" s="5" t="inlineStr">
        <is>
          <t>Total income</t>
        </is>
      </c>
      <c r="B16" s="5" t="n">
        <v>374.3</v>
      </c>
      <c r="C16" s="5" t="n">
        <v>366.3</v>
      </c>
      <c r="D16" s="5" t="n">
        <v>385.4</v>
      </c>
      <c r="E16" s="5" t="n">
        <v>375.4</v>
      </c>
      <c r="F16" s="5" t="n"/>
      <c r="G16" s="5" t="n">
        <v>453.7</v>
      </c>
      <c r="H16" s="5" t="n">
        <v>556</v>
      </c>
      <c r="I16" s="5" t="n">
        <v>622.7</v>
      </c>
      <c r="J16" s="5" t="n">
        <v>607.4</v>
      </c>
      <c r="K16" s="5" t="n">
        <v>545.6</v>
      </c>
      <c r="L16" s="5" t="n">
        <v>501.3</v>
      </c>
      <c r="M16" s="5" t="n">
        <v>431.7</v>
      </c>
      <c r="N16" s="5" t="n">
        <v>348.2</v>
      </c>
      <c r="O16" s="5" t="n">
        <v>256.3</v>
      </c>
      <c r="P16" s="5" t="n">
        <v>189.5</v>
      </c>
      <c r="Q16" s="5" t="n">
        <v>157.4</v>
      </c>
    </row>
    <row r="17">
      <c r="A17" s="5" t="inlineStr">
        <is>
          <t>Costs</t>
        </is>
      </c>
      <c r="B17" s="6" t="n"/>
      <c r="C17" s="6" t="n"/>
      <c r="D17" s="6" t="n"/>
      <c r="E17" s="6" t="n"/>
      <c r="F17" s="6" t="n"/>
      <c r="G17" s="6" t="n"/>
      <c r="H17" s="6" t="n"/>
      <c r="I17" s="6" t="n"/>
      <c r="J17" s="6" t="n"/>
      <c r="K17" s="6" t="n"/>
      <c r="L17" s="6" t="n"/>
      <c r="M17" s="6" t="n"/>
      <c r="N17" s="6" t="n"/>
      <c r="O17" s="6" t="n"/>
      <c r="P17" s="6" t="n"/>
      <c r="Q17" s="6" t="n"/>
    </row>
    <row r="18">
      <c r="A18" s="6" t="inlineStr">
        <is>
          <t>Impairment charges</t>
        </is>
      </c>
      <c r="B18" s="6" t="n">
        <v>-139.2</v>
      </c>
      <c r="C18" s="6" t="n">
        <v>-124.7</v>
      </c>
      <c r="D18" s="6" t="n">
        <v>-150.9</v>
      </c>
      <c r="E18" s="6" t="n">
        <v>-25.3</v>
      </c>
      <c r="F18" s="6" t="n">
        <v>-5.9</v>
      </c>
      <c r="G18" s="6" t="n">
        <v>-239.9</v>
      </c>
      <c r="H18" s="6" t="n">
        <v>-198.9</v>
      </c>
      <c r="I18" s="6" t="n">
        <v>-241.6</v>
      </c>
      <c r="J18" s="6" t="n">
        <v>-171.9</v>
      </c>
      <c r="K18" s="6" t="n">
        <v>-162.6</v>
      </c>
      <c r="L18" s="6" t="n">
        <v>-149.9</v>
      </c>
      <c r="M18" s="6" t="n">
        <v>-149.1</v>
      </c>
      <c r="N18" s="6" t="n">
        <v>-129.4</v>
      </c>
      <c r="O18" s="6" t="n">
        <v>-95.90000000000001</v>
      </c>
      <c r="P18" s="6" t="n">
        <v>-76.90000000000001</v>
      </c>
      <c r="Q18" s="6" t="n">
        <v>-81.5</v>
      </c>
    </row>
    <row r="19">
      <c r="A19" s="5" t="inlineStr">
        <is>
          <t>Risk-adjusted income</t>
        </is>
      </c>
      <c r="B19" s="5" t="n">
        <v>235.1</v>
      </c>
      <c r="C19" s="5" t="n">
        <v>241.6</v>
      </c>
      <c r="D19" s="5" t="n">
        <v>234.5</v>
      </c>
      <c r="E19" s="5" t="n">
        <v>350.1</v>
      </c>
      <c r="F19" s="5" t="n">
        <v>373.6</v>
      </c>
      <c r="G19" s="5" t="n">
        <v>213.8</v>
      </c>
      <c r="H19" s="5" t="n">
        <v>357.1</v>
      </c>
      <c r="I19" s="5" t="n">
        <v>381.1</v>
      </c>
      <c r="J19" s="5" t="n">
        <v>435.5</v>
      </c>
      <c r="K19" s="5" t="n">
        <v>383</v>
      </c>
      <c r="L19" s="5" t="n">
        <v>351.4</v>
      </c>
      <c r="M19" s="5" t="n">
        <v>282.6</v>
      </c>
      <c r="N19" s="5" t="n">
        <v>218.8</v>
      </c>
      <c r="O19" s="5" t="n">
        <v>160.4</v>
      </c>
      <c r="P19" s="5" t="n">
        <v>112.6</v>
      </c>
      <c r="Q19" s="5" t="n">
        <v>75.90000000000001</v>
      </c>
    </row>
    <row r="20">
      <c r="A20" s="5" t="inlineStr">
        <is>
          <t>Operating costs</t>
        </is>
      </c>
      <c r="B20" s="5" t="n">
        <v>-190.6</v>
      </c>
      <c r="C20" s="5" t="n">
        <v>-236.6</v>
      </c>
      <c r="D20" s="5" t="n">
        <v>-223.4</v>
      </c>
      <c r="E20" s="5" t="n">
        <v>-219.7</v>
      </c>
      <c r="F20" s="5" t="n">
        <v>-195.6</v>
      </c>
      <c r="G20" s="5" t="n">
        <v>-171.4</v>
      </c>
      <c r="H20" s="5" t="n">
        <v>-179.5</v>
      </c>
      <c r="I20" s="5" t="n">
        <v>-190.4</v>
      </c>
      <c r="J20" s="5" t="n">
        <v>-222.7</v>
      </c>
      <c r="K20" s="5" t="n">
        <v>-175.2</v>
      </c>
      <c r="L20" s="5" t="n">
        <v>-162.3</v>
      </c>
      <c r="M20" s="5" t="n">
        <v>-138.9</v>
      </c>
      <c r="N20" s="5" t="n">
        <v>-108.1</v>
      </c>
      <c r="O20" s="5" t="n">
        <v>-89</v>
      </c>
      <c r="P20" s="5" t="n">
        <v>-67.90000000000001</v>
      </c>
      <c r="Q20" s="5" t="n">
        <v>-53.1</v>
      </c>
    </row>
    <row r="21">
      <c r="A21" s="6" t="inlineStr">
        <is>
          <t>Exceptional items</t>
        </is>
      </c>
      <c r="B21" s="6" t="n"/>
      <c r="C21" s="6" t="n"/>
      <c r="D21" s="6" t="n"/>
      <c r="E21" s="6" t="n"/>
      <c r="F21" s="6" t="n"/>
      <c r="G21" s="6" t="n">
        <v>8.300000000000001</v>
      </c>
      <c r="H21" s="6" t="n">
        <v>12.4</v>
      </c>
      <c r="I21" s="6" t="n"/>
      <c r="J21" s="6" t="n">
        <v>-172.1</v>
      </c>
      <c r="K21" s="6" t="n">
        <v>20.2</v>
      </c>
      <c r="L21" s="6" t="n"/>
      <c r="M21" s="6" t="n"/>
      <c r="N21" s="6" t="n"/>
      <c r="O21" s="6" t="n"/>
      <c r="P21" s="6" t="n"/>
      <c r="Q21" s="6" t="n"/>
    </row>
    <row r="22">
      <c r="A22" s="5" t="inlineStr">
        <is>
          <t>Statutory profit before taxation</t>
        </is>
      </c>
      <c r="B22" s="5" t="n">
        <v>44.5</v>
      </c>
      <c r="C22" s="5" t="n">
        <v>5</v>
      </c>
      <c r="D22" s="5" t="n">
        <v>11.1</v>
      </c>
      <c r="E22" s="5" t="n">
        <v>130.4</v>
      </c>
      <c r="F22" s="5" t="n">
        <v>178</v>
      </c>
      <c r="G22" s="5" t="n">
        <v>50.7</v>
      </c>
      <c r="H22" s="5" t="n">
        <v>190</v>
      </c>
      <c r="I22" s="5" t="n">
        <v>190.7</v>
      </c>
      <c r="J22" s="5" t="n">
        <v>40.7</v>
      </c>
      <c r="K22" s="5" t="n">
        <v>228</v>
      </c>
      <c r="L22" s="5" t="n">
        <v>189.1</v>
      </c>
      <c r="M22" s="5" t="n">
        <v>143.7</v>
      </c>
      <c r="N22" s="5" t="n">
        <v>110.7</v>
      </c>
      <c r="O22" s="5" t="n">
        <v>71.40000000000001</v>
      </c>
      <c r="P22" s="5" t="n">
        <v>44.7</v>
      </c>
      <c r="Q22" s="5" t="n">
        <v>22.8</v>
      </c>
    </row>
    <row r="23">
      <c r="A23" s="6" t="inlineStr">
        <is>
          <t>Tax (charge)/credit</t>
        </is>
      </c>
      <c r="B23" s="6" t="n">
        <v>-9.5</v>
      </c>
      <c r="C23" s="6" t="n">
        <v>1.2</v>
      </c>
      <c r="D23" s="6" t="n">
        <v>-3.5</v>
      </c>
      <c r="E23" s="6" t="n">
        <v>-36.6</v>
      </c>
      <c r="F23" s="6" t="n">
        <v>-32</v>
      </c>
      <c r="G23" s="6" t="n">
        <v>-8.1</v>
      </c>
      <c r="H23" s="6" t="n">
        <v>-51.4</v>
      </c>
      <c r="I23" s="6" t="n">
        <v>-44.8</v>
      </c>
      <c r="J23" s="6" t="n">
        <v>-64.7</v>
      </c>
      <c r="K23" s="6" t="n">
        <v>-60.2</v>
      </c>
      <c r="L23" s="6" t="n">
        <v>-36.5</v>
      </c>
      <c r="M23" s="6" t="n">
        <v>-30.3</v>
      </c>
      <c r="N23" s="6" t="n">
        <v>-25.5</v>
      </c>
      <c r="O23" s="6" t="n">
        <v>-17.6</v>
      </c>
      <c r="P23" s="6" t="n">
        <v>-11.9</v>
      </c>
      <c r="Q23" s="6" t="n">
        <v>-6.4</v>
      </c>
    </row>
    <row r="24">
      <c r="A24" s="5" t="inlineStr">
        <is>
          <t>Statutory profit after tax from continuing operations</t>
        </is>
      </c>
      <c r="B24" s="5" t="n">
        <v>35</v>
      </c>
      <c r="C24" s="5" t="n">
        <v>6.2</v>
      </c>
      <c r="D24" s="5" t="n"/>
      <c r="E24" s="5" t="n"/>
      <c r="F24" s="5" t="n"/>
      <c r="G24" s="5" t="n"/>
      <c r="H24" s="5" t="n"/>
      <c r="I24" s="5" t="n"/>
      <c r="J24" s="5" t="n"/>
      <c r="K24" s="5" t="n"/>
      <c r="L24" s="5" t="n"/>
      <c r="M24" s="5" t="n"/>
      <c r="N24" s="5" t="n"/>
      <c r="O24" s="5" t="n"/>
      <c r="P24" s="5" t="n"/>
      <c r="Q24" s="5" t="n"/>
    </row>
    <row r="25">
      <c r="A25" s="6" t="inlineStr">
        <is>
          <t>Profit after taxation from discontinued operations</t>
        </is>
      </c>
      <c r="B25" s="6" t="n">
        <v>0.7</v>
      </c>
      <c r="C25" s="6" t="n">
        <v>1.3</v>
      </c>
      <c r="D25" s="6" t="n"/>
      <c r="E25" s="6" t="n"/>
      <c r="F25" s="6" t="n"/>
      <c r="G25" s="6" t="n"/>
      <c r="H25" s="6" t="n"/>
      <c r="I25" s="6" t="n"/>
      <c r="J25" s="6" t="n"/>
      <c r="K25" s="6" t="n"/>
      <c r="L25" s="6" t="n"/>
      <c r="M25" s="6" t="n"/>
      <c r="N25" s="6" t="n"/>
      <c r="O25" s="6" t="n"/>
      <c r="P25" s="6" t="n"/>
      <c r="Q25" s="6" t="n"/>
    </row>
    <row r="26">
      <c r="A26" s="5" t="inlineStr">
        <is>
          <t>Profit for the year</t>
        </is>
      </c>
      <c r="B26" s="5" t="n">
        <v>35.7</v>
      </c>
      <c r="C26" s="5" t="n">
        <v>7.5</v>
      </c>
      <c r="D26" s="5" t="n">
        <v>7.6</v>
      </c>
      <c r="E26" s="5" t="n">
        <v>93.8</v>
      </c>
      <c r="F26" s="5" t="n">
        <v>146</v>
      </c>
      <c r="G26" s="5" t="n">
        <v>42.6</v>
      </c>
      <c r="H26" s="5" t="n">
        <v>138.6</v>
      </c>
      <c r="I26" s="5" t="n">
        <v>145.9</v>
      </c>
      <c r="J26" s="5" t="n">
        <v>-24</v>
      </c>
      <c r="K26" s="5" t="n">
        <v>167.8</v>
      </c>
      <c r="L26" s="5" t="n">
        <v>152.6</v>
      </c>
      <c r="M26" s="5" t="n">
        <v>113.4</v>
      </c>
      <c r="N26" s="5" t="n">
        <v>85.2</v>
      </c>
      <c r="O26" s="5" t="n">
        <v>53.8</v>
      </c>
      <c r="P26" s="5" t="n">
        <v>32.8</v>
      </c>
      <c r="Q26" s="5" t="n">
        <v>16.5</v>
      </c>
    </row>
    <row r="27">
      <c r="A27" s="5" t="inlineStr">
        <is>
          <t>Other comprehensive income</t>
        </is>
      </c>
      <c r="B27" s="6" t="n"/>
      <c r="C27" s="6" t="n"/>
      <c r="D27" s="6" t="n"/>
      <c r="E27" s="6" t="n"/>
      <c r="F27" s="6" t="n"/>
      <c r="G27" s="6" t="n"/>
      <c r="H27" s="6" t="n"/>
      <c r="I27" s="6" t="n"/>
      <c r="J27" s="6" t="n"/>
      <c r="K27" s="6" t="n"/>
      <c r="L27" s="6" t="n"/>
      <c r="M27" s="6" t="n"/>
      <c r="N27" s="6" t="n"/>
      <c r="O27" s="6" t="n"/>
      <c r="P27" s="6" t="n"/>
      <c r="Q27" s="6" t="n"/>
    </row>
    <row r="28">
      <c r="A28" s="6" t="inlineStr">
        <is>
          <t>Fair value movements transferred to income statement</t>
        </is>
      </c>
      <c r="B28" s="6" t="n"/>
      <c r="C28" s="6" t="n"/>
      <c r="D28" s="6" t="n"/>
      <c r="E28" s="6" t="n"/>
      <c r="F28" s="6" t="n">
        <v>-5.3</v>
      </c>
      <c r="G28" s="6" t="n"/>
      <c r="H28" s="6" t="n"/>
      <c r="I28" s="6" t="n"/>
      <c r="J28" s="6" t="n"/>
      <c r="K28" s="6" t="n"/>
      <c r="L28" s="6" t="n"/>
      <c r="M28" s="6" t="n"/>
      <c r="N28" s="6" t="n"/>
      <c r="O28" s="6" t="n"/>
      <c r="P28" s="6" t="n"/>
      <c r="Q28" s="6" t="n"/>
    </row>
    <row r="29">
      <c r="A29" s="6" t="inlineStr">
        <is>
          <t>Fair value movements on investments / available-for-sale assets</t>
        </is>
      </c>
      <c r="B29" s="6" t="n"/>
      <c r="C29" s="6" t="n"/>
      <c r="D29" s="6" t="n"/>
      <c r="E29" s="6" t="n"/>
      <c r="F29" s="6" t="n"/>
      <c r="G29" s="6" t="n">
        <v>3.8</v>
      </c>
      <c r="H29" s="6" t="n">
        <v>4.4</v>
      </c>
      <c r="I29" s="6" t="n">
        <v>2.2</v>
      </c>
      <c r="J29" s="6" t="n">
        <v>1.9</v>
      </c>
      <c r="K29" s="6" t="n">
        <v>3.1</v>
      </c>
      <c r="L29" s="6" t="n">
        <v>17.5</v>
      </c>
      <c r="M29" s="6" t="n"/>
      <c r="N29" s="6" t="n"/>
      <c r="O29" s="6" t="n"/>
      <c r="P29" s="6" t="n"/>
      <c r="Q29" s="6" t="n"/>
    </row>
    <row r="30">
      <c r="A30" s="6" t="inlineStr">
        <is>
          <t>Gain on available-for-sale investment recycled to the income statement</t>
        </is>
      </c>
      <c r="B30" s="6" t="n"/>
      <c r="C30" s="6" t="n"/>
      <c r="D30" s="6" t="n"/>
      <c r="E30" s="6" t="n"/>
      <c r="F30" s="6" t="n"/>
      <c r="G30" s="6" t="n"/>
      <c r="H30" s="6" t="n"/>
      <c r="I30" s="6" t="n"/>
      <c r="J30" s="6" t="n"/>
      <c r="K30" s="6" t="n">
        <v>-20.2</v>
      </c>
      <c r="L30" s="6" t="n"/>
      <c r="M30" s="6" t="n"/>
      <c r="N30" s="6" t="n"/>
      <c r="O30" s="6" t="n"/>
      <c r="P30" s="6" t="n"/>
      <c r="Q30" s="6" t="n"/>
    </row>
    <row r="31">
      <c r="A31" s="6" t="inlineStr">
        <is>
          <t>Exchange differences on translation of foreign operations</t>
        </is>
      </c>
      <c r="B31" s="6" t="n"/>
      <c r="C31" s="6" t="n"/>
      <c r="D31" s="6" t="n"/>
      <c r="E31" s="6" t="n"/>
      <c r="F31" s="6" t="n"/>
      <c r="G31" s="6" t="n"/>
      <c r="H31" s="6" t="n"/>
      <c r="I31" s="6" t="n"/>
      <c r="J31" s="6" t="n"/>
      <c r="K31" s="6" t="n"/>
      <c r="L31" s="6" t="n"/>
      <c r="M31" s="6" t="n">
        <v>0.1</v>
      </c>
      <c r="N31" s="6" t="n">
        <v>0.1</v>
      </c>
      <c r="O31" s="6" t="n"/>
      <c r="P31" s="6" t="n"/>
      <c r="Q31" s="6" t="n"/>
    </row>
    <row r="32">
      <c r="A32" s="6" t="inlineStr">
        <is>
          <t>Tax on items taken directly to other comprehensive income</t>
        </is>
      </c>
      <c r="B32" s="6" t="n"/>
      <c r="C32" s="6" t="n"/>
      <c r="D32" s="6" t="n"/>
      <c r="E32" s="6" t="n"/>
      <c r="F32" s="6" t="n">
        <v>1.4</v>
      </c>
      <c r="G32" s="6" t="n">
        <v>-1</v>
      </c>
      <c r="H32" s="6" t="n">
        <v>-1.2</v>
      </c>
      <c r="I32" s="6" t="n">
        <v>-0.5</v>
      </c>
      <c r="J32" s="6" t="n">
        <v>-0.5</v>
      </c>
      <c r="K32" s="6" t="n">
        <v>4.7</v>
      </c>
      <c r="L32" s="6" t="n">
        <v>-3.5</v>
      </c>
      <c r="M32" s="6" t="n"/>
      <c r="N32" s="6" t="n"/>
      <c r="O32" s="6" t="n"/>
      <c r="P32" s="6" t="n"/>
      <c r="Q32" s="6" t="n"/>
    </row>
    <row r="33">
      <c r="A33" s="6" t="inlineStr">
        <is>
          <t>Impact of change in UK tax rate</t>
        </is>
      </c>
      <c r="B33" s="6" t="n"/>
      <c r="C33" s="6" t="n"/>
      <c r="D33" s="6" t="n"/>
      <c r="E33" s="6" t="n"/>
      <c r="F33" s="6" t="n"/>
      <c r="G33" s="6" t="n">
        <v>-0.2</v>
      </c>
      <c r="H33" s="6" t="n">
        <v>0.1</v>
      </c>
      <c r="I33" s="6" t="n"/>
      <c r="J33" s="6" t="n"/>
      <c r="K33" s="6" t="n"/>
      <c r="L33" s="6" t="n">
        <v>-1.3</v>
      </c>
      <c r="M33" s="6" t="n"/>
      <c r="N33" s="6" t="n"/>
      <c r="O33" s="6" t="n"/>
      <c r="P33" s="6" t="n"/>
      <c r="Q33" s="6" t="n"/>
    </row>
    <row r="34">
      <c r="A34" s="6" t="inlineStr">
        <is>
          <t>Deferred tax credit on disposal of investment</t>
        </is>
      </c>
      <c r="B34" s="6" t="n"/>
      <c r="C34" s="6" t="n"/>
      <c r="D34" s="6" t="n"/>
      <c r="E34" s="6" t="n"/>
      <c r="F34" s="6" t="n"/>
      <c r="G34" s="6" t="n">
        <v>2</v>
      </c>
      <c r="H34" s="6" t="n"/>
      <c r="I34" s="6" t="n"/>
      <c r="J34" s="6" t="n"/>
      <c r="K34" s="6" t="n"/>
      <c r="L34" s="6" t="n"/>
      <c r="M34" s="6" t="n"/>
      <c r="N34" s="6" t="n"/>
      <c r="O34" s="6" t="n"/>
      <c r="P34" s="6" t="n"/>
      <c r="Q34" s="6" t="n"/>
    </row>
    <row r="35">
      <c r="A35" s="6" t="inlineStr">
        <is>
          <t>Current tax charge on disposal of investment</t>
        </is>
      </c>
      <c r="B35" s="6" t="n"/>
      <c r="C35" s="6" t="n"/>
      <c r="D35" s="6" t="n"/>
      <c r="E35" s="6" t="n"/>
      <c r="F35" s="6" t="n"/>
      <c r="G35" s="6" t="n">
        <v>-2</v>
      </c>
      <c r="H35" s="6" t="n"/>
      <c r="I35" s="6" t="n"/>
      <c r="J35" s="6" t="n"/>
      <c r="K35" s="6" t="n"/>
      <c r="L35" s="6" t="n"/>
      <c r="M35" s="6" t="n"/>
      <c r="N35" s="6" t="n"/>
      <c r="O35" s="6" t="n"/>
      <c r="P35" s="6" t="n"/>
      <c r="Q35" s="6" t="n"/>
    </row>
    <row r="36">
      <c r="A36" s="5" t="inlineStr">
        <is>
          <t>Other comprehensive (expense)/income for the year</t>
        </is>
      </c>
      <c r="B36" s="5" t="n"/>
      <c r="C36" s="5" t="n"/>
      <c r="D36" s="5" t="n"/>
      <c r="E36" s="5" t="n"/>
      <c r="F36" s="5" t="n">
        <v>-3.9</v>
      </c>
      <c r="G36" s="5" t="n">
        <v>2.6</v>
      </c>
      <c r="H36" s="5" t="n">
        <v>3.3</v>
      </c>
      <c r="I36" s="5" t="n">
        <v>1.7</v>
      </c>
      <c r="J36" s="5" t="n">
        <v>1.4</v>
      </c>
      <c r="K36" s="5" t="n">
        <v>-12.4</v>
      </c>
      <c r="L36" s="5" t="n">
        <v>12.7</v>
      </c>
      <c r="M36" s="5" t="n">
        <v>0.1</v>
      </c>
      <c r="N36" s="5" t="n">
        <v>0.1</v>
      </c>
      <c r="O36" s="5" t="n"/>
      <c r="P36" s="5" t="n"/>
      <c r="Q36" s="5" t="n"/>
    </row>
    <row r="37">
      <c r="A37" s="5" t="inlineStr">
        <is>
          <t>Total comprehensive income for the year</t>
        </is>
      </c>
      <c r="B37" s="5" t="n">
        <v>35.7</v>
      </c>
      <c r="C37" s="5" t="n">
        <v>7.5</v>
      </c>
      <c r="D37" s="5" t="n">
        <v>7.6</v>
      </c>
      <c r="E37" s="5" t="n">
        <v>93.8</v>
      </c>
      <c r="F37" s="5" t="n">
        <v>142.1</v>
      </c>
      <c r="G37" s="5" t="n">
        <v>45.2</v>
      </c>
      <c r="H37" s="5" t="n">
        <v>141.9</v>
      </c>
      <c r="I37" s="5" t="n">
        <v>147.6</v>
      </c>
      <c r="J37" s="5" t="n">
        <v>-22.6</v>
      </c>
      <c r="K37" s="5" t="n">
        <v>155.4</v>
      </c>
      <c r="L37" s="5" t="n">
        <v>165.3</v>
      </c>
      <c r="M37" s="5" t="n">
        <v>113.5</v>
      </c>
      <c r="N37" s="5" t="n">
        <v>85.3</v>
      </c>
      <c r="O37" s="5" t="n">
        <v>53.8</v>
      </c>
      <c r="P37" s="5" t="n">
        <v>32.8</v>
      </c>
      <c r="Q37" s="5" t="n">
        <v>16.5</v>
      </c>
    </row>
    <row r="39" ht="390" customHeight="1">
      <c r="A39" s="8" t="inlineStr">
        <is>
          <t>Sources - Vanquis Bank Limited's own (Company) Income Statement, £m:
FY2025 &amp; FY2024: Annual Report and Financial Statements, year ended 31 December 2025, p.29 (Income Statement; there is no other comprehensive income for either year) - https://www.vanquis.com/wp-content/uploads/2026/03/VBL-stats-2025-FINAL-Fully-Signed.pdf
FY2023 &amp; FY2022: Annual Report and Financial Statements, year ended 31 December 2023 (Companies House filing, 18 Apr 2024), p.30 (Income Statement; there is no other comprehensive income for either year) - https://find-and-update.company-information.service.gov.uk/company/02558509/filing-history/MzQxNzkzNTkxNWFkaXF6a2N4/document?format=pdf&amp;download=0
FY2021: Annual Report and Financial Statements, year ended 31 December 2021, p.56 (Income Statement and Statement of Comprehensive Income) - https://www.vanquis.com/wp-content/uploads/2025/05/Vanquis_Bank_Ltd_31_12_2021_Signed.pdf
FY2020 &amp; FY2019: Annual Report and Financial Statements, year ended 31 December 2020, p.54 (Income Statement and Statement of Comprehensive Income) - https://find-and-update.company-information.service.gov.uk/company/02558509/filing-history/MzMxMjg4NDQzM2FkaXF6a2N4/document?format=pdf&amp;download=0
FY2018 &amp; FY2017: Annual Report and Financial Statements, year ended 31 December 2018, p.16 (Income Statement and Statement of Comprehensive Income) - https://find-and-update.company-information.service.gov.uk/company/02558509/filing-history/MzIzMTgyMDcyOGFkaXF6a2N4/document?format=pdf&amp;download=0
FY2016 &amp; FY2015: Annual Report and Financial Statements, year ended 31 December 2016, p.8 (Income Statement and Statement of Comprehensive Income) - https://find-and-update.company-information.service.gov.uk/company/02558509/filing-history/MzE3Mjg3NDA2OGFkaXF6a2N4/document?format=pdf&amp;download=0
FY2014: Annual Report and Financial Statements, year ended 31 December 2014, p.9 (Income Statement and Statement of Comprehensive Income) - https://find-and-update.company-information.service.gov.uk/company/02558509/filing-history/MzEzMzA5NjUxM2FkaXF6a2N4/document?format=pdf&amp;download=0
FY2013: Annual Report and Financial Statements, year ended 31 December 2013, p.9 - https://find-and-update.company-information.service.gov.uk/company/02558509/filing-history/MzA5OTg0MDE4NWFkaXF6a2N4/document?format=pdf&amp;download=0
FY2012: Annual Report and Financial Statements, year ended 31 December 2012, p.6 - https://find-and-update.company-information.service.gov.uk/company/02558509/filing-history/MzA3ODQwOTY4MWFkaXF6a2N4/document?format=pdf&amp;download=0
FY2011: Annual Report and Financial Statements, year ended 31 December 2011, p.6 - https://find-and-update.company-information.service.gov.uk/company/02558509/filing-history/MzA1NTU3NTQzNGFkaXF6a2N4/document?format=pdf&amp;download=0
FY2010: Annual Report and Financial Statements, year ended 31 December 2010, p.7 (Profit and Loss Account, UK GAAP) - https://find-and-update.company-information.service.gov.uk/company/02558509/filing-history/MzAzNTYxMDE0MGFkaXF6a2N4/document?format=pdf&amp;download=0
FY2010-FY2013 additions (HD-074): FY2011-FY2013 Impairment charges are each year's own 'Impairment of amounts receivable from customers' figure from that year's own impairment allowance-account note (same note-sourced derivation already used for FY2014-FY2016 - see the FY2014-FY2020 note below), each cross-checked against the following year's own comparative disclosure (FY2011: £76.9m per both the FY2011 and FY2012 Annual Reports; FY2012: £95.9m per both the FY2012 and FY2013 Annual Reports). FY2010's own Profit and Loss Account (UK GAAP, pre-IFRS) discloses 'Provisions for bad and doubtful debts' (£81.5m) as its own direct face line (Impairment charges here), and separately splits 'Interest receivable'/'Interest payable' and 'Fees and commissions receivable'/'payable' before arriving at 'Operating income' - Revenue/Finance costs above for FY2010 are computed as (Interest receivable + net fee income) / Interest payable respectively, so that Total income (Revenue less Finance costs) reproduces that year's own disclosed Operating income (£157.4m) exactly; Operating costs for FY2010 is that year's own 'Administrative expenses' (£51.8m) plus 'Depreciation and amortisation' (£1.4m). FY2010 has no OCI: its own Directors' report and financial statements state explicitly 'the company has no recognised gains or losses other than those included in the results above' (no separate statement of total recognised gains and losses). All of FY2010-FY2013's own disclosed 'Profit before taxation'/'Profit for the year' figures are reproduced exactly by the rows above (Total income + Impairment charges + Operating costs = Statutory profit before taxation, for every one of the 4 years).
FY2014-FY2020 presentation note (HD-050): none of these years split Revenue into interest/fee income - each year discloses a single blended 'Revenue' (FY2014-FY2019) or 'Income' (FY2020) line and a separate 'Finance costs' line, so 'Net interest income'/'Total income' above are computed as Revenue less Finance costs (same treatment already used for FY2021's own 'Income' presentation). FY2014-FY2016's own income statements do not separately disclose Impairment charges as a line item (it is bundled inside that year's own 'Operating costs' figure alongside genuine non-credit operating expenses); the Impairment charges figure shown for those 3 years is instead the 'Charge for the year' from that year's own impairment allowance-account note (Note 11), and 'Operating costs' is the residual (that year's own disclosed Total costs, less Finance costs, less this note-sourced impairment charge) - both figures tie exactly to each year's own disclosed 'Profit before taxation'. FY2017 onward discloses Impairment charges as its own face line item directly (no derivation needed). 'Exceptional items' is a genuine separate disclosed line in FY2016 (£20.2m gain, an AFS investment recycled to the income statement), FY2017 (£172.1m loss, driving that year's near-breakeven result), and FY2019 (£12.4m gain) - blank/not applicable in FY2014, FY2015 and FY2018, which had none. FY2020's own report nets its £8.3m exceptional gain directly into the 'Administrative and operational costs' line on the face (£163.1m as printed) rather than disclosing it as a separate additive line as other years do (confirmed by the FY2020 report's own dual subtotals: 'profit before tax and exceptional items' £42.4m + exceptional items £8.3m = 'profit before tax' £50.7m) - the Operating costs row for FY2020 above is therefore shown gross of that exceptional item (£171.4m = £163.1m + £8.3m) with Exceptional items broken back out as its own row, for consistency with every other year's presentation rather than silently blending FY2020 into a different shape; this also explains why FY2020's own report's restated FY2019 comparative for that cost line (£167.1m) differs from FY2019's own originally-published figure (£179.5m, used here) by exactly FY2019's own £12.4m exceptional item. FY2018's Profit for the year (£145.9m) is that year's own originally-published figure; FY2019's own Annual Report later restated the FY2018 comparative to £150.9m/£151.7m (a change in accounting policy - direct customer-acquisition costs reclassified from an expense to a capitalised, amortised asset) - each year's own as-originally-published figure is used for that year's column, per this project's usual convention, not the later restated comparative.
PRESENTATION NOTE: the Company's income statement structure changed materially over this period. FY2022-FY2025 show a gross 'Interest income'/'Interest expense'/'Net interest income' split; FY2021's own Annual Report instead shows a single net 'Income' line, 'Funding costs', and 'Net interest margin' (the FY2021 value used on the Net interest income row, 379.5, is that year's own Net interest margin - functionally equivalent but not a like-for-like gross split) - Interest income/expense are left blank for FY2021 as this split was not published that year. FY2021's own 'Income' (405.4) and 'Funding costs' (25.9) lines are shown on their own rows since they don't map cleanly onto later years' structure. FY2023/FY2022's income statements also disclose Exceptional items and an 'Adjusted profit before tax' as a memo add-back below the primary statement (already embedded within Operating costs, not a separate deduction) - not reproduced as its own row for consistency with FY2024/FY2025, which don't disclose that split at all. From FY2024 onward the Company splits 'continuing'/'discontinued operations' (following the March 2025 sale of the Personal Loans portfolio, presented retrospectively in FY2024's own comparative) - FY2023/FY2022/FY2021 predate this split and show one unified profit figure. 'Profit for the year' and 'Total comprehensive income for the year' are the two rows populated and exactly comparable across all 5 years.</t>
        </is>
      </c>
    </row>
    <row r="41" ht="340" customHeight="1">
      <c r="A41" s="8" t="inlineStr">
        <is>
          <t>(continued)
Balance Sheet, Profit &amp; Loss, Statement of Changes in Equity and Asset Quality are all on Vanquis Bank Limited's own entity-level (Company) basis, £m - the same basis as the existing Cash Flow Statement sheet (see that sheet's entity note for the wider Pillar 3 basis mismatch, which does not affect these 4 sheets).</t>
        </is>
      </c>
    </row>
  </sheetData>
  <mergeCells count="2">
    <mergeCell ref="A39:Q39"/>
    <mergeCell ref="A41:Q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4"/>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Vanquis Bank Limited — Statement of Changes in Equity</t>
        </is>
      </c>
    </row>
    <row r="2">
      <c r="A2" s="2" t="inlineStr">
        <is>
          <t>Vanquis Bank Limited (Company) basis, £m, chronological (oldest to newest).</t>
        </is>
      </c>
    </row>
    <row r="3">
      <c r="A3" s="4" t="inlineStr">
        <is>
          <t>Movement</t>
        </is>
      </c>
      <c r="B3" s="4" t="inlineStr">
        <is>
          <t>Share capital</t>
        </is>
      </c>
      <c r="C3" s="4" t="inlineStr">
        <is>
          <t>Share-based payment reserve</t>
        </is>
      </c>
      <c r="D3" s="4" t="inlineStr">
        <is>
          <t>Fair value reserve</t>
        </is>
      </c>
      <c r="E3" s="4" t="inlineStr">
        <is>
          <t>Retained earnings</t>
        </is>
      </c>
      <c r="F3" s="4" t="inlineStr">
        <is>
          <t>Other equity instruments</t>
        </is>
      </c>
      <c r="G3" s="4" t="inlineStr">
        <is>
          <t>Total equity</t>
        </is>
      </c>
    </row>
    <row r="4">
      <c r="A4" s="5" t="inlineStr">
        <is>
          <t>Opening balance at 1 January 2010 (UK GAAP basis, as originally reported - see Balance Sheet sheet note)</t>
        </is>
      </c>
      <c r="B4" s="5" t="n">
        <v>74.2</v>
      </c>
      <c r="C4" s="5" t="n"/>
      <c r="D4" s="5" t="n"/>
      <c r="E4" s="5" t="n">
        <v>-15.5</v>
      </c>
      <c r="F4" s="5" t="n"/>
      <c r="G4" s="5" t="n">
        <v>58.7</v>
      </c>
    </row>
    <row r="5">
      <c r="A5" s="6" t="inlineStr">
        <is>
          <t>Profit for the year</t>
        </is>
      </c>
      <c r="B5" s="6" t="n"/>
      <c r="C5" s="6" t="n"/>
      <c r="D5" s="6" t="n"/>
      <c r="E5" s="6" t="n">
        <v>16.5</v>
      </c>
      <c r="F5" s="6" t="n"/>
      <c r="G5" s="6" t="n">
        <v>16.5</v>
      </c>
    </row>
    <row r="6">
      <c r="A6" s="6" t="inlineStr">
        <is>
          <t>Other movement, net (UK GAAP - per the Company's own reconciliation note; not further broken out)</t>
        </is>
      </c>
      <c r="B6" s="6" t="n"/>
      <c r="C6" s="6" t="n"/>
      <c r="D6" s="6" t="n"/>
      <c r="E6" s="6" t="n">
        <v>1.4</v>
      </c>
      <c r="F6" s="6" t="n"/>
      <c r="G6" s="6" t="n">
        <v>1.4</v>
      </c>
    </row>
    <row r="7">
      <c r="A7" s="5" t="inlineStr">
        <is>
          <t>At 31 December 2010 (UK GAAP basis, as originally reported)</t>
        </is>
      </c>
      <c r="B7" s="5" t="n">
        <v>74.2</v>
      </c>
      <c r="C7" s="5" t="n"/>
      <c r="D7" s="5" t="n"/>
      <c r="E7" s="5" t="n">
        <v>2.3</v>
      </c>
      <c r="F7" s="5" t="n"/>
      <c r="G7" s="5" t="n">
        <v>76.5</v>
      </c>
    </row>
    <row r="8">
      <c r="A8" s="6" t="inlineStr">
        <is>
          <t>IFRS1 transition adjustment (the FY2011 Annual Report's own restatement of the opening position on adopting IFRS - see Balance Sheet sheet note)</t>
        </is>
      </c>
      <c r="B8" s="6" t="n"/>
      <c r="C8" s="6" t="n">
        <v>2.8</v>
      </c>
      <c r="D8" s="6" t="n"/>
      <c r="E8" s="6" t="n">
        <v>-6.7</v>
      </c>
      <c r="F8" s="6" t="n"/>
      <c r="G8" s="6" t="n">
        <v>-3.9</v>
      </c>
    </row>
    <row r="9">
      <c r="A9" s="5" t="inlineStr">
        <is>
          <t>Opening balance at 1 January 2011 (IFRS basis, per the FY2011 Annual Report)</t>
        </is>
      </c>
      <c r="B9" s="5" t="n">
        <v>74.2</v>
      </c>
      <c r="C9" s="5" t="n">
        <v>2.8</v>
      </c>
      <c r="D9" s="5" t="n"/>
      <c r="E9" s="5" t="n">
        <v>-4.4</v>
      </c>
      <c r="F9" s="5" t="n"/>
      <c r="G9" s="5" t="n">
        <v>72.59999999999999</v>
      </c>
    </row>
    <row r="10">
      <c r="A10" s="6" t="inlineStr">
        <is>
          <t>Profit for the year</t>
        </is>
      </c>
      <c r="B10" s="6" t="n"/>
      <c r="C10" s="6" t="n"/>
      <c r="D10" s="6" t="n"/>
      <c r="E10" s="6" t="n">
        <v>32.8</v>
      </c>
      <c r="F10" s="6" t="n"/>
      <c r="G10" s="6" t="n">
        <v>32.8</v>
      </c>
    </row>
    <row r="11">
      <c r="A11" s="5" t="inlineStr">
        <is>
          <t>Total comprehensive income for the year (FY2011)</t>
        </is>
      </c>
      <c r="B11" s="5" t="n"/>
      <c r="C11" s="5" t="n"/>
      <c r="D11" s="5" t="n"/>
      <c r="E11" s="5" t="n">
        <v>32.8</v>
      </c>
      <c r="F11" s="5" t="n"/>
      <c r="G11" s="5" t="n">
        <v>32.8</v>
      </c>
    </row>
    <row r="12">
      <c r="A12" s="6" t="inlineStr">
        <is>
          <t>Share-based payment charge</t>
        </is>
      </c>
      <c r="B12" s="6" t="n"/>
      <c r="C12" s="6" t="n">
        <v>1.9</v>
      </c>
      <c r="D12" s="6" t="n"/>
      <c r="E12" s="6" t="n"/>
      <c r="F12" s="6" t="n"/>
      <c r="G12" s="6" t="n">
        <v>1.9</v>
      </c>
    </row>
    <row r="13">
      <c r="A13" s="6" t="inlineStr">
        <is>
          <t>Transfer of share-based payment reserve</t>
        </is>
      </c>
      <c r="B13" s="6" t="n"/>
      <c r="C13" s="6" t="n">
        <v>-1.5</v>
      </c>
      <c r="D13" s="6" t="n"/>
      <c r="E13" s="6" t="n">
        <v>1.5</v>
      </c>
      <c r="F13" s="6" t="n"/>
      <c r="G13" s="6" t="n">
        <v>0</v>
      </c>
    </row>
    <row r="14">
      <c r="A14" s="6" t="inlineStr">
        <is>
          <t>Dividends</t>
        </is>
      </c>
      <c r="B14" s="6" t="n"/>
      <c r="C14" s="6" t="n"/>
      <c r="D14" s="6" t="n"/>
      <c r="E14" s="6" t="n">
        <v>-5</v>
      </c>
      <c r="F14" s="6" t="n"/>
      <c r="G14" s="6" t="n">
        <v>-5</v>
      </c>
    </row>
    <row r="15">
      <c r="A15" s="5" t="inlineStr">
        <is>
          <t>At 31 December 2011 / At 1 January 2012</t>
        </is>
      </c>
      <c r="B15" s="5" t="n">
        <v>74.2</v>
      </c>
      <c r="C15" s="5" t="n">
        <v>3.2</v>
      </c>
      <c r="D15" s="5" t="n"/>
      <c r="E15" s="5" t="n">
        <v>24.9</v>
      </c>
      <c r="F15" s="5" t="n"/>
      <c r="G15" s="5" t="n">
        <v>102.3</v>
      </c>
    </row>
    <row r="16">
      <c r="A16" s="6" t="inlineStr">
        <is>
          <t>Profit for the year</t>
        </is>
      </c>
      <c r="B16" s="6" t="n"/>
      <c r="C16" s="6" t="n"/>
      <c r="D16" s="6" t="n"/>
      <c r="E16" s="6" t="n">
        <v>53.8</v>
      </c>
      <c r="F16" s="6" t="n"/>
      <c r="G16" s="6" t="n">
        <v>53.8</v>
      </c>
    </row>
    <row r="17">
      <c r="A17" s="5" t="inlineStr">
        <is>
          <t>Total comprehensive income for the year (FY2012)</t>
        </is>
      </c>
      <c r="B17" s="5" t="n"/>
      <c r="C17" s="5" t="n"/>
      <c r="D17" s="5" t="n"/>
      <c r="E17" s="5" t="n">
        <v>53.8</v>
      </c>
      <c r="F17" s="5" t="n"/>
      <c r="G17" s="5" t="n">
        <v>53.8</v>
      </c>
    </row>
    <row r="18">
      <c r="A18" s="6" t="inlineStr">
        <is>
          <t>Share-based payment charge</t>
        </is>
      </c>
      <c r="B18" s="6" t="n"/>
      <c r="C18" s="6" t="n">
        <v>1.6</v>
      </c>
      <c r="D18" s="6" t="n"/>
      <c r="E18" s="6" t="n"/>
      <c r="F18" s="6" t="n"/>
      <c r="G18" s="6" t="n">
        <v>1.6</v>
      </c>
    </row>
    <row r="19">
      <c r="A19" s="6" t="inlineStr">
        <is>
          <t>Transfer of share-based payment reserve</t>
        </is>
      </c>
      <c r="B19" s="6" t="n"/>
      <c r="C19" s="6" t="n">
        <v>-1</v>
      </c>
      <c r="D19" s="6" t="n"/>
      <c r="E19" s="6" t="n">
        <v>1</v>
      </c>
      <c r="F19" s="6" t="n"/>
      <c r="G19" s="6" t="n">
        <v>0</v>
      </c>
    </row>
    <row r="20">
      <c r="A20" s="6" t="inlineStr">
        <is>
          <t>Dividends</t>
        </is>
      </c>
      <c r="B20" s="6" t="n"/>
      <c r="C20" s="6" t="n"/>
      <c r="D20" s="6" t="n"/>
      <c r="E20" s="6" t="n">
        <v>-5</v>
      </c>
      <c r="F20" s="6" t="n"/>
      <c r="G20" s="6" t="n">
        <v>-5</v>
      </c>
    </row>
    <row r="21">
      <c r="A21" s="5" t="inlineStr">
        <is>
          <t>At 31 December 2012 / At 1 January 2013</t>
        </is>
      </c>
      <c r="B21" s="5" t="n">
        <v>74.2</v>
      </c>
      <c r="C21" s="5" t="n">
        <v>3.8</v>
      </c>
      <c r="D21" s="5" t="n"/>
      <c r="E21" s="5" t="n">
        <v>74.7</v>
      </c>
      <c r="F21" s="5" t="n"/>
      <c r="G21" s="5" t="n">
        <v>152.7</v>
      </c>
    </row>
    <row r="22">
      <c r="A22" s="6" t="inlineStr">
        <is>
          <t>Profit for the year</t>
        </is>
      </c>
      <c r="B22" s="6" t="n"/>
      <c r="C22" s="6" t="n"/>
      <c r="D22" s="6" t="n"/>
      <c r="E22" s="6" t="n">
        <v>85.2</v>
      </c>
      <c r="F22" s="6" t="n"/>
      <c r="G22" s="6" t="n">
        <v>85.2</v>
      </c>
    </row>
    <row r="23">
      <c r="A23" s="6" t="inlineStr">
        <is>
          <t>Exchange differences on translation of foreign operations</t>
        </is>
      </c>
      <c r="B23" s="6" t="n"/>
      <c r="C23" s="6" t="n"/>
      <c r="D23" s="6" t="n"/>
      <c r="E23" s="6" t="n">
        <v>0.1</v>
      </c>
      <c r="F23" s="6" t="n"/>
      <c r="G23" s="6" t="n">
        <v>0.1</v>
      </c>
    </row>
    <row r="24">
      <c r="A24" s="5" t="inlineStr">
        <is>
          <t>Total comprehensive income for the year (FY2013)</t>
        </is>
      </c>
      <c r="B24" s="5" t="n"/>
      <c r="C24" s="5" t="n"/>
      <c r="D24" s="5" t="n"/>
      <c r="E24" s="5" t="n">
        <v>85.3</v>
      </c>
      <c r="F24" s="5" t="n"/>
      <c r="G24" s="5" t="n">
        <v>85.3</v>
      </c>
    </row>
    <row r="25">
      <c r="A25" s="6" t="inlineStr">
        <is>
          <t>Share-based payment charge</t>
        </is>
      </c>
      <c r="B25" s="6" t="n"/>
      <c r="C25" s="6" t="n">
        <v>2.7</v>
      </c>
      <c r="D25" s="6" t="n"/>
      <c r="E25" s="6" t="n"/>
      <c r="F25" s="6" t="n"/>
      <c r="G25" s="6" t="n">
        <v>2.7</v>
      </c>
    </row>
    <row r="26">
      <c r="A26" s="6" t="inlineStr">
        <is>
          <t>Transfer of share-based payment reserve</t>
        </is>
      </c>
      <c r="B26" s="6" t="n"/>
      <c r="C26" s="6" t="n">
        <v>-1.1</v>
      </c>
      <c r="D26" s="6" t="n"/>
      <c r="E26" s="6" t="n">
        <v>1.1</v>
      </c>
      <c r="F26" s="6" t="n"/>
      <c r="G26" s="6" t="n">
        <v>0</v>
      </c>
    </row>
    <row r="27">
      <c r="A27" s="6" t="inlineStr">
        <is>
          <t>Dividends</t>
        </is>
      </c>
      <c r="B27" s="6" t="n"/>
      <c r="C27" s="6" t="n"/>
      <c r="D27" s="6" t="n"/>
      <c r="E27" s="6" t="n">
        <v>-30</v>
      </c>
      <c r="F27" s="6" t="n"/>
      <c r="G27" s="6" t="n">
        <v>-30</v>
      </c>
    </row>
    <row r="28">
      <c r="A28" s="5" t="inlineStr">
        <is>
          <t>At 1 January 2014 / At 31 December 2013</t>
        </is>
      </c>
      <c r="B28" s="5" t="n">
        <v>74.2</v>
      </c>
      <c r="C28" s="5" t="n">
        <v>5.4</v>
      </c>
      <c r="D28" s="5" t="n"/>
      <c r="E28" s="5" t="n">
        <v>131.1</v>
      </c>
      <c r="F28" s="5" t="n"/>
      <c r="G28" s="5" t="n">
        <v>210.7</v>
      </c>
    </row>
    <row r="29">
      <c r="A29" s="6" t="inlineStr">
        <is>
          <t>Profit for the year</t>
        </is>
      </c>
      <c r="B29" s="6" t="n"/>
      <c r="C29" s="6" t="n"/>
      <c r="D29" s="6" t="n"/>
      <c r="E29" s="6" t="n">
        <v>113.4</v>
      </c>
      <c r="F29" s="6" t="n"/>
      <c r="G29" s="6" t="n">
        <v>113.4</v>
      </c>
    </row>
    <row r="30">
      <c r="A30" s="6" t="inlineStr">
        <is>
          <t>Exchange differences on translation of foreign operations</t>
        </is>
      </c>
      <c r="B30" s="6" t="n"/>
      <c r="C30" s="6" t="n"/>
      <c r="D30" s="6" t="n"/>
      <c r="E30" s="6" t="n">
        <v>0.1</v>
      </c>
      <c r="F30" s="6" t="n"/>
      <c r="G30" s="6" t="n">
        <v>0.1</v>
      </c>
    </row>
    <row r="31">
      <c r="A31" s="5" t="inlineStr">
        <is>
          <t>Total comprehensive income for the year (FY2014)</t>
        </is>
      </c>
      <c r="B31" s="5" t="n"/>
      <c r="C31" s="5" t="n"/>
      <c r="D31" s="5" t="n"/>
      <c r="E31" s="5" t="n">
        <v>113.5</v>
      </c>
      <c r="F31" s="5" t="n"/>
      <c r="G31" s="5" t="n">
        <v>113.5</v>
      </c>
    </row>
    <row r="32">
      <c r="A32" s="6" t="inlineStr">
        <is>
          <t>Share-based payment charge</t>
        </is>
      </c>
      <c r="B32" s="6" t="n"/>
      <c r="C32" s="6" t="n">
        <v>2.9</v>
      </c>
      <c r="D32" s="6" t="n"/>
      <c r="E32" s="6" t="n"/>
      <c r="F32" s="6" t="n"/>
      <c r="G32" s="6" t="n">
        <v>2.9</v>
      </c>
    </row>
    <row r="33">
      <c r="A33" s="6" t="inlineStr">
        <is>
          <t>Transfer of share-based payment reserve</t>
        </is>
      </c>
      <c r="B33" s="6" t="n"/>
      <c r="C33" s="6" t="n">
        <v>-2.3</v>
      </c>
      <c r="D33" s="6" t="n"/>
      <c r="E33" s="6" t="n">
        <v>2.3</v>
      </c>
      <c r="F33" s="6" t="n"/>
      <c r="G33" s="6" t="n">
        <v>0</v>
      </c>
    </row>
    <row r="34">
      <c r="A34" s="6" t="inlineStr">
        <is>
          <t>Dividends</t>
        </is>
      </c>
      <c r="B34" s="6" t="n"/>
      <c r="C34" s="6" t="n"/>
      <c r="D34" s="6" t="n"/>
      <c r="E34" s="6" t="n">
        <v>-42.5</v>
      </c>
      <c r="F34" s="6" t="n"/>
      <c r="G34" s="6" t="n">
        <v>-42.5</v>
      </c>
    </row>
    <row r="35">
      <c r="A35" s="5" t="inlineStr">
        <is>
          <t>At 31 December 2014 / At 1 January 2015</t>
        </is>
      </c>
      <c r="B35" s="5" t="n">
        <v>74.2</v>
      </c>
      <c r="C35" s="5" t="n">
        <v>6</v>
      </c>
      <c r="D35" s="5" t="n"/>
      <c r="E35" s="5" t="n">
        <v>204.4</v>
      </c>
      <c r="F35" s="5" t="n"/>
      <c r="G35" s="5" t="n">
        <v>284.6</v>
      </c>
    </row>
    <row r="36">
      <c r="A36" s="6" t="inlineStr">
        <is>
          <t>Profit for the year</t>
        </is>
      </c>
      <c r="B36" s="6" t="n"/>
      <c r="C36" s="6" t="n"/>
      <c r="D36" s="6" t="n"/>
      <c r="E36" s="6" t="n">
        <v>152.6</v>
      </c>
      <c r="F36" s="6" t="n"/>
      <c r="G36" s="6" t="n">
        <v>152.6</v>
      </c>
    </row>
    <row r="37">
      <c r="A37" s="6" t="inlineStr">
        <is>
          <t>Fair value movements on available-for-sale assets</t>
        </is>
      </c>
      <c r="B37" s="6" t="n"/>
      <c r="C37" s="6" t="n"/>
      <c r="D37" s="6" t="n">
        <v>17.5</v>
      </c>
      <c r="E37" s="6" t="n"/>
      <c r="F37" s="6" t="n"/>
      <c r="G37" s="6" t="n">
        <v>17.5</v>
      </c>
    </row>
    <row r="38">
      <c r="A38" s="6" t="inlineStr">
        <is>
          <t>Tax on items taken directly to other comprehensive income</t>
        </is>
      </c>
      <c r="B38" s="6" t="n"/>
      <c r="C38" s="6" t="n"/>
      <c r="D38" s="6" t="n">
        <v>-3.5</v>
      </c>
      <c r="E38" s="6" t="n"/>
      <c r="F38" s="6" t="n"/>
      <c r="G38" s="6" t="n">
        <v>-3.5</v>
      </c>
    </row>
    <row r="39">
      <c r="A39" s="6" t="inlineStr">
        <is>
          <t>Impact of change in UK tax rate</t>
        </is>
      </c>
      <c r="B39" s="6" t="n"/>
      <c r="C39" s="6" t="n"/>
      <c r="D39" s="6" t="n">
        <v>-1.3</v>
      </c>
      <c r="E39" s="6" t="n"/>
      <c r="F39" s="6" t="n"/>
      <c r="G39" s="6" t="n">
        <v>-1.3</v>
      </c>
    </row>
    <row r="40">
      <c r="A40" s="5" t="inlineStr">
        <is>
          <t>Total comprehensive income for the year (FY2015)</t>
        </is>
      </c>
      <c r="B40" s="5" t="n"/>
      <c r="C40" s="5" t="n"/>
      <c r="D40" s="5" t="n">
        <v>12.7</v>
      </c>
      <c r="E40" s="5" t="n">
        <v>152.6</v>
      </c>
      <c r="F40" s="5" t="n"/>
      <c r="G40" s="5" t="n">
        <v>165.3</v>
      </c>
    </row>
    <row r="41">
      <c r="A41" s="6" t="inlineStr">
        <is>
          <t>Share-based payment charge</t>
        </is>
      </c>
      <c r="B41" s="6" t="n"/>
      <c r="C41" s="6" t="n">
        <v>3.6</v>
      </c>
      <c r="D41" s="6" t="n"/>
      <c r="E41" s="6" t="n"/>
      <c r="F41" s="6" t="n"/>
      <c r="G41" s="6" t="n">
        <v>3.6</v>
      </c>
    </row>
    <row r="42">
      <c r="A42" s="6" t="inlineStr">
        <is>
          <t>Transfer of share-based payment reserve</t>
        </is>
      </c>
      <c r="B42" s="6" t="n"/>
      <c r="C42" s="6" t="n">
        <v>-2.5</v>
      </c>
      <c r="D42" s="6" t="n"/>
      <c r="E42" s="6" t="n">
        <v>2.5</v>
      </c>
      <c r="F42" s="6" t="n"/>
      <c r="G42" s="6" t="n">
        <v>0</v>
      </c>
    </row>
    <row r="43">
      <c r="A43" s="6" t="inlineStr">
        <is>
          <t>Dividends</t>
        </is>
      </c>
      <c r="B43" s="6" t="n"/>
      <c r="C43" s="6" t="n"/>
      <c r="D43" s="6" t="n"/>
      <c r="E43" s="6" t="n">
        <v>-98.3</v>
      </c>
      <c r="F43" s="6" t="n"/>
      <c r="G43" s="6" t="n">
        <v>-98.3</v>
      </c>
    </row>
    <row r="44">
      <c r="A44" s="5" t="inlineStr">
        <is>
          <t>At 31 December 2015 / At 1 January 2016</t>
        </is>
      </c>
      <c r="B44" s="5" t="n">
        <v>74.2</v>
      </c>
      <c r="C44" s="5" t="n">
        <v>7</v>
      </c>
      <c r="D44" s="5" t="n">
        <v>12.7</v>
      </c>
      <c r="E44" s="5" t="n">
        <v>261.2</v>
      </c>
      <c r="F44" s="5" t="n"/>
      <c r="G44" s="5" t="n">
        <v>355.1</v>
      </c>
    </row>
    <row r="45">
      <c r="A45" s="6" t="inlineStr">
        <is>
          <t>Profit for the year</t>
        </is>
      </c>
      <c r="B45" s="6" t="n"/>
      <c r="C45" s="6" t="n"/>
      <c r="D45" s="6" t="n"/>
      <c r="E45" s="6" t="n">
        <v>167.8</v>
      </c>
      <c r="F45" s="6" t="n"/>
      <c r="G45" s="6" t="n">
        <v>167.8</v>
      </c>
    </row>
    <row r="46">
      <c r="A46" s="6" t="inlineStr">
        <is>
          <t>Fair value movements on available-for-sale assets</t>
        </is>
      </c>
      <c r="B46" s="6" t="n"/>
      <c r="C46" s="6" t="n"/>
      <c r="D46" s="6" t="n">
        <v>3.1</v>
      </c>
      <c r="E46" s="6" t="n"/>
      <c r="F46" s="6" t="n"/>
      <c r="G46" s="6" t="n">
        <v>3.1</v>
      </c>
    </row>
    <row r="47">
      <c r="A47" s="6" t="inlineStr">
        <is>
          <t>Gain on available-for-sale investment recycled to the income statement</t>
        </is>
      </c>
      <c r="B47" s="6" t="n"/>
      <c r="C47" s="6" t="n"/>
      <c r="D47" s="6" t="n">
        <v>-20.2</v>
      </c>
      <c r="E47" s="6" t="n"/>
      <c r="F47" s="6" t="n"/>
      <c r="G47" s="6" t="n">
        <v>-20.2</v>
      </c>
    </row>
    <row r="48">
      <c r="A48" s="6" t="inlineStr">
        <is>
          <t>Tax on items taken directly to other comprehensive income</t>
        </is>
      </c>
      <c r="B48" s="6" t="n"/>
      <c r="C48" s="6" t="n"/>
      <c r="D48" s="6" t="n">
        <v>4.7</v>
      </c>
      <c r="E48" s="6" t="n"/>
      <c r="F48" s="6" t="n"/>
      <c r="G48" s="6" t="n">
        <v>4.7</v>
      </c>
    </row>
    <row r="49">
      <c r="A49" s="5" t="inlineStr">
        <is>
          <t>Total comprehensive income for the year (FY2016)</t>
        </is>
      </c>
      <c r="B49" s="5" t="n"/>
      <c r="C49" s="5" t="n"/>
      <c r="D49" s="5" t="n">
        <v>-12.4</v>
      </c>
      <c r="E49" s="5" t="n">
        <v>167.8</v>
      </c>
      <c r="F49" s="5" t="n"/>
      <c r="G49" s="5" t="n">
        <v>155.4</v>
      </c>
    </row>
    <row r="50">
      <c r="A50" s="6" t="inlineStr">
        <is>
          <t>Share-based payment charge</t>
        </is>
      </c>
      <c r="B50" s="6" t="n"/>
      <c r="C50" s="6" t="n">
        <v>3.2</v>
      </c>
      <c r="D50" s="6" t="n"/>
      <c r="E50" s="6" t="n"/>
      <c r="F50" s="6" t="n"/>
      <c r="G50" s="6" t="n">
        <v>3.2</v>
      </c>
    </row>
    <row r="51">
      <c r="A51" s="6" t="inlineStr">
        <is>
          <t>Transfer of share-based payment reserve</t>
        </is>
      </c>
      <c r="B51" s="6" t="n"/>
      <c r="C51" s="6" t="n">
        <v>-4.1</v>
      </c>
      <c r="D51" s="6" t="n"/>
      <c r="E51" s="6" t="n">
        <v>4.1</v>
      </c>
      <c r="F51" s="6" t="n"/>
      <c r="G51" s="6" t="n">
        <v>0</v>
      </c>
    </row>
    <row r="52">
      <c r="A52" s="6" t="inlineStr">
        <is>
          <t>Dividends</t>
        </is>
      </c>
      <c r="B52" s="6" t="n"/>
      <c r="C52" s="6" t="n"/>
      <c r="D52" s="6" t="n"/>
      <c r="E52" s="6" t="n">
        <v>-134</v>
      </c>
      <c r="F52" s="6" t="n"/>
      <c r="G52" s="6" t="n">
        <v>-134</v>
      </c>
    </row>
    <row r="53">
      <c r="A53" s="5" t="inlineStr">
        <is>
          <t>At 31 December 2016 / At 1 January 2017</t>
        </is>
      </c>
      <c r="B53" s="5" t="n">
        <v>74.2</v>
      </c>
      <c r="C53" s="5" t="n">
        <v>6.1</v>
      </c>
      <c r="D53" s="5" t="n">
        <v>0.3</v>
      </c>
      <c r="E53" s="5" t="n">
        <v>299.1</v>
      </c>
      <c r="F53" s="5" t="n"/>
      <c r="G53" s="5" t="n">
        <v>379.7</v>
      </c>
    </row>
    <row r="54">
      <c r="A54" s="6" t="inlineStr">
        <is>
          <t>(Loss) for the year</t>
        </is>
      </c>
      <c r="B54" s="6" t="n"/>
      <c r="C54" s="6" t="n"/>
      <c r="D54" s="6" t="n"/>
      <c r="E54" s="6" t="n">
        <v>-24</v>
      </c>
      <c r="F54" s="6" t="n"/>
      <c r="G54" s="6" t="n">
        <v>-24</v>
      </c>
    </row>
    <row r="55">
      <c r="A55" s="6" t="inlineStr">
        <is>
          <t>Fair value movements on available-for-sale assets</t>
        </is>
      </c>
      <c r="B55" s="6" t="n"/>
      <c r="C55" s="6" t="n"/>
      <c r="D55" s="6" t="n">
        <v>1.9</v>
      </c>
      <c r="E55" s="6" t="n"/>
      <c r="F55" s="6" t="n"/>
      <c r="G55" s="6" t="n">
        <v>1.9</v>
      </c>
    </row>
    <row r="56">
      <c r="A56" s="6" t="inlineStr">
        <is>
          <t>Tax on items taken directly to other comprehensive income</t>
        </is>
      </c>
      <c r="B56" s="6" t="n"/>
      <c r="C56" s="6" t="n"/>
      <c r="D56" s="6" t="n">
        <v>-0.5</v>
      </c>
      <c r="E56" s="6" t="n"/>
      <c r="F56" s="6" t="n"/>
      <c r="G56" s="6" t="n">
        <v>-0.5</v>
      </c>
    </row>
    <row r="57">
      <c r="A57" s="5" t="inlineStr">
        <is>
          <t>Total comprehensive income for the year (FY2017)</t>
        </is>
      </c>
      <c r="B57" s="5" t="n"/>
      <c r="C57" s="5" t="n"/>
      <c r="D57" s="5" t="n">
        <v>1.4</v>
      </c>
      <c r="E57" s="5" t="n">
        <v>-24</v>
      </c>
      <c r="F57" s="5" t="n"/>
      <c r="G57" s="5" t="n">
        <v>-22.6</v>
      </c>
    </row>
    <row r="58">
      <c r="A58" s="6" t="inlineStr">
        <is>
          <t>Share-based payment charge</t>
        </is>
      </c>
      <c r="B58" s="6" t="n"/>
      <c r="C58" s="6" t="n">
        <v>-0.6</v>
      </c>
      <c r="D58" s="6" t="n"/>
      <c r="E58" s="6" t="n"/>
      <c r="F58" s="6" t="n"/>
      <c r="G58" s="6" t="n">
        <v>-0.6</v>
      </c>
    </row>
    <row r="59">
      <c r="A59" s="6" t="inlineStr">
        <is>
          <t>Transfer of share-based payment reserve</t>
        </is>
      </c>
      <c r="B59" s="6" t="n"/>
      <c r="C59" s="6" t="n">
        <v>-3</v>
      </c>
      <c r="D59" s="6" t="n"/>
      <c r="E59" s="6" t="n">
        <v>3</v>
      </c>
      <c r="F59" s="6" t="n"/>
      <c r="G59" s="6" t="n">
        <v>0</v>
      </c>
    </row>
    <row r="60">
      <c r="A60" s="6" t="inlineStr">
        <is>
          <t>Dividends</t>
        </is>
      </c>
      <c r="B60" s="6" t="n"/>
      <c r="C60" s="6" t="n"/>
      <c r="D60" s="6" t="n"/>
      <c r="E60" s="6" t="n">
        <v>-67.3</v>
      </c>
      <c r="F60" s="6" t="n"/>
      <c r="G60" s="6" t="n">
        <v>-67.3</v>
      </c>
    </row>
    <row r="61">
      <c r="A61" s="5" t="inlineStr">
        <is>
          <t>At 31 December 2017 / At 1 January 2018</t>
        </is>
      </c>
      <c r="B61" s="5" t="n">
        <v>74.2</v>
      </c>
      <c r="C61" s="5" t="n">
        <v>2.5</v>
      </c>
      <c r="D61" s="5" t="n">
        <v>1.7</v>
      </c>
      <c r="E61" s="5" t="n">
        <v>210.9</v>
      </c>
      <c r="F61" s="5" t="n"/>
      <c r="G61" s="5" t="n">
        <v>289.3</v>
      </c>
    </row>
    <row r="62">
      <c r="A62" s="6" t="inlineStr">
        <is>
          <t>Impact of adoption of IFRS 9 'Financial instruments'</t>
        </is>
      </c>
      <c r="B62" s="6" t="n"/>
      <c r="C62" s="6" t="n"/>
      <c r="D62" s="6" t="n"/>
      <c r="E62" s="6" t="n">
        <v>-111.4</v>
      </c>
      <c r="F62" s="6" t="n"/>
      <c r="G62" s="6" t="n">
        <v>-111.4</v>
      </c>
    </row>
    <row r="63">
      <c r="A63" s="6" t="inlineStr">
        <is>
          <t>Profit for the year</t>
        </is>
      </c>
      <c r="B63" s="6" t="n"/>
      <c r="C63" s="6" t="n"/>
      <c r="D63" s="6" t="n"/>
      <c r="E63" s="6" t="n">
        <v>145.9</v>
      </c>
      <c r="F63" s="6" t="n"/>
      <c r="G63" s="6" t="n">
        <v>145.9</v>
      </c>
    </row>
    <row r="64">
      <c r="A64" s="6" t="inlineStr">
        <is>
          <t>Fair value movements on investments</t>
        </is>
      </c>
      <c r="B64" s="6" t="n"/>
      <c r="C64" s="6" t="n"/>
      <c r="D64" s="6" t="n">
        <v>2.2</v>
      </c>
      <c r="E64" s="6" t="n"/>
      <c r="F64" s="6" t="n"/>
      <c r="G64" s="6" t="n">
        <v>2.2</v>
      </c>
    </row>
    <row r="65">
      <c r="A65" s="6" t="inlineStr">
        <is>
          <t>Tax on items taken directly to other comprehensive income</t>
        </is>
      </c>
      <c r="B65" s="6" t="n"/>
      <c r="C65" s="6" t="n"/>
      <c r="D65" s="6" t="n">
        <v>-0.5</v>
      </c>
      <c r="E65" s="6" t="n"/>
      <c r="F65" s="6" t="n"/>
      <c r="G65" s="6" t="n">
        <v>-0.5</v>
      </c>
    </row>
    <row r="66">
      <c r="A66" s="5" t="inlineStr">
        <is>
          <t>Total comprehensive income for the year (FY2018)</t>
        </is>
      </c>
      <c r="B66" s="5" t="n"/>
      <c r="C66" s="5" t="n"/>
      <c r="D66" s="5" t="n">
        <v>1.7</v>
      </c>
      <c r="E66" s="5" t="n">
        <v>145.9</v>
      </c>
      <c r="F66" s="5" t="n"/>
      <c r="G66" s="5" t="n">
        <v>147.6</v>
      </c>
    </row>
    <row r="67">
      <c r="A67" s="6" t="inlineStr">
        <is>
          <t>Issue of share capital</t>
        </is>
      </c>
      <c r="B67" s="6" t="n">
        <v>50</v>
      </c>
      <c r="C67" s="6" t="n"/>
      <c r="D67" s="6" t="n"/>
      <c r="E67" s="6" t="n"/>
      <c r="F67" s="6" t="n"/>
      <c r="G67" s="6" t="n">
        <v>50</v>
      </c>
    </row>
    <row r="68">
      <c r="A68" s="6" t="inlineStr">
        <is>
          <t>Transfer of share-based payment reserve</t>
        </is>
      </c>
      <c r="B68" s="6" t="n"/>
      <c r="C68" s="6" t="n">
        <v>-0.7</v>
      </c>
      <c r="D68" s="6" t="n"/>
      <c r="E68" s="6" t="n">
        <v>0.7</v>
      </c>
      <c r="F68" s="6" t="n"/>
      <c r="G68" s="6" t="n">
        <v>0</v>
      </c>
    </row>
    <row r="69">
      <c r="A69" s="5" t="inlineStr">
        <is>
          <t>At 31 December 2018 (as originally reported in FY2018's own accounts)</t>
        </is>
      </c>
      <c r="B69" s="5" t="n">
        <v>124.2</v>
      </c>
      <c r="C69" s="5" t="n">
        <v>1.8</v>
      </c>
      <c r="D69" s="5" t="n">
        <v>3.4</v>
      </c>
      <c r="E69" s="5" t="n">
        <v>246</v>
      </c>
      <c r="F69" s="5" t="n"/>
      <c r="G69" s="5" t="n">
        <v>375.4</v>
      </c>
    </row>
    <row r="70">
      <c r="A70" s="6" t="inlineStr">
        <is>
          <t>Restatement of FY2018 comparative in FY2019's own accounts (prior year adjustment for directly attributable acquisition costs, net of other basis differences)</t>
        </is>
      </c>
      <c r="B70" s="6" t="n"/>
      <c r="C70" s="6" t="n"/>
      <c r="D70" s="6" t="n"/>
      <c r="E70" s="6" t="n">
        <v>16</v>
      </c>
      <c r="F70" s="6" t="n"/>
      <c r="G70" s="6" t="n">
        <v>16</v>
      </c>
    </row>
    <row r="71">
      <c r="A71" s="5" t="inlineStr">
        <is>
          <t>At 1 January 2019 (per FY2019's own restated comparative)</t>
        </is>
      </c>
      <c r="B71" s="5" t="n">
        <v>124.2</v>
      </c>
      <c r="C71" s="5" t="n">
        <v>1.8</v>
      </c>
      <c r="D71" s="5" t="n">
        <v>3.4</v>
      </c>
      <c r="E71" s="5" t="n">
        <v>262</v>
      </c>
      <c r="F71" s="5" t="n"/>
      <c r="G71" s="5" t="n">
        <v>391.4</v>
      </c>
    </row>
    <row r="72">
      <c r="A72" s="6" t="inlineStr">
        <is>
          <t>Impact of adoption of IFRS 16 'Leases'</t>
        </is>
      </c>
      <c r="B72" s="6" t="n"/>
      <c r="C72" s="6" t="n"/>
      <c r="D72" s="6" t="n"/>
      <c r="E72" s="6" t="n">
        <v>-2.6</v>
      </c>
      <c r="F72" s="6" t="n"/>
      <c r="G72" s="6" t="n">
        <v>-2.6</v>
      </c>
    </row>
    <row r="73">
      <c r="A73" s="6" t="inlineStr">
        <is>
          <t>Profit for the year</t>
        </is>
      </c>
      <c r="B73" s="6" t="n"/>
      <c r="C73" s="6" t="n"/>
      <c r="D73" s="6" t="n"/>
      <c r="E73" s="6" t="n">
        <v>138.6</v>
      </c>
      <c r="F73" s="6" t="n"/>
      <c r="G73" s="6" t="n">
        <v>138.6</v>
      </c>
    </row>
    <row r="74">
      <c r="A74" s="6" t="inlineStr">
        <is>
          <t>Fair value movements on investments</t>
        </is>
      </c>
      <c r="B74" s="6" t="n"/>
      <c r="C74" s="6" t="n"/>
      <c r="D74" s="6" t="n">
        <v>4.4</v>
      </c>
      <c r="E74" s="6" t="n"/>
      <c r="F74" s="6" t="n"/>
      <c r="G74" s="6" t="n">
        <v>4.4</v>
      </c>
    </row>
    <row r="75">
      <c r="A75" s="6" t="inlineStr">
        <is>
          <t>Tax on items taken directly to other comprehensive income</t>
        </is>
      </c>
      <c r="B75" s="6" t="n"/>
      <c r="C75" s="6" t="n"/>
      <c r="D75" s="6" t="n">
        <v>-1.1</v>
      </c>
      <c r="E75" s="6" t="n"/>
      <c r="F75" s="6" t="n"/>
      <c r="G75" s="6" t="n">
        <v>-1.1</v>
      </c>
    </row>
    <row r="76">
      <c r="A76" s="5" t="inlineStr">
        <is>
          <t>Total comprehensive income for the year (FY2019)</t>
        </is>
      </c>
      <c r="B76" s="5" t="n"/>
      <c r="C76" s="5" t="n"/>
      <c r="D76" s="5" t="n">
        <v>3.3</v>
      </c>
      <c r="E76" s="5" t="n">
        <v>138.6</v>
      </c>
      <c r="F76" s="5" t="n"/>
      <c r="G76" s="5" t="n">
        <v>141.9</v>
      </c>
    </row>
    <row r="77">
      <c r="A77" s="6" t="inlineStr">
        <is>
          <t>Share-based payment charge</t>
        </is>
      </c>
      <c r="B77" s="6" t="n"/>
      <c r="C77" s="6" t="n">
        <v>0.2</v>
      </c>
      <c r="D77" s="6" t="n"/>
      <c r="E77" s="6" t="n"/>
      <c r="F77" s="6" t="n"/>
      <c r="G77" s="6" t="n">
        <v>0.2</v>
      </c>
    </row>
    <row r="78">
      <c r="A78" s="6" t="inlineStr">
        <is>
          <t>Transfer of share-based payment reserve</t>
        </is>
      </c>
      <c r="B78" s="6" t="n"/>
      <c r="C78" s="6" t="n">
        <v>-0.2</v>
      </c>
      <c r="D78" s="6" t="n"/>
      <c r="E78" s="6" t="n">
        <v>0.2</v>
      </c>
      <c r="F78" s="6" t="n"/>
      <c r="G78" s="6" t="n">
        <v>0</v>
      </c>
    </row>
    <row r="79">
      <c r="A79" s="6" t="inlineStr">
        <is>
          <t>Dividends</t>
        </is>
      </c>
      <c r="B79" s="6" t="n"/>
      <c r="C79" s="6" t="n"/>
      <c r="D79" s="6" t="n"/>
      <c r="E79" s="6" t="n">
        <v>-139.8</v>
      </c>
      <c r="F79" s="6" t="n"/>
      <c r="G79" s="6" t="n">
        <v>-139.8</v>
      </c>
    </row>
    <row r="80">
      <c r="A80" s="5" t="inlineStr">
        <is>
          <t>At 31 December 2019 / At 1 January 2020</t>
        </is>
      </c>
      <c r="B80" s="5" t="n">
        <v>124.2</v>
      </c>
      <c r="C80" s="5" t="n">
        <v>1.8</v>
      </c>
      <c r="D80" s="5" t="n">
        <v>6.7</v>
      </c>
      <c r="E80" s="5" t="n">
        <v>258.4</v>
      </c>
      <c r="F80" s="5" t="n"/>
      <c r="G80" s="5" t="n">
        <v>391.1</v>
      </c>
    </row>
    <row r="81">
      <c r="A81" s="6" t="inlineStr">
        <is>
          <t>Profit for the year</t>
        </is>
      </c>
      <c r="B81" s="6" t="n"/>
      <c r="C81" s="6" t="n"/>
      <c r="D81" s="6" t="n"/>
      <c r="E81" s="6" t="n">
        <v>42.6</v>
      </c>
      <c r="F81" s="6" t="n"/>
      <c r="G81" s="6" t="n">
        <v>42.6</v>
      </c>
    </row>
    <row r="82">
      <c r="A82" s="6" t="inlineStr">
        <is>
          <t>Fair value movements on investments</t>
        </is>
      </c>
      <c r="B82" s="6" t="n"/>
      <c r="C82" s="6" t="n"/>
      <c r="D82" s="6" t="n">
        <v>3.8</v>
      </c>
      <c r="E82" s="6" t="n"/>
      <c r="F82" s="6" t="n"/>
      <c r="G82" s="6" t="n">
        <v>3.8</v>
      </c>
    </row>
    <row r="83">
      <c r="A83" s="6" t="inlineStr">
        <is>
          <t>Tax on items taken directly to other comprehensive income</t>
        </is>
      </c>
      <c r="B83" s="6" t="n"/>
      <c r="C83" s="6" t="n"/>
      <c r="D83" s="6" t="n">
        <v>-1.2</v>
      </c>
      <c r="E83" s="6" t="n"/>
      <c r="F83" s="6" t="n"/>
      <c r="G83" s="6" t="n">
        <v>-1.2</v>
      </c>
    </row>
    <row r="84">
      <c r="A84" s="5" t="inlineStr">
        <is>
          <t>Total comprehensive income for the year (FY2020)</t>
        </is>
      </c>
      <c r="B84" s="5" t="n"/>
      <c r="C84" s="5" t="n"/>
      <c r="D84" s="5" t="n">
        <v>2.6</v>
      </c>
      <c r="E84" s="5" t="n">
        <v>42.6</v>
      </c>
      <c r="F84" s="5" t="n"/>
      <c r="G84" s="5" t="n">
        <v>45.2</v>
      </c>
    </row>
    <row r="85">
      <c r="A85" s="6" t="inlineStr">
        <is>
          <t>Share-based payment charge</t>
        </is>
      </c>
      <c r="B85" s="6" t="n"/>
      <c r="C85" s="6" t="n">
        <v>0.8</v>
      </c>
      <c r="D85" s="6" t="n"/>
      <c r="E85" s="6" t="n"/>
      <c r="F85" s="6" t="n"/>
      <c r="G85" s="6" t="n">
        <v>0.8</v>
      </c>
    </row>
    <row r="86">
      <c r="A86" s="6" t="inlineStr">
        <is>
          <t>Transfer of cumulative gain on disposal of investment</t>
        </is>
      </c>
      <c r="B86" s="6" t="n"/>
      <c r="C86" s="6" t="n"/>
      <c r="D86" s="6" t="n">
        <v>-7.4</v>
      </c>
      <c r="E86" s="6" t="n">
        <v>7.4</v>
      </c>
      <c r="F86" s="6" t="n"/>
      <c r="G86" s="6" t="n">
        <v>0</v>
      </c>
    </row>
    <row r="87">
      <c r="A87" s="6" t="inlineStr">
        <is>
          <t>Transfer of tax on disposal of investment</t>
        </is>
      </c>
      <c r="B87" s="6" t="n"/>
      <c r="C87" s="6" t="n"/>
      <c r="D87" s="6" t="n">
        <v>2</v>
      </c>
      <c r="E87" s="6" t="n">
        <v>-2</v>
      </c>
      <c r="F87" s="6" t="n"/>
      <c r="G87" s="6" t="n">
        <v>0</v>
      </c>
    </row>
    <row r="88">
      <c r="A88" s="6" t="inlineStr">
        <is>
          <t>Transfer of share-based payment reserve</t>
        </is>
      </c>
      <c r="B88" s="6" t="n"/>
      <c r="C88" s="6" t="n">
        <v>-0.6</v>
      </c>
      <c r="D88" s="6" t="n"/>
      <c r="E88" s="6" t="n">
        <v>0.6</v>
      </c>
      <c r="F88" s="6" t="n"/>
      <c r="G88" s="6" t="n">
        <v>0</v>
      </c>
    </row>
    <row r="89">
      <c r="A89" s="6" t="inlineStr">
        <is>
          <t>Dividends</t>
        </is>
      </c>
      <c r="B89" s="6" t="n"/>
      <c r="C89" s="6" t="n"/>
      <c r="D89" s="6" t="n"/>
      <c r="E89" s="6" t="n">
        <v>-110</v>
      </c>
      <c r="F89" s="6" t="n"/>
      <c r="G89" s="6" t="n">
        <v>-110</v>
      </c>
    </row>
    <row r="90">
      <c r="A90" s="5" t="inlineStr">
        <is>
          <t>At 31 December 2020 / At 1 January 2021</t>
        </is>
      </c>
      <c r="B90" s="5" t="n">
        <v>124.2</v>
      </c>
      <c r="C90" s="5" t="n">
        <v>2</v>
      </c>
      <c r="D90" s="5" t="n">
        <v>3.9</v>
      </c>
      <c r="E90" s="5" t="n">
        <v>197</v>
      </c>
      <c r="F90" s="5" t="n"/>
      <c r="G90" s="5" t="n">
        <v>327.1</v>
      </c>
    </row>
    <row r="91">
      <c r="A91" s="6" t="inlineStr">
        <is>
          <t>Profit for the year</t>
        </is>
      </c>
      <c r="B91" s="6" t="n"/>
      <c r="C91" s="6" t="n"/>
      <c r="D91" s="6" t="n"/>
      <c r="E91" s="6" t="n">
        <v>146</v>
      </c>
      <c r="F91" s="6" t="n"/>
      <c r="G91" s="6" t="n">
        <v>146</v>
      </c>
    </row>
    <row r="92">
      <c r="A92" s="6" t="inlineStr">
        <is>
          <t>Fair value movements transferred to income statement</t>
        </is>
      </c>
      <c r="B92" s="6" t="n"/>
      <c r="C92" s="6" t="n"/>
      <c r="D92" s="6" t="n">
        <v>-5.3</v>
      </c>
      <c r="E92" s="6" t="n"/>
      <c r="F92" s="6" t="n"/>
      <c r="G92" s="6" t="n">
        <v>-5.3</v>
      </c>
    </row>
    <row r="93">
      <c r="A93" s="6" t="inlineStr">
        <is>
          <t>Tax on items taken directly to other comprehensive income</t>
        </is>
      </c>
      <c r="B93" s="6" t="n"/>
      <c r="C93" s="6" t="n"/>
      <c r="D93" s="6" t="n">
        <v>1.4</v>
      </c>
      <c r="E93" s="6" t="n"/>
      <c r="F93" s="6" t="n"/>
      <c r="G93" s="6" t="n">
        <v>1.4</v>
      </c>
    </row>
    <row r="94">
      <c r="A94" s="5" t="inlineStr">
        <is>
          <t>Total comprehensive income for the year (FY2021)</t>
        </is>
      </c>
      <c r="B94" s="5" t="n"/>
      <c r="C94" s="5" t="n"/>
      <c r="D94" s="5" t="n">
        <v>-3.9</v>
      </c>
      <c r="E94" s="5" t="n">
        <v>146</v>
      </c>
      <c r="F94" s="5" t="n"/>
      <c r="G94" s="5" t="n">
        <v>142.1</v>
      </c>
    </row>
    <row r="95">
      <c r="A95" s="6" t="inlineStr">
        <is>
          <t>Share-based payment charge</t>
        </is>
      </c>
      <c r="B95" s="6" t="n"/>
      <c r="C95" s="6" t="n">
        <v>1.1</v>
      </c>
      <c r="D95" s="6" t="n"/>
      <c r="E95" s="6" t="n"/>
      <c r="F95" s="6" t="n"/>
      <c r="G95" s="6" t="n">
        <v>1.1</v>
      </c>
    </row>
    <row r="96">
      <c r="A96" s="6" t="inlineStr">
        <is>
          <t>Transfer of share-based payment reserve</t>
        </is>
      </c>
      <c r="B96" s="6" t="n"/>
      <c r="C96" s="6" t="n">
        <v>-1.2</v>
      </c>
      <c r="D96" s="6" t="n"/>
      <c r="E96" s="6" t="n">
        <v>1.2</v>
      </c>
      <c r="F96" s="6" t="n"/>
      <c r="G96" s="6" t="n">
        <v>0</v>
      </c>
    </row>
    <row r="97">
      <c r="A97" s="6" t="inlineStr">
        <is>
          <t>Dividends</t>
        </is>
      </c>
      <c r="B97" s="6" t="n"/>
      <c r="C97" s="6" t="n"/>
      <c r="D97" s="6" t="n"/>
      <c r="E97" s="6" t="n">
        <v>-85</v>
      </c>
      <c r="F97" s="6" t="n"/>
      <c r="G97" s="6" t="n">
        <v>-85</v>
      </c>
    </row>
    <row r="98">
      <c r="A98" s="5" t="inlineStr">
        <is>
          <t>At 31 December 2021 / At 1 January 2022</t>
        </is>
      </c>
      <c r="B98" s="5" t="n">
        <v>124.2</v>
      </c>
      <c r="C98" s="5" t="n">
        <v>1.9</v>
      </c>
      <c r="D98" s="5" t="n">
        <v>0</v>
      </c>
      <c r="E98" s="5" t="n">
        <v>259.2</v>
      </c>
      <c r="F98" s="5" t="n"/>
      <c r="G98" s="5" t="n">
        <v>385.3</v>
      </c>
    </row>
    <row r="99">
      <c r="A99" s="6" t="inlineStr">
        <is>
          <t>Profit for the year</t>
        </is>
      </c>
      <c r="B99" s="6" t="n"/>
      <c r="C99" s="6" t="n"/>
      <c r="D99" s="6" t="n"/>
      <c r="E99" s="6" t="n">
        <v>93.8</v>
      </c>
      <c r="F99" s="6" t="n"/>
      <c r="G99" s="6" t="n">
        <v>93.8</v>
      </c>
    </row>
    <row r="100">
      <c r="A100" s="5" t="inlineStr">
        <is>
          <t>Total comprehensive income for the year (FY2022)</t>
        </is>
      </c>
      <c r="B100" s="5" t="n"/>
      <c r="C100" s="5" t="n"/>
      <c r="D100" s="5" t="n"/>
      <c r="E100" s="5" t="n">
        <v>93.8</v>
      </c>
      <c r="F100" s="5" t="n"/>
      <c r="G100" s="5" t="n">
        <v>93.8</v>
      </c>
    </row>
    <row r="101">
      <c r="A101" s="6" t="inlineStr">
        <is>
          <t>Share-based payment charge</t>
        </is>
      </c>
      <c r="B101" s="6" t="n"/>
      <c r="C101" s="6" t="n">
        <v>1</v>
      </c>
      <c r="D101" s="6" t="n"/>
      <c r="E101" s="6" t="n"/>
      <c r="F101" s="6" t="n"/>
      <c r="G101" s="6" t="n">
        <v>1</v>
      </c>
    </row>
    <row r="102">
      <c r="A102" s="6" t="inlineStr">
        <is>
          <t>Transfer of share-based payment reserve</t>
        </is>
      </c>
      <c r="B102" s="6" t="n"/>
      <c r="C102" s="6" t="n">
        <v>-0.6</v>
      </c>
      <c r="D102" s="6" t="n"/>
      <c r="E102" s="6" t="n">
        <v>0.6</v>
      </c>
      <c r="F102" s="6" t="n"/>
      <c r="G102" s="6" t="n">
        <v>0</v>
      </c>
    </row>
    <row r="103">
      <c r="A103" s="6" t="inlineStr">
        <is>
          <t>Dividends</t>
        </is>
      </c>
      <c r="B103" s="6" t="n"/>
      <c r="C103" s="6" t="n"/>
      <c r="D103" s="6" t="n"/>
      <c r="E103" s="6" t="n">
        <v>-95.09999999999999</v>
      </c>
      <c r="F103" s="6" t="n"/>
      <c r="G103" s="6" t="n">
        <v>-95.09999999999999</v>
      </c>
    </row>
    <row r="104">
      <c r="A104" s="5" t="inlineStr">
        <is>
          <t>At 31 December 2022 / At 1 January 2023</t>
        </is>
      </c>
      <c r="B104" s="5" t="n">
        <v>124.2</v>
      </c>
      <c r="C104" s="5" t="n">
        <v>2.3</v>
      </c>
      <c r="D104" s="5" t="n"/>
      <c r="E104" s="5" t="n">
        <v>258.5</v>
      </c>
      <c r="F104" s="5" t="n"/>
      <c r="G104" s="5" t="n">
        <v>385</v>
      </c>
    </row>
    <row r="105">
      <c r="A105" s="6" t="inlineStr">
        <is>
          <t>Profit for the year</t>
        </is>
      </c>
      <c r="B105" s="6" t="n"/>
      <c r="C105" s="6" t="n"/>
      <c r="D105" s="6" t="n"/>
      <c r="E105" s="6" t="n">
        <v>7.6</v>
      </c>
      <c r="F105" s="6" t="n"/>
      <c r="G105" s="6" t="n">
        <v>7.6</v>
      </c>
    </row>
    <row r="106">
      <c r="A106" s="5" t="inlineStr">
        <is>
          <t>Total comprehensive income for the year (FY2023)</t>
        </is>
      </c>
      <c r="B106" s="5" t="n"/>
      <c r="C106" s="5" t="n"/>
      <c r="D106" s="5" t="n"/>
      <c r="E106" s="5" t="n">
        <v>7.6</v>
      </c>
      <c r="F106" s="5" t="n"/>
      <c r="G106" s="5" t="n">
        <v>7.6</v>
      </c>
    </row>
    <row r="107">
      <c r="A107" s="6" t="inlineStr">
        <is>
          <t>Share-based payment charge</t>
        </is>
      </c>
      <c r="B107" s="6" t="n"/>
      <c r="C107" s="6" t="n">
        <v>1.1</v>
      </c>
      <c r="D107" s="6" t="n"/>
      <c r="E107" s="6" t="n"/>
      <c r="F107" s="6" t="n"/>
      <c r="G107" s="6" t="n">
        <v>1.1</v>
      </c>
    </row>
    <row r="108">
      <c r="A108" s="6" t="inlineStr">
        <is>
          <t>Transfer of share-based payment reserve</t>
        </is>
      </c>
      <c r="B108" s="6" t="n"/>
      <c r="C108" s="6" t="n">
        <v>-1.6</v>
      </c>
      <c r="D108" s="6" t="n"/>
      <c r="E108" s="6" t="n">
        <v>1.6</v>
      </c>
      <c r="F108" s="6" t="n"/>
      <c r="G108" s="6" t="n">
        <v>0</v>
      </c>
    </row>
    <row r="109">
      <c r="A109" s="5" t="inlineStr">
        <is>
          <t>At 31 December 2023 / At 1 January 2024</t>
        </is>
      </c>
      <c r="B109" s="5" t="n">
        <v>124.2</v>
      </c>
      <c r="C109" s="5" t="n">
        <v>1.8</v>
      </c>
      <c r="D109" s="5" t="n"/>
      <c r="E109" s="5" t="n">
        <v>267.7</v>
      </c>
      <c r="F109" s="5" t="n"/>
      <c r="G109" s="5" t="n">
        <v>393.7</v>
      </c>
    </row>
    <row r="110">
      <c r="A110" s="6" t="inlineStr">
        <is>
          <t>Profit for the year</t>
        </is>
      </c>
      <c r="B110" s="6" t="n"/>
      <c r="C110" s="6" t="n"/>
      <c r="D110" s="6" t="n"/>
      <c r="E110" s="6" t="n">
        <v>7.5</v>
      </c>
      <c r="F110" s="6" t="n"/>
      <c r="G110" s="6" t="n">
        <v>7.5</v>
      </c>
    </row>
    <row r="111">
      <c r="A111" s="5" t="inlineStr">
        <is>
          <t>Total comprehensive income for the year (FY2024)</t>
        </is>
      </c>
      <c r="B111" s="5" t="n"/>
      <c r="C111" s="5" t="n"/>
      <c r="D111" s="5" t="n"/>
      <c r="E111" s="5" t="n">
        <v>7.5</v>
      </c>
      <c r="F111" s="5" t="n"/>
      <c r="G111" s="5" t="n">
        <v>7.5</v>
      </c>
    </row>
    <row r="112">
      <c r="A112" s="6" t="inlineStr">
        <is>
          <t>Share-based payment charge</t>
        </is>
      </c>
      <c r="B112" s="6" t="n"/>
      <c r="C112" s="6" t="n">
        <v>0.5</v>
      </c>
      <c r="D112" s="6" t="n"/>
      <c r="E112" s="6" t="n"/>
      <c r="F112" s="6" t="n"/>
      <c r="G112" s="6" t="n">
        <v>0.5</v>
      </c>
    </row>
    <row r="113">
      <c r="A113" s="6" t="inlineStr">
        <is>
          <t>Transfer of share-based payment reserve</t>
        </is>
      </c>
      <c r="B113" s="6" t="n"/>
      <c r="C113" s="6" t="n">
        <v>-0.7</v>
      </c>
      <c r="D113" s="6" t="n"/>
      <c r="E113" s="6" t="n">
        <v>0.7</v>
      </c>
      <c r="F113" s="6" t="n"/>
      <c r="G113" s="6" t="n">
        <v>0</v>
      </c>
    </row>
    <row r="114">
      <c r="A114" s="6" t="inlineStr">
        <is>
          <t>Dividends</t>
        </is>
      </c>
      <c r="B114" s="6" t="n"/>
      <c r="C114" s="6" t="n"/>
      <c r="D114" s="6" t="n"/>
      <c r="E114" s="6" t="n">
        <v>-40</v>
      </c>
      <c r="F114" s="6" t="n"/>
      <c r="G114" s="6" t="n">
        <v>-40</v>
      </c>
    </row>
    <row r="115">
      <c r="A115" s="5" t="inlineStr">
        <is>
          <t>At 31 December 2024 / At 1 January 2025</t>
        </is>
      </c>
      <c r="B115" s="5" t="n">
        <v>124.2</v>
      </c>
      <c r="C115" s="5" t="n">
        <v>1.6</v>
      </c>
      <c r="D115" s="5" t="n"/>
      <c r="E115" s="5" t="n">
        <v>235.9</v>
      </c>
      <c r="F115" s="5" t="n"/>
      <c r="G115" s="5" t="n">
        <v>361.7</v>
      </c>
    </row>
    <row r="116">
      <c r="A116" s="6" t="inlineStr">
        <is>
          <t>Profit for the year</t>
        </is>
      </c>
      <c r="B116" s="6" t="n"/>
      <c r="C116" s="6" t="n"/>
      <c r="D116" s="6" t="n"/>
      <c r="E116" s="6" t="n">
        <v>35.7</v>
      </c>
      <c r="F116" s="6" t="n"/>
      <c r="G116" s="6" t="n">
        <v>35.7</v>
      </c>
    </row>
    <row r="117">
      <c r="A117" s="5" t="inlineStr">
        <is>
          <t>Total comprehensive income for the year (FY2025)</t>
        </is>
      </c>
      <c r="B117" s="5" t="n"/>
      <c r="C117" s="5" t="n"/>
      <c r="D117" s="5" t="n"/>
      <c r="E117" s="5" t="n">
        <v>35.7</v>
      </c>
      <c r="F117" s="5" t="n"/>
      <c r="G117" s="5" t="n">
        <v>35.7</v>
      </c>
    </row>
    <row r="118">
      <c r="A118" s="6" t="inlineStr">
        <is>
          <t>Share-based payment charge</t>
        </is>
      </c>
      <c r="B118" s="6" t="n"/>
      <c r="C118" s="6" t="n">
        <v>0.7</v>
      </c>
      <c r="D118" s="6" t="n"/>
      <c r="E118" s="6" t="n"/>
      <c r="F118" s="6" t="n"/>
      <c r="G118" s="6" t="n">
        <v>0.7</v>
      </c>
    </row>
    <row r="119">
      <c r="A119" s="6" t="inlineStr">
        <is>
          <t>Transfer of share-based payment reserve</t>
        </is>
      </c>
      <c r="B119" s="6" t="n"/>
      <c r="C119" s="6" t="n">
        <v>-0.6</v>
      </c>
      <c r="D119" s="6" t="n"/>
      <c r="E119" s="6" t="n">
        <v>0.6</v>
      </c>
      <c r="F119" s="6" t="n"/>
      <c r="G119" s="6" t="n">
        <v>0</v>
      </c>
    </row>
    <row r="120">
      <c r="A120" s="6" t="inlineStr">
        <is>
          <t>Issuance of other equity instruments</t>
        </is>
      </c>
      <c r="B120" s="6" t="n"/>
      <c r="C120" s="6" t="n"/>
      <c r="D120" s="6" t="n"/>
      <c r="E120" s="6" t="n"/>
      <c r="F120" s="6" t="n">
        <v>59.9</v>
      </c>
      <c r="G120" s="6" t="n">
        <v>59.9</v>
      </c>
    </row>
    <row r="121">
      <c r="A121" s="6" t="inlineStr">
        <is>
          <t>Dividends</t>
        </is>
      </c>
      <c r="B121" s="6" t="n"/>
      <c r="C121" s="6" t="n"/>
      <c r="D121" s="6" t="n"/>
      <c r="E121" s="6" t="n">
        <v>-20</v>
      </c>
      <c r="F121" s="6" t="n"/>
      <c r="G121" s="6" t="n">
        <v>-20</v>
      </c>
    </row>
    <row r="122">
      <c r="A122" s="5" t="inlineStr">
        <is>
          <t>At 31 December 2025</t>
        </is>
      </c>
      <c r="B122" s="5" t="n">
        <v>124.2</v>
      </c>
      <c r="C122" s="5" t="n">
        <v>1.7</v>
      </c>
      <c r="D122" s="5" t="n"/>
      <c r="E122" s="5" t="n">
        <v>252.2</v>
      </c>
      <c r="F122" s="5" t="n">
        <v>59.9</v>
      </c>
      <c r="G122" s="5" t="n">
        <v>438</v>
      </c>
    </row>
    <row r="124" ht="364" customHeight="1">
      <c r="A124" s="8" t="inlineStr">
        <is>
          <t>Sources - Vanquis Bank Limited's own (Company) Statement of Changes in Shareholder's Equity, £m:
FY2021 opening &amp; FY2021 movements: Annual Report and Financial Statements, year ended 31 December 2021, p.58 - https://www.vanquis.com/wp-content/uploads/2025/05/Vanquis_Bank_Ltd_31_12_2021_Signed.pdf
FY2022 &amp; FY2023 movements: Annual Report and Financial Statements, year ended 31 December 2023 (Companies House filing, 18 Apr 2024), p.32 - https://find-and-update.company-information.service.gov.uk/company/02558509/filing-history/MzQxNzkzNTkxNWFkaXF6a2N4/document?format=pdf&amp;download=0
FY2024 &amp; FY2025 movements: Annual Report and Financial Statements, year ended 31 December 2025, p.31 - https://www.vanquis.com/wp-content/uploads/2026/03/VBL-stats-2025-FINAL-Fully-Signed.pdf
FY2011-FY2013 movements: Annual Report and Financial Statements, years ended 31 December 2013/2012/2011 (Statement of Changes in Shareholders' Equity) - https://find-and-update.company-information.service.gov.uk/company/02558509/filing-history/MzA5OTg0MDE4NWFkaXF6a2N4/document?format=pdf&amp;download=0, https://find-and-update.company-information.service.gov.uk/company/02558509/filing-history/MzA3ODQwOTY4MWFkaXF6a2N4/document?format=pdf&amp;download=0, https://find-and-update.company-information.service.gov.uk/company/02558509/filing-history/MzA1NTU3NTQzNGFkaXF6a2N4/document?format=pdf&amp;download=0
FY2010 movements &amp; 1 January 2010 opening (UK GAAP basis): Annual Report and Financial Statements, year ended 31 December 2010, Note 19 'Reconciliation of movement in equity shareholders' funds' - https://find-and-update.company-information.service.gov.uk/company/02558509/filing-history/MzAzNTYxMDE0MGFkaXF6a2N4/document?format=pdf&amp;download=0
FY2010-FY2013 additions (HD-074): the 1 January 2010 UK GAAP opening balance and FY2010 movements are sourced from the FY2010 Annual Report's own Note 19, which discloses only a single net 'Net addition to equity shareholders' funds' figure (not broken down by movement type) - shown here as Profit for the year (per that year's own Profit and Loss Account) plus a single 'Other movement, net' residual for the small undisclosed remainder (£1.4m), rather than fabricating a more granular breakdown the source document does not provide. The 1 January 2011 IFRS-basis opening balance is instead the FY2011 Annual Report's own IFRS-restated comparative (Note 22, IFRS transition) - the 'IFRS1 transition adjustment' row above is the difference between the two, a genuine GAAP-to-IFRS transition adjustment (see Balance Sheet sheet note for the underlying component detail), shown explicitly rather than silently absorbed. FY2011-FY2013 movements are each fully itemised in their own Annual Report's own Statement of Changes in Shareholders' Equity - zero plug rows for those 3 years; every closing balance ties exactly to the next period's opening balance and to that year's own Balance Sheet Total equity.
Note: the Fair value reserve fully unwound during FY2021 (£3.9m to £0.0m) and does not appear as a column in any later report - shown as None (not applicable) from FY2022 onward rather than a fabricated zero row. 'Other equity instruments' (£59.9m AT1 issuance) is unique to FY2025. Zero undocumented plug rows: every movement category is individually sourced (including easy-to-skip items - the FY2021 fair value/tax-on-OCI movements and the FY2025 AT1 issuance) and each closing balance ties exactly to both the next period's opening balance and to that year's own Balance Sheet Total equity.
Balance Sheet, Profit &amp; Loss, Statement of Changes in Equity and Asset Quality are all on Vanquis Bank Limited's own entity-level (Company) basis, £m - the same basis as the existing Cash Flow Statement sheet (see that sheet's entity note for the wider Pillar 3 basis mismatch, which does not affect these 4 sheets).</t>
        </is>
      </c>
    </row>
  </sheetData>
  <mergeCells count="1">
    <mergeCell ref="A124:G1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Vanquis Bank Limited — Cash Flow Statement</t>
        </is>
      </c>
    </row>
    <row r="2">
      <c r="A2" s="2" t="inlineStr">
        <is>
          <t>Vanquis Bank Limited (Company) basis, £m. See source note at bottom re: basis mismatch with Pillar 3 sheets.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row>
    <row r="4">
      <c r="A4" s="5" t="inlineStr">
        <is>
          <t>Operating activities</t>
        </is>
      </c>
      <c r="B4" s="6" t="n"/>
      <c r="C4" s="6" t="n"/>
      <c r="D4" s="6" t="n"/>
      <c r="E4" s="6" t="n"/>
      <c r="F4" s="6" t="n"/>
      <c r="G4" s="6" t="n"/>
      <c r="H4" s="6" t="n"/>
      <c r="I4" s="6" t="n"/>
      <c r="J4" s="6" t="n"/>
      <c r="K4" s="6" t="n"/>
      <c r="L4" s="6" t="n"/>
      <c r="M4" s="6" t="n"/>
      <c r="N4" s="6" t="n"/>
      <c r="O4" s="6" t="n"/>
      <c r="P4" s="6" t="n"/>
    </row>
    <row r="5">
      <c r="A5" s="6" t="inlineStr">
        <is>
          <t>Cash (used in)/generated from operations</t>
        </is>
      </c>
      <c r="B5" s="6" t="n">
        <v>15.5</v>
      </c>
      <c r="C5" s="6" t="n">
        <v>460.8</v>
      </c>
      <c r="D5" s="6" t="n">
        <v>-494.1</v>
      </c>
      <c r="E5" s="6" t="n">
        <v>75.2</v>
      </c>
      <c r="F5" s="6" t="n">
        <v>212.9</v>
      </c>
      <c r="G5" s="6" t="n">
        <v>354.9</v>
      </c>
      <c r="H5" s="6" t="n">
        <v>210.5</v>
      </c>
      <c r="I5" s="6" t="n">
        <v>100.9</v>
      </c>
      <c r="J5" s="6" t="n">
        <v>58.2</v>
      </c>
      <c r="K5" s="6" t="n">
        <v>91.09999999999999</v>
      </c>
      <c r="L5" s="6" t="n">
        <v>97.3</v>
      </c>
      <c r="M5" s="6" t="n">
        <v>-46.4</v>
      </c>
      <c r="N5" s="6" t="n">
        <v>-74</v>
      </c>
      <c r="O5" s="6" t="n">
        <v>-95.2</v>
      </c>
      <c r="P5" s="6" t="n">
        <v>-23.2</v>
      </c>
    </row>
    <row r="6">
      <c r="A6" s="6" t="inlineStr">
        <is>
          <t>Funding costs paid</t>
        </is>
      </c>
      <c r="B6" s="6" t="n"/>
      <c r="C6" s="6" t="n"/>
      <c r="D6" s="6" t="n">
        <v>-33.8</v>
      </c>
      <c r="E6" s="6" t="n">
        <v>-10.9</v>
      </c>
      <c r="F6" s="6" t="n">
        <v>-25.9</v>
      </c>
      <c r="G6" s="6" t="n">
        <v>-35.5</v>
      </c>
      <c r="H6" s="6" t="n">
        <v>-34</v>
      </c>
      <c r="I6" s="6" t="n">
        <v>-36.1</v>
      </c>
      <c r="J6" s="6" t="n">
        <v>-36.4</v>
      </c>
      <c r="K6" s="6" t="n">
        <v>-43.4</v>
      </c>
      <c r="L6" s="6" t="n">
        <v>-43.2</v>
      </c>
      <c r="M6" s="6" t="n">
        <v>-40.4</v>
      </c>
      <c r="N6" s="6" t="n">
        <v>-32.8</v>
      </c>
      <c r="O6" s="6" t="n">
        <v>-26.7</v>
      </c>
      <c r="P6" s="6" t="n">
        <v>-23.4</v>
      </c>
    </row>
    <row r="7">
      <c r="A7" s="6" t="inlineStr">
        <is>
          <t>Tax paid</t>
        </is>
      </c>
      <c r="B7" s="6" t="n"/>
      <c r="C7" s="6" t="n"/>
      <c r="D7" s="6" t="n">
        <v>-6.1</v>
      </c>
      <c r="E7" s="6" t="n">
        <v>-13.4</v>
      </c>
      <c r="F7" s="6" t="n">
        <v>-6.1</v>
      </c>
      <c r="G7" s="6" t="n">
        <v>-25.5</v>
      </c>
      <c r="H7" s="6" t="n">
        <v>-22.5</v>
      </c>
      <c r="I7" s="6" t="n">
        <v>-25.4</v>
      </c>
      <c r="J7" s="6" t="n">
        <v>-45.7</v>
      </c>
      <c r="K7" s="6" t="n">
        <v>-47.5</v>
      </c>
      <c r="L7" s="6" t="n">
        <v>-30.1</v>
      </c>
      <c r="M7" s="6" t="n">
        <v>-28</v>
      </c>
      <c r="N7" s="6" t="n">
        <v>-22</v>
      </c>
      <c r="O7" s="6" t="n">
        <v>-15.2</v>
      </c>
      <c r="P7" s="6" t="n">
        <v>-8</v>
      </c>
    </row>
    <row r="8">
      <c r="A8" s="6" t="inlineStr">
        <is>
          <t>Tax received</t>
        </is>
      </c>
      <c r="B8" s="6" t="n">
        <v>4.1</v>
      </c>
      <c r="C8" s="6" t="n">
        <v>8.199999999999999</v>
      </c>
      <c r="D8" s="6" t="n"/>
      <c r="E8" s="6" t="n"/>
      <c r="F8" s="6" t="n"/>
      <c r="G8" s="6" t="n"/>
      <c r="H8" s="6" t="n"/>
      <c r="I8" s="6" t="n"/>
      <c r="J8" s="6" t="n"/>
      <c r="K8" s="6" t="n"/>
      <c r="L8" s="6" t="n"/>
      <c r="M8" s="6" t="n"/>
      <c r="N8" s="6" t="n"/>
      <c r="O8" s="6" t="n"/>
      <c r="P8" s="6" t="n"/>
    </row>
    <row r="9">
      <c r="A9" s="5" t="inlineStr">
        <is>
          <t>Net cash (used in)/generated from operating activities</t>
        </is>
      </c>
      <c r="B9" s="5" t="n">
        <v>19.6</v>
      </c>
      <c r="C9" s="5" t="n">
        <v>469</v>
      </c>
      <c r="D9" s="5" t="n">
        <v>-534</v>
      </c>
      <c r="E9" s="5" t="n">
        <v>50.9</v>
      </c>
      <c r="F9" s="5" t="n">
        <v>180.9</v>
      </c>
      <c r="G9" s="5" t="n">
        <v>293.9</v>
      </c>
      <c r="H9" s="5" t="n">
        <v>154</v>
      </c>
      <c r="I9" s="5" t="n">
        <v>39.4</v>
      </c>
      <c r="J9" s="5" t="n">
        <v>-23.9</v>
      </c>
      <c r="K9" s="5" t="n">
        <v>0.2</v>
      </c>
      <c r="L9" s="5" t="n">
        <v>24</v>
      </c>
      <c r="M9" s="5" t="n">
        <v>-114.8</v>
      </c>
      <c r="N9" s="5" t="n">
        <v>-128.8</v>
      </c>
      <c r="O9" s="5" t="n">
        <v>-137.1</v>
      </c>
      <c r="P9" s="5" t="n">
        <v>-54.6</v>
      </c>
    </row>
    <row r="10">
      <c r="A10" s="5" t="inlineStr">
        <is>
          <t>Investing activities</t>
        </is>
      </c>
      <c r="B10" s="6" t="n"/>
      <c r="C10" s="6" t="n"/>
      <c r="D10" s="6" t="n"/>
      <c r="E10" s="6" t="n"/>
      <c r="F10" s="6" t="n"/>
      <c r="G10" s="6" t="n"/>
      <c r="H10" s="6" t="n"/>
      <c r="I10" s="6" t="n"/>
      <c r="J10" s="6" t="n"/>
      <c r="K10" s="6" t="n"/>
      <c r="L10" s="6" t="n"/>
      <c r="M10" s="6" t="n"/>
      <c r="N10" s="6" t="n"/>
      <c r="O10" s="6" t="n"/>
      <c r="P10" s="6" t="n"/>
    </row>
    <row r="11">
      <c r="A11" s="6" t="inlineStr">
        <is>
          <t>Purchase of property and equipment</t>
        </is>
      </c>
      <c r="B11" s="6" t="n">
        <v>-1.4</v>
      </c>
      <c r="C11" s="6" t="n">
        <v>-1.2</v>
      </c>
      <c r="D11" s="6" t="n">
        <v>-1.9</v>
      </c>
      <c r="E11" s="6" t="n">
        <v>-2.5</v>
      </c>
      <c r="F11" s="6" t="n">
        <v>-0.7</v>
      </c>
      <c r="G11" s="6" t="n">
        <v>-5</v>
      </c>
      <c r="H11" s="6" t="n">
        <v>-2.7</v>
      </c>
      <c r="I11" s="6" t="n">
        <v>-0.6</v>
      </c>
      <c r="J11" s="6" t="n">
        <v>-1.3</v>
      </c>
      <c r="K11" s="6" t="n">
        <v>-2.4</v>
      </c>
      <c r="L11" s="6" t="n">
        <v>-1.2</v>
      </c>
      <c r="M11" s="6" t="n">
        <v>-5.6</v>
      </c>
      <c r="N11" s="6" t="n">
        <v>-1.8</v>
      </c>
      <c r="O11" s="6" t="n">
        <v>-1.1</v>
      </c>
      <c r="P11" s="6" t="n">
        <v>-1.3</v>
      </c>
    </row>
    <row r="12">
      <c r="A12" s="6" t="inlineStr">
        <is>
          <t>Purchase of intangible assets</t>
        </is>
      </c>
      <c r="B12" s="6" t="n">
        <v>-14.6</v>
      </c>
      <c r="C12" s="6" t="n">
        <v>-11.6</v>
      </c>
      <c r="D12" s="6" t="n">
        <v>-12.5</v>
      </c>
      <c r="E12" s="6" t="n">
        <v>-19.2</v>
      </c>
      <c r="F12" s="6" t="n">
        <v>-16.9</v>
      </c>
      <c r="G12" s="6" t="n">
        <v>-14.1</v>
      </c>
      <c r="H12" s="6" t="n">
        <v>-4.4</v>
      </c>
      <c r="I12" s="6" t="n">
        <v>-3.1</v>
      </c>
      <c r="J12" s="6" t="n">
        <v>-5.2</v>
      </c>
      <c r="K12" s="6" t="n">
        <v>-0.9</v>
      </c>
      <c r="L12" s="6" t="n">
        <v>-2.1</v>
      </c>
      <c r="M12" s="6" t="n">
        <v>-0.5</v>
      </c>
      <c r="N12" s="6" t="n">
        <v>-0.2</v>
      </c>
      <c r="O12" s="6" t="n">
        <v>-0.2</v>
      </c>
      <c r="P12" s="6" t="n">
        <v>-1.9</v>
      </c>
    </row>
    <row r="13">
      <c r="A13" s="6" t="inlineStr">
        <is>
          <t>Purchase of investment securities</t>
        </is>
      </c>
      <c r="B13" s="6" t="n">
        <v>-291.8</v>
      </c>
      <c r="C13" s="6" t="n"/>
      <c r="D13" s="6" t="n"/>
      <c r="E13" s="6" t="n"/>
      <c r="F13" s="6" t="n"/>
      <c r="G13" s="6" t="n"/>
      <c r="H13" s="6" t="n"/>
      <c r="I13" s="6" t="n">
        <v>-36.4</v>
      </c>
      <c r="J13" s="6" t="n">
        <v>-35.9</v>
      </c>
      <c r="K13" s="6" t="n"/>
      <c r="L13" s="6" t="n"/>
      <c r="M13" s="6" t="n"/>
      <c r="N13" s="6" t="n"/>
      <c r="O13" s="6" t="n"/>
      <c r="P13" s="6" t="n"/>
    </row>
    <row r="14">
      <c r="A14" s="6" t="inlineStr">
        <is>
          <t>Proceeds from maturity of investment securities</t>
        </is>
      </c>
      <c r="B14" s="6" t="n">
        <v>40</v>
      </c>
      <c r="C14" s="6" t="n"/>
      <c r="D14" s="6" t="n"/>
      <c r="E14" s="6" t="n"/>
      <c r="F14" s="6" t="n"/>
      <c r="G14" s="6" t="n"/>
      <c r="H14" s="6" t="n"/>
      <c r="I14" s="6" t="n"/>
      <c r="J14" s="6" t="n"/>
      <c r="K14" s="6" t="n"/>
      <c r="L14" s="6" t="n"/>
      <c r="M14" s="6" t="n"/>
      <c r="N14" s="6" t="n"/>
      <c r="O14" s="6" t="n"/>
      <c r="P14" s="6" t="n"/>
    </row>
    <row r="15">
      <c r="A15" s="6" t="inlineStr">
        <is>
          <t>Proceeds from sale of investments</t>
        </is>
      </c>
      <c r="B15" s="6" t="n"/>
      <c r="C15" s="6" t="n">
        <v>4.3</v>
      </c>
      <c r="D15" s="6" t="n">
        <v>6.4</v>
      </c>
      <c r="E15" s="6" t="n"/>
      <c r="F15" s="6" t="n"/>
      <c r="G15" s="6" t="n"/>
      <c r="H15" s="6" t="n">
        <v>35.8</v>
      </c>
      <c r="I15" s="6" t="n">
        <v>36.7</v>
      </c>
      <c r="J15" s="6" t="n"/>
      <c r="K15" s="6" t="n"/>
      <c r="L15" s="6" t="n"/>
      <c r="M15" s="6" t="n"/>
      <c r="N15" s="6" t="n"/>
      <c r="O15" s="6" t="n"/>
      <c r="P15" s="6" t="n"/>
    </row>
    <row r="16">
      <c r="A16" s="6" t="inlineStr">
        <is>
          <t>Proceeds from disposal of available-for-sale investment</t>
        </is>
      </c>
      <c r="B16" s="6" t="n"/>
      <c r="C16" s="6" t="n"/>
      <c r="D16" s="6" t="n"/>
      <c r="E16" s="6" t="n"/>
      <c r="F16" s="6" t="n"/>
      <c r="G16" s="6" t="n">
        <v>7.4</v>
      </c>
      <c r="H16" s="6" t="n"/>
      <c r="I16" s="6" t="n"/>
      <c r="J16" s="6" t="n"/>
      <c r="K16" s="6" t="n">
        <v>12.2</v>
      </c>
      <c r="L16" s="6" t="n"/>
      <c r="M16" s="6" t="n"/>
      <c r="N16" s="6" t="n"/>
      <c r="O16" s="6" t="n"/>
      <c r="P16" s="6" t="n"/>
    </row>
    <row r="17">
      <c r="A17" s="5" t="inlineStr">
        <is>
          <t>Net cash used in investing activities</t>
        </is>
      </c>
      <c r="B17" s="5" t="n">
        <v>-267.8</v>
      </c>
      <c r="C17" s="5" t="n">
        <v>-8.5</v>
      </c>
      <c r="D17" s="5" t="n">
        <v>-8</v>
      </c>
      <c r="E17" s="5" t="n">
        <v>-21.7</v>
      </c>
      <c r="F17" s="5" t="n">
        <v>-17.6</v>
      </c>
      <c r="G17" s="5" t="n">
        <v>-11.7</v>
      </c>
      <c r="H17" s="5" t="n">
        <v>28.7</v>
      </c>
      <c r="I17" s="5" t="n">
        <v>-3.4</v>
      </c>
      <c r="J17" s="5" t="n">
        <v>-42.4</v>
      </c>
      <c r="K17" s="5" t="n">
        <v>8.9</v>
      </c>
      <c r="L17" s="5" t="n">
        <v>-3.3</v>
      </c>
      <c r="M17" s="5" t="n">
        <v>-6.1</v>
      </c>
      <c r="N17" s="5" t="n">
        <v>-2</v>
      </c>
      <c r="O17" s="5" t="n">
        <v>-1.3</v>
      </c>
      <c r="P17" s="5" t="n">
        <v>-3.2</v>
      </c>
    </row>
    <row r="18">
      <c r="A18" s="5" t="inlineStr">
        <is>
          <t>Financing activities</t>
        </is>
      </c>
      <c r="B18" s="6" t="n"/>
      <c r="C18" s="6" t="n"/>
      <c r="D18" s="6" t="n"/>
      <c r="E18" s="6" t="n"/>
      <c r="F18" s="6" t="n"/>
      <c r="G18" s="6" t="n"/>
      <c r="H18" s="6" t="n"/>
      <c r="I18" s="6" t="n"/>
      <c r="J18" s="6" t="n"/>
      <c r="K18" s="6" t="n"/>
      <c r="L18" s="6" t="n"/>
      <c r="M18" s="6" t="n"/>
      <c r="N18" s="6" t="n"/>
      <c r="O18" s="6" t="n"/>
      <c r="P18" s="6" t="n"/>
    </row>
    <row r="19">
      <c r="A19" s="6" t="inlineStr">
        <is>
          <t>Payment/capital elements of lease liabilities</t>
        </is>
      </c>
      <c r="B19" s="6" t="n">
        <v>-6.8</v>
      </c>
      <c r="C19" s="6" t="n">
        <v>-5.5</v>
      </c>
      <c r="D19" s="6" t="n">
        <v>-6</v>
      </c>
      <c r="E19" s="6" t="n">
        <v>-6.1</v>
      </c>
      <c r="F19" s="6" t="n">
        <v>-6.1</v>
      </c>
      <c r="G19" s="6" t="n">
        <v>-6</v>
      </c>
      <c r="H19" s="6" t="n">
        <v>-4.8</v>
      </c>
      <c r="I19" s="6" t="n"/>
      <c r="J19" s="6" t="n"/>
      <c r="K19" s="6" t="n"/>
      <c r="L19" s="6" t="n"/>
      <c r="M19" s="6" t="n"/>
      <c r="N19" s="6" t="n"/>
      <c r="O19" s="6" t="n"/>
      <c r="P19" s="6" t="n"/>
    </row>
    <row r="20">
      <c r="A20" s="6" t="inlineStr">
        <is>
          <t>Financing of loan to related party</t>
        </is>
      </c>
      <c r="B20" s="6" t="n">
        <v>-163</v>
      </c>
      <c r="C20" s="6" t="n">
        <v>-140</v>
      </c>
      <c r="D20" s="6" t="n"/>
      <c r="E20" s="6" t="n"/>
      <c r="F20" s="6" t="n"/>
      <c r="G20" s="6" t="n"/>
      <c r="H20" s="6" t="n"/>
      <c r="I20" s="6" t="n"/>
      <c r="J20" s="6" t="n"/>
      <c r="K20" s="6" t="n"/>
      <c r="L20" s="6" t="n"/>
      <c r="M20" s="6" t="n"/>
      <c r="N20" s="6" t="n"/>
      <c r="O20" s="6" t="n"/>
      <c r="P20" s="6" t="n"/>
    </row>
    <row r="21">
      <c r="A21" s="6" t="inlineStr">
        <is>
          <t>Repayment of loan to related party</t>
        </is>
      </c>
      <c r="B21" s="6" t="n">
        <v>183.9</v>
      </c>
      <c r="C21" s="6" t="n">
        <v>158.9</v>
      </c>
      <c r="D21" s="6" t="n"/>
      <c r="E21" s="6" t="n"/>
      <c r="F21" s="6" t="n"/>
      <c r="G21" s="6" t="n"/>
      <c r="H21" s="6" t="n"/>
      <c r="I21" s="6" t="n"/>
      <c r="J21" s="6" t="n"/>
      <c r="K21" s="6" t="n"/>
      <c r="L21" s="6" t="n"/>
      <c r="M21" s="6" t="n"/>
      <c r="N21" s="6" t="n"/>
      <c r="O21" s="6" t="n"/>
      <c r="P21" s="6" t="n"/>
    </row>
    <row r="22">
      <c r="A22" s="6" t="inlineStr">
        <is>
          <t>Drawdown of loan from parent</t>
        </is>
      </c>
      <c r="B22" s="6" t="n"/>
      <c r="C22" s="6" t="n"/>
      <c r="D22" s="6" t="n"/>
      <c r="E22" s="6" t="n"/>
      <c r="F22" s="6" t="n"/>
      <c r="G22" s="6" t="n"/>
      <c r="H22" s="6" t="n"/>
      <c r="I22" s="6" t="n"/>
      <c r="J22" s="6" t="n"/>
      <c r="K22" s="6" t="n"/>
      <c r="L22" s="6" t="n"/>
      <c r="M22" s="6" t="n">
        <v>54.7</v>
      </c>
      <c r="N22" s="6" t="n">
        <v>87.40000000000001</v>
      </c>
      <c r="O22" s="6" t="n"/>
      <c r="P22" s="6" t="n"/>
    </row>
    <row r="23">
      <c r="A23" s="6" t="inlineStr">
        <is>
          <t>Repayment of loan from parent</t>
        </is>
      </c>
      <c r="B23" s="6" t="n"/>
      <c r="C23" s="6" t="n"/>
      <c r="D23" s="6" t="n"/>
      <c r="E23" s="6" t="n"/>
      <c r="F23" s="6" t="n"/>
      <c r="G23" s="6" t="n"/>
      <c r="H23" s="6" t="n"/>
      <c r="I23" s="6" t="n">
        <v>-74.5</v>
      </c>
      <c r="J23" s="6" t="n">
        <v>-158.2</v>
      </c>
      <c r="K23" s="6" t="n">
        <v>-50.3</v>
      </c>
      <c r="L23" s="6" t="n">
        <v>-63.8</v>
      </c>
      <c r="M23" s="6" t="n"/>
      <c r="N23" s="6" t="n"/>
      <c r="O23" s="6" t="n">
        <v>-6.3</v>
      </c>
      <c r="P23" s="6" t="n">
        <v>-70</v>
      </c>
    </row>
    <row r="24">
      <c r="A24" s="6" t="inlineStr">
        <is>
          <t>Proceeds from retail deposits (FY2011-FY2013 presentation)</t>
        </is>
      </c>
      <c r="B24" s="6" t="n"/>
      <c r="C24" s="6" t="n"/>
      <c r="D24" s="6" t="n"/>
      <c r="E24" s="6" t="n"/>
      <c r="F24" s="6" t="n"/>
      <c r="G24" s="6" t="n"/>
      <c r="H24" s="6" t="n"/>
      <c r="I24" s="6" t="n"/>
      <c r="J24" s="6" t="n"/>
      <c r="K24" s="6" t="n"/>
      <c r="L24" s="6" t="n"/>
      <c r="M24" s="6" t="n"/>
      <c r="N24" s="6" t="n">
        <v>107.7</v>
      </c>
      <c r="O24" s="6" t="n">
        <v>187.7</v>
      </c>
      <c r="P24" s="6" t="n">
        <v>139.7</v>
      </c>
    </row>
    <row r="25">
      <c r="A25" s="6" t="inlineStr">
        <is>
          <t>Proceeds from issue of share capital</t>
        </is>
      </c>
      <c r="B25" s="6" t="n"/>
      <c r="C25" s="6" t="n"/>
      <c r="D25" s="6" t="n"/>
      <c r="E25" s="6" t="n"/>
      <c r="F25" s="6" t="n"/>
      <c r="G25" s="6" t="n"/>
      <c r="H25" s="6" t="n"/>
      <c r="I25" s="6" t="n">
        <v>50</v>
      </c>
      <c r="J25" s="6" t="n"/>
      <c r="K25" s="6" t="n"/>
      <c r="L25" s="6" t="n"/>
      <c r="M25" s="6" t="n"/>
      <c r="N25" s="6" t="n"/>
      <c r="O25" s="6" t="n"/>
      <c r="P25" s="6" t="n"/>
    </row>
    <row r="26">
      <c r="A26" s="6" t="inlineStr">
        <is>
          <t>Proceeds from borrowings</t>
        </is>
      </c>
      <c r="B26" s="6" t="n"/>
      <c r="C26" s="6" t="n">
        <v>5</v>
      </c>
      <c r="D26" s="6" t="n">
        <v>1100</v>
      </c>
      <c r="E26" s="6" t="n">
        <v>330</v>
      </c>
      <c r="F26" s="6" t="n">
        <v>295.8</v>
      </c>
      <c r="G26" s="6" t="n">
        <v>680.8</v>
      </c>
      <c r="H26" s="6" t="n">
        <v>125.1</v>
      </c>
      <c r="I26" s="6" t="n">
        <v>352.2</v>
      </c>
      <c r="J26" s="6" t="n">
        <v>472.5</v>
      </c>
      <c r="K26" s="6" t="n">
        <v>331.8</v>
      </c>
      <c r="L26" s="6" t="n">
        <v>239.1</v>
      </c>
      <c r="M26" s="6" t="n">
        <v>217.3</v>
      </c>
      <c r="N26" s="6" t="n"/>
      <c r="O26" s="6" t="n"/>
      <c r="P26" s="6" t="n"/>
    </row>
    <row r="27">
      <c r="A27" s="6" t="inlineStr">
        <is>
          <t>Repayment of borrowings</t>
        </is>
      </c>
      <c r="B27" s="6" t="n">
        <v>-5</v>
      </c>
      <c r="C27" s="6" t="n">
        <v>-174</v>
      </c>
      <c r="D27" s="6" t="n">
        <v>-284.8</v>
      </c>
      <c r="E27" s="6" t="n">
        <v>-258.4</v>
      </c>
      <c r="F27" s="6" t="n">
        <v>-788.2</v>
      </c>
      <c r="G27" s="6" t="n">
        <v>-338.6</v>
      </c>
      <c r="H27" s="6" t="n">
        <v>-211.6</v>
      </c>
      <c r="I27" s="6" t="n">
        <v>-221.6</v>
      </c>
      <c r="J27" s="6" t="n">
        <v>-121.9</v>
      </c>
      <c r="K27" s="6" t="n">
        <v>-121.6</v>
      </c>
      <c r="L27" s="6" t="n">
        <v>-88.40000000000001</v>
      </c>
      <c r="M27" s="6" t="n">
        <v>-72.09999999999999</v>
      </c>
      <c r="N27" s="6" t="n"/>
      <c r="O27" s="6" t="n"/>
      <c r="P27" s="6" t="n"/>
    </row>
    <row r="28">
      <c r="A28" s="6" t="inlineStr">
        <is>
          <t>Proceeds of issuance of other equity instruments</t>
        </is>
      </c>
      <c r="B28" s="6" t="n">
        <v>59.9</v>
      </c>
      <c r="C28" s="6" t="n"/>
      <c r="D28" s="6" t="n"/>
      <c r="E28" s="6" t="n"/>
      <c r="F28" s="6" t="n"/>
      <c r="G28" s="6" t="n"/>
      <c r="H28" s="6" t="n"/>
      <c r="I28" s="6" t="n"/>
      <c r="J28" s="6" t="n"/>
      <c r="K28" s="6" t="n"/>
      <c r="L28" s="6" t="n"/>
      <c r="M28" s="6" t="n"/>
      <c r="N28" s="6" t="n"/>
      <c r="O28" s="6" t="n"/>
      <c r="P28" s="6" t="n"/>
    </row>
    <row r="29">
      <c r="A29" s="6" t="inlineStr">
        <is>
          <t>Dividends paid to company shareholder</t>
        </is>
      </c>
      <c r="B29" s="6" t="n">
        <v>-20</v>
      </c>
      <c r="C29" s="6" t="n">
        <v>-40</v>
      </c>
      <c r="D29" s="6" t="n"/>
      <c r="E29" s="6" t="n">
        <v>-95.09999999999999</v>
      </c>
      <c r="F29" s="6" t="n">
        <v>-85</v>
      </c>
      <c r="G29" s="6" t="n">
        <v>-110</v>
      </c>
      <c r="H29" s="6" t="n">
        <v>-139.8</v>
      </c>
      <c r="I29" s="6" t="n"/>
      <c r="J29" s="6" t="n">
        <v>-67.3</v>
      </c>
      <c r="K29" s="6" t="n">
        <v>-134</v>
      </c>
      <c r="L29" s="6" t="n">
        <v>-98.3</v>
      </c>
      <c r="M29" s="6" t="n">
        <v>-42.5</v>
      </c>
      <c r="N29" s="6" t="n">
        <v>-30</v>
      </c>
      <c r="O29" s="6" t="n">
        <v>-5</v>
      </c>
      <c r="P29" s="6" t="n">
        <v>-5</v>
      </c>
    </row>
    <row r="30">
      <c r="A30" s="5" t="inlineStr">
        <is>
          <t>Net cash generated/(used in) financing activities</t>
        </is>
      </c>
      <c r="B30" s="5" t="n">
        <v>49</v>
      </c>
      <c r="C30" s="5" t="n">
        <v>-195.6</v>
      </c>
      <c r="D30" s="5" t="n">
        <v>809.1</v>
      </c>
      <c r="E30" s="5" t="n">
        <v>-29.6</v>
      </c>
      <c r="F30" s="5" t="n">
        <v>-583.5</v>
      </c>
      <c r="G30" s="5" t="n">
        <v>226.2</v>
      </c>
      <c r="H30" s="5" t="n">
        <v>-231.1</v>
      </c>
      <c r="I30" s="5" t="n">
        <v>106.1</v>
      </c>
      <c r="J30" s="5" t="n">
        <v>125.1</v>
      </c>
      <c r="K30" s="5" t="n">
        <v>25.9</v>
      </c>
      <c r="L30" s="5" t="n">
        <v>-11.4</v>
      </c>
      <c r="M30" s="5" t="n">
        <v>157.4</v>
      </c>
      <c r="N30" s="5" t="n">
        <v>165.1</v>
      </c>
      <c r="O30" s="5" t="n">
        <v>176.4</v>
      </c>
      <c r="P30" s="5" t="n">
        <v>64.7</v>
      </c>
    </row>
    <row r="31">
      <c r="A31" s="5" t="inlineStr">
        <is>
          <t>Net (decrease)/increase in cash and cash equivalents</t>
        </is>
      </c>
      <c r="B31" s="5" t="n">
        <v>-199.2</v>
      </c>
      <c r="C31" s="5" t="n">
        <v>264.9</v>
      </c>
      <c r="D31" s="5" t="n">
        <v>267.1</v>
      </c>
      <c r="E31" s="5" t="n">
        <v>-0.4</v>
      </c>
      <c r="F31" s="5" t="n">
        <v>-420.2</v>
      </c>
      <c r="G31" s="5" t="n">
        <v>508.4</v>
      </c>
      <c r="H31" s="5" t="n">
        <v>-48.4</v>
      </c>
      <c r="I31" s="5" t="n">
        <v>142.1</v>
      </c>
      <c r="J31" s="5" t="n">
        <v>58.8</v>
      </c>
      <c r="K31" s="5" t="n">
        <v>35</v>
      </c>
      <c r="L31" s="5" t="n">
        <v>9.300000000000001</v>
      </c>
      <c r="M31" s="5" t="n">
        <v>36.5</v>
      </c>
      <c r="N31" s="5" t="n">
        <v>34.3</v>
      </c>
      <c r="O31" s="5" t="n">
        <v>38</v>
      </c>
      <c r="P31" s="5" t="n">
        <v>6.9</v>
      </c>
    </row>
    <row r="32">
      <c r="A32" s="6" t="inlineStr">
        <is>
          <t>Cash and cash equivalents at beginning of year</t>
        </is>
      </c>
      <c r="B32" s="6" t="n">
        <v>945</v>
      </c>
      <c r="C32" s="6" t="n">
        <v>680.1</v>
      </c>
      <c r="D32" s="6" t="n">
        <v>413</v>
      </c>
      <c r="E32" s="6" t="n">
        <v>413.4</v>
      </c>
      <c r="F32" s="6" t="n">
        <v>833.6</v>
      </c>
      <c r="G32" s="6" t="n">
        <v>325.2</v>
      </c>
      <c r="H32" s="6" t="n">
        <v>373.6</v>
      </c>
      <c r="I32" s="6" t="n">
        <v>231.5</v>
      </c>
      <c r="J32" s="6" t="n">
        <v>172.7</v>
      </c>
      <c r="K32" s="6" t="n">
        <v>137.7</v>
      </c>
      <c r="L32" s="6" t="n">
        <v>128.4</v>
      </c>
      <c r="M32" s="6" t="n">
        <v>91.90000000000001</v>
      </c>
      <c r="N32" s="6" t="n">
        <v>57.6</v>
      </c>
      <c r="O32" s="6" t="n">
        <v>19.6</v>
      </c>
      <c r="P32" s="6" t="n">
        <v>12.7</v>
      </c>
    </row>
    <row r="33">
      <c r="A33" s="5" t="inlineStr">
        <is>
          <t>Cash and cash equivalents at end of year</t>
        </is>
      </c>
      <c r="B33" s="5" t="n">
        <v>745.8</v>
      </c>
      <c r="C33" s="5" t="n">
        <v>945</v>
      </c>
      <c r="D33" s="5" t="n">
        <v>680.1</v>
      </c>
      <c r="E33" s="5" t="n">
        <v>413</v>
      </c>
      <c r="F33" s="5" t="n">
        <v>413.4</v>
      </c>
      <c r="G33" s="5" t="n">
        <v>833.6</v>
      </c>
      <c r="H33" s="5" t="n">
        <v>325.2</v>
      </c>
      <c r="I33" s="5" t="n">
        <v>373.6</v>
      </c>
      <c r="J33" s="5" t="n">
        <v>231.5</v>
      </c>
      <c r="K33" s="5" t="n">
        <v>172.7</v>
      </c>
      <c r="L33" s="5" t="n">
        <v>137.7</v>
      </c>
      <c r="M33" s="5" t="n">
        <v>128.4</v>
      </c>
      <c r="N33" s="5" t="n">
        <v>91.90000000000001</v>
      </c>
      <c r="O33" s="5" t="n">
        <v>57.6</v>
      </c>
      <c r="P33" s="5" t="n">
        <v>19.6</v>
      </c>
    </row>
    <row r="35" ht="286" customHeight="1">
      <c r="A35" s="8" t="inlineStr">
        <is>
          <t>Sources - all figures are Vanquis Bank Limited's own (Company) Statement of Cash Flows, £m:
FY2025 &amp; FY2024: Vanquis Bank Limited Annual Report and Financial Statements, year ended 31 December 2025, p.32 (Statement of Cash Flows; FY2024 restated - see Note 30) - https://www.vanquis.com/wp-content/uploads/2026/03/VBL-stats-2025-FINAL-Fully-Signed.pdf
FY2023 &amp; FY2022: Vanquis Bank Limited Annual Report and Financial Statements, year ended 31 December 2023 (Companies House filing, 18 Apr 2024), p.34 (Statement of Cash Flows; FY2022 reclassified between borrowings proceeds/repayments - see note 1 on that statement) - https://find-and-update.company-information.service.gov.uk/company/02558509/filing-history/MzQxNzkzNTkxNWFkaXF6a2N4/document?format=pdf&amp;download=0
FY2021: Vanquis Bank Limited Annual Report and Financial Statements, year ended 31 December 2021, p.59 (Statement of Cash Flows) - https://www.vanquis.com/wp-content/uploads/2025/05/Vanquis_Bank_Ltd_31_12_2021_Signed.pdf
FY2020 &amp; FY2019: Annual Report and Financial Statements, year ended 31 December 2020, p.56 (Statement of Cash Flows) - https://find-and-update.company-information.service.gov.uk/company/02558509/filing-history/MzMxMjg4NDQzM2FkaXF6a2N4/document?format=pdf&amp;download=0
FY2018 &amp; FY2017: Annual Report and Financial Statements, year ended 31 December 2018, p.18 (Statement of Cash Flows) - https://find-and-update.company-information.service.gov.uk/company/02558509/filing-history/MzIzMTgyMDcyOGFkaXF6a2N4/document?format=pdf&amp;download=0
FY2016 &amp; FY2015: Annual Report and Financial Statements, year ended 31 December 2016, p.10 (Statement of Cash Flows) - https://find-and-update.company-information.service.gov.uk/company/02558509/filing-history/MzE3Mjg3NDA2OGFkaXF6a2N4/document?format=pdf&amp;download=0
FY2014: Annual Report and Financial Statements, year ended 31 December 2014, p.11 (Statement of Cash Flows) - https://find-and-update.company-information.service.gov.uk/company/02558509/filing-history/MzEzMzA5NjUxM2FkaXF6a2N4/document?format=pdf&amp;download=0
FY2013: Annual Report and Financial Statements, year ended 31 December 2013, p.11 - https://find-and-update.company-information.service.gov.uk/company/02558509/filing-history/MzA5OTg0MDE4NWFkaXF6a2N4/document?format=pdf&amp;download=0
FY2012: Annual Report and Financial Statements, year ended 31 December 2012, p.9 - https://find-and-update.company-information.service.gov.uk/company/02558509/filing-history/MzA3ODQwOTY4MWFkaXF6a2N4/document?format=pdf&amp;download=0
FY2011: Annual Report and Financial Statements, year ended 31 December 2011, p.9 - https://find-and-update.company-information.service.gov.uk/company/02558509/filing-history/MzA1NTU3NTQzNGFkaXF6a2N4/document?format=pdf&amp;download=0
FY2010: no Statement of Cash Flows exists - see HD074_NOTE below (a genuine FRS 1 exemption, not a missed document).
Note: presentation changed between report vintages - FY2021-FY2023 show 'Funding costs paid'/'Tax paid' as separate operating-activities lines and no loan-to-related-party financing lines; FY2024-FY2025 show 'Tax received'/no separate funding-costs line, and add 'Financing of loan to related party'/'Repayment of loan to related party' lines - each year's own as-reported presentation is preserved rather than forced into a common shape. Section totals and cash/cash equivalents figures are consistent and comparable across all 5 years (each year's opening balance matches the prior year's closing balance exactly). Note: FY2023's financing-activities line items sum to £809.2m against a printed 'Net cash generated from financing activities' total of £809.1m - an immaterial £0.1m artefact of each line being independently rounded to one decimal place in the source document itself (not a transcription error here); the printed total (£809.1m, used above) is the figure consistent with the overall net-change-in-cash reconciliation. FY2014-FY2020: 'Drawdown of loan from parent undertaking'/'Repayment of loan from parent undertaking' (FY2014-FY2017) and 'Proceeds from/repayment of borrowings' are each year's own as-reported financing-activity lines; FY2018-FY2020's own comparative columns for the immediately preceding year occasionally restate the prior year's own borrowings split (e.g. FY2018's own FY2017 comparative shows Proceeds from borrowings £455.2m/Repayment £104.1m vs FY2017's own report showing £472.5m/£121.9m) - each year's OWN as-originally-published figure is used for that year's column, per this project's usual convention, not the later restated comparative.
ENTITY NOTE: Vanquis Bank Limited (company number 02558509, FRN 221156) is the PRA-authorised entity and the principal banking subsidiary of the listed Vanquis Banking Group plc (renamed from Provident Financial plc in 2021 - the Bank's own name has not changed). The Cash Flow Statement sheet is on Vanquis Bank Limited's own entity-level (Company) basis. Pillar 3 disclosures, however, are published ONLY at the wider Vanquis Banking Group plc consolidated level - the Group's Pillar 3 Disclosure Policy states explicitly that disclosures 'cover the Group as a whole' with no separate Bank-only breakout (unlike some other banks in this workbook series, e.g. Clydesdale, where a dedicated Bank-level Pillar 3 appendix exists). On 31 December 2024 the Group's two principal trading entities were Vanquis Bank Limited (the Bank) and Moneybarn No.1 Limited (a non-bank vehicle finance lender) - so every Pillar 3 sheet in this workbook is on a basis that includes Moneybarn as well as the Bank, and is NOT directly comparable to the Bank-only Cash Flow Statement sheet. This is a structural limitation of what Vanquis publicly discloses, not a choice made in compiling this workbook.</t>
        </is>
      </c>
    </row>
    <row r="37" ht="338" customHeight="1">
      <c r="A37" s="8" t="inlineStr">
        <is>
          <t>(continued)
NO FY2020/FY2021 BOUNDARY - A TRAP RECORDED SO IT IS NOT RE-INTRODUCED (entity-basis sweep, 2026-09-16). The Vanquis Bank Limited Annual Report and Financial Statements 2021 contains the sentence 'As a result, with effect from 31 December 2020 the Company's individual disclosures have been aggregated into the consolidated Group Pillar 3 disclosures, which can be found on the Group's corporate website (www.providentfinancial.com)' (https://www.vanquis.com/wp-content/uploads/2025/05/Vanquis_Bank_Ltd_31_12_2021_Signed.pdf). Read in isolation that looks like proof that a Vanquis-Bank-level Pillar 3 existed up to FY2020 and then ceased. IT IS NOT. The sentence sits inside the Remuneration Committee paragraph and its subject is the CRD V REMUNERATION CODE annual disclosure statement, not the capital Pillar 3 - the two preceding sentences read 'Until 31 December 2019, the Company was required as part of the code to publish an annual disclosure statement on an individual basis, versions of which up to and including the 31 December 2019 disclosures can be found on the Company's website (www.vanquis.co.uk). Following the application of the CRD V Remuneration Code on the Group on a consolidated basis, the contents of the remuneration disclosure are required to reflect the policy and aggregated remuneration on a consolidated Group basis.' Corroboration: every 'individual' Pillar III document the Bank ever self-published on vanquis.co.uk is a Remuneration Code disclosure (2010, 2011, 2012, 2016, 2017 and 2018 editions survive in the Wayback Machine, e.g. https://web.archive.org/web/20190923204636id_/https://www.vanquis.co.uk/media/1394744/crr-2018-remuneration-code-pillar-iii-disclosure-final-min.pdf) - never a capital/RWA/leverage Pillar 3 - that 2018 edition's cover reads 'Vanquis Bank Limited / Capital Requirements Regulation (CRR) Pillar III &amp; 2018 Remuneration Code Disclosure' and both its pages are wholly about the Remuneration Committee. DEAD SOURCE URL (recorded 2026-09-16, nothing deleted): the originally published address of that 2018 disclosure was https://www.vanquis.co.uk/media/1394744/crr-2018-remuneration-code-pillar-iii-disclosure-final-min.pdf, which now 301-redirects to the vanquis.com homepage rather than serving the document; the Wayback Machine snapshot cited above is the only working form and returns the original bytes. The same 2021 Annual Report gives the real position in its financial and capital risk management section: 'the Group, consistent with other regulated financial institutions, is required to make annual Pillar 3 disclosures... The Group's full Pillar 3 disclosures can be found on the Group's website.' Every Provident Financial plc / Vanquis Banking Group plc Pillar 3 edition cited by this workbook (FY2014 through FY2025) was read end to end for this check and NONE contains a Vanquis Bank Limited solo or sub-consolidated capital section; e.g. the FY2017 edition's section 4.5 heads its capital table 'The CET1 and total capital ratios, as at 31 December, for the group are as follows', and the FY2021 edition's Table 1 and Appendix 1 Table 22 are both Group. The only entity-named figures in these documents are SEGMENTAL rows (e.g. the FY2021 edition's 'Vanquis Bank 1,091.5 / 836.6 / 66.9' exposure line), which are presented before consolidation adjustments and are not the Bank's statutory or regulatory figures either - they are not used here. CONCLUSION: the Pillar 3 sheets are uniformly Group-basis across ALL of FY2014-FY2025. Do not carve FY2021 onward out as 'not applicable' while leaving FY2014-FY2020 populated; there is no disclosure event at that boundary.
The Company sold its Personal Loans portfolio in March 2025, presented as a discontinued operation under IFRS 5 in the FY2025 Annual Report - this is the main driver of FY2025's much lower operating cash flow (£19.6m) and investing outflow (net purchases of investment securities) versus FY2024 (Annual Report and Financial Statements, year ended 31 December 2025, Note 2) - https://www.vanquis.com/wp-content/uploads/2026/03/VBL-stats-2025-FINAL-Fully-Signed.pdf.
HISTORICAL NOTE (FY2014-FY2020, added under HD-050): sourced from Vanquis Bank Limited's own Companies House filing history (scanned Annual Report and Financial Statements PDFs, no text layer - transcribed via OCR then cross-checked against each year's own comparative column) and from Provident Financial plc's own Pillar 3 Disclosures (Provident Financial plc is the same continuous listed entity later renamed Vanquis Banking Group plc in 2021 - see entity note above). Extension capped at FY2014 project-wide per the historical-depth map's 2026-09-05 decision, even though this bank's own archive goes back further (HD-004 found signal to FY2010).
HISTORICAL-DEPTH NOTE (HD-074, added 2026-09-07): extends Balance Sheet, Profit &amp; Loss, Statement of Changes in Equity and Cash Flow Statement back to FY2010, this entity's real statutory floor (HD-004) - Pillar 3, Asset Quality and RWA Breakdown remain capped at FY2014 (see HISTORICAL_NOTE) as a deliberate project-wide scope decision, not a sourcing gap. FY2011-FY2013 are Vanquis Bank Limited's own IFRS-basis Annual Report and Financial Statements (Companies House filings, scanned/OCR'd, no text layer) - FY2013: https://find-and-update.company-information.service.gov.uk/company/02558509/filing-history/MzA5OTg0MDE4NWFkaXF6a2N4/document?format=pdf&amp;download=0; FY2012: https://find-and-update.company-information.service.gov.uk/company/02558509/filing-history/MzA3ODQwOTY4MWFkaXF6a2N4/document?format=pdf&amp;download=0; FY2011: https://find-and-update.company-information.service.gov.uk/company/02558509/filing-history/MzA1NTU3NTQzNGFkaXF6a2N4/document?format=pdf&amp;download=0. FY2010's own contemporaneous Annual Report and Financial Statements (Companies House filing, scanned/OCR'd) was instead prepared under old UK GAAP (pre-IFRS) - https://find-and-update.company-information.service.gov.uk/company/02558509/filing-history/MzAzNTYxMDE0MGFkaXF6a2N4/document?format=pdf&amp;download=0 - the Company did not adopt IFRS until FY2011 (its first Annual Report prepared under 'International Financial Reporting Standards as adopted by the European Union', per that report's own Note 22 IFRS transition disclosure). Per this project's established convention, FY2010 is shown on its own UK-GAAP-basis line items (documented distinctly where the presentation genuinely differs from the IFRS structure used FY2011 onward) rather than force-mapped into IFRS categories; the FY2011 Annual Report's own IFRS-restated FY2010 comparative column differs from FY2010's own originally-published UK GAAP figures (e.g. Total equity: GBP76.5m UK GAAP vs GBP72.6m IFRS-restated) - both genuine, the gap a real GAAP-transition adjustment, not a transcription error; the Statement of Changes in Equity sheet shows this transition explicitly as its own documented row rather than silently reconciling it. No Statement of Cash Flows exists in the Company's own FY2010 Annual Report at all: that report explicitly states 'As permitted by Financial Reporting Standard (FRS) No 1 (Revised), no cash flow statement is presented' (the Company's results being included within its parent undertaking's own published consolidated financial statements) - a genuine structural exemption for that single year, not a missed document, so the Cash Flow Statement sheet has no FY2010 column at all (FY2011 onward all disclose a full Statement of Cash Flows with no such exemption).</t>
        </is>
      </c>
    </row>
  </sheetData>
  <mergeCells count="2">
    <mergeCell ref="A35:P35"/>
    <mergeCell ref="A37:P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Asset Quality</t>
        </is>
      </c>
    </row>
    <row r="2">
      <c r="A2" s="2" t="inlineStr">
        <is>
          <t>Vanquis Bank Limited (Company) basis, £m. IFRS 9 stage split shown on Credit Cards (largest, most consistently disclosed product) except FY2021 (whole book).</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Gross receivables by product</t>
        </is>
      </c>
      <c r="B4" s="6" t="n"/>
      <c r="C4" s="6" t="n"/>
      <c r="D4" s="6" t="n"/>
      <c r="E4" s="6" t="n"/>
      <c r="F4" s="6" t="n"/>
      <c r="G4" s="6" t="n"/>
      <c r="H4" s="6" t="n"/>
      <c r="I4" s="6" t="n"/>
      <c r="J4" s="6" t="n"/>
      <c r="K4" s="6" t="n"/>
      <c r="L4" s="6" t="n"/>
      <c r="M4" s="6" t="n"/>
    </row>
    <row r="5">
      <c r="A5" s="6" t="inlineStr">
        <is>
          <t>Credit Cards (gross)</t>
        </is>
      </c>
      <c r="B5" s="6" t="n">
        <v>1553.8</v>
      </c>
      <c r="C5" s="6" t="n">
        <v>1309.9</v>
      </c>
      <c r="D5" s="6" t="n">
        <v>1476.4</v>
      </c>
      <c r="E5" s="6" t="n">
        <v>1452</v>
      </c>
      <c r="F5" s="6" t="n"/>
      <c r="G5" s="6" t="n"/>
      <c r="H5" s="6" t="n"/>
      <c r="I5" s="6" t="n"/>
      <c r="J5" s="6" t="n"/>
      <c r="K5" s="6" t="n"/>
      <c r="L5" s="6" t="n"/>
      <c r="M5" s="6" t="n"/>
    </row>
    <row r="6">
      <c r="A6" s="6" t="inlineStr">
        <is>
          <t>Personal Loans (gross)</t>
        </is>
      </c>
      <c r="B6" s="6" t="n"/>
      <c r="C6" s="6" t="n"/>
      <c r="D6" s="6" t="n">
        <v>117.5</v>
      </c>
      <c r="E6" s="6" t="n">
        <v>85.5</v>
      </c>
      <c r="F6" s="6" t="n"/>
      <c r="G6" s="6" t="n"/>
      <c r="H6" s="6" t="n"/>
      <c r="I6" s="6" t="n"/>
      <c r="J6" s="6" t="n"/>
      <c r="K6" s="6" t="n"/>
      <c r="L6" s="6" t="n"/>
      <c r="M6" s="6" t="n"/>
    </row>
    <row r="7">
      <c r="A7" s="6" t="inlineStr">
        <is>
          <t>Second Charge Mortgages (gross)</t>
        </is>
      </c>
      <c r="B7" s="6" t="n">
        <v>619.4</v>
      </c>
      <c r="C7" s="6" t="n">
        <v>225.5</v>
      </c>
      <c r="D7" s="6" t="n">
        <v>2.8</v>
      </c>
      <c r="E7" s="6" t="n"/>
      <c r="F7" s="6" t="n"/>
      <c r="G7" s="6" t="n"/>
      <c r="H7" s="6" t="n"/>
      <c r="I7" s="6" t="n"/>
      <c r="J7" s="6" t="n"/>
      <c r="K7" s="6" t="n"/>
      <c r="L7" s="6" t="n"/>
      <c r="M7" s="6" t="n"/>
    </row>
    <row r="8">
      <c r="A8" s="6" t="inlineStr">
        <is>
          <t>Whole book (gross, FY2021 - not split by product that year)</t>
        </is>
      </c>
      <c r="B8" s="6" t="n"/>
      <c r="C8" s="6" t="n"/>
      <c r="D8" s="6" t="n"/>
      <c r="E8" s="6" t="n"/>
      <c r="F8" s="6" t="n">
        <v>1451</v>
      </c>
      <c r="G8" s="6" t="n">
        <v>1568.5</v>
      </c>
      <c r="H8" s="6" t="n">
        <v>1903.1</v>
      </c>
      <c r="I8" s="6" t="n">
        <v>1976.5</v>
      </c>
      <c r="J8" s="6" t="n">
        <v>1843.6</v>
      </c>
      <c r="K8" s="6" t="n">
        <v>1686.1</v>
      </c>
      <c r="L8" s="6" t="n">
        <v>1476.5</v>
      </c>
      <c r="M8" s="6" t="n">
        <v>1288</v>
      </c>
    </row>
    <row r="9">
      <c r="A9" s="5" t="inlineStr">
        <is>
          <t>Gross amounts receivable from customers (continuing operations)</t>
        </is>
      </c>
      <c r="B9" s="5" t="n">
        <v>2173.2</v>
      </c>
      <c r="C9" s="5" t="n">
        <v>1535.4</v>
      </c>
      <c r="D9" s="5" t="n">
        <v>1596.7</v>
      </c>
      <c r="E9" s="5" t="n">
        <v>1537.5</v>
      </c>
      <c r="F9" s="5" t="n">
        <v>1451</v>
      </c>
      <c r="G9" s="5" t="n">
        <v>1568.5</v>
      </c>
      <c r="H9" s="5" t="n">
        <v>1903.1</v>
      </c>
      <c r="I9" s="5" t="n">
        <v>1976.5</v>
      </c>
      <c r="J9" s="5" t="n">
        <v>1843.6</v>
      </c>
      <c r="K9" s="5" t="n">
        <v>1686.1</v>
      </c>
      <c r="L9" s="5" t="n">
        <v>1476.5</v>
      </c>
      <c r="M9" s="5" t="n">
        <v>1288</v>
      </c>
    </row>
    <row r="10">
      <c r="A10" s="5" t="inlineStr">
        <is>
          <t>Allowance account by product</t>
        </is>
      </c>
      <c r="B10" s="6" t="n"/>
      <c r="C10" s="6" t="n"/>
      <c r="D10" s="6" t="n"/>
      <c r="E10" s="6" t="n"/>
      <c r="F10" s="6" t="n"/>
      <c r="G10" s="6" t="n"/>
      <c r="H10" s="6" t="n"/>
      <c r="I10" s="6" t="n"/>
      <c r="J10" s="6" t="n"/>
      <c r="K10" s="6" t="n"/>
      <c r="L10" s="6" t="n"/>
      <c r="M10" s="6" t="n"/>
    </row>
    <row r="11">
      <c r="A11" s="6" t="inlineStr">
        <is>
          <t>Credit Cards allowance</t>
        </is>
      </c>
      <c r="B11" s="6" t="n">
        <v>-169.5</v>
      </c>
      <c r="C11" s="6" t="n">
        <v>-160</v>
      </c>
      <c r="D11" s="6" t="n">
        <v>-198.7</v>
      </c>
      <c r="E11" s="6" t="n">
        <v>-270.4</v>
      </c>
      <c r="F11" s="6" t="n"/>
      <c r="G11" s="6" t="n"/>
      <c r="H11" s="6" t="n"/>
      <c r="I11" s="6" t="n"/>
      <c r="J11" s="6" t="n"/>
      <c r="K11" s="6" t="n"/>
      <c r="L11" s="6" t="n"/>
      <c r="M11" s="6" t="n"/>
    </row>
    <row r="12">
      <c r="A12" s="6" t="inlineStr">
        <is>
          <t>Personal Loans allowance</t>
        </is>
      </c>
      <c r="B12" s="6" t="n"/>
      <c r="C12" s="6" t="n"/>
      <c r="D12" s="6" t="n">
        <v>-15.1</v>
      </c>
      <c r="E12" s="6" t="n">
        <v>-9.199999999999999</v>
      </c>
      <c r="F12" s="6" t="n"/>
      <c r="G12" s="6" t="n"/>
      <c r="H12" s="6" t="n"/>
      <c r="I12" s="6" t="n"/>
      <c r="J12" s="6" t="n"/>
      <c r="K12" s="6" t="n"/>
      <c r="L12" s="6" t="n"/>
      <c r="M12" s="6" t="n"/>
    </row>
    <row r="13">
      <c r="A13" s="6" t="inlineStr">
        <is>
          <t>Second Charge Mortgages allowance</t>
        </is>
      </c>
      <c r="B13" s="6" t="n">
        <v>-0.9</v>
      </c>
      <c r="C13" s="6" t="n">
        <v>-0.2</v>
      </c>
      <c r="D13" s="6" t="n"/>
      <c r="E13" s="6" t="n"/>
      <c r="F13" s="6" t="n"/>
      <c r="G13" s="6" t="n"/>
      <c r="H13" s="6" t="n"/>
      <c r="I13" s="6" t="n"/>
      <c r="J13" s="6" t="n"/>
      <c r="K13" s="6" t="n"/>
      <c r="L13" s="6" t="n"/>
      <c r="M13" s="6" t="n"/>
    </row>
    <row r="14">
      <c r="A14" s="6" t="inlineStr">
        <is>
          <t>Whole book allowance (FY2021 - not split by product that year)</t>
        </is>
      </c>
      <c r="B14" s="6" t="n"/>
      <c r="C14" s="6" t="n"/>
      <c r="D14" s="6" t="n"/>
      <c r="E14" s="6" t="n"/>
      <c r="F14" s="6" t="n">
        <v>-359.5</v>
      </c>
      <c r="G14" s="6" t="n">
        <v>-474.2</v>
      </c>
      <c r="H14" s="6" t="n">
        <v>-441.6</v>
      </c>
      <c r="I14" s="6" t="n">
        <v>-502.7</v>
      </c>
      <c r="J14" s="6" t="n">
        <v>-288.9</v>
      </c>
      <c r="K14" s="6" t="n">
        <v>-261.4</v>
      </c>
      <c r="L14" s="6" t="n">
        <v>-224.5</v>
      </c>
      <c r="M14" s="6" t="n">
        <v>-178.6</v>
      </c>
    </row>
    <row r="15">
      <c r="A15" s="5" t="inlineStr">
        <is>
          <t>Allowance account (continuing operations)</t>
        </is>
      </c>
      <c r="B15" s="5" t="n">
        <v>-170.4</v>
      </c>
      <c r="C15" s="5" t="n">
        <v>-160.2</v>
      </c>
      <c r="D15" s="5" t="n">
        <v>-213.8</v>
      </c>
      <c r="E15" s="5" t="n">
        <v>-279.6</v>
      </c>
      <c r="F15" s="5" t="n">
        <v>-359.5</v>
      </c>
      <c r="G15" s="5" t="n">
        <v>-474.2</v>
      </c>
      <c r="H15" s="5" t="n">
        <v>-441.6</v>
      </c>
      <c r="I15" s="5" t="n">
        <v>-502.7</v>
      </c>
      <c r="J15" s="5" t="n">
        <v>-288.9</v>
      </c>
      <c r="K15" s="5" t="n">
        <v>-261.4</v>
      </c>
      <c r="L15" s="5" t="n">
        <v>-224.5</v>
      </c>
      <c r="M15" s="5" t="n">
        <v>-178.6</v>
      </c>
    </row>
    <row r="16">
      <c r="A16" s="5" t="inlineStr">
        <is>
          <t>Net amounts receivable from customers (continuing operations)</t>
        </is>
      </c>
      <c r="B16" s="5" t="n">
        <v>2002.8</v>
      </c>
      <c r="C16" s="5" t="n">
        <v>1375.2</v>
      </c>
      <c r="D16" s="5" t="n">
        <v>1382.9</v>
      </c>
      <c r="E16" s="5" t="n">
        <v>1257.9</v>
      </c>
      <c r="F16" s="5" t="n">
        <v>1091.5</v>
      </c>
      <c r="G16" s="5" t="n">
        <v>1094.3</v>
      </c>
      <c r="H16" s="5" t="n">
        <v>1461.5</v>
      </c>
      <c r="I16" s="5" t="n">
        <v>1473.8</v>
      </c>
      <c r="J16" s="5" t="n">
        <v>1554.7</v>
      </c>
      <c r="K16" s="5" t="n">
        <v>1424.7</v>
      </c>
      <c r="L16" s="5" t="n">
        <v>1252</v>
      </c>
      <c r="M16" s="5" t="n">
        <v>1109.4</v>
      </c>
    </row>
    <row r="17">
      <c r="A17" s="6" t="inlineStr">
        <is>
          <t>Fair value adjustment for portfolio hedged risk (Second Charge Mortgages)</t>
        </is>
      </c>
      <c r="B17" s="6" t="n">
        <v>0.4</v>
      </c>
      <c r="C17" s="6" t="n"/>
      <c r="D17" s="6" t="n"/>
      <c r="E17" s="6" t="n"/>
      <c r="F17" s="6" t="n"/>
      <c r="G17" s="6" t="n"/>
      <c r="H17" s="6" t="n"/>
      <c r="I17" s="6" t="n"/>
      <c r="J17" s="6" t="n"/>
      <c r="K17" s="6" t="n"/>
      <c r="L17" s="6" t="n"/>
      <c r="M17" s="6" t="n"/>
    </row>
    <row r="18">
      <c r="A18" s="6" t="inlineStr">
        <is>
          <t>Discontinued operations (Personal Loans, sold March 2025)</t>
        </is>
      </c>
      <c r="B18" s="6" t="n"/>
      <c r="C18" s="6" t="n">
        <v>44</v>
      </c>
      <c r="D18" s="6" t="n"/>
      <c r="E18" s="6" t="n"/>
      <c r="F18" s="6" t="n"/>
      <c r="G18" s="6" t="n"/>
      <c r="H18" s="6" t="n"/>
      <c r="I18" s="6" t="n"/>
      <c r="J18" s="6" t="n"/>
      <c r="K18" s="6" t="n"/>
      <c r="L18" s="6" t="n"/>
      <c r="M18" s="6" t="n"/>
    </row>
    <row r="19">
      <c r="A19" s="5" t="inlineStr">
        <is>
          <t>Reported amounts receivable from customers (per Balance Sheet)</t>
        </is>
      </c>
      <c r="B19" s="5" t="n">
        <v>2003.2</v>
      </c>
      <c r="C19" s="5" t="n">
        <v>1419.2</v>
      </c>
      <c r="D19" s="5" t="n">
        <v>1382.9</v>
      </c>
      <c r="E19" s="5" t="n">
        <v>1257.9</v>
      </c>
      <c r="F19" s="5" t="n">
        <v>1091.5</v>
      </c>
      <c r="G19" s="5" t="n">
        <v>1094.3</v>
      </c>
      <c r="H19" s="5" t="n">
        <v>1461.5</v>
      </c>
      <c r="I19" s="5" t="n">
        <v>1473.8</v>
      </c>
      <c r="J19" s="5" t="n">
        <v>1554.7</v>
      </c>
      <c r="K19" s="5" t="n">
        <v>1424.7</v>
      </c>
      <c r="L19" s="5" t="n">
        <v>1252</v>
      </c>
      <c r="M19" s="5" t="n">
        <v>1109.4</v>
      </c>
    </row>
    <row r="20">
      <c r="A20" s="5" t="inlineStr">
        <is>
          <t>Credit quality by IFRS 9 stage (FY2018 onward only - IFRS 9 adopted 1 Jan 2018)</t>
        </is>
      </c>
      <c r="B20" s="6" t="n"/>
      <c r="C20" s="6" t="n"/>
      <c r="D20" s="6" t="n"/>
      <c r="E20" s="6" t="n"/>
      <c r="F20" s="6" t="n"/>
      <c r="G20" s="6" t="n"/>
      <c r="H20" s="6" t="n"/>
      <c r="I20" s="6" t="n"/>
      <c r="J20" s="6" t="n"/>
      <c r="K20" s="6" t="n"/>
      <c r="L20" s="6" t="n"/>
      <c r="M20" s="6" t="n"/>
    </row>
    <row r="21">
      <c r="A21" s="6" t="inlineStr">
        <is>
          <t>Stage 1 (gross)</t>
        </is>
      </c>
      <c r="B21" s="6" t="n">
        <v>1351.5</v>
      </c>
      <c r="C21" s="6" t="n">
        <v>1136.6</v>
      </c>
      <c r="D21" s="6" t="n">
        <v>1200.8</v>
      </c>
      <c r="E21" s="6" t="n">
        <v>1116.6</v>
      </c>
      <c r="F21" s="6" t="n">
        <v>913.7</v>
      </c>
      <c r="G21" s="6" t="n">
        <v>1044.5</v>
      </c>
      <c r="H21" s="6" t="n">
        <v>1368</v>
      </c>
      <c r="I21" s="6" t="n">
        <v>1288.4</v>
      </c>
      <c r="J21" s="6" t="n"/>
      <c r="K21" s="6" t="n"/>
      <c r="L21" s="6" t="n"/>
      <c r="M21" s="6" t="n"/>
    </row>
    <row r="22">
      <c r="A22" s="6" t="inlineStr">
        <is>
          <t>Stage 2 (gross)</t>
        </is>
      </c>
      <c r="B22" s="6" t="n">
        <v>139.1</v>
      </c>
      <c r="C22" s="6" t="n">
        <v>99.8</v>
      </c>
      <c r="D22" s="6" t="n">
        <v>161.4</v>
      </c>
      <c r="E22" s="6" t="n">
        <v>148.7</v>
      </c>
      <c r="F22" s="6" t="n">
        <v>342.8</v>
      </c>
      <c r="G22" s="6" t="n">
        <v>188.4</v>
      </c>
      <c r="H22" s="6" t="n">
        <v>171.5</v>
      </c>
      <c r="I22" s="6" t="n">
        <v>172.8</v>
      </c>
      <c r="J22" s="6" t="n"/>
      <c r="K22" s="6" t="n"/>
      <c r="L22" s="6" t="n"/>
      <c r="M22" s="6" t="n"/>
    </row>
    <row r="23">
      <c r="A23" s="6" t="inlineStr">
        <is>
          <t>Stage 3 / non-performing (gross)</t>
        </is>
      </c>
      <c r="B23" s="6" t="n">
        <v>63.2</v>
      </c>
      <c r="C23" s="6" t="n">
        <v>73.5</v>
      </c>
      <c r="D23" s="6" t="n">
        <v>114.2</v>
      </c>
      <c r="E23" s="6" t="n">
        <v>186.7</v>
      </c>
      <c r="F23" s="6" t="n">
        <v>194.5</v>
      </c>
      <c r="G23" s="6" t="n">
        <v>335.6</v>
      </c>
      <c r="H23" s="6" t="n">
        <v>363.6</v>
      </c>
      <c r="I23" s="6" t="n">
        <v>515.3</v>
      </c>
      <c r="J23" s="6" t="n"/>
      <c r="K23" s="6" t="n"/>
      <c r="L23" s="6" t="n"/>
      <c r="M23" s="6" t="n"/>
    </row>
    <row r="24">
      <c r="A24" s="5" t="inlineStr">
        <is>
          <t>Total gross (Credit Cards; FY2021 whole book)</t>
        </is>
      </c>
      <c r="B24" s="5" t="n">
        <v>1553.8</v>
      </c>
      <c r="C24" s="5" t="n">
        <v>1309.9</v>
      </c>
      <c r="D24" s="5" t="n">
        <v>1476.4</v>
      </c>
      <c r="E24" s="5" t="n">
        <v>1452</v>
      </c>
      <c r="F24" s="5" t="n">
        <v>1451</v>
      </c>
      <c r="G24" s="5" t="n">
        <v>1568.5</v>
      </c>
      <c r="H24" s="5" t="n">
        <v>1903.1</v>
      </c>
      <c r="I24" s="5" t="n">
        <v>1976.5</v>
      </c>
      <c r="J24" s="5" t="n"/>
      <c r="K24" s="5" t="n"/>
      <c r="L24" s="5" t="n"/>
      <c r="M24" s="5" t="n"/>
    </row>
    <row r="25">
      <c r="A25" s="6" t="inlineStr">
        <is>
          <t>Stage 3 as % of gross - NPL ratio (derived)</t>
        </is>
      </c>
      <c r="B25" s="6" t="inlineStr">
        <is>
          <t>4.07%</t>
        </is>
      </c>
      <c r="C25" s="6" t="inlineStr">
        <is>
          <t>5.61%</t>
        </is>
      </c>
      <c r="D25" s="6" t="inlineStr">
        <is>
          <t>7.74%</t>
        </is>
      </c>
      <c r="E25" s="6" t="inlineStr">
        <is>
          <t>12.86%</t>
        </is>
      </c>
      <c r="F25" s="6" t="inlineStr">
        <is>
          <t>13.40%</t>
        </is>
      </c>
      <c r="G25" s="6" t="inlineStr">
        <is>
          <t>21.40%</t>
        </is>
      </c>
      <c r="H25" s="6" t="inlineStr">
        <is>
          <t>19.11%</t>
        </is>
      </c>
      <c r="I25" s="6" t="inlineStr">
        <is>
          <t>26.07%</t>
        </is>
      </c>
      <c r="J25" s="6" t="n"/>
      <c r="K25" s="6" t="n"/>
      <c r="L25" s="6" t="n"/>
      <c r="M25" s="6" t="n"/>
    </row>
    <row r="26">
      <c r="A26" s="6" t="inlineStr">
        <is>
          <t>Coverage ratio - allowance / gross (derived)</t>
        </is>
      </c>
      <c r="B26" s="6" t="inlineStr">
        <is>
          <t>10.91%</t>
        </is>
      </c>
      <c r="C26" s="6" t="inlineStr">
        <is>
          <t>12.21%</t>
        </is>
      </c>
      <c r="D26" s="6" t="inlineStr">
        <is>
          <t>13.46%</t>
        </is>
      </c>
      <c r="E26" s="6" t="inlineStr">
        <is>
          <t>18.62%</t>
        </is>
      </c>
      <c r="F26" s="6" t="inlineStr">
        <is>
          <t>24.78%</t>
        </is>
      </c>
      <c r="G26" s="6" t="inlineStr">
        <is>
          <t>30.23%</t>
        </is>
      </c>
      <c r="H26" s="6" t="inlineStr">
        <is>
          <t>23.20%</t>
        </is>
      </c>
      <c r="I26" s="6" t="inlineStr">
        <is>
          <t>25.43%</t>
        </is>
      </c>
      <c r="J26" s="6" t="inlineStr">
        <is>
          <t>15.67%</t>
        </is>
      </c>
      <c r="K26" s="6" t="inlineStr">
        <is>
          <t>15.50%</t>
        </is>
      </c>
      <c r="L26" s="6" t="inlineStr">
        <is>
          <t>15.21%</t>
        </is>
      </c>
      <c r="M26" s="6" t="inlineStr">
        <is>
          <t>13.87%</t>
        </is>
      </c>
    </row>
    <row r="27">
      <c r="A27" s="5" t="inlineStr">
        <is>
          <t>Credit quality, IAS 39 basis (FY2014-FY2017, pre-IFRS 9 - not stage-split; net carrying value)</t>
        </is>
      </c>
      <c r="B27" s="6" t="n"/>
      <c r="C27" s="6" t="n"/>
      <c r="D27" s="6" t="n"/>
      <c r="E27" s="6" t="n"/>
      <c r="F27" s="6" t="n"/>
      <c r="G27" s="6" t="n"/>
      <c r="H27" s="6" t="n"/>
      <c r="I27" s="6" t="n"/>
      <c r="J27" s="6" t="n"/>
      <c r="K27" s="6" t="n"/>
      <c r="L27" s="6" t="n"/>
      <c r="M27" s="6" t="n"/>
    </row>
    <row r="28">
      <c r="A28" s="6" t="inlineStr">
        <is>
          <t>Neither past due nor impaired (net carrying value, IAS 39 basis)</t>
        </is>
      </c>
      <c r="B28" s="6" t="n"/>
      <c r="C28" s="6" t="n"/>
      <c r="D28" s="6" t="n"/>
      <c r="E28" s="6" t="n"/>
      <c r="F28" s="6" t="n"/>
      <c r="G28" s="6" t="n"/>
      <c r="H28" s="6" t="n"/>
      <c r="I28" s="6" t="n"/>
      <c r="J28" s="6" t="n">
        <v>1456.3</v>
      </c>
      <c r="K28" s="6" t="n">
        <v>1338.8</v>
      </c>
      <c r="L28" s="6" t="n">
        <v>1168.5</v>
      </c>
      <c r="M28" s="6" t="n">
        <v>1016.5</v>
      </c>
    </row>
    <row r="29">
      <c r="A29" s="6" t="inlineStr">
        <is>
          <t>Impaired (net carrying value, IAS 39 basis)</t>
        </is>
      </c>
      <c r="B29" s="6" t="n"/>
      <c r="C29" s="6" t="n"/>
      <c r="D29" s="6" t="n"/>
      <c r="E29" s="6" t="n"/>
      <c r="F29" s="6" t="n"/>
      <c r="G29" s="6" t="n"/>
      <c r="H29" s="6" t="n"/>
      <c r="I29" s="6" t="n"/>
      <c r="J29" s="6" t="n">
        <v>98.40000000000001</v>
      </c>
      <c r="K29" s="6" t="n">
        <v>85.90000000000001</v>
      </c>
      <c r="L29" s="6" t="n">
        <v>83.5</v>
      </c>
      <c r="M29" s="6" t="n">
        <v>92.90000000000001</v>
      </c>
    </row>
    <row r="30">
      <c r="A30" s="6" t="inlineStr">
        <is>
          <t>Impaired as % of total net receivables - NPL ratio, net basis (derived; not comparable with the gross-basis ratio used FY2018 onward)</t>
        </is>
      </c>
      <c r="B30" s="6" t="n"/>
      <c r="C30" s="6" t="n"/>
      <c r="D30" s="6" t="n"/>
      <c r="E30" s="6" t="n"/>
      <c r="F30" s="6" t="n"/>
      <c r="G30" s="6" t="n"/>
      <c r="H30" s="6" t="n"/>
      <c r="I30" s="6" t="n"/>
      <c r="J30" s="6" t="inlineStr">
        <is>
          <t>6.33%</t>
        </is>
      </c>
      <c r="K30" s="6" t="inlineStr">
        <is>
          <t>6.03%</t>
        </is>
      </c>
      <c r="L30" s="6" t="inlineStr">
        <is>
          <t>6.67%</t>
        </is>
      </c>
      <c r="M30" s="6" t="inlineStr">
        <is>
          <t>8.38%</t>
        </is>
      </c>
    </row>
    <row r="32" ht="240" customHeight="1">
      <c r="A32" s="8" t="inlineStr">
        <is>
          <t>Sources - Vanquis Bank Limited's own (Company) Note 'Amounts receivable from customers', £m:
FY2025 &amp; FY2024: Annual Report and Financial Statements, year ended 31 December 2025, note 12, p.56-60 - https://www.vanquis.com/wp-content/uploads/2026/03/VBL-stats-2025-FINAL-Fully-Signed.pdf
FY2023 &amp; FY2022: Annual Report and Financial Statements, year ended 31 December 2023 (Companies House filing, 18 Apr 2024), note 11, p.53-58 - https://find-and-update.company-information.service.gov.uk/company/02558509/filing-history/MzQxNzkzNTkxNWFkaXF6a2N4/document?format=pdf&amp;download=0
FY2021: Annual Report and Financial Statements, year ended 31 December 2021, note 10, p.79-80 - https://www.vanquis.com/wp-content/uploads/2025/05/Vanquis_Bank_Ltd_31_12_2021_Signed.pdf
FY2020 &amp; FY2019: Annual Report and Financial Statements, year ended 31 December 2020 (Companies House filing), amounts receivable from customers note - https://find-and-update.company-information.service.gov.uk/company/02558509/filing-history/MzMxMjg4NDQzM2FkaXF6a2N4/document?format=pdf&amp;download=0
FY2018 &amp; FY2017: Annual Report and Financial Statements, year ended 31 December 2018 (Companies House filing), amounts receivable from customers note (includes FY2018's own IFRS 9 stage split and FY2017's IAS 39 comparative) - https://find-and-update.company-information.service.gov.uk/company/02558509/filing-history/MzIzMTgyMDcyOGFkaXF6a2N4/document?format=pdf&amp;download=0
FY2016 &amp; FY2015: Annual Report and Financial Statements, year ended 31 December 2016 (Companies House filing), amounts receivable from customers note - https://find-and-update.company-information.service.gov.uk/company/02558509/filing-history/MzE3Mjg3NDA2OGFkaXF6a2N4/document?format=pdf&amp;download=0
FY2014: Annual Report and Financial Statements, year ended 31 December 2014 (Companies House filing), amounts receivable from customers note - https://find-and-update.company-information.service.gov.uk/company/02558509/filing-history/MzEzMzA5NjUxM2FkaXF6a2N4/document?format=pdf&amp;download=0
Note: FY2021's own note discloses only a combined (whole-book) gross/allowance/stage split, not broken out by product - Credit Cards/Personal Loans product-level figures only start from FY2022's report. Personal Loans was sold in March 2025 (presented as a discontinued operation in the FY2025 Annual Report) and is not stage-split in FY2024/FY2025's own disclosures (shown only as a lump-sum discontinued figure). The IFRS 9 stage split shown here is Credit Cards only for FY2022-FY2025 (the largest, most consistently disclosed product across all years) rather than the whole book - NOT a like-for-like basis with FY2021's whole-book split, documented rather than blended. NPL and coverage ratios are derived here (Stage 3 gross / Total gross; Allowance / Total gross) - not printed as ratios in the source documents.
FY2014-FY2020 (this build's historical-depth extension, capped at FY2014 per project decision): the whole book was never split by product in Vanquis Bank Limited's own disclosures before FY2022, so all of FY2014-FY2020 sit on the 'Whole book' rows, consistent with FY2021's own treatment. IFRS 9 was adopted 1 January 2018 (no restatement of FY2017 or earlier) - FY2018/FY2019/FY2020 carry a real Stage 1/2/3 gross split from the Company's own note; FY2014-FY2017 instead use the IAS 39-basis 'neither past due nor impaired' / 'impaired' net-carrying-value split their own notes disclosed pre-IFRS 9. The FY2014-FY2017 NPL ratio is therefore computed on a NET basis (impaired net / total net receivables) and is NOT comparable with the gross-basis Stage 3 ratio used from FY2018 onward - shown as a separate row rather than blended into one series. The coverage ratio (allowance / gross) uses a consistent definition across every year FY2014-FY2025 and is directly comparable throughout.
Balance Sheet, Profit &amp; Loss, Statement of Changes in Equity and Asset Quality are all on Vanquis Bank Limited's own entity-level (Company) basis, £m - the same basis as the existing Cash Flow Statement sheet (see that sheet's entity note for the wider Pillar 3 basis mismatch, which does not affect these 4 sheets).</t>
        </is>
      </c>
    </row>
  </sheetData>
  <mergeCells count="1">
    <mergeCell ref="A32:M3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Vanquis Bank Limited — KM1 Key Metrics</t>
        </is>
      </c>
    </row>
    <row r="2">
      <c r="A2" s="2" t="inlineStr">
        <is>
          <t>VANQUIS BANKING GROUP PLC CONSOLIDATED BASIS, £m - the same Group basis as every other Pillar 3 sheet in this workbook, and NOT the Vanquis Bank Limited entity basis used on the Balance Sheet, Profit &amp; Loss, Statement of Changes in Equity, Cash Flow Statement and Asset Quality sheets. No Bank-level key-metrics table is published in any year. Reproduced whole in the Group's own row order, row numbering, labels and printed precision, as TWO BLOCKS: the UK KM1 template (FY2022-FY2025 editions) and the earlier unnumbered 'Table 1: Summary of key metrics' (FY2021 edition, Provident Financial plc, with FY2020 from its comparative column). FY2019 and earlier publish no key-metrics table at all. See the source note.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row>
    <row r="4">
      <c r="A4" s="5" t="inlineStr">
        <is>
          <t>BLOCK 1 - 'UK KM1 - Key metrics template' as printed in the FY2022-FY2025 editions (Vanquis Banking Group plc, consolidated)</t>
        </is>
      </c>
      <c r="B4" s="6" t="n"/>
      <c r="C4" s="6" t="n"/>
      <c r="D4" s="6" t="n"/>
      <c r="E4" s="6" t="n"/>
      <c r="F4" s="6" t="n"/>
      <c r="G4" s="6" t="n"/>
    </row>
    <row r="5">
      <c r="A5" s="5" t="inlineStr">
        <is>
          <t>Available own funds (amounts)</t>
        </is>
      </c>
      <c r="B5" s="6" t="n"/>
      <c r="C5" s="6" t="n"/>
      <c r="D5" s="6" t="n"/>
      <c r="E5" s="6" t="n"/>
      <c r="F5" s="6" t="n"/>
      <c r="G5" s="6" t="n"/>
    </row>
    <row r="6">
      <c r="A6" s="6" t="inlineStr">
        <is>
          <t>1    Common Equity Tier 1 (CET1) capital (£m)</t>
        </is>
      </c>
      <c r="B6" s="6" t="n">
        <v>341.3</v>
      </c>
      <c r="C6" s="6" t="n">
        <v>344.3</v>
      </c>
      <c r="D6" s="6" t="n">
        <v>409</v>
      </c>
      <c r="E6" s="6" t="n">
        <v>478.8</v>
      </c>
      <c r="F6" s="6" t="n"/>
      <c r="G6" s="6" t="n"/>
    </row>
    <row r="7">
      <c r="A7" s="6" t="inlineStr">
        <is>
          <t>2    Tier 1 capital (£m)</t>
        </is>
      </c>
      <c r="B7" s="6" t="n">
        <v>400</v>
      </c>
      <c r="C7" s="6" t="n">
        <v>344.3</v>
      </c>
      <c r="D7" s="6" t="n">
        <v>409</v>
      </c>
      <c r="E7" s="6" t="n">
        <v>478.8</v>
      </c>
      <c r="F7" s="6" t="n"/>
      <c r="G7" s="6" t="n"/>
    </row>
    <row r="8">
      <c r="A8" s="6" t="inlineStr">
        <is>
          <t>3    Total capital (£m)</t>
        </is>
      </c>
      <c r="B8" s="6" t="n">
        <v>541.5</v>
      </c>
      <c r="C8" s="6" t="n">
        <v>544.3</v>
      </c>
      <c r="D8" s="6" t="n">
        <v>609</v>
      </c>
      <c r="E8" s="6" t="n">
        <v>678.8</v>
      </c>
      <c r="F8" s="6" t="n"/>
      <c r="G8" s="6" t="n"/>
    </row>
    <row r="9">
      <c r="A9" s="5" t="inlineStr">
        <is>
          <t>Risk-weighted exposure amounts</t>
        </is>
      </c>
      <c r="B9" s="6" t="n"/>
      <c r="C9" s="6" t="n"/>
      <c r="D9" s="6" t="n"/>
      <c r="E9" s="6" t="n"/>
      <c r="F9" s="6" t="n"/>
      <c r="G9" s="6" t="n"/>
    </row>
    <row r="10">
      <c r="A10" s="6" t="inlineStr">
        <is>
          <t>4    Total risk-weighted exposure amount (£m)</t>
        </is>
      </c>
      <c r="B10" s="6" t="n">
        <v>2073.2</v>
      </c>
      <c r="C10" s="6" t="n">
        <v>1834.8</v>
      </c>
      <c r="D10" s="6" t="n">
        <v>1990.6</v>
      </c>
      <c r="E10" s="6" t="n">
        <v>1810.8</v>
      </c>
      <c r="F10" s="6" t="n"/>
      <c r="G10" s="6" t="n"/>
    </row>
    <row r="11">
      <c r="A11" s="5" t="inlineStr">
        <is>
          <t>Capital ratios (as a percentage of risk-weighted exposure amount)</t>
        </is>
      </c>
      <c r="B11" s="6" t="n"/>
      <c r="C11" s="6" t="n"/>
      <c r="D11" s="6" t="n"/>
      <c r="E11" s="6" t="n"/>
      <c r="F11" s="6" t="n"/>
      <c r="G11" s="6" t="n"/>
    </row>
    <row r="12">
      <c r="A12" s="6" t="inlineStr">
        <is>
          <t>5    Common Equity Tier 1 ratio (%)</t>
        </is>
      </c>
      <c r="B12" s="6" t="inlineStr">
        <is>
          <t>16.5%</t>
        </is>
      </c>
      <c r="C12" s="6" t="inlineStr">
        <is>
          <t>18.8%</t>
        </is>
      </c>
      <c r="D12" s="6" t="inlineStr">
        <is>
          <t>20.5%</t>
        </is>
      </c>
      <c r="E12" s="6" t="inlineStr">
        <is>
          <t>26.4%</t>
        </is>
      </c>
      <c r="F12" s="6" t="n"/>
      <c r="G12" s="6" t="n"/>
    </row>
    <row r="13">
      <c r="A13" s="6" t="inlineStr">
        <is>
          <t>6    Tier 1 ratio (%)</t>
        </is>
      </c>
      <c r="B13" s="6" t="inlineStr">
        <is>
          <t>19.3%</t>
        </is>
      </c>
      <c r="C13" s="6" t="inlineStr">
        <is>
          <t>18.8%</t>
        </is>
      </c>
      <c r="D13" s="6" t="inlineStr">
        <is>
          <t>20.5%</t>
        </is>
      </c>
      <c r="E13" s="6" t="inlineStr">
        <is>
          <t>26.4%</t>
        </is>
      </c>
      <c r="F13" s="6" t="n"/>
      <c r="G13" s="6" t="n"/>
    </row>
    <row r="14">
      <c r="A14" s="6" t="inlineStr">
        <is>
          <t>7    Total capital ratio (%)</t>
        </is>
      </c>
      <c r="B14" s="6" t="inlineStr">
        <is>
          <t>26.1%</t>
        </is>
      </c>
      <c r="C14" s="6" t="inlineStr">
        <is>
          <t>29.7%</t>
        </is>
      </c>
      <c r="D14" s="6" t="inlineStr">
        <is>
          <t>30.6%</t>
        </is>
      </c>
      <c r="E14" s="6" t="inlineStr">
        <is>
          <t>37.5%</t>
        </is>
      </c>
      <c r="F14" s="6" t="n"/>
      <c r="G14" s="6" t="n"/>
    </row>
    <row r="15">
      <c r="A15" s="5" t="inlineStr">
        <is>
          <t>Additional own funds requirements based on SREP (as a percentage of risk-weighted exposure amount)</t>
        </is>
      </c>
      <c r="B15" s="6" t="n"/>
      <c r="C15" s="6" t="n"/>
      <c r="D15" s="6" t="n"/>
      <c r="E15" s="6" t="n"/>
      <c r="F15" s="6" t="n"/>
      <c r="G15" s="6" t="n"/>
    </row>
    <row r="16">
      <c r="A16" s="6" t="inlineStr">
        <is>
          <t>UK 7a    Additional CET1 SREP requirements (%)</t>
        </is>
      </c>
      <c r="B16" s="6" t="inlineStr">
        <is>
          <t>2.3%</t>
        </is>
      </c>
      <c r="C16" s="6" t="inlineStr">
        <is>
          <t>2.2%</t>
        </is>
      </c>
      <c r="D16" s="6" t="inlineStr">
        <is>
          <t>2.2%</t>
        </is>
      </c>
      <c r="E16" s="6" t="inlineStr">
        <is>
          <t>5.8%</t>
        </is>
      </c>
      <c r="F16" s="6" t="n"/>
      <c r="G16" s="6" t="n"/>
    </row>
    <row r="17">
      <c r="A17" s="6" t="inlineStr">
        <is>
          <t>UK 7b    Additional AT1 SREP requirements (%)</t>
        </is>
      </c>
      <c r="B17" s="6" t="inlineStr">
        <is>
          <t>0.8%</t>
        </is>
      </c>
      <c r="C17" s="6" t="inlineStr">
        <is>
          <t>0.7%</t>
        </is>
      </c>
      <c r="D17" s="6" t="inlineStr">
        <is>
          <t>0.7%</t>
        </is>
      </c>
      <c r="E17" s="6" t="inlineStr">
        <is>
          <t>1.9%</t>
        </is>
      </c>
      <c r="F17" s="6" t="n"/>
      <c r="G17" s="6" t="n"/>
    </row>
    <row r="18">
      <c r="A18" s="6" t="inlineStr">
        <is>
          <t>UK 7c    Additional T2 SREP requirements (%)</t>
        </is>
      </c>
      <c r="B18" s="6" t="inlineStr">
        <is>
          <t>1.0%</t>
        </is>
      </c>
      <c r="C18" s="6" t="inlineStr">
        <is>
          <t>1.0%</t>
        </is>
      </c>
      <c r="D18" s="6" t="inlineStr">
        <is>
          <t>1.0%</t>
        </is>
      </c>
      <c r="E18" s="6" t="inlineStr">
        <is>
          <t>2.6%</t>
        </is>
      </c>
      <c r="F18" s="6" t="n"/>
      <c r="G18" s="6" t="n"/>
    </row>
    <row r="19">
      <c r="A19" s="6" t="inlineStr">
        <is>
          <t>UK 7d    Total SREP own funds requirements (%)</t>
        </is>
      </c>
      <c r="B19" s="6" t="inlineStr">
        <is>
          <t>12.1%</t>
        </is>
      </c>
      <c r="C19" s="6" t="inlineStr">
        <is>
          <t>11.9%</t>
        </is>
      </c>
      <c r="D19" s="6" t="inlineStr">
        <is>
          <t>11.9%</t>
        </is>
      </c>
      <c r="E19" s="6" t="inlineStr">
        <is>
          <t>18.3%</t>
        </is>
      </c>
      <c r="F19" s="6" t="n"/>
      <c r="G19" s="6" t="n"/>
    </row>
    <row r="20">
      <c r="A20" s="5" t="inlineStr">
        <is>
          <t>Combined buffer requirement (as a percentage of risk-weighted exposure amount)</t>
        </is>
      </c>
      <c r="B20" s="6" t="n"/>
      <c r="C20" s="6" t="n"/>
      <c r="D20" s="6" t="n"/>
      <c r="E20" s="6" t="n"/>
      <c r="F20" s="6" t="n"/>
      <c r="G20" s="6" t="n"/>
    </row>
    <row r="21">
      <c r="A21" s="6" t="inlineStr">
        <is>
          <t>8    Capital conservation buffer (%)</t>
        </is>
      </c>
      <c r="B21" s="6" t="inlineStr">
        <is>
          <t>2.5%</t>
        </is>
      </c>
      <c r="C21" s="6" t="inlineStr">
        <is>
          <t>2.5%</t>
        </is>
      </c>
      <c r="D21" s="6" t="inlineStr">
        <is>
          <t>2.5%</t>
        </is>
      </c>
      <c r="E21" s="6" t="inlineStr">
        <is>
          <t>2.5%</t>
        </is>
      </c>
      <c r="F21" s="6" t="n"/>
      <c r="G21" s="6" t="n"/>
    </row>
    <row r="22">
      <c r="A22" s="6" t="inlineStr">
        <is>
          <t>UK 8a    Conservation buffer due to macro-prudential or systemic risk identified at the level of a member state (%)</t>
        </is>
      </c>
      <c r="B22" s="6" t="inlineStr">
        <is>
          <t>-</t>
        </is>
      </c>
      <c r="C22" s="6" t="inlineStr">
        <is>
          <t>-</t>
        </is>
      </c>
      <c r="D22" s="6" t="inlineStr">
        <is>
          <t>-</t>
        </is>
      </c>
      <c r="E22" s="6" t="inlineStr">
        <is>
          <t>-</t>
        </is>
      </c>
      <c r="F22" s="6" t="n"/>
      <c r="G22" s="6" t="n"/>
    </row>
    <row r="23">
      <c r="A23" s="6" t="inlineStr">
        <is>
          <t>9    Institution specific countercyclical capital buffer (%)</t>
        </is>
      </c>
      <c r="B23" s="6" t="inlineStr">
        <is>
          <t>2.0%</t>
        </is>
      </c>
      <c r="C23" s="6" t="inlineStr">
        <is>
          <t>2.0%</t>
        </is>
      </c>
      <c r="D23" s="6" t="inlineStr">
        <is>
          <t>2.0%</t>
        </is>
      </c>
      <c r="E23" s="6" t="inlineStr">
        <is>
          <t>1.0%</t>
        </is>
      </c>
      <c r="F23" s="6" t="n"/>
      <c r="G23" s="6" t="n"/>
    </row>
    <row r="24">
      <c r="A24" s="6" t="inlineStr">
        <is>
          <t>UK 9a    Systemic risk buffer (%)</t>
        </is>
      </c>
      <c r="B24" s="6" t="inlineStr">
        <is>
          <t>-</t>
        </is>
      </c>
      <c r="C24" s="6" t="inlineStr">
        <is>
          <t>-</t>
        </is>
      </c>
      <c r="D24" s="6" t="inlineStr">
        <is>
          <t>-</t>
        </is>
      </c>
      <c r="E24" s="6" t="inlineStr">
        <is>
          <t>-</t>
        </is>
      </c>
      <c r="F24" s="6" t="n"/>
      <c r="G24" s="6" t="n"/>
    </row>
    <row r="25">
      <c r="A25" s="6" t="inlineStr">
        <is>
          <t>10    Global systemically important Institution buffer (%)</t>
        </is>
      </c>
      <c r="B25" s="6" t="inlineStr">
        <is>
          <t>-</t>
        </is>
      </c>
      <c r="C25" s="6" t="inlineStr">
        <is>
          <t>-</t>
        </is>
      </c>
      <c r="D25" s="6" t="inlineStr">
        <is>
          <t>-</t>
        </is>
      </c>
      <c r="E25" s="6" t="inlineStr">
        <is>
          <t>-</t>
        </is>
      </c>
      <c r="F25" s="6" t="n"/>
      <c r="G25" s="6" t="n"/>
    </row>
    <row r="26">
      <c r="A26" s="6" t="inlineStr">
        <is>
          <t>UK 10a    Other systemically important Institution buffer</t>
        </is>
      </c>
      <c r="B26" s="6" t="inlineStr">
        <is>
          <t>-</t>
        </is>
      </c>
      <c r="C26" s="6" t="inlineStr">
        <is>
          <t>-</t>
        </is>
      </c>
      <c r="D26" s="6" t="inlineStr">
        <is>
          <t>-</t>
        </is>
      </c>
      <c r="E26" s="6" t="inlineStr">
        <is>
          <t>-</t>
        </is>
      </c>
      <c r="F26" s="6" t="n"/>
      <c r="G26" s="6" t="n"/>
    </row>
    <row r="27">
      <c r="A27" s="6" t="inlineStr">
        <is>
          <t>11    Combined buffer requirement (%)</t>
        </is>
      </c>
      <c r="B27" s="6" t="inlineStr">
        <is>
          <t>4.5%</t>
        </is>
      </c>
      <c r="C27" s="6" t="inlineStr">
        <is>
          <t>4.5%</t>
        </is>
      </c>
      <c r="D27" s="6" t="inlineStr">
        <is>
          <t>4.5%</t>
        </is>
      </c>
      <c r="E27" s="6" t="inlineStr">
        <is>
          <t>3.5%</t>
        </is>
      </c>
      <c r="F27" s="6" t="n"/>
      <c r="G27" s="6" t="n"/>
    </row>
    <row r="28">
      <c r="A28" s="6" t="inlineStr">
        <is>
          <t>UK 11a    Overall capital requirements (%)</t>
        </is>
      </c>
      <c r="B28" s="6" t="inlineStr">
        <is>
          <t>16.6%</t>
        </is>
      </c>
      <c r="C28" s="6" t="inlineStr">
        <is>
          <t>16.4%</t>
        </is>
      </c>
      <c r="D28" s="6" t="inlineStr">
        <is>
          <t>16.4%</t>
        </is>
      </c>
      <c r="E28" s="6" t="inlineStr">
        <is>
          <t>21.8%</t>
        </is>
      </c>
      <c r="F28" s="6" t="n"/>
      <c r="G28" s="6" t="n"/>
    </row>
    <row r="29">
      <c r="A29" s="6" t="inlineStr">
        <is>
          <t>12    CET1 available after meeting the total SREP own funds requirements (%)</t>
        </is>
      </c>
      <c r="B29" s="6" t="inlineStr">
        <is>
          <t>9.7%</t>
        </is>
      </c>
      <c r="C29" s="6" t="inlineStr">
        <is>
          <t>12.1%</t>
        </is>
      </c>
      <c r="D29" s="6" t="inlineStr">
        <is>
          <t>13.8%</t>
        </is>
      </c>
      <c r="E29" s="6" t="inlineStr">
        <is>
          <t>16.1%</t>
        </is>
      </c>
      <c r="F29" s="6" t="n"/>
      <c r="G29" s="6" t="n"/>
    </row>
    <row r="30">
      <c r="A30" s="5" t="inlineStr">
        <is>
          <t>Leverage ratio</t>
        </is>
      </c>
      <c r="B30" s="6" t="n"/>
      <c r="C30" s="6" t="n"/>
      <c r="D30" s="6" t="n"/>
      <c r="E30" s="6" t="n"/>
      <c r="F30" s="6" t="n"/>
      <c r="G30" s="6" t="n"/>
    </row>
    <row r="31">
      <c r="A31" s="6" t="inlineStr">
        <is>
          <t>13    Total exposure measure excluding claims on central banks (£m)</t>
        </is>
      </c>
      <c r="B31" s="6" t="n">
        <v>3299.2</v>
      </c>
      <c r="C31" s="6" t="n">
        <v>2482.6</v>
      </c>
      <c r="D31" s="6" t="n">
        <v>2489.5</v>
      </c>
      <c r="E31" s="6" t="n">
        <v>2284.8</v>
      </c>
      <c r="F31" s="6" t="n"/>
      <c r="G31" s="6" t="n"/>
    </row>
    <row r="32">
      <c r="A32" s="6" t="inlineStr">
        <is>
          <t>14    Leverage ratio excluding claims on central banks (%)</t>
        </is>
      </c>
      <c r="B32" s="6" t="inlineStr">
        <is>
          <t>12.1%</t>
        </is>
      </c>
      <c r="C32" s="6" t="inlineStr">
        <is>
          <t>13.9%</t>
        </is>
      </c>
      <c r="D32" s="6" t="inlineStr">
        <is>
          <t>16.4%</t>
        </is>
      </c>
      <c r="E32" s="6" t="inlineStr">
        <is>
          <t>21.0%</t>
        </is>
      </c>
      <c r="F32" s="6" t="n"/>
      <c r="G32" s="6" t="n"/>
    </row>
    <row r="33">
      <c r="A33" s="5" t="inlineStr">
        <is>
          <t>Additional leverage ratio disclosure requirements</t>
        </is>
      </c>
      <c r="B33" s="6" t="n"/>
      <c r="C33" s="6" t="n"/>
      <c r="D33" s="6" t="n"/>
      <c r="E33" s="6" t="n"/>
      <c r="F33" s="6" t="n"/>
      <c r="G33" s="6" t="n"/>
    </row>
    <row r="34">
      <c r="A34" s="6" t="inlineStr">
        <is>
          <t>14a    Fully loaded ECL accounting model leverage ratio excluding claims on central banks (%)</t>
        </is>
      </c>
      <c r="B34" s="6" t="n"/>
      <c r="C34" s="6" t="inlineStr">
        <is>
          <t>-</t>
        </is>
      </c>
      <c r="D34" s="6" t="inlineStr">
        <is>
          <t>-</t>
        </is>
      </c>
      <c r="E34" s="6" t="inlineStr">
        <is>
          <t>-</t>
        </is>
      </c>
      <c r="F34" s="6" t="n"/>
      <c r="G34" s="6" t="n"/>
    </row>
    <row r="35">
      <c r="A35" s="6" t="inlineStr">
        <is>
          <t>14b    Leverage ratio including claims on central banks (%)</t>
        </is>
      </c>
      <c r="B35" s="6" t="n"/>
      <c r="C35" s="6" t="inlineStr">
        <is>
          <t>-</t>
        </is>
      </c>
      <c r="D35" s="6" t="inlineStr">
        <is>
          <t>-</t>
        </is>
      </c>
      <c r="E35" s="6" t="inlineStr">
        <is>
          <t>-</t>
        </is>
      </c>
      <c r="F35" s="6" t="n"/>
      <c r="G35" s="6" t="n"/>
    </row>
    <row r="36">
      <c r="A36" s="6" t="inlineStr">
        <is>
          <t>14c    Average leverage ratio excluding claims on central banks (%)</t>
        </is>
      </c>
      <c r="B36" s="6" t="n"/>
      <c r="C36" s="6" t="inlineStr">
        <is>
          <t>-</t>
        </is>
      </c>
      <c r="D36" s="6" t="inlineStr">
        <is>
          <t>-</t>
        </is>
      </c>
      <c r="E36" s="6" t="inlineStr">
        <is>
          <t>-</t>
        </is>
      </c>
      <c r="F36" s="6" t="n"/>
      <c r="G36" s="6" t="n"/>
    </row>
    <row r="37">
      <c r="A37" s="6" t="inlineStr">
        <is>
          <t>14d    Average leverage ratio including claims on central banks (%)</t>
        </is>
      </c>
      <c r="B37" s="6" t="n"/>
      <c r="C37" s="6" t="inlineStr">
        <is>
          <t>-</t>
        </is>
      </c>
      <c r="D37" s="6" t="inlineStr">
        <is>
          <t>-</t>
        </is>
      </c>
      <c r="E37" s="6" t="inlineStr">
        <is>
          <t>-</t>
        </is>
      </c>
      <c r="F37" s="6" t="n"/>
      <c r="G37" s="6" t="n"/>
    </row>
    <row r="38">
      <c r="A38" s="6" t="inlineStr">
        <is>
          <t>14e    Countercyclical leverage ratio buffer (%)</t>
        </is>
      </c>
      <c r="B38" s="6" t="n"/>
      <c r="C38" s="6" t="inlineStr">
        <is>
          <t>-</t>
        </is>
      </c>
      <c r="D38" s="6" t="inlineStr">
        <is>
          <t>-</t>
        </is>
      </c>
      <c r="E38" s="6" t="inlineStr">
        <is>
          <t>-</t>
        </is>
      </c>
      <c r="F38" s="6" t="n"/>
      <c r="G38" s="6" t="n"/>
    </row>
    <row r="39">
      <c r="A39" s="5" t="inlineStr">
        <is>
          <t>Liquidity coverage ratio</t>
        </is>
      </c>
      <c r="B39" s="6" t="n"/>
      <c r="C39" s="6" t="n"/>
      <c r="D39" s="6" t="n"/>
      <c r="E39" s="6" t="n"/>
      <c r="F39" s="6" t="n"/>
      <c r="G39" s="6" t="n"/>
    </row>
    <row r="40">
      <c r="A40" s="6" t="inlineStr">
        <is>
          <t>15    Total high-quality liquid assets (HQLA) (weighted value - average) (£m)</t>
        </is>
      </c>
      <c r="B40" s="6" t="n">
        <v>930</v>
      </c>
      <c r="C40" s="6" t="n">
        <v>802</v>
      </c>
      <c r="D40" s="6" t="n">
        <v>512</v>
      </c>
      <c r="E40" s="6" t="n">
        <v>383.2</v>
      </c>
      <c r="F40" s="6" t="n"/>
      <c r="G40" s="6" t="n"/>
    </row>
    <row r="41">
      <c r="A41" s="6" t="inlineStr">
        <is>
          <t>UK 16a    Cash outflows - total weighted value (£m)</t>
        </is>
      </c>
      <c r="B41" s="6" t="n">
        <v>322.1</v>
      </c>
      <c r="C41" s="6" t="n">
        <v>194.8</v>
      </c>
      <c r="D41" s="6" t="n">
        <v>154.9</v>
      </c>
      <c r="E41" s="6" t="n">
        <v>110.7</v>
      </c>
      <c r="F41" s="6" t="n"/>
      <c r="G41" s="6" t="n"/>
    </row>
    <row r="42">
      <c r="A42" s="6" t="inlineStr">
        <is>
          <t>UK 16b    Cash inflows - total weighted value (£m)</t>
        </is>
      </c>
      <c r="B42" s="6" t="n">
        <v>72.7</v>
      </c>
      <c r="C42" s="6" t="n">
        <v>78.3</v>
      </c>
      <c r="D42" s="6" t="n">
        <v>80.3</v>
      </c>
      <c r="E42" s="6" t="n">
        <v>65.5</v>
      </c>
      <c r="F42" s="6" t="n"/>
      <c r="G42" s="6" t="n"/>
    </row>
    <row r="43">
      <c r="A43" s="6" t="inlineStr">
        <is>
          <t>16    Total net cash outflows (adjusted value) (£m)</t>
        </is>
      </c>
      <c r="B43" s="6" t="n">
        <v>249.4</v>
      </c>
      <c r="C43" s="6" t="n">
        <v>116.4</v>
      </c>
      <c r="D43" s="6" t="n">
        <v>74.7</v>
      </c>
      <c r="E43" s="6" t="n">
        <v>48</v>
      </c>
      <c r="F43" s="6" t="n"/>
      <c r="G43" s="6" t="n"/>
    </row>
    <row r="44">
      <c r="A44" s="6" t="inlineStr">
        <is>
          <t>17    Liquidity coverage ratio (%)</t>
        </is>
      </c>
      <c r="B44" s="6" t="inlineStr">
        <is>
          <t>391.6%</t>
        </is>
      </c>
      <c r="C44" s="6" t="inlineStr">
        <is>
          <t>1,001.2%</t>
        </is>
      </c>
      <c r="D44" s="6" t="inlineStr">
        <is>
          <t>847.1%</t>
        </is>
      </c>
      <c r="E44" s="6" t="inlineStr">
        <is>
          <t>986.2%</t>
        </is>
      </c>
      <c r="F44" s="6" t="n"/>
      <c r="G44" s="6" t="n"/>
    </row>
    <row r="45">
      <c r="A45" s="5" t="inlineStr">
        <is>
          <t>Net stable funding ratio</t>
        </is>
      </c>
      <c r="B45" s="6" t="n"/>
      <c r="C45" s="6" t="n"/>
      <c r="D45" s="6" t="n"/>
      <c r="E45" s="6" t="n"/>
      <c r="F45" s="6" t="n"/>
      <c r="G45" s="6" t="n"/>
    </row>
    <row r="46">
      <c r="A46" s="6" t="inlineStr">
        <is>
          <t>18    Total available stable funding (£m)</t>
        </is>
      </c>
      <c r="B46" s="6" t="n"/>
      <c r="C46" s="6" t="inlineStr">
        <is>
          <t>-</t>
        </is>
      </c>
      <c r="D46" s="6" t="n">
        <v>2611.7</v>
      </c>
      <c r="E46" s="6" t="n">
        <v>2322.9</v>
      </c>
      <c r="F46" s="6" t="n"/>
      <c r="G46" s="6" t="n"/>
    </row>
    <row r="47">
      <c r="A47" s="6" t="inlineStr">
        <is>
          <t>19    Total required stable funding (£m)</t>
        </is>
      </c>
      <c r="B47" s="6" t="n"/>
      <c r="C47" s="6" t="inlineStr">
        <is>
          <t>-</t>
        </is>
      </c>
      <c r="D47" s="6" t="n">
        <v>1828.1</v>
      </c>
      <c r="E47" s="6" t="n">
        <v>1652.3</v>
      </c>
      <c r="F47" s="6" t="n"/>
      <c r="G47" s="6" t="n"/>
    </row>
    <row r="48">
      <c r="A48" s="6" t="inlineStr">
        <is>
          <t>20    NSFR ratio (%)</t>
        </is>
      </c>
      <c r="B48" s="6" t="n"/>
      <c r="C48" s="6" t="inlineStr">
        <is>
          <t>-</t>
        </is>
      </c>
      <c r="D48" s="6" t="inlineStr">
        <is>
          <t>142.8%</t>
        </is>
      </c>
      <c r="E48" s="6" t="inlineStr">
        <is>
          <t>140.6%</t>
        </is>
      </c>
      <c r="F48" s="6" t="n"/>
      <c r="G48" s="6" t="n"/>
    </row>
    <row r="49">
      <c r="A49" s="5" t="inlineStr">
        <is>
          <t>BLOCK 2 - 'Table 1: Summary of key metrics' as printed in the FY2021 edition (Provident Financial plc, consolidated - the same continuous listed entity, renamed Vanquis Banking Group plc in 2021). UNNUMBERED: no row numbers are shown below because the Group printed none, and attaching the UK template's numbers would assert a correspondence it never published. This table carries no SREP block, no buffer-detail beyond two rows, no HQLA/cash-flow components and no NSFR. FY2020 is this same table's own 31-Dec-20 comparative column.</t>
        </is>
      </c>
      <c r="B49" s="6" t="n"/>
      <c r="C49" s="6" t="n"/>
      <c r="D49" s="6" t="n"/>
      <c r="E49" s="6" t="n"/>
      <c r="F49" s="6" t="n"/>
      <c r="G49" s="6" t="n"/>
    </row>
    <row r="50">
      <c r="A50" s="5" t="inlineStr">
        <is>
          <t>Available own funds (amounts)</t>
        </is>
      </c>
      <c r="B50" s="6" t="n"/>
      <c r="C50" s="6" t="n"/>
      <c r="D50" s="6" t="n"/>
      <c r="E50" s="6" t="n"/>
      <c r="F50" s="6" t="n"/>
      <c r="G50" s="6" t="n"/>
    </row>
    <row r="51">
      <c r="A51" s="6" t="inlineStr">
        <is>
          <t>Common Equity Tier 1 (CET1) capital (£m)</t>
        </is>
      </c>
      <c r="B51" s="6" t="n"/>
      <c r="C51" s="6" t="n"/>
      <c r="D51" s="6" t="n"/>
      <c r="E51" s="6" t="n"/>
      <c r="F51" s="6" t="n">
        <v>506.5</v>
      </c>
      <c r="G51" s="6" t="n">
        <v>674.8</v>
      </c>
    </row>
    <row r="52">
      <c r="A52" s="6" t="inlineStr">
        <is>
          <t>Tier 1 capital (£m)</t>
        </is>
      </c>
      <c r="B52" s="6" t="n"/>
      <c r="C52" s="6" t="n"/>
      <c r="D52" s="6" t="n"/>
      <c r="E52" s="6" t="n"/>
      <c r="F52" s="6" t="n">
        <v>506.5</v>
      </c>
      <c r="G52" s="6" t="n">
        <v>674.8</v>
      </c>
    </row>
    <row r="53">
      <c r="A53" s="6" t="inlineStr">
        <is>
          <t>Total capital (£m)</t>
        </is>
      </c>
      <c r="B53" s="6" t="n"/>
      <c r="C53" s="6" t="n"/>
      <c r="D53" s="6" t="n"/>
      <c r="E53" s="6" t="n"/>
      <c r="F53" s="6" t="n">
        <v>706.5</v>
      </c>
      <c r="G53" s="6" t="n">
        <v>674.8</v>
      </c>
    </row>
    <row r="54">
      <c r="A54" s="5" t="inlineStr">
        <is>
          <t>Risk weighted exposure amounts</t>
        </is>
      </c>
      <c r="B54" s="6" t="n"/>
      <c r="C54" s="6" t="n"/>
      <c r="D54" s="6" t="n"/>
      <c r="E54" s="6" t="n"/>
      <c r="F54" s="6" t="n"/>
      <c r="G54" s="6" t="n"/>
    </row>
    <row r="55">
      <c r="A55" s="6" t="inlineStr">
        <is>
          <t>Total risk weighted exposure amount (£m)</t>
        </is>
      </c>
      <c r="B55" s="6" t="n"/>
      <c r="C55" s="6" t="n"/>
      <c r="D55" s="6" t="n"/>
      <c r="E55" s="6" t="n"/>
      <c r="F55" s="6" t="n">
        <v>1740.6</v>
      </c>
      <c r="G55" s="6" t="n">
        <v>1973.5</v>
      </c>
    </row>
    <row r="56">
      <c r="A56" s="5" t="inlineStr">
        <is>
          <t>Capital ratios (as a percentage of risk-weighted exposure amount)</t>
        </is>
      </c>
      <c r="B56" s="6" t="n"/>
      <c r="C56" s="6" t="n"/>
      <c r="D56" s="6" t="n"/>
      <c r="E56" s="6" t="n"/>
      <c r="F56" s="6" t="n"/>
      <c r="G56" s="6" t="n"/>
    </row>
    <row r="57">
      <c r="A57" s="6" t="inlineStr">
        <is>
          <t>Common Equity Tier 1 ratio (%)</t>
        </is>
      </c>
      <c r="B57" s="6" t="n"/>
      <c r="C57" s="6" t="n"/>
      <c r="D57" s="6" t="n"/>
      <c r="E57" s="6" t="n"/>
      <c r="F57" s="6" t="inlineStr">
        <is>
          <t>29.1%</t>
        </is>
      </c>
      <c r="G57" s="6" t="inlineStr">
        <is>
          <t>34.2%</t>
        </is>
      </c>
    </row>
    <row r="58">
      <c r="A58" s="6" t="inlineStr">
        <is>
          <t>Tier 1 ratio (%)</t>
        </is>
      </c>
      <c r="B58" s="6" t="n"/>
      <c r="C58" s="6" t="n"/>
      <c r="D58" s="6" t="n"/>
      <c r="E58" s="6" t="n"/>
      <c r="F58" s="6" t="inlineStr">
        <is>
          <t>29.1%</t>
        </is>
      </c>
      <c r="G58" s="6" t="inlineStr">
        <is>
          <t>34.2%</t>
        </is>
      </c>
    </row>
    <row r="59">
      <c r="A59" s="6" t="inlineStr">
        <is>
          <t>Total capital ratio (%)</t>
        </is>
      </c>
      <c r="B59" s="6" t="n"/>
      <c r="C59" s="6" t="n"/>
      <c r="D59" s="6" t="n"/>
      <c r="E59" s="6" t="n"/>
      <c r="F59" s="6" t="inlineStr">
        <is>
          <t>40.6%</t>
        </is>
      </c>
      <c r="G59" s="6" t="inlineStr">
        <is>
          <t>34.2%</t>
        </is>
      </c>
    </row>
    <row r="60">
      <c r="A60" s="5" t="inlineStr">
        <is>
          <t>Additional CET1 buffer requirements as a percentage of RWA</t>
        </is>
      </c>
      <c r="B60" s="6" t="n"/>
      <c r="C60" s="6" t="n"/>
      <c r="D60" s="6" t="n"/>
      <c r="E60" s="6" t="n"/>
      <c r="F60" s="6" t="n"/>
      <c r="G60" s="6" t="n"/>
    </row>
    <row r="61">
      <c r="A61" s="6" t="inlineStr">
        <is>
          <t>Capital conservation buffer (%)</t>
        </is>
      </c>
      <c r="B61" s="6" t="n"/>
      <c r="C61" s="6" t="n"/>
      <c r="D61" s="6" t="n"/>
      <c r="E61" s="6" t="n"/>
      <c r="F61" s="6" t="inlineStr">
        <is>
          <t>2.5%</t>
        </is>
      </c>
      <c r="G61" s="6" t="inlineStr">
        <is>
          <t>2.5%</t>
        </is>
      </c>
    </row>
    <row r="62">
      <c r="A62" s="6" t="inlineStr">
        <is>
          <t>Countercyclical capital buffer (%)</t>
        </is>
      </c>
      <c r="B62" s="6" t="n"/>
      <c r="C62" s="6" t="n"/>
      <c r="D62" s="6" t="n"/>
      <c r="E62" s="6" t="n"/>
      <c r="F62" s="6" t="inlineStr">
        <is>
          <t>0.0%</t>
        </is>
      </c>
      <c r="G62" s="6" t="inlineStr">
        <is>
          <t>0.0%</t>
        </is>
      </c>
    </row>
    <row r="63">
      <c r="A63" s="6" t="inlineStr">
        <is>
          <t>Total of CET1 specific buffer requirements (%)</t>
        </is>
      </c>
      <c r="B63" s="6" t="n"/>
      <c r="C63" s="6" t="n"/>
      <c r="D63" s="6" t="n"/>
      <c r="E63" s="6" t="n"/>
      <c r="F63" s="6" t="inlineStr">
        <is>
          <t>2.5%</t>
        </is>
      </c>
      <c r="G63" s="6" t="inlineStr">
        <is>
          <t>2.5%</t>
        </is>
      </c>
    </row>
    <row r="64">
      <c r="A64" s="5" t="inlineStr">
        <is>
          <t>Leverage ratio</t>
        </is>
      </c>
      <c r="B64" s="6" t="n"/>
      <c r="C64" s="6" t="n"/>
      <c r="D64" s="6" t="n"/>
      <c r="E64" s="6" t="n"/>
      <c r="F64" s="6" t="n"/>
      <c r="G64" s="6" t="n"/>
    </row>
    <row r="65">
      <c r="A65" s="6" t="inlineStr">
        <is>
          <t>Leverage ratio total exposure measure (£m)</t>
        </is>
      </c>
      <c r="B65" s="6" t="n"/>
      <c r="C65" s="6" t="n"/>
      <c r="D65" s="6" t="n"/>
      <c r="E65" s="6" t="n"/>
      <c r="F65" s="6" t="n">
        <v>2798</v>
      </c>
      <c r="G65" s="6" t="n">
        <v>3236.7</v>
      </c>
    </row>
    <row r="66">
      <c r="A66" s="6" t="inlineStr">
        <is>
          <t>Leverage ratio</t>
        </is>
      </c>
      <c r="B66" s="6" t="n"/>
      <c r="C66" s="6" t="n"/>
      <c r="D66" s="6" t="n"/>
      <c r="E66" s="6" t="n"/>
      <c r="F66" s="6" t="inlineStr">
        <is>
          <t>18.1%</t>
        </is>
      </c>
      <c r="G66" s="6" t="inlineStr">
        <is>
          <t>20.8%</t>
        </is>
      </c>
    </row>
    <row r="67">
      <c r="A67" s="5" t="inlineStr">
        <is>
          <t>Liquidity coverage ratio (LCR)</t>
        </is>
      </c>
      <c r="B67" s="6" t="n"/>
      <c r="C67" s="6" t="n"/>
      <c r="D67" s="6" t="n"/>
      <c r="E67" s="6" t="n"/>
      <c r="F67" s="6" t="n"/>
      <c r="G67" s="6" t="n"/>
    </row>
    <row r="68">
      <c r="A68" s="6" t="inlineStr">
        <is>
          <t>Liquidity coverage ratio</t>
        </is>
      </c>
      <c r="B68" s="6" t="n"/>
      <c r="C68" s="6" t="n"/>
      <c r="D68" s="6" t="n"/>
      <c r="E68" s="6" t="n"/>
      <c r="F68" s="6" t="inlineStr">
        <is>
          <t>2,073%</t>
        </is>
      </c>
      <c r="G68" s="6" t="inlineStr">
        <is>
          <t>2,830%</t>
        </is>
      </c>
    </row>
    <row r="70" ht="409" customHeight="1">
      <c r="A70" s="8" t="inlineStr">
        <is>
          <t>Sources - the Group's own published key-metrics table, one edition per year, each year taken from the edition in which it is the REPORTING year. Printed folio numbers as stated in each document's own page footer - NOTE THE OFFSET FROM THE PDF SHEET INDEX IS NOT CONSTANT (-2 in the FY2021-FY2024 editions, 0 in the FY2025 one), so these are the printed folios, not PDF page numbers:
FY2025: Vanquis Banking Group plc Pillar 3 Disclosures - 31 December 2025, 'UK KM1 - Key metrics template', printed p.7 (31 Dec 25 column) - https://www.vanquis.com/wp-content/uploads/2026/02/DEC25_VANQ_Pillar-3-Disclosure_Annual_FINAL.pdf
FY2024: Vanquis Banking Group plc Pillar 3 Disclosures - 31 December 2024, section 2.2 'UK KM1 - Key metrics template', printed pp.5-6 (31 Dec 24 column; the table breaks across two pages, liquidity and NSFR rows continue on p.6) - https://www.vanquis.com/wp-content/uploads/2025/05/Vanquis_Banking_Group_plc_Pillar_3_Disclosures_2024.pdf
FY2023: Vanquis Banking Group plc Pillar 3 Disclosures - 31 December 2023, section 2.2, printed pp.4-5 (31 Dec 23 column) - https://www.vanquis.com/wp-content/uploads/2025/05/04-04-24_Pillar-3-Disclosures-2023.pdf
FY2022: Vanquis Banking Group plc Pillar 3 Disclosures - 31 December 2022, section 2.2, printed pp.4-5 (31 Dec 22 column) - https://www.vanquis.com/wp-content/uploads/2025/05/12-04-23_Pillar-3-Disclosures-2022.pdf
FY2021: Provident Financial plc Pillar 3 Disclosures - 31 December 2021, section 1.6 'Table 1: Summary of key metrics', printed p.2 (2021 column) - https://www.vanquis.com/wp-content/uploads/2025/05/Provident_Financial_plc_Pillar_3_Disclosures_2021.pdf
FY2020: the SAME Table 1, printed p.2 of the FY2021 edition, taken from its 2020 COMPARATIVE column - https://www.vanquis.com/wp-content/uploads/2025/05/Provident_Financial_plc_Pillar_3_Disclosures_2021.pdf. The Group's own FY2020 Pillar 3 document publishes no key-metrics table of any kind (see below), so there is no original to displace; the column is filled from the only place the Group has ever published these figures together, and is flagged here as a comparative rather than an own-edition column. Both columns of that table are Provident Financial plc consolidated, so no entity boundary is crossed.
FY2019, FY2018, FY2017, FY2016, FY2015, FY2014: BLANK - no key-metrics table exists for these dates in any edition, on any basis. Not a sourcing gap; see the evidence below.
THREE COLUMNS PER EDITION, ONE USED. Each UK KM1 edition prints three columns - the year-end, the preceding 30 June, and the prior year-end (e.g. '31 Dec 25 | 30 Jun 25 | 31 Dec 24'). Only the year-end column of each edition's OWN reporting date is taken. The half-year columns are not reproduced (this workbook has no Interim Pillar 3 sheet), and the prior-year columns are not used because each of those years has its own edition here.
FY2022 SOURCE CORRECTED 2026-09-17 (KM1-030): the Group's OWN FY2022 Pillar 3 Disclosures document exists and is live on vanquis.com (https://www.vanquis.com/wp-content/uploads/2025/05/12-04-23_Pillar-3-Disclosures-2022.pdf); until now every FY2022 Pillar 3 figure in this workbook was taken from the FY2023 document's 31-Dec-22 comparative column instead. All 28 rows of the two UK KM1 columns were compared row by row and they are IDENTICAL except the three net stable funding ratio rows - the FY2022 edition's own column prints available stable funding 2,322.9, required stable funding 1,652.3 and NSFR 140.6%, against 2,198.0 / 1,565.7 / 140.4% in the FY2023 edition's comparative. Per the use-each-year's-own-edition rule those three cells now come from the FY2022 edition; every other FY2022 Pillar 3 figure in this workbook is unchanged and is now independently confirmed by its own edition.
WHY FY2019 AND EARLIER ARE BLANK - POSITIVE EVIDENCE, NOT A FAILED SEARCH. The FY2021 edition states in its own section 1.4 that the 'summary of key metrics' table is one of 'four new tables within this document compared to the prior year Pillar 3 disclosures' - i.e. the Group introduced it in FY2021, and the UK KM1 template proper arrived with the FY2022 edition under the PRA Rulebook. Corroborated by reading the documents: the FY2014, FY2015, FY2017, FY2018, FY2019 and FY2020 editions were each searched case-insensitively and contain ZERO occurrences of 'KM1' and ZERO of 'key metric', while the same extractions are rich in neighbouring terms (capital 130-182 hits, ratio 38-108, leverage 12-31, buffer 31-50 per edition) - so the zeros are facts about the documents, not about the search. `pdfimages -list` over all six returns no embedded raster larger than 300x200 anywhere, so no table is hiding inside a bitmap either. FY2016's own document (P3_2016_URL, a complete capture on the renamed vanquisbankinggroup.com domain found 2026-09-19; the providentfinancial.com capture is truncated at 1,048,576 bytes) was read in full on 2026-09-19: 24pp, zero 'KM1' and zero 'key metric', no key-metrics table - consistent with FY2015 and FY2017. CORRECTION TO THE SURVEY INVENTORY: research/km1_inventory.jsonl records the FY2019 edition as KM1_PRESENT on the strength of a header block reading '- - EU14a'. It is not a KM1. Those EU14a/EU-15a/EU-19a tokens are rows of the EU LRCom leverage-ratio common disclosure template ('EU-14a Derogation for SFTs...', 'Total leverage ratio exposures (sum of lines 3, 11, 16, 19, EU-19a and EU-19b)'), which the FY2018, FY2019 and FY2020 editions all print.</t>
        </is>
      </c>
    </row>
    <row r="72" ht="409" customHeight="1">
      <c r="A72" s="8" t="inlineStr">
        <is>
          <t>(continued)
ZERO GLYPHS AND 'n/a' - THREE DIFFERENT STATES, ALL PRESERVED. A HYPHEN IS NOT A ZERO AND NOT A BLANK: rows UK 8a, UK 9a, 10 and UK 10a are printed as '-' in every column of every UK KM1 edition and CARRY that hyphen here, each year taken from column 'a' (31 December) of its own edition. The literal string 'n/a' is what the FY2022, FY2023 and FY2024 editions print on rows 14a-14e; under KM1 map rule 2 the cell carries the plain ASCII '-' and THIS NOTE records that the printed glyph was 'n/a' (page images re-read 2026-09-19, GA-020) rather than blanking it - those editions say 'cells not required have been left blank or indicated as not applicable' and that only LREQ firms complete rows 14a-14e. The FY2025 edition instead OMITS rows 14a-14e altogether, which is a different fact again and is shown as a blank. Printed zeros are kept as zeros: the FY2021 edition's countercyclical capital buffer reads '0.0%' for both 2021 and 2020.
NSFR ROWS 18-20: A FORMAL EXCLUSION, NOT AN ABSENCE. The FY2024 edition prints an em dash on all three rows for 31 Dec 24 and 30 Jun 24 and explains why in its own footnote 3: 'In March 2024, the Group received confirmation that it is now a Small Domestic Deposit Taker consolidation entity. As a result, the Group is not required to report the NSFR from the 30 June 2024 reporting date onwards.' The FY2025 edition drops the block entirely and cites the rule: 'With effect from 1 July 2024, paragraph 447(g) of the Rulebook is disapplied for SDDTs and SDDT consolidation entities by Chapter 5 of the Liquidity (CRR).' Both are consistent with the PRA waivers-register evidence already recorded on the NSFR sheet (FRN 221156, Rule 3.1, start date 13/03/2024).
THE 1 JANUARY 2022 LEVERAGE BASIS BREAK (why Block 2's leverage rows must never be read across to Block 1's rows 13/14). Block 2's 'Leverage ratio' is the pre-2022 CRR Article 429 measure INCLUDING claims on central banks - 506.5 / 2,798.0 = 18.1% for 2021, which foots. Block 1's rows 13/14 are the UK basis EXCLUDING claims on central banks. A SOURCE DEFECT WORTH KNOWING ABOUT, recorded and not used: the FY2022 edition's own 31-Dec-21 comparative column claims to have 'recalculated' that year onto the new basis and prints row 14 = 21.3%, while leaving row 13 at the unchanged 2,798.0 - and 506.5 / 2,798.0 cannot produce 21.3%. That comparative column is internally inconsistent; FY2021 here comes from its own edition, which is not.
A KNOWN AND DELIBERATE DISAGREEMENT WITH THE LCR SHEET, FY2020 - DO NOT RECONCILE IT. Block 2's FY2020 LCR reads 2,830%, which is the figure the FY2020 edition itself states in prose ('The Group's LCR at 31 December 2020 was 2,830%') and which the FY2021 edition's Table 1 then reproduces as its 2020 comparative. The LCR sheet in this workbook carries 1,756% for FY2020, which is the Q4 2020 figure from that same FY2020 document's quarterly table - explicitly 'the average of the 12 months preceding the quarter end stated', with liquidity buffer GBP842m and net cash outflows GBP64m, the two figures the LCR sheet's other rows carry. Point-in-time against 12-month average: two bases, both published by the same document, neither wrong. The cross-check in verify_workbook.py reports this pair as a disagreement; it is a real basis divergence and is recorded here rather than smoothed away.
INDEPENDENT CONFIRMATION OF THE FY2025 COLUMN AT NO COST. The Group's 1H26 half-year Pillar 3 (https://www.vanquis.com/wp-content/uploads/2026/07/Vanquis-Banking-Group-PLC-Pillar-3-Disclosures-1H26.pdf, printed p.3) reproduces the whole 31-Dec-25 column as its own comparative, row for row and digit for digit, against the FY2025 annual edition transcribed above. That half-year edition is not otherwise used in this workbook, which carries no Interim Pillar 3 sheet.
LATEST-EDITION CHECK 2026-09-17 against the Group's own website (not Wayback, not previously cited URLs). vanquis.com's home page returns HTTP 403 behind a WAF, so the document index was reached via vanquis.com/robots.txt -&gt; sitemap_index.xml -&gt; page-sitemap.xml -&gt; /investors/results-reports-presentations/, which is static HTML and carries the document links. Newest ANNUAL Pillar 3 published = 31 December 2025 (already cited above); newest Group Annual Report = 2025; newest Vanquis Bank Limited statutory accounts = 2025 (already cited on the Cash Flow Statement sheet). Nothing newer exists on any document type. A 1H26 half-year Pillar 3 has been published since this workbook was last extended, but it adds no new financial year.
ENTITY NOTE: Vanquis Bank Limited (company number 02558509, FRN 221156) is the PRA-authorised entity and the principal banking subsidiary of the listed Vanquis Banking Group plc (renamed from Provident Financial plc in 2021 - the Bank's own name has not changed). The Cash Flow Statement sheet is on Vanquis Bank Limited's own entity-level (Company) basis. Pillar 3 disclosures, however, are published ONLY at the wider Vanquis Banking Group plc consolidated level - the Group's Pillar 3 Disclosure Policy states explicitly that disclosures 'cover the Group as a whole' with no separate Bank-only breakout (unlike some other banks in this workbook series, e.g. Clydesdale, where a dedicated Bank-level Pillar 3 appendix exists). On 31 December 2024 the Group's two principal trading entities were Vanquis Bank Limited (the Bank) and Moneybarn No.1 Limited (a non-bank vehicle finance lender) - so every Pillar 3 sheet in this workbook is on a basis that includes Moneybarn as well as the Bank, and is NOT directly comparable to the Bank-only Cash Flow Statement sheet. This is a structural limitation of what Vanquis publicly discloses, not a choice made in compiling this workbook.</t>
        </is>
      </c>
    </row>
    <row r="74" ht="409" customHeight="1">
      <c r="A74" s="8" t="inlineStr">
        <is>
          <t>(continued)
NO FY2020/FY2021 BOUNDARY - A TRAP RECORDED SO IT IS NOT RE-INTRODUCED (entity-basis sweep, 2026-09-16). The Vanquis Bank Limited Annual Report and Financial Statements 2021 contains the sentence 'As a result, with effect from 31 December 2020 the Company's individual disclosures have been aggregated into the consolidated Group Pillar 3 disclosures, which can be found on the Group's corporate website (www.providentfinancial.com)' (https://www.vanquis.com/wp-content/uploads/2025/05/Vanquis_Bank_Ltd_31_12_2021_Signed.pdf). Read in isolation that looks like proof that a Vanquis-Bank-level Pillar 3 existed up to FY2020 and then ceased. IT IS NOT. The sentence sits inside the Remuneration Committee paragraph and its subject is the CRD V REMUNERATION CODE annual disclosure statement, not the capital Pillar 3 - the two preceding sentences read 'Until 31 December 2019, the Company was required as part of the code to publish an annual disclosure statement on an individual basis, versions of which up to and including the 31 December 2019 disclosures can be found on the Company's website (www.vanquis.co.uk). Following the application of the CRD V Remuneration Code on the Group on a consolidated basis, the contents of the remuneration disclosure are required to reflect the policy and aggregated remuneration on a consolidated Group basis.' Corroboration: every 'individual' Pillar III document the Bank ever self-published on vanquis.co.uk is a Remuneration Code disclosure (2010, 2011, 2012, 2016, 2017 and 2018 editions survive in the Wayback Machine, e.g. https://web.archive.org/web/20190923204636id_/https://www.vanquis.co.uk/media/1394744/crr-2018-remuneration-code-pillar-iii-disclosure-final-min.pdf) - never a capital/RWA/leverage Pillar 3 - that 2018 edition's cover reads 'Vanquis Bank Limited / Capital Requirements Regulation (CRR) Pillar III &amp; 2018 Remuneration Code Disclosure' and both its pages are wholly about the Remuneration Committee. DEAD SOURCE URL (recorded 2026-09-16, nothing deleted): the originally published address of that 2018 disclosure was https://www.vanquis.co.uk/media/1394744/crr-2018-remuneration-code-pillar-iii-disclosure-final-min.pdf, which now 301-redirects to the vanquis.com homepage rather than serving the document; the Wayback Machine snapshot cited above is the only working form and returns the original bytes. The same 2021 Annual Report gives the real position in its financial and capital risk management section: 'the Group, consistent with other regulated financial institutions, is required to make annual Pillar 3 disclosures... The Group's full Pillar 3 disclosures can be found on the Group's website.' Every Provident Financial plc / Vanquis Banking Group plc Pillar 3 edition cited by this workbook (FY2014 through FY2025) was read end to end for this check and NONE contains a Vanquis Bank Limited solo or sub-consolidated capital section; e.g. the FY2017 edition's section 4.5 heads its capital table 'The CET1 and total capital ratios, as at 31 December, for the group are as follows', and the FY2021 edition's Table 1 and Appendix 1 Table 22 are both Group. The only entity-named figures in these documents are SEGMENTAL rows (e.g. the FY2021 edition's 'Vanquis Bank 1,091.5 / 836.6 / 66.9' exposure line), which are presented before consolidation adjustments and are not the Bank's statutory or regulatory figures either - they are not used here. CONCLUSION: the Pillar 3 sheets are uniformly Group-basis across ALL of FY2014-FY2025. Do not carve FY2021 onward out as 'not applicable' while leaving FY2014-FY2020 populated; there is no disclosure event at that boundary.</t>
        </is>
      </c>
    </row>
  </sheetData>
  <mergeCells count="3">
    <mergeCell ref="A72:G72"/>
    <mergeCell ref="A74:G74"/>
    <mergeCell ref="A70:G7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CET1 Capital</t>
        </is>
      </c>
    </row>
    <row r="2">
      <c r="A2" s="2" t="inlineStr">
        <is>
          <t>Vanquis Banking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341.3</v>
      </c>
      <c r="C4" s="6" t="n">
        <v>344.3</v>
      </c>
      <c r="D4" s="6" t="n">
        <v>409</v>
      </c>
      <c r="E4" s="6" t="n">
        <v>478.8</v>
      </c>
      <c r="F4" s="6" t="n">
        <v>506.5</v>
      </c>
      <c r="G4" s="6" t="n">
        <v>674.8</v>
      </c>
      <c r="H4" s="6" t="n">
        <v>697.2</v>
      </c>
      <c r="I4" s="6" t="n">
        <v>621.9</v>
      </c>
      <c r="J4" s="6" t="n">
        <v>308.1</v>
      </c>
      <c r="K4" s="6" t="n">
        <v>454.6</v>
      </c>
      <c r="L4" s="6" t="n">
        <v>386</v>
      </c>
      <c r="M4" s="6" t="n">
        <v>330</v>
      </c>
    </row>
    <row r="5" ht="52" customHeight="1">
      <c r="A5" s="7" t="inlineStr">
        <is>
          <t>Note: FY2014-FY2020: Provident Financial plc (Vanquis Bank's then-parent, the same continuous listed entity later renamed Vanquis Banking Group plc in 2021) had no Additional Tier 1 or Tier 2 capital in any of these years - CET1 = Tier 1 = Total capital exactly, unlike FY2021 onward which does carry Tier 2 capital. HISTORICAL NOTE (FY2014-FY2020, added under HD-050): sourced from Vanquis Bank Limited's own Companies House filing history (scanned Annual Report and Financial Statements PDFs, no text layer - transcribed via OCR then cross-checked against each year's own comparative column) and from Provident Financial plc's own Pillar 3 Disclosures (Provident Financial plc is the same continuous listed entity later renamed Vanquis Banking Group plc in 2021 - see entity note above). Extension capped at FY2014 project-wide per the historical-depth map's 2026-09-05 decision, even though this bank's own archive goes back further (HD-004 found signal to FY2010).</t>
        </is>
      </c>
    </row>
    <row r="7" ht="299" customHeight="1">
      <c r="A7"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Sources - Vanquis Banking Group plc (consolidated, includes Vanquis Bank Limited and Moneybarn No.1 Limited - see entity note on the Cash Flow Statement sheet) Pillar 3 basis:
FY2021: Pillar 3 Disclosures 2021, Table 22 (Appendix 1 - Own funds disclosures): Vanquis Banking Group plc Pillar 3 Disclosures, p.28 -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Pillar 3 Disclosures 31 December 2016, s.4.5 capital ratios (printed p.07) and s.4.6 leverage (printed p.08) - figures first taken from FY2017's comparative column and confirmed against this own edition 2026-09-19: Provident Financial plc Pillar 3 Disclosures, p.n/a - https://web.archive.org/web/20231022085735id_/https://www.vanquisbankinggroup.com/application/files/4916/1454/6696/pfg_pillar_3_report-31-december-2016.pdf
Sources - Provident Financial plc (consolidated - see historical note on the Cash Flow Statement sheet) Pillar 3 basis:
FY2015: Pillar 3 Disclosures 2015: Provident Financial plc Pillar 3 Disclosures, p.n/a - https://web.archive.org/web/20220703055435id_/https://www.providentfinancial.com/application/files/2416/1454/4505/pf-plc-2016-pillar-3-disclosures.pdf
Sources - Provident Financial plc (consolidated - see historical note on the Cash Flow Statement sheet) Pillar 3 basis:
FY2014: Pillar 3 Disclosures 2014: Provident Financial plc Pillar 3 Disclosures, p.n/a - https://web.archive.org/web/20220703025345id_/https://www.providentfinancial.com/application/files/9516/1437/2735/2015-pillar-iii-disclosures-april-2015.pdf</t>
        </is>
      </c>
    </row>
  </sheetData>
  <mergeCells count="2">
    <mergeCell ref="A5:M5"/>
    <mergeCell ref="A7:M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CET1 Ratio</t>
        </is>
      </c>
    </row>
    <row r="2">
      <c r="A2" s="2" t="inlineStr">
        <is>
          <t>Vanquis Banking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ratio</t>
        </is>
      </c>
      <c r="B4" s="6" t="inlineStr">
        <is>
          <t>16.5%</t>
        </is>
      </c>
      <c r="C4" s="6" t="inlineStr">
        <is>
          <t>18.8%</t>
        </is>
      </c>
      <c r="D4" s="6" t="inlineStr">
        <is>
          <t>20.5%</t>
        </is>
      </c>
      <c r="E4" s="6" t="inlineStr">
        <is>
          <t>26.4%</t>
        </is>
      </c>
      <c r="F4" s="6" t="inlineStr">
        <is>
          <t>29.1%</t>
        </is>
      </c>
      <c r="G4" s="6" t="inlineStr">
        <is>
          <t>34.2%</t>
        </is>
      </c>
      <c r="H4" s="6" t="inlineStr">
        <is>
          <t>31.1%</t>
        </is>
      </c>
      <c r="I4" s="6" t="inlineStr">
        <is>
          <t>28.2%</t>
        </is>
      </c>
      <c r="J4" s="6" t="inlineStr">
        <is>
          <t>14.5%</t>
        </is>
      </c>
      <c r="K4" s="6" t="inlineStr">
        <is>
          <t>21.7%</t>
        </is>
      </c>
      <c r="L4" s="6" t="inlineStr">
        <is>
          <t>21.5%</t>
        </is>
      </c>
      <c r="M4" s="6" t="inlineStr">
        <is>
          <t>20.0%</t>
        </is>
      </c>
    </row>
    <row r="6" ht="299" customHeight="1">
      <c r="A6"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Sources - Vanquis Banking Group plc (consolidated, includes Vanquis Bank Limited and Moneybarn No.1 Limited - see entity note on the Cash Flow Statement sheet) Pillar 3 basis:
FY2021: Pillar 3 Disclosures 2021, Table 22: Vanquis Banking Group plc Pillar 3 Disclosures, p.28 -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(verified/transitional basis; a 'fully loaded' alternate of 20.7% and an 'accrued basis' alternate of 29.7% are also disclosed):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(sourced from FY2017's own comparative column):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FY2015: Pillar 3 Disclosures 2015: Provident Financial plc Pillar 3 Disclosures, p.n/a - https://web.archive.org/web/20220703055435id_/https://www.providentfinancial.com/application/files/2416/1454/4505/pf-plc-2016-pillar-3-disclosures.pdf
Sources - Provident Financial plc (consolidated - see historical note on the Cash Flow Statement sheet) Pillar 3 basis:
FY2014: Pillar 3 Disclosures 2014: Provident Financial plc Pillar 3 Disclosures, p.n/a - https://web.archive.org/web/20220703025345id_/https://www.providentfinancial.com/application/files/9516/1437/2735/2015-pillar-iii-disclosures-april-2015.pdf</t>
        </is>
      </c>
    </row>
  </sheetData>
  <mergeCells count="1">
    <mergeCell ref="A6:M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Tier 1 Capital</t>
        </is>
      </c>
    </row>
    <row r="2">
      <c r="A2" s="2" t="inlineStr">
        <is>
          <t>Vanquis Banking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400</v>
      </c>
      <c r="C4" s="6" t="n">
        <v>344.3</v>
      </c>
      <c r="D4" s="6" t="n">
        <v>409</v>
      </c>
      <c r="E4" s="6" t="n">
        <v>478.8</v>
      </c>
      <c r="F4" s="6" t="n">
        <v>506.5</v>
      </c>
      <c r="G4" s="6" t="n">
        <v>674.8</v>
      </c>
      <c r="H4" s="6" t="n">
        <v>697.2</v>
      </c>
      <c r="I4" s="6" t="n">
        <v>621.9</v>
      </c>
      <c r="J4" s="6" t="n">
        <v>308.1</v>
      </c>
      <c r="K4" s="6" t="n">
        <v>454.6</v>
      </c>
      <c r="L4" s="6" t="n">
        <v>386</v>
      </c>
      <c r="M4" s="6" t="n">
        <v>330</v>
      </c>
    </row>
    <row r="5" ht="30" customHeight="1">
      <c r="A5" s="7" t="inlineStr">
        <is>
          <t>Note: FY2025 is the first year Tier 1 capital exceeds CET1 - the Group issued £59.9m of other (AT1) equity instruments during 2025 (see Cash Flow Statement sheet, financing activities). All other years shown, including all of FY2014-FY2020, have no Additional Tier 1 capital, so Tier 1 = CET1 exactly.</t>
        </is>
      </c>
    </row>
    <row r="7" ht="286" customHeight="1">
      <c r="A7"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Sources - Vanquis Banking Group plc (consolidated, includes Vanquis Bank Limited and Moneybarn No.1 Limited - see entity note on the Cash Flow Statement sheet) Pillar 3 basis:
FY2021: Pillar 3 Disclosures 2021, Table 22: Vanquis Banking Group plc Pillar 3 Disclosures, p.28 -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(sourced from FY2017's own comparative column):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FY2015: Pillar 3 Disclosures 2015: Provident Financial plc Pillar 3 Disclosures, p.n/a - https://web.archive.org/web/20220703055435id_/https://www.providentfinancial.com/application/files/2416/1454/4505/pf-plc-2016-pillar-3-disclosures.pdf
Sources - Provident Financial plc (consolidated - see historical note on the Cash Flow Statement sheet) Pillar 3 basis:
FY2014: Pillar 3 Disclosures 2014: Provident Financial plc Pillar 3 Disclosures, p.n/a - https://web.archive.org/web/20220703025345id_/https://www.providentfinancial.com/application/files/9516/1437/2735/2015-pillar-iii-disclosures-april-2015.pdf</t>
        </is>
      </c>
    </row>
  </sheetData>
  <mergeCells count="2">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Tier 1 Ratio</t>
        </is>
      </c>
    </row>
    <row r="2">
      <c r="A2" s="2" t="inlineStr">
        <is>
          <t>Vanquis Banking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19.3%</t>
        </is>
      </c>
      <c r="C4" s="6" t="inlineStr">
        <is>
          <t>18.8%</t>
        </is>
      </c>
      <c r="D4" s="6" t="inlineStr">
        <is>
          <t>20.5%</t>
        </is>
      </c>
      <c r="E4" s="6" t="inlineStr">
        <is>
          <t>26.4%</t>
        </is>
      </c>
      <c r="F4" s="6" t="inlineStr">
        <is>
          <t>29.1%</t>
        </is>
      </c>
      <c r="G4" s="6" t="inlineStr">
        <is>
          <t>34.2%</t>
        </is>
      </c>
      <c r="H4" s="6" t="inlineStr">
        <is>
          <t>31.1%</t>
        </is>
      </c>
      <c r="I4" s="6" t="inlineStr">
        <is>
          <t>28.2%</t>
        </is>
      </c>
      <c r="J4" s="6" t="inlineStr">
        <is>
          <t>14.5%</t>
        </is>
      </c>
      <c r="K4" s="6" t="inlineStr">
        <is>
          <t>21.7%</t>
        </is>
      </c>
      <c r="L4" s="6" t="inlineStr">
        <is>
          <t>21.5%</t>
        </is>
      </c>
      <c r="M4" s="6" t="inlineStr">
        <is>
          <t>20.0%</t>
        </is>
      </c>
    </row>
    <row r="6" ht="286" customHeight="1">
      <c r="A6"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Sources - Vanquis Banking Group plc (consolidated, includes Vanquis Bank Limited and Moneybarn No.1 Limited - see entity note on the Cash Flow Statement sheet) Pillar 3 basis:
FY2021: Pillar 3 Disclosures 2021, Table 22: Vanquis Banking Group plc Pillar 3 Disclosures, p.28 -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(sourced from FY2017's own comparative column):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FY2015: Pillar 3 Disclosures 2015: Provident Financial plc Pillar 3 Disclosures, p.n/a - https://web.archive.org/web/20220703055435id_/https://www.providentfinancial.com/application/files/2416/1454/4505/pf-plc-2016-pillar-3-disclosures.pdf
Sources - Provident Financial plc (consolidated - see historical note on the Cash Flow Statement sheet) Pillar 3 basis:
FY2014: Pillar 3 Disclosures 2014: Provident Financial plc Pillar 3 Disclosures, p.n/a - https://web.archive.org/web/20220703025345id_/https://www.providentfinancial.com/application/files/9516/1437/2735/2015-pillar-iii-disclosures-april-2015.pdf</t>
        </is>
      </c>
    </row>
  </sheetData>
  <mergeCells count="1">
    <mergeCell ref="A6:M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Total Capital</t>
        </is>
      </c>
    </row>
    <row r="2">
      <c r="A2" s="2" t="inlineStr">
        <is>
          <t>Vanquis Banking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541.5</v>
      </c>
      <c r="C4" s="6" t="n">
        <v>544.3</v>
      </c>
      <c r="D4" s="6" t="n">
        <v>609</v>
      </c>
      <c r="E4" s="6" t="n">
        <v>678.8</v>
      </c>
      <c r="F4" s="6" t="n">
        <v>706.5</v>
      </c>
      <c r="G4" s="6" t="n">
        <v>674.8</v>
      </c>
      <c r="H4" s="6" t="n">
        <v>697.2</v>
      </c>
      <c r="I4" s="6" t="n">
        <v>621.9</v>
      </c>
      <c r="J4" s="6" t="n">
        <v>308.1</v>
      </c>
      <c r="K4" s="6" t="n">
        <v>454.6</v>
      </c>
      <c r="L4" s="6" t="n">
        <v>386</v>
      </c>
      <c r="M4" s="6" t="n">
        <v>330</v>
      </c>
    </row>
    <row r="5" ht="52" customHeight="1">
      <c r="A5" s="7" t="inlineStr">
        <is>
          <t>Note: DATA QUALITY NOTE: the FY2024 Pillar 3 Disclosures document's own comparative column for 31 Dec 2023 prints a 'Total capital' amount (£393.4m) that is inconsistent with that same document's own 31 Dec 2023 Total capital RATIO (30.0%) and RWA (£1,975.6m) - 30.0% x 1,975.6 implies Total capital of ~£592.7m, not £393.4m (and £393.4m simply repeats that column's CET1 figure, i.e. as if Tier 2 capital were zero, which contradicts row UK 7c showing a non-zero Additional T2 SREP requirement). The figures used here for FY2023 instead come from the FY2023 Pillar 3 Disclosures document's OWN as-originally-reported 31 Dec 2023 column (£609.0m), which is internally consistent (609.0 / 1,990.6 = 30.6%, matching its own stated ratio exactly) - this is also why FY2023's RWA here (£1,990.6m) differs slightly from the restated £1,975.6m shown as a comparative in the FY2024 document (a legitimate restatement, per that document's own footnote, for a Vehicle Finance Stage 3 ECL review - unrelated to the Total capital error). Separately: FY2014-FY2020 all have zero Additional Tier 1/Tier 2 capital, so Total capital = CET1 = Tier 1 exactly in those years - a genuinely different capital structure from FY2021 onward, not a data gap.</t>
        </is>
      </c>
    </row>
    <row r="7" ht="286" customHeight="1">
      <c r="A7"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Sources - Vanquis Banking Group plc (consolidated, includes Vanquis Bank Limited and Moneybarn No.1 Limited - see entity note on the Cash Flow Statement sheet) Pillar 3 basis:
FY2021: Pillar 3 Disclosures 2021, Table 22: Vanquis Banking Group plc Pillar 3 Disclosures, p.28 -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(sourced from FY2017's own comparative column):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FY2015: Pillar 3 Disclosures 2015: Provident Financial plc Pillar 3 Disclosures, p.n/a - https://web.archive.org/web/20220703055435id_/https://www.providentfinancial.com/application/files/2416/1454/4505/pf-plc-2016-pillar-3-disclosures.pdf
Sources - Provident Financial plc (consolidated - see historical note on the Cash Flow Statement sheet) Pillar 3 basis:
FY2014: Pillar 3 Disclosures 2014: Provident Financial plc Pillar 3 Disclosures, p.n/a - https://web.archive.org/web/20220703025345id_/https://www.providentfinancial.com/application/files/9516/1437/2735/2015-pillar-iii-disclosures-april-2015.pdf</t>
        </is>
      </c>
    </row>
  </sheetData>
  <mergeCells count="2">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Total Capital Ratio</t>
        </is>
      </c>
    </row>
    <row r="2">
      <c r="A2" s="2" t="inlineStr">
        <is>
          <t>Vanquis Banking Group 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26.1%</t>
        </is>
      </c>
      <c r="C4" s="6" t="inlineStr">
        <is>
          <t>29.7%</t>
        </is>
      </c>
      <c r="D4" s="6" t="inlineStr">
        <is>
          <t>30.6%</t>
        </is>
      </c>
      <c r="E4" s="6" t="inlineStr">
        <is>
          <t>37.5%</t>
        </is>
      </c>
      <c r="F4" s="6" t="inlineStr">
        <is>
          <t>40.6%</t>
        </is>
      </c>
      <c r="G4" s="6" t="inlineStr">
        <is>
          <t>34.2%</t>
        </is>
      </c>
      <c r="H4" s="6" t="inlineStr">
        <is>
          <t>31.1%</t>
        </is>
      </c>
      <c r="I4" s="6" t="inlineStr">
        <is>
          <t>28.2%</t>
        </is>
      </c>
      <c r="J4" s="6" t="inlineStr">
        <is>
          <t>14.5%</t>
        </is>
      </c>
      <c r="K4" s="6" t="inlineStr">
        <is>
          <t>21.7%</t>
        </is>
      </c>
      <c r="L4" s="6" t="inlineStr">
        <is>
          <t>21.5%</t>
        </is>
      </c>
      <c r="M4" s="6" t="inlineStr">
        <is>
          <t>20.0%</t>
        </is>
      </c>
    </row>
    <row r="5" ht="30" customHeight="1">
      <c r="A5" s="7" t="inlineStr">
        <is>
          <t>Note: See the Total Capital sheet's DATA QUALITY NOTE - this ratio row is unaffected (it is directly stated in each document, not derived from the erroneous amount), but is included here for context.</t>
        </is>
      </c>
    </row>
    <row r="7" ht="286" customHeight="1">
      <c r="A7"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Sources - Vanquis Banking Group plc (consolidated, includes Vanquis Bank Limited and Moneybarn No.1 Limited - see entity note on the Cash Flow Statement sheet) Pillar 3 basis:
FY2021: Pillar 3 Disclosures 2021, Table 22: Vanquis Banking Group plc Pillar 3 Disclosures, p.28 -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(sourced from FY2017's own comparative column):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FY2015: Pillar 3 Disclosures 2015: Provident Financial plc Pillar 3 Disclosures, p.n/a - https://web.archive.org/web/20220703055435id_/https://www.providentfinancial.com/application/files/2416/1454/4505/pf-plc-2016-pillar-3-disclosures.pdf
Sources - Provident Financial plc (consolidated - see historical note on the Cash Flow Statement sheet) Pillar 3 basis:
FY2014: Pillar 3 Disclosures 2014: Provident Financial plc Pillar 3 Disclosures, p.n/a - https://web.archive.org/web/20220703025345id_/https://www.providentfinancial.com/application/files/9516/1437/2735/2015-pillar-iii-disclosures-april-2015.pdf</t>
        </is>
      </c>
    </row>
  </sheetData>
  <mergeCells count="2">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Total RWAs</t>
        </is>
      </c>
    </row>
    <row r="2">
      <c r="A2" s="2" t="inlineStr">
        <is>
          <t>Vanquis Banking Group 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2073.2</v>
      </c>
      <c r="C4" s="6" t="n">
        <v>1834.8</v>
      </c>
      <c r="D4" s="6" t="n">
        <v>1990.6</v>
      </c>
      <c r="E4" s="6" t="n">
        <v>1810.8</v>
      </c>
      <c r="F4" s="6" t="n">
        <v>1740.6</v>
      </c>
      <c r="G4" s="6" t="n">
        <v>1973.5</v>
      </c>
      <c r="H4" s="6" t="n">
        <v>2244.3</v>
      </c>
      <c r="I4" s="6" t="n">
        <v>2209.2</v>
      </c>
      <c r="J4" s="6" t="n">
        <v>2118</v>
      </c>
      <c r="K4" s="6" t="n">
        <v>2091.8</v>
      </c>
      <c r="L4" s="6" t="n">
        <v>1796</v>
      </c>
      <c r="M4" s="6" t="n">
        <v>1649.3</v>
      </c>
    </row>
    <row r="5" ht="30" customHeight="1">
      <c r="A5" s="7" t="inlineStr">
        <is>
          <t>Note: FY2023 (£1,990.6m) is as originally reported in the FY2023 Pillar 3 Disclosures; the FY2024 document later restated the 31 Dec 2023 comparative to £1,975.6m following a Vehicle Finance Stage 3 ECL methodology review - both figures are genuine, just on slightly different bases (see Total Capital sheet note).</t>
        </is>
      </c>
    </row>
    <row r="7" ht="286" customHeight="1">
      <c r="A7"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Sources - Vanquis Banking Group plc (consolidated, includes Vanquis Bank Limited and Moneybarn No.1 Limited - see entity note on the Cash Flow Statement sheet) Pillar 3 basis:
FY2021: Pillar 3 Disclosures 2021, Table 22: Vanquis Banking Group plc Pillar 3 Disclosures, p.28 -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(sourced from FY2017's own comparative column):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FY2015: Pillar 3 Disclosures 2015: Provident Financial plc Pillar 3 Disclosures, p.n/a - https://web.archive.org/web/20220703055435id_/https://www.providentfinancial.com/application/files/2416/1454/4505/pf-plc-2016-pillar-3-disclosures.pdf
Sources - Provident Financial plc (consolidated - see historical note on the Cash Flow Statement sheet) Pillar 3 basis:
FY2014: Pillar 3 Disclosures 2014: Provident Financial plc Pillar 3 Disclosures, p.n/a - https://web.archive.org/web/20220703025345id_/https://www.providentfinancial.com/application/files/9516/1437/2735/2015-pillar-iii-disclosures-april-2015.pdf</t>
        </is>
      </c>
    </row>
  </sheetData>
  <mergeCells count="2">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RWA Breakdown</t>
        </is>
      </c>
    </row>
    <row r="2">
      <c r="A2" s="2" t="inlineStr">
        <is>
          <t>Vanquis Banking Group plc consolidated basis, £m (see entity note - same basis mismatch as the other Pillar 3 sheets).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6" t="inlineStr">
        <is>
          <t>Credit risk (excluding CCR)</t>
        </is>
      </c>
      <c r="B4" s="6" t="n">
        <v>1931.5</v>
      </c>
      <c r="C4" s="6" t="n">
        <v>1696.8</v>
      </c>
      <c r="D4" s="6" t="n">
        <v>1848.8</v>
      </c>
      <c r="E4" s="6" t="n">
        <v>1656.5</v>
      </c>
      <c r="F4" s="6" t="n">
        <v>1595</v>
      </c>
      <c r="G4" s="6" t="n">
        <v>1793.1</v>
      </c>
      <c r="H4" s="6" t="n">
        <v>2057.6</v>
      </c>
      <c r="I4" s="6" t="n">
        <v>2023.9</v>
      </c>
      <c r="J4" s="6" t="n">
        <v>1946.7</v>
      </c>
      <c r="K4" s="6" t="n">
        <v>1933.7</v>
      </c>
      <c r="L4" s="6" t="n">
        <v>1661.7</v>
      </c>
      <c r="M4" s="6" t="n">
        <v>1523.6</v>
      </c>
    </row>
    <row r="5">
      <c r="A5" s="6" t="inlineStr">
        <is>
          <t>Counterparty credit risk (CCR, incl. CVA)</t>
        </is>
      </c>
      <c r="B5" s="6" t="n">
        <v>3</v>
      </c>
      <c r="C5" s="6" t="n">
        <v>3.8</v>
      </c>
      <c r="D5" s="6" t="n">
        <v>10.6</v>
      </c>
      <c r="E5" s="6" t="n">
        <v>23</v>
      </c>
      <c r="F5" s="6" t="n">
        <v>4.1</v>
      </c>
      <c r="G5" s="6" t="n"/>
      <c r="H5" s="6" t="n"/>
      <c r="I5" s="6" t="n"/>
      <c r="J5" s="6" t="n"/>
      <c r="K5" s="6" t="n">
        <v>0.1</v>
      </c>
      <c r="L5" s="6" t="n">
        <v>0.1</v>
      </c>
      <c r="M5" s="6" t="n">
        <v>0.7</v>
      </c>
    </row>
    <row r="6">
      <c r="A6" s="6" t="inlineStr">
        <is>
          <t>Securitisation exposures</t>
        </is>
      </c>
      <c r="B6" s="6" t="n">
        <v>0</v>
      </c>
      <c r="C6" s="6" t="n">
        <v>0</v>
      </c>
      <c r="D6" s="6" t="n">
        <v>0</v>
      </c>
      <c r="E6" s="6" t="n">
        <v>0</v>
      </c>
      <c r="F6" s="6" t="n"/>
      <c r="G6" s="6" t="n">
        <v>0</v>
      </c>
      <c r="H6" s="6" t="n">
        <v>0</v>
      </c>
      <c r="I6" s="6" t="n">
        <v>0</v>
      </c>
      <c r="J6" s="6" t="n">
        <v>0</v>
      </c>
      <c r="K6" s="6" t="n">
        <v>0</v>
      </c>
      <c r="L6" s="6" t="n">
        <v>0</v>
      </c>
      <c r="M6" s="6" t="n">
        <v>0</v>
      </c>
    </row>
    <row r="7">
      <c r="A7" s="6" t="inlineStr">
        <is>
          <t>Market risk</t>
        </is>
      </c>
      <c r="B7" s="6" t="n">
        <v>0</v>
      </c>
      <c r="C7" s="6" t="n">
        <v>0</v>
      </c>
      <c r="D7" s="6" t="n">
        <v>0</v>
      </c>
      <c r="E7" s="6" t="n">
        <v>0</v>
      </c>
      <c r="F7" s="6" t="n">
        <v>0</v>
      </c>
      <c r="G7" s="6" t="n">
        <v>21.1</v>
      </c>
      <c r="H7" s="6" t="n">
        <v>16.6</v>
      </c>
      <c r="I7" s="6" t="n">
        <v>14</v>
      </c>
      <c r="J7" s="6" t="n">
        <v>9.9</v>
      </c>
      <c r="K7" s="6" t="n">
        <v>9.699999999999999</v>
      </c>
      <c r="L7" s="6" t="n">
        <v>0</v>
      </c>
      <c r="M7" s="6" t="n">
        <v>0</v>
      </c>
    </row>
    <row r="8">
      <c r="A8" s="6" t="inlineStr">
        <is>
          <t>Operational risk</t>
        </is>
      </c>
      <c r="B8" s="6" t="n">
        <v>138.7</v>
      </c>
      <c r="C8" s="6" t="n">
        <v>134.2</v>
      </c>
      <c r="D8" s="6" t="n">
        <v>131.2</v>
      </c>
      <c r="E8" s="6" t="n">
        <v>131.3</v>
      </c>
      <c r="F8" s="6" t="n">
        <v>141.5</v>
      </c>
      <c r="G8" s="6" t="n">
        <v>159.3</v>
      </c>
      <c r="H8" s="6" t="n">
        <v>170.1</v>
      </c>
      <c r="I8" s="6" t="n">
        <v>171.3</v>
      </c>
      <c r="J8" s="6" t="n">
        <v>161.4</v>
      </c>
      <c r="K8" s="6" t="n">
        <v>148.3</v>
      </c>
      <c r="L8" s="6" t="n">
        <v>134.2</v>
      </c>
      <c r="M8" s="6" t="n">
        <v>125</v>
      </c>
    </row>
    <row r="9">
      <c r="A9" s="6" t="inlineStr">
        <is>
          <t>Amounts below thresholds for deduction (memo, not summed into Total)</t>
        </is>
      </c>
      <c r="B9" s="6" t="n">
        <v>40.2</v>
      </c>
      <c r="C9" s="6" t="n">
        <v>46.5</v>
      </c>
      <c r="D9" s="6" t="n">
        <v>49.8</v>
      </c>
      <c r="E9" s="6" t="n">
        <v>29.4</v>
      </c>
      <c r="F9" s="6" t="n"/>
      <c r="G9" s="6" t="n"/>
      <c r="H9" s="6" t="n"/>
      <c r="I9" s="6" t="n"/>
      <c r="J9" s="6" t="n"/>
      <c r="K9" s="6" t="n"/>
      <c r="L9" s="6" t="n"/>
      <c r="M9" s="6" t="n"/>
    </row>
    <row r="10">
      <c r="A10" s="5" t="inlineStr">
        <is>
          <t>Total risk-weighted exposure amount</t>
        </is>
      </c>
      <c r="B10" s="5" t="n">
        <v>2073.2</v>
      </c>
      <c r="C10" s="5" t="n">
        <v>1834.8</v>
      </c>
      <c r="D10" s="5" t="n">
        <v>1990.6</v>
      </c>
      <c r="E10" s="5" t="n">
        <v>1810.8</v>
      </c>
      <c r="F10" s="5" t="n">
        <v>1740.6</v>
      </c>
      <c r="G10" s="5" t="n">
        <v>1973.5</v>
      </c>
      <c r="H10" s="5" t="n">
        <v>2244.3</v>
      </c>
      <c r="I10" s="5" t="n">
        <v>2209.2</v>
      </c>
      <c r="J10" s="5" t="n">
        <v>2118</v>
      </c>
      <c r="K10" s="5" t="n">
        <v>2091.8</v>
      </c>
      <c r="L10" s="5" t="n">
        <v>1796</v>
      </c>
      <c r="M10" s="5" t="n">
        <v>1649.3</v>
      </c>
    </row>
    <row r="12" ht="260" customHeight="1">
      <c r="A12" s="8" t="inlineStr">
        <is>
          <t>Sources - Vanquis Banking Group plc (consolidated) Pillar 3 UK OV1 disclosure, £m:
FY2025 &amp; FY2024: Pillar 3 Disclosures 31 Dec 2025, UK OV1 table, p.8 - https://www.vanquis.com/wp-content/uploads/2026/02/DEC25_VANQ_Pillar-3-Disclosure_Annual_FINAL.pdf
FY2023 &amp; FY2022: Pillar 3 Disclosures 2023, UK OV1 table (section 2.1), p.4 - https://www.vanquis.com/wp-content/uploads/2025/05/04-04-24_Pillar-3-Disclosures-2023.pdf
FY2021: Provident Financial plc Pillar 3 Disclosures 2021, Table 8 (5.3 Pillar 1 minimum requirement), p.10 - https://www.vanquis.com/wp-content/uploads/2025/05/Provident_Financial_plc_Pillar_3_Disclosures_2021.pdf
FY2020: Provident Financial plc Pillar 3 Disclosures 2020 - https://web.archive.org/web/20220703030607id_/https://www.providentfinancial.com/application/files/3716/2049/4304/Provident_Financial_plc_Pillar_3_Disclosures_2020.pdf
FY2019: Provident Financial plc Pillar 3 Disclosures 2019 - https://web.archive.org/web/20220703022837id_/https://www.providentfinancial.com/application/files/6516/1415/8644/provident-financial-plc-pillar-3-disclosures-2019.pdf
FY2018: Provident Financial plc Pillar 3 Disclosures 2018 - https://web.archive.org/web/20220703030203id_/https://www.providentfinancial.com/application/files/4516/1454/6864/22746_pfg_pillar_3_report_2018-2.pdf
FY2017: Provident Financial plc Pillar 3 Disclosures 2017 - https://web.archive.org/web/20220703024108id_/https://www.providentfinancial.com/application/files/7916/1454/6790/pfg_pillar_3_report-2017.pdf
FY2016 (sourced from FY2017's own comparative column): Provident Financial plc Pillar 3 Disclosures 2017 - https://web.archive.org/web/20220703024108id_/https://www.providentfinancial.com/application/files/7916/1454/6790/pfg_pillar_3_report-2017.pdf
FY2015: Provident Financial plc Pillar 3 Disclosures 2015 - https://web.archive.org/web/20220703055435id_/https://www.providentfinancial.com/application/files/2416/1454/4505/pf-plc-2016-pillar-3-disclosures.pdf
FY2014: Provident Financial plc Pillar 3 Disclosures 2014 - https://web.archive.org/web/20220703025345id_/https://www.providentfinancial.com/application/files/9516/1437/2735/2015-pillar-iii-disclosures-april-2015.pdf
Note: FY2021 predates the UK OV1 template (introduced from FY2022) - Provident Financial plc's own older CRR-era Table 8 groups risk categories slightly differently ('Credit risk (excluding CCR)', 'Counterparty credit risk (CCR)', 'Operational risk', 'Market risk') but sums to the same Total RWEA (£1,740.6m) already on file on the Total RWAs sheet; no 'amounts below thresholds' memo line exists in that year's table. FY2025's/FY2024's/FY2023's/FY2022's category rows sum exactly to Total RWAs; the 'amounts below thresholds for deduction' row is an informational memo per the source template's own footnote and is correctly excluded from the sum. FY2014-FY2020 use the same older CRR-era Table 8 shape as FY2021 - FY2014/FY2015 disclose no separate market-risk RWA (rounds to nil) and instead fold a small residual CCR/CVA/rounding amount into an 'Other risks' memo line, shown here on the CCR row; FY2016 onward disclose a genuine non-zero market risk RWA. No securitised assets in any year FY2014-FY2020 (stated explicitly in the FY2017 document, applied uniformly). Every year's category rows sum exactly to that year's Total RWAs.
ENTITY NOTE: Vanquis Bank Limited (company number 02558509, FRN 221156) is the PRA-authorised entity and the principal banking subsidiary of the listed Vanquis Banking Group plc (renamed from Provident Financial plc in 2021 - the Bank's own name has not changed). The Cash Flow Statement sheet is on Vanquis Bank Limited's own entity-level (Company) basis. Pillar 3 disclosures, however, are published ONLY at the wider Vanquis Banking Group plc consolidated level - the Group's Pillar 3 Disclosure Policy states explicitly that disclosures 'cover the Group as a whole' with no separate Bank-only breakout (unlike some other banks in this workbook series, e.g. Clydesdale, where a dedicated Bank-level Pillar 3 appendix exists). On 31 December 2024 the Group's two principal trading entities were Vanquis Bank Limited (the Bank) and Moneybarn No.1 Limited (a non-bank vehicle finance lender) - so every Pillar 3 sheet in this workbook is on a basis that includes Moneybarn as well as the Bank, and is NOT directly comparable to the Bank-only Cash Flow Statement sheet. This is a structural limitation of what Vanquis publicly discloses, not a choice made in compiling this workbook.</t>
        </is>
      </c>
    </row>
    <row r="14" ht="220" customHeight="1">
      <c r="A14" s="8" t="inlineStr">
        <is>
          <t>(continued)
NO FY2020/FY2021 BOUNDARY - A TRAP RECORDED SO IT IS NOT RE-INTRODUCED (entity-basis sweep, 2026-09-16). The Vanquis Bank Limited Annual Report and Financial Statements 2021 contains the sentence 'As a result, with effect from 31 December 2020 the Company's individual disclosures have been aggregated into the consolidated Group Pillar 3 disclosures, which can be found on the Group's corporate website (www.providentfinancial.com)' (https://www.vanquis.com/wp-content/uploads/2025/05/Vanquis_Bank_Ltd_31_12_2021_Signed.pdf). Read in isolation that looks like proof that a Vanquis-Bank-level Pillar 3 existed up to FY2020 and then ceased. IT IS NOT. The sentence sits inside the Remuneration Committee paragraph and its subject is the CRD V REMUNERATION CODE annual disclosure statement, not the capital Pillar 3 - the two preceding sentences read 'Until 31 December 2019, the Company was required as part of the code to publish an annual disclosure statement on an individual basis, versions of which up to and including the 31 December 2019 disclosures can be found on the Company's website (www.vanquis.co.uk). Following the application of the CRD V Remuneration Code on the Group on a consolidated basis, the contents of the remuneration disclosure are required to reflect the policy and aggregated remuneration on a consolidated Group basis.' Corroboration: every 'individual' Pillar III document the Bank ever self-published on vanquis.co.uk is a Remuneration Code disclosure (2010, 2011, 2012, 2016, 2017 and 2018 editions survive in the Wayback Machine, e.g. https://web.archive.org/web/20190923204636id_/https://www.vanquis.co.uk/media/1394744/crr-2018-remuneration-code-pillar-iii-disclosure-final-min.pdf) - never a capital/RWA/leverage Pillar 3 - that 2018 edition's cover reads 'Vanquis Bank Limited / Capital Requirements Regulation (CRR) Pillar III &amp; 2018 Remuneration Code Disclosure' and both its pages are wholly about the Remuneration Committee. DEAD SOURCE URL (recorded 2026-09-16, nothing deleted): the originally published address of that 2018 disclosure was https://www.vanquis.co.uk/media/1394744/crr-2018-remuneration-code-pillar-iii-disclosure-final-min.pdf, which now 301-redirects to the vanquis.com homepage rather than serving the document; the Wayback Machine snapshot cited above is the only working form and returns the original bytes. The same 2021 Annual Report gives the real position in its financial and capital risk management section: 'the Group, consistent with other regulated financial institutions, is required to make annual Pillar 3 disclosures... The Group's full Pillar 3 disclosures can be found on the Group's website.' Every Provident Financial plc / Vanquis Banking Group plc Pillar 3 edition cited by this workbook (FY2014 through FY2025) was read end to end for this check and NONE contains a Vanquis Bank Limited solo or sub-consolidated capital section; e.g. the FY2017 edition's section 4.5 heads its capital table 'The CET1 and total capital ratios, as at 31 December, for the group are as follows', and the FY2021 edition's Table 1 and Appendix 1 Table 22 are both Group. The only entity-named figures in these documents are SEGMENTAL rows (e.g. the FY2021 edition's 'Vanquis Bank 1,091.5 / 836.6 / 66.9' exposure line), which are presented before consolidation adjustments and are not the Bank's statutory or regulatory figures either - they are not used here. CONCLUSION: the Pillar 3 sheets are uniformly Group-basis across ALL of FY2014-FY2025. Do not carve FY2021 onward out as 'not applicable' while leaving FY2014-FY2020 populated; there is no disclosure event at that boundary.</t>
        </is>
      </c>
    </row>
  </sheetData>
  <mergeCells count="2">
    <mergeCell ref="A14:M14"/>
    <mergeCell ref="A12:M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Leverage Ratio</t>
        </is>
      </c>
    </row>
    <row r="2">
      <c r="A2" s="2" t="inlineStr">
        <is>
          <t>Vanquis Banking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exposure measure</t>
        </is>
      </c>
      <c r="B4" s="6" t="n">
        <v>3299.2</v>
      </c>
      <c r="C4" s="6" t="n">
        <v>2482.6</v>
      </c>
      <c r="D4" s="6" t="n">
        <v>2489.5</v>
      </c>
      <c r="E4" s="6" t="n">
        <v>2284.8</v>
      </c>
      <c r="F4" s="6" t="n">
        <v>2798</v>
      </c>
      <c r="G4" s="6" t="n">
        <v>3236.7</v>
      </c>
      <c r="H4" s="6" t="n">
        <v>3063.3</v>
      </c>
      <c r="I4" s="6" t="n">
        <v>3063</v>
      </c>
      <c r="J4" s="6" t="n">
        <v>2841.4</v>
      </c>
      <c r="K4" s="6" t="n">
        <v>2715.9</v>
      </c>
      <c r="L4" s="6" t="n">
        <v>2335</v>
      </c>
      <c r="M4" s="6" t="n">
        <v>2127.2</v>
      </c>
    </row>
    <row r="5">
      <c r="A5" s="6" t="inlineStr">
        <is>
          <t>Leverage ratio (%) - FY2022 onward excluding claims on central banks (UK KM1 template); see note</t>
        </is>
      </c>
      <c r="B5" s="6" t="inlineStr">
        <is>
          <t>12.1%</t>
        </is>
      </c>
      <c r="C5" s="6" t="inlineStr">
        <is>
          <t>13.9%</t>
        </is>
      </c>
      <c r="D5" s="6" t="inlineStr">
        <is>
          <t>16.4%</t>
        </is>
      </c>
      <c r="E5" s="6" t="inlineStr">
        <is>
          <t>21.0%</t>
        </is>
      </c>
      <c r="F5" s="6" t="inlineStr">
        <is>
          <t>18.1%</t>
        </is>
      </c>
      <c r="G5" s="6" t="inlineStr">
        <is>
          <t>20.8%</t>
        </is>
      </c>
      <c r="H5" s="6" t="inlineStr">
        <is>
          <t>22.8%</t>
        </is>
      </c>
      <c r="I5" s="6" t="inlineStr">
        <is>
          <t>20.3%</t>
        </is>
      </c>
      <c r="J5" s="6" t="inlineStr">
        <is>
          <t>10.8%</t>
        </is>
      </c>
      <c r="K5" s="6" t="inlineStr">
        <is>
          <t>16.7%</t>
        </is>
      </c>
      <c r="L5" s="6" t="inlineStr">
        <is>
          <t>16.5%</t>
        </is>
      </c>
      <c r="M5" s="6" t="inlineStr">
        <is>
          <t>15.5%</t>
        </is>
      </c>
    </row>
    <row r="6" ht="30" customHeight="1">
      <c r="A6" s="7" t="inlineStr">
        <is>
          <t>Note: FY2022 onward use the UK KM1 template's 'leverage ratio excluding claims on central banks' basis. FY2021 predates that template and is calculated per CRR Article 429 instead (Table 6 of the 2021 Pillar 3 report) - a different, not directly comparable methodology, shown on its own basis rather than blended. FY2014-FY2020 use the same CRR Article 429 basis as FY2021 (consistent methodology across all of them). FY2015's leverage ratio has an alternate 16.9% basis also disclosed (including Q4 profits) - 16.5% (excluding Q4 profits) is used here as the primary, consistent figure.</t>
        </is>
      </c>
    </row>
    <row r="8" ht="286" customHeight="1">
      <c r="A8"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Sources - Vanquis Banking Group plc (consolidated, includes Vanquis Bank Limited and Moneybarn No.1 Limited - see entity note on the Cash Flow Statement sheet) Pillar 3 basis:
FY2021: Pillar 3 Disclosures 2021, Table 6 (Leverage ratio): Vanquis Banking Group plc Pillar 3 Disclosures, p.9 -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(sourced from FY2017's own comparative column):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FY2015: Pillar 3 Disclosures 2015: Provident Financial plc Pillar 3 Disclosures, p.n/a - https://web.archive.org/web/20220703055435id_/https://www.providentfinancial.com/application/files/2416/1454/4505/pf-plc-2016-pillar-3-disclosures.pdf
Sources - Provident Financial plc (consolidated - see historical note on the Cash Flow Statement sheet) Pillar 3 basis:
FY2014: Pillar 3 Disclosures 2014: Provident Financial plc Pillar 3 Disclosures, p.n/a - https://web.archive.org/web/20220703025345id_/https://www.providentfinancial.com/application/files/9516/1437/2735/2015-pillar-iii-disclosures-april-2015.pdf</t>
        </is>
      </c>
    </row>
  </sheetData>
  <mergeCells count="2">
    <mergeCell ref="A8:M8"/>
    <mergeCell ref="A6:M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LCR</t>
        </is>
      </c>
    </row>
    <row r="2">
      <c r="A2" s="2" t="inlineStr">
        <is>
          <t>Vanquis Banking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high-quality liquid assets (HQLA) / liquidity buffer</t>
        </is>
      </c>
      <c r="B4" s="6" t="n">
        <v>930</v>
      </c>
      <c r="C4" s="6" t="n">
        <v>802</v>
      </c>
      <c r="D4" s="6" t="n">
        <v>512</v>
      </c>
      <c r="E4" s="6" t="n">
        <v>383.2</v>
      </c>
      <c r="F4" s="6" t="n">
        <v>439</v>
      </c>
      <c r="G4" s="6" t="n">
        <v>842</v>
      </c>
      <c r="H4" s="6" t="n">
        <v>396</v>
      </c>
      <c r="I4" s="6" t="n">
        <v>453.6</v>
      </c>
      <c r="J4" s="6" t="n">
        <v>213.3</v>
      </c>
      <c r="K4" s="6" t="n">
        <v>172.5</v>
      </c>
      <c r="L4" s="6" t="n"/>
      <c r="M4" s="6" t="n"/>
    </row>
    <row r="5">
      <c r="A5" s="6" t="inlineStr">
        <is>
          <t>Total net cash outflows (adjusted value)</t>
        </is>
      </c>
      <c r="B5" s="6" t="n">
        <v>249.4</v>
      </c>
      <c r="C5" s="6" t="n">
        <v>116.4</v>
      </c>
      <c r="D5" s="6" t="n">
        <v>74.7</v>
      </c>
      <c r="E5" s="6" t="n">
        <v>48</v>
      </c>
      <c r="F5" s="6" t="n">
        <v>21</v>
      </c>
      <c r="G5" s="6" t="n">
        <v>64</v>
      </c>
      <c r="H5" s="6" t="n">
        <v>96</v>
      </c>
      <c r="I5" s="6" t="n">
        <v>106.7</v>
      </c>
      <c r="J5" s="6" t="n">
        <v>92.8</v>
      </c>
      <c r="K5" s="6" t="n">
        <v>70.90000000000001</v>
      </c>
      <c r="L5" s="6" t="n"/>
      <c r="M5" s="6" t="n"/>
    </row>
    <row r="6">
      <c r="A6" s="6" t="inlineStr">
        <is>
          <t>Liquidity Coverage Ratio (%)</t>
        </is>
      </c>
      <c r="B6" s="6" t="inlineStr">
        <is>
          <t>391.6%</t>
        </is>
      </c>
      <c r="C6" s="6" t="inlineStr">
        <is>
          <t>1,001.2%</t>
        </is>
      </c>
      <c r="D6" s="6" t="inlineStr">
        <is>
          <t>847.1%</t>
        </is>
      </c>
      <c r="E6" s="6" t="inlineStr">
        <is>
          <t>986.2%</t>
        </is>
      </c>
      <c r="F6" s="6" t="inlineStr">
        <is>
          <t>2,073%</t>
        </is>
      </c>
      <c r="G6" s="6" t="inlineStr">
        <is>
          <t>1,756%</t>
        </is>
      </c>
      <c r="H6" s="6" t="inlineStr">
        <is>
          <t>578%</t>
        </is>
      </c>
      <c r="I6" s="6" t="inlineStr">
        <is>
          <t>490%</t>
        </is>
      </c>
      <c r="J6" s="6" t="inlineStr">
        <is>
          <t>242%</t>
        </is>
      </c>
      <c r="K6" s="6" t="inlineStr">
        <is>
          <t>251%</t>
        </is>
      </c>
      <c r="L6" s="6" t="inlineStr">
        <is>
          <t>Not published – FY2015 Pillar 3 (22pp, full text searched) prints no LCR; p.3 says only that the group is subject to the PRA liquidity provisions in force from 1 October 2015</t>
        </is>
      </c>
      <c r="M6" s="6" t="inlineStr">
        <is>
          <t>Not applicable – LCR not yet in force: FY2014 Pillar 3 (PDF p.3) says the group 'will be subject to the new PRA liquidity provisions which come into force on 1 October 2015'; no LCR printed</t>
        </is>
      </c>
    </row>
    <row r="7" ht="65" customHeight="1">
      <c r="A7" s="7" t="inlineStr">
        <is>
          <t>Note: FY2022 onward use the UK KM1 template (12-month rolling average of month-end positions). FY2021 predates that template - its figures are the 31 December 2021 quarter's own values (£439m liquidity buffer, £21m net cash outflows, 2,073% LCR) from the pre-onshoring quarterly disclosure format, not a 12-month average. FY2017-FY2020 use the same 12-month-rolling-average methodology as FY2022 onward (not the FY2021 quarterly-spot exception). The LCR regime only came into force in the UK from 1 October 2015, so FY2014 and FY2015 print no LCR (each cell now names the page). FY2016 - CHANGED 2026-09-19 (GA-020): the FY2017 edition's liquidity table (PDF p.18, printed p.16; page image read) prints the 2016 quarterly 12-month averages, and its Quarter 4 column - liquidity buffer 172.5, net cash outflows 70.9, LCR 251% - is now carried, on the same basis as FY2017's 213.3 / 92.8 / 242%. The FY2016 cell previously read 207%, which is the SAME page's spot figure ('The group's LCR at 31 December 2017 was 189% (2016: 207%)'), a different basis from every neighbouring year; it is recorded here, not discarded. The buffer/outflow sub-figures had been described as unobtainable, but they sit on that page. FY2016's own edition (P3_2016_URL, read 2026-09-19) prints only the spot figure - s.7.2.1, printed p.14: 'The group's LCR at 31 December 2016 was 207% (2015: 141%)' - and no 12-month-average table, so the basis-consistent 251% from the FY2017 edition stays.</t>
        </is>
      </c>
    </row>
    <row r="9" ht="273" customHeight="1">
      <c r="A9" s="8" t="inlineStr">
        <is>
          <t>Sources - Vanquis Banking Group plc (consolidated, includes Vanquis Bank Limited and Moneybarn No.1 Limited - see entity note on the Cash Flow Statement sheet) Pillar 3 basis:
FY2025: Pillar 3 Disclosures 31 Dec 2025: Vanquis Banking Group plc Pillar 3 Disclosures, p.7 - https://www.vanquis.com/wp-content/uploads/2026/02/DEC25_VANQ_Pillar-3-Disclosure_Annual_FINAL.pdf
Sources - Vanquis Banking Group plc (consolidated, includes Vanquis Bank Limited and Moneybarn No.1 Limited - see entity note on the Cash Flow Statement sheet) Pillar 3 basis:
FY2024: Pillar 3 Disclosures 2024: Vanquis Banking Group plc Pillar 3 Disclosures, p.5 - https://www.vanquis.com/wp-content/uploads/2025/05/Vanquis_Banking_Group_plc_Pillar_3_Disclosures_2024.pdf
(liquidity metrics on p.6 of the same document)
Sources - Vanquis Banking Group plc (consolidated, includes Vanquis Bank Limited and Moneybarn No.1 Limited - see entity note on the Cash Flow Statement sheet) Pillar 3 basis:
FY2023 &amp; FY2022: Pillar 3 Disclosures 2023: Vanquis Banking Group plc Pillar 3 Disclosures, p.4 - https://www.vanquis.com/wp-content/uploads/2025/05/04-04-24_Pillar-3-Disclosures-2023.pdf
(liquidity metrics on p.5 of the same document)
Sources - Vanquis Banking Group plc (consolidated, includes Vanquis Bank Limited and Moneybarn No.1 Limited - see entity note on the Cash Flow Statement sheet) Pillar 3 basis:
FY2021: Pillar 3 Disclosures 2021, Table 20 (10.2.1 Liquidity coverage ratio): Vanquis Banking Group plc Pillar 3 Disclosures, p.24 - https://www.vanquis.com/wp-content/uploads/2025/05/Provident_Financial_plc_Pillar_3_Disclosures_2021.pdf
Sources - Provident Financial plc (consolidated - see historical note on the Cash Flow Statement sheet) Pillar 3 basis:
FY2020: Pillar 3 Disclosures 2020: Provident Financial plc Pillar 3 Disclosures, p.n/a - https://web.archive.org/web/20220703030607id_/https://www.providentfinancial.com/application/files/3716/2049/4304/Provident_Financial_plc_Pillar_3_Disclosures_2020.pdf
Sources - Provident Financial plc (consolidated - see historical note on the Cash Flow Statement sheet) Pillar 3 basis:
FY2019: Pillar 3 Disclosures 2019 (spot/point-in-time alternate of 224% also disclosed): Provident Financial plc Pillar 3 Disclosures, p.n/a - https://web.archive.org/web/20220703022837id_/https://www.providentfinancial.com/application/files/6516/1415/8644/provident-financial-plc-pillar-3-disclosures-2019.pdf
Sources - Provident Financial plc (consolidated - see historical note on the Cash Flow Statement sheet) Pillar 3 basis:
FY2018: Pillar 3 Disclosures 2018 (spot/point-in-time alternate of 688% also disclosed): Provident Financial plc Pillar 3 Disclosures, p.n/a - https://web.archive.org/web/20220703030203id_/https://www.providentfinancial.com/application/files/4516/1454/6864/22746_pfg_pillar_3_report_2018-2.pdf
Sources - Provident Financial plc (consolidated - see historical note on the Cash Flow Statement sheet) Pillar 3 basis:
FY2017: Pillar 3 Disclosures 2017 (spot/point-in-time alternate of 189% also disclosed): Provident Financial plc Pillar 3 Disclosures, p.n/a - https://web.archive.org/web/20220703024108id_/https://www.providentfinancial.com/application/files/7916/1454/6790/pfg_pillar_3_report-2017.pdf
Sources - Provident Financial plc (consolidated - see historical note on the Cash Flow Statement sheet) Pillar 3 basis:
FY2016 (sourced from FY2017's own comparative column - ratio only, buffer/outflow sub-figures genuinely unavailable, a document-level self-skip): Provident Financial plc Pillar 3 Disclosures, p.n/a - https://web.archive.org/web/20220703024108id_/https://www.providentfinancial.com/application/files/7916/1454/6790/pfg_pillar_3_report-2017.pdf</t>
        </is>
      </c>
    </row>
  </sheetData>
  <mergeCells count="2">
    <mergeCell ref="A9:M9"/>
    <mergeCell ref="A7:M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NSFR</t>
        </is>
      </c>
    </row>
    <row r="2">
      <c r="A2" s="2" t="inlineStr">
        <is>
          <t>Vanquis Banking Group 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available stable funding</t>
        </is>
      </c>
      <c r="B4" s="6" t="n"/>
      <c r="C4" s="6" t="n"/>
      <c r="D4" s="6" t="n">
        <v>2611.7</v>
      </c>
      <c r="E4" s="6" t="n">
        <v>2322.9</v>
      </c>
      <c r="F4" s="6" t="n"/>
      <c r="G4" s="6" t="n"/>
      <c r="H4" s="6" t="n"/>
      <c r="I4" s="6" t="n"/>
      <c r="J4" s="6" t="n"/>
      <c r="K4" s="6" t="n"/>
      <c r="L4" s="6" t="n"/>
      <c r="M4" s="6" t="n"/>
    </row>
    <row r="5">
      <c r="A5" s="6" t="inlineStr">
        <is>
          <t>Total required stable funding</t>
        </is>
      </c>
      <c r="B5" s="6" t="n"/>
      <c r="C5" s="6" t="n"/>
      <c r="D5" s="6" t="n">
        <v>1828.1</v>
      </c>
      <c r="E5" s="6" t="n">
        <v>1652.3</v>
      </c>
      <c r="F5" s="6" t="n"/>
      <c r="G5" s="6" t="n"/>
      <c r="H5" s="6" t="n"/>
      <c r="I5" s="6" t="n"/>
      <c r="J5" s="6" t="n"/>
      <c r="K5" s="6" t="n"/>
      <c r="L5" s="6" t="n"/>
      <c r="M5" s="6" t="n"/>
    </row>
    <row r="6">
      <c r="A6" s="6" t="inlineStr">
        <is>
          <t>NSFR ratio (%)</t>
        </is>
      </c>
      <c r="B6" s="6" t="inlineStr">
        <is>
          <t>Not applicable – SDDT consolidation entity: FY2025 Pillar 3 (PDF p.6) says NSFR is not reported from 30 June 2024 (PRA Rule 3.1 modification, FRN 221156, from 13/03/2024)</t>
        </is>
      </c>
      <c r="C6" s="6" t="inlineStr">
        <is>
          <t>Not applicable – SDDT consolidation entity: FY2024 Pillar 3 KM1 footnote 3 (PDF p.8) says NSFR is not reported from 30 June 2024; KM1 prints dashes (PRA Rule 3.1, FRN 221156, 13/03/2024)</t>
        </is>
      </c>
      <c r="D6" s="6" t="inlineStr">
        <is>
          <t>142.8%</t>
        </is>
      </c>
      <c r="E6" s="6" t="inlineStr">
        <is>
          <t>140.6%</t>
        </is>
      </c>
      <c r="F6" s="6" t="inlineStr">
        <is>
          <t>Not published – FY2021 Pillar 3 s.10.2.2 (PDF p.26): 'No further disclosure on NSFR is required at 31 December 2021'; binding NSFR from 1 January 2022</t>
        </is>
      </c>
      <c r="G6" s="6" t="inlineStr">
        <is>
          <t>Not published – FY2020 Pillar 3 s.7.2.2 (PDF p.20): 'No further disclosure on NSFR is required at 31 December 2020'</t>
        </is>
      </c>
      <c r="H6" s="6" t="inlineStr">
        <is>
          <t>Not published – FY2019 Pillar 3 s.7.2.2 (PDF p.22) describes the NSFR proposals only; no figure printed</t>
        </is>
      </c>
      <c r="I6" s="6" t="inlineStr">
        <is>
          <t>Not published – FY2018 Pillar 3 s.7.2.2 (PDF p.21) describes the NSFR proposals only; no figure printed</t>
        </is>
      </c>
      <c r="J6" s="6" t="inlineStr">
        <is>
          <t>Not published – FY2017 Pillar 3 s.7.2.2 (PDF p.18) describes the NSFR observation period only; no figure</t>
        </is>
      </c>
      <c r="K6" s="6" t="inlineStr">
        <is>
          <t>Not published – FY2016 Pillar 3 s.7.2.2 (printed p.14) describes the NSFR observation period and EU proposals only; no figure printed (complete capture read 2026-09-19)</t>
        </is>
      </c>
      <c r="L6" s="6" t="inlineStr">
        <is>
          <t>Not published – FY2015 Pillar 3 (22pp, full text searched 2026-09-19) never mentions the NSFR</t>
        </is>
      </c>
      <c r="M6" s="6" t="inlineStr">
        <is>
          <t>Not published – FY2014 Pillar 3 (23pp, full text searched 2026-09-19) never mentions the NSFR</t>
        </is>
      </c>
    </row>
    <row r="7" ht="195" customHeight="1">
      <c r="A7" s="7" t="inlineStr">
        <is>
          <t>Note: FY2022 SOURCE CORRECTED 2026-09-17 (KM1-030): the Group's OWN FY2022 Pillar 3 Disclosures document exists and is live on vanquis.com (https://www.vanquis.com/wp-content/uploads/2025/05/12-04-23_Pillar-3-Disclosures-2022.pdf); until now every FY2022 Pillar 3 figure in this workbook was taken from the FY2023 document's 31-Dec-22 comparative column instead. All 28 rows of the two UK KM1 columns were compared row by row and they are IDENTICAL except the three net stable funding ratio rows - the FY2022 edition's own column prints available stable funding 2,322.9, required stable funding 1,652.3 and NSFR 140.6%, against 2,198.0 / 1,565.7 / 140.4% in the FY2023 edition's comparative. Per the use-each-year's-own-edition rule those three cells now come from the FY2022 edition; every other FY2022 Pillar 3 figure in this workbook is unchanged and is now independently confirmed by its own edition. THIS SHEET IS THE ONE PLACE THAT CHANGED: FY2022's available stable funding, required stable funding and NSFR ratio were previously 2,198.0 / 1,565.7 / 140.4% (the FY2023 edition's restated 31-Dec-22 comparative) and now read 2,322.9 / 1,652.3 / 140.6% as the FY2022 edition itself published them. Both sets are genuine; the difference is a restatement between editions, not an error in either.
Not required for FY2021 and earlier (NSFR only became binding in the UK from 1 January 2022) - this applies uniformly across FY2014-FY2021, consistent with the pre-existing FY2021 treatment. Not required from the 30 June 2024 reporting date onward: in March 2024 the Group was confirmed as a Small Domestic Deposit Taker consolidation entity, exempting it from NSFR reporting - so no FY2024 or FY2025 figures exist either, despite falling in the middle of the window where NSFR was otherwise required.
EVIDENCE STRENGTHENED 2026-09-15 (cross-bank SDDT pass), which confirmed this pre-existing 'Not required' treatment from the PRA's own firm-level register and pinned it to the BANK entity, not just the Group. The Bank of England consolidated list of waivers and modifications granted to PRA-authorised firms (downloaded 2026-09-15, https://www.bankofengland.co.uk/-/media/boe/files/prudential-regulation/authorisations/waivers-and-modifications-of-rules/consolidated-waivers-pra-firms.csv) carries the row: FRN 221156, 'Vanquis Bank Limited', 'Modification by Consent - PRA Rulebook - CRR Firms - Rule 3.1 of the SDDT Regime - General Application Part', rule 'SDDT Regime - General Application', sub rule 'Ru 3.1', waiver ref 'A00007643P.pdf', start date '13/03/2024', no end date. That is the same March 2024 date already recorded above, now sourced to the register and to this legal entity's own FRN.
Rule 3.1 is the modification by which a firm becomes a Small Domestic Deposit Taker (SDDT) under the PRA's 'Strong and Simple' framework, and becoming one replaces the full NSFR with a Simplified Retail Deposit Ratio (and removes the Pillar 3 disclosure obligation entirely). That consequence is stated by a peer holding the identical register row - Cynergy Bank plc Annual Report &amp; Accounts 2024, p.71: 'The Bank applied for the Modification by Consent to become an SDDT and received approval on 17 January 2025. As a result, we are not required to publish Pillar 3 disclosures as at 31 December 2024 and will submit only a simplified retail deposit ratio instead of a full Net Stable Funding Ratio (NSFR) going forward.' (Cynergy's own row is Rule 3.1 starting '17/01/2025', matching its stated approval date to the day - which is what ties the register row to the firm-stated effect.)
DATE FIT: the modification took effect 13 March 2024. It therefore covers FY2024 and FY2025 and has NOTHING to do with the FY2014-FY2021 'Not required' cells, which have an entirely separate and earlier cause (the UK NSFR requirement simply did not exist before 1 January 2022). FY2022 and FY2023 are disclosed in the normal way above. Do not read SDDT back onto FY2023 or earlier. Vanquis does not publish a Simplified Retail Deposit Ratio value, so nothing is added in the NSFR's place.</t>
        </is>
      </c>
    </row>
    <row r="9" ht="120" customHeight="1">
      <c r="A9" s="8" t="inlineStr">
        <is>
          <t>Sources - Vanquis Banking Group plc (consolidated, includes Vanquis Bank Limited and Moneybarn No.1 Limited - see entity note on the Cash Flow Statement sheet) Pillar 3 basis:
FY2023: Pillar 3 Disclosures 2023: Vanquis Banking Group plc Pillar 3 Disclosures, p.4 - https://www.vanquis.com/wp-content/uploads/2025/05/04-04-24_Pillar-3-Disclosures-2023.pdf
(liquidity metrics on p.5 of the same document)
Sources - Vanquis Banking Group plc (consolidated, includes Vanquis Bank Limited and Moneybarn No.1 Limited - see entity note on the Cash Flow Statement sheet) Pillar 3 basis:
FY2022: Pillar 3 Disclosures 2022 (the Group's OWN FY2022 edition - see note): Vanquis Banking Group plc Pillar 3 Disclosures, p.4 - https://www.vanquis.com/wp-content/uploads/2025/05/12-04-23_Pillar-3-Disclosures-2022.pdf
(liquidity metrics on p.5 of the same document)
Sources - Vanquis Banking Group plc (consolidated, includes Vanquis Bank Limited and Moneybarn No.1 Limited - see entity note on the Cash Flow Statement sheet) Pillar 3 basis:
FY2024/FY2025 and FY2021 basis note: Vanquis Banking Group plc Pillar 3 Disclosures, p.6 - https://www.vanquis.com/wp-content/uploads/2025/05/Vanquis_Banking_Group_plc_Pillar_3_Disclosures_2024.pdf</t>
        </is>
      </c>
    </row>
  </sheetData>
  <mergeCells count="2">
    <mergeCell ref="A9:M9"/>
    <mergeCell ref="A7:M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Vanquis Bank Limited — MREL Ratio</t>
        </is>
      </c>
    </row>
    <row r="2">
      <c r="A2" s="2" t="inlineStr">
        <is>
          <t>Vanquis Banking Group consolidated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FY2025 Pillar 3 (full text searched 2026-09-19) contains no MREL figure or reference to MREL, eligible liabilities or resolution</t>
        </is>
      </c>
      <c r="C4" s="6" t="inlineStr">
        <is>
          <t>Not published – FY2024 Pillar 3 (full text searched 2026-09-19) contains no MREL figure or reference to MREL, eligible liabilities or resolution</t>
        </is>
      </c>
      <c r="D4" s="6" t="inlineStr">
        <is>
          <t>Not published – FY2023 Pillar 3 (full text searched 2026-09-19) contains no MREL figure or reference to MREL, eligible liabilities or resolution</t>
        </is>
      </c>
      <c r="E4" s="6" t="inlineStr">
        <is>
          <t>Not published – FY2022 Pillar 3 (full text searched 2026-09-19) contains no MREL figure or reference to MREL, eligible liabilities or resolution</t>
        </is>
      </c>
      <c r="F4" s="6" t="inlineStr">
        <is>
          <t>Not published – FY2021 Pillar 3 (full text searched 2026-09-19) contains no MREL figure or reference to MREL, eligible liabilities or resolution</t>
        </is>
      </c>
      <c r="G4" s="6" t="inlineStr">
        <is>
          <t>Not published – FY2020 Pillar 3 (full text searched 2026-09-19) contains no MREL figure or reference to MREL, eligible liabilities or resolution</t>
        </is>
      </c>
      <c r="H4" s="6" t="inlineStr">
        <is>
          <t>Not published – FY2019 Pillar 3 (full text searched 2026-09-19) contains no MREL figure or reference to MREL, eligible liabilities or resolution</t>
        </is>
      </c>
      <c r="I4" s="6" t="inlineStr">
        <is>
          <t>Not published – FY2018 Pillar 3 (full text searched 2026-09-19) contains no MREL figure or reference to MREL, eligible liabilities or resolution</t>
        </is>
      </c>
      <c r="J4" s="6" t="inlineStr">
        <is>
          <t>Not published – FY2017 Pillar 3 (full text searched 2026-09-19) contains no MREL figure or reference to MREL, eligible liabilities or resolution</t>
        </is>
      </c>
      <c r="K4" s="6" t="inlineStr">
        <is>
          <t>Not published – FY2016 Pillar 3 (24pp, complete capture read 2026-09-19) contains no MREL, eligible liabilities or loss-absorbing capacity</t>
        </is>
      </c>
      <c r="L4" s="6" t="inlineStr">
        <is>
          <t>Not published – FY2015 Pillar 3 (full text searched 2026-09-19) contains no MREL figure or reference to MREL, eligible liabilities or resolution</t>
        </is>
      </c>
      <c r="M4" s="6" t="inlineStr">
        <is>
          <t>Not published – FY2014 Pillar 3 (full text searched 2026-09-19) contains no MREL figure or reference to MREL, eligible liabilities or resolution</t>
        </is>
      </c>
    </row>
    <row r="5" ht="39" customHeight="1">
      <c r="A5" s="7" t="inlineStr">
        <is>
          <t>Note: No MREL disclosure of any kind (numeric or qualitative) appears in any Pillar 3 Disclosures document reviewed, FY2014-FY2025. GA-020 (2026-09-19): each readable edition (FY2014, FY2015, FY2017-FY2025) was re-downloaded from its cited URL and its full text searched for 'MREL', 'eligible liabilities' and 'resolution' - zero hits in every one. The cells therefore now say 'Not published' rather than 'Not applicable': the earlier reading, that the Group is not a resolution entity with an MREL above capital requirements, is plausible but no document seen states it. FY2016 was 'Unreached today' until 2026-09-19, when a complete capture of its own edition was found on the renamed vanquisbankinggroup.com domain (P3_2016_URL); its full text also has zero MREL hits.</t>
        </is>
      </c>
    </row>
    <row r="7" ht="120" customHeight="1">
      <c r="A7" s="8" t="inlineStr">
        <is>
          <t>Sources - Vanquis Banking Group plc (consolidated, includes Vanquis Bank Limited and Moneybarn No.1 Limited - see entity note on the Cash Flow Statement sheet) Pillar 3 basis:
All years: Pillar 3 Disclosures 2021-2025 (no MREL section in any edition): Vanquis Banking Group plc Pillar 3 Disclosures, p.n/a - https://www.vanquis.com/wp-content/uploads/2026/02/DEC25_VANQ_Pillar-3-Disclosure_Annual_FINAL.pdf</t>
        </is>
      </c>
    </row>
  </sheetData>
  <mergeCells count="2">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2026-10-10T15:08:44Z</dcterms:created>
  <dcterms:modified xmlns:dcterms="http://purl.org/dc/terms/" xmlns:xsi="http://www.w3.org/2001/XMLSchema-instance" xsi:type="dcterms:W3CDTF">2026-10-10T15:08:44Z</dcterms:modified>
</cp:coreProperties>
</file>