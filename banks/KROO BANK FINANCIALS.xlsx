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55905"/>
        <bgColor rgb="0065590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Kroo Bank Ltd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'Overview'!H6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'Overview'!$I$5:$L$5</f>
            </numRef>
          </cat>
          <val>
            <numRef>
              <f>'Overview'!$I$6:$L$6</f>
            </numRef>
          </val>
        </ser>
        <ser>
          <idx val="1"/>
          <order val="1"/>
          <tx>
            <strRef>
              <f>'Overview'!H7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'Overview'!$I$5:$L$5</f>
            </numRef>
          </cat>
          <val>
            <numRef>
              <f>'Overview'!$I$7:$L$7</f>
            </numRef>
          </val>
        </ser>
        <ser>
          <idx val="2"/>
          <order val="2"/>
          <tx>
            <strRef>
              <f>'Overview'!H8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'Overview'!$I$5:$L$5</f>
            </numRef>
          </cat>
          <val>
            <numRef>
              <f>'Overview'!$I$8:$L$8</f>
            </numRef>
          </val>
        </ser>
        <ser>
          <idx val="3"/>
          <order val="3"/>
          <tx>
            <strRef>
              <f>'Overview'!H9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'Overview'!$I$5:$L$5</f>
            </numRef>
          </cat>
          <val>
            <numRef>
              <f>'Overview'!$I$9:$L$9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Kroo Bank Ltd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'Overview'!$P$6:$S$6</f>
            </numRef>
          </val>
          <smooth val="0"/>
        </ser>
        <ser>
          <idx val="1"/>
          <order val="1"/>
          <tx>
            <strRef>
              <f>'Overview'!O7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'Overview'!$P$7:$S$7</f>
            </numRef>
          </val>
          <smooth val="0"/>
        </ser>
        <ser>
          <idx val="2"/>
          <order val="2"/>
          <tx>
            <strRef>
              <f>'Overview'!O8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'Overview'!$P$8:$S$8</f>
            </numRef>
          </val>
          <smooth val="0"/>
        </ser>
        <ser>
          <idx val="3"/>
          <order val="3"/>
          <tx>
            <strRef>
              <f>'Overview'!O9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'Overview'!$P$9:$S$9</f>
            </numRef>
          </val>
          <smooth val="0"/>
        </ser>
        <ser>
          <idx val="4"/>
          <order val="4"/>
          <tx>
            <strRef>
              <f>'Overview'!O10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'Overview'!$P$10:$S$10</f>
            </numRef>
          </val>
          <smooth val="0"/>
        </ser>
        <ser>
          <idx val="5"/>
          <order val="5"/>
          <tx>
            <strRef>
              <f>'Overview'!O11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'Overview'!$P$11:$S$11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>
      <c r="A1" s="1" t="inlineStr">
        <is>
          <t>Kroo Bank Ltd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FY2024</t>
        </is>
      </c>
      <c r="C5" s="4" t="inlineStr">
        <is>
          <t>FY2023</t>
        </is>
      </c>
      <c r="D5" s="4" t="inlineStr">
        <is>
          <t>FY2022</t>
        </is>
      </c>
      <c r="E5" s="4" t="inlineStr">
        <is>
          <t>FY2021</t>
        </is>
      </c>
      <c r="I5" t="inlineStr">
        <is>
          <t>FY2021</t>
        </is>
      </c>
      <c r="J5" t="inlineStr">
        <is>
          <t>FY2022</t>
        </is>
      </c>
      <c r="K5" t="inlineStr">
        <is>
          <t>FY2023</t>
        </is>
      </c>
      <c r="L5" t="inlineStr">
        <is>
          <t>FY2024</t>
        </is>
      </c>
      <c r="P5" t="inlineStr">
        <is>
          <t>FY2021</t>
        </is>
      </c>
      <c r="Q5" t="inlineStr">
        <is>
          <t>FY2022</t>
        </is>
      </c>
      <c r="R5" t="inlineStr">
        <is>
          <t>FY2023</t>
        </is>
      </c>
      <c r="S5" t="inlineStr">
        <is>
          <t>FY2024</t>
        </is>
      </c>
    </row>
    <row r="6">
      <c r="A6" s="5" t="inlineStr">
        <is>
          <t>Net cash from/(used in) operating activities</t>
        </is>
      </c>
      <c r="B6" s="5" t="n">
        <v>74846269</v>
      </c>
      <c r="C6" s="5" t="n">
        <v>826459821</v>
      </c>
      <c r="D6" s="5" t="n">
        <v>-14398035</v>
      </c>
      <c r="E6" s="5" t="n">
        <v>-7435887</v>
      </c>
      <c r="H6" t="inlineStr">
        <is>
          <t>Net cash from/(used in) operating activities</t>
        </is>
      </c>
      <c r="I6" t="n">
        <v>-7435887</v>
      </c>
      <c r="J6" t="n">
        <v>-14398035</v>
      </c>
      <c r="K6" t="n">
        <v>826459821</v>
      </c>
      <c r="L6" t="n">
        <v>74846269</v>
      </c>
      <c r="O6" t="inlineStr">
        <is>
          <t>CET1 Ratio</t>
        </is>
      </c>
      <c r="P6" t="n">
        <v>287.76</v>
      </c>
      <c r="Q6" t="n">
        <v>93.18000000000001</v>
      </c>
      <c r="R6" t="n">
        <v>46.6</v>
      </c>
      <c r="S6" t="n">
        <v>24</v>
      </c>
    </row>
    <row r="7">
      <c r="A7" s="5" t="inlineStr">
        <is>
          <t>Net cash from/(used in) investing activities</t>
        </is>
      </c>
      <c r="B7" s="5" t="n">
        <v>-15265</v>
      </c>
      <c r="C7" s="5" t="n">
        <v>9716757</v>
      </c>
      <c r="D7" s="5" t="n">
        <v>-10126462</v>
      </c>
      <c r="E7" s="5" t="n">
        <v>-70707</v>
      </c>
      <c r="H7" t="inlineStr">
        <is>
          <t>Net cash from/(used in) investing activities</t>
        </is>
      </c>
      <c r="I7" t="n">
        <v>-70707</v>
      </c>
      <c r="J7" t="n">
        <v>-10126462</v>
      </c>
      <c r="K7" t="n">
        <v>9716757</v>
      </c>
      <c r="L7" t="n">
        <v>-15265</v>
      </c>
      <c r="O7" t="inlineStr">
        <is>
          <t>Tier 1 Ratio</t>
        </is>
      </c>
      <c r="P7" t="n">
        <v>287.76</v>
      </c>
      <c r="Q7" t="n">
        <v>93.18000000000001</v>
      </c>
      <c r="R7" t="n">
        <v>46.6</v>
      </c>
      <c r="S7" t="n">
        <v>24</v>
      </c>
    </row>
    <row r="8">
      <c r="A8" s="5" t="inlineStr">
        <is>
          <t>Net cash from financing activities</t>
        </is>
      </c>
      <c r="B8" s="5" t="n">
        <v>12508985</v>
      </c>
      <c r="C8" s="5" t="n">
        <v>17947749</v>
      </c>
      <c r="D8" s="5" t="n">
        <v>27268402</v>
      </c>
      <c r="E8" s="5" t="n">
        <v>15064176</v>
      </c>
      <c r="H8" t="inlineStr">
        <is>
          <t>Net cash from financing activities</t>
        </is>
      </c>
      <c r="I8" t="n">
        <v>15064176</v>
      </c>
      <c r="J8" t="n">
        <v>27268402</v>
      </c>
      <c r="K8" t="n">
        <v>17947749</v>
      </c>
      <c r="L8" t="n">
        <v>12508985</v>
      </c>
      <c r="O8" t="inlineStr">
        <is>
          <t>Total Capital Ratio</t>
        </is>
      </c>
      <c r="P8" t="n">
        <v>287.76</v>
      </c>
      <c r="Q8" t="n">
        <v>93.18000000000001</v>
      </c>
      <c r="R8" t="n">
        <v>46.6</v>
      </c>
      <c r="S8" t="n">
        <v>24</v>
      </c>
    </row>
    <row r="9">
      <c r="A9" s="5" t="inlineStr">
        <is>
          <t>Cash at end of year</t>
        </is>
      </c>
      <c r="B9" s="5" t="n">
        <v>953099412</v>
      </c>
      <c r="C9" s="5" t="n">
        <v>865759423</v>
      </c>
      <c r="D9" s="5" t="n">
        <v>11635096</v>
      </c>
      <c r="E9" s="5" t="n">
        <v>8891191</v>
      </c>
      <c r="H9" t="inlineStr">
        <is>
          <t>Cash at end of year</t>
        </is>
      </c>
      <c r="I9" t="n">
        <v>8891191</v>
      </c>
      <c r="J9" t="n">
        <v>11635096</v>
      </c>
      <c r="K9" t="n">
        <v>865759423</v>
      </c>
      <c r="L9" t="n">
        <v>953099412</v>
      </c>
      <c r="O9" t="inlineStr">
        <is>
          <t>Leverage Ratio</t>
        </is>
      </c>
      <c r="P9" t="n">
        <v>91.81999999999999</v>
      </c>
      <c r="Q9" t="n">
        <v>99.97</v>
      </c>
      <c r="R9" t="n">
        <v>55.6</v>
      </c>
      <c r="S9" t="n">
        <v>21.2</v>
      </c>
    </row>
    <row r="10">
      <c r="O10" t="inlineStr">
        <is>
          <t>LCR</t>
        </is>
      </c>
      <c r="P10" t="n">
        <v>13333</v>
      </c>
      <c r="Q10" t="n">
        <v>12926</v>
      </c>
      <c r="R10" t="n">
        <v>4248</v>
      </c>
      <c r="S10" t="n">
        <v>758</v>
      </c>
    </row>
    <row r="11">
      <c r="A11" s="3" t="inlineStr">
        <is>
          <t>Pillar 3 Key Metrics</t>
        </is>
      </c>
      <c r="O11" t="inlineStr">
        <is>
          <t>NSFR</t>
        </is>
      </c>
      <c r="Q11" t="n">
        <v>493</v>
      </c>
      <c r="R11" t="n">
        <v>5272</v>
      </c>
      <c r="S11" t="n">
        <v>4522</v>
      </c>
    </row>
    <row r="12">
      <c r="A12" s="4" t="inlineStr">
        <is>
          <t>Line item</t>
        </is>
      </c>
      <c r="B12" s="4" t="inlineStr">
        <is>
          <t>FY2024</t>
        </is>
      </c>
      <c r="C12" s="4" t="inlineStr">
        <is>
          <t>FY2023</t>
        </is>
      </c>
      <c r="D12" s="4" t="inlineStr">
        <is>
          <t>FY2022</t>
        </is>
      </c>
      <c r="E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24.0%</t>
        </is>
      </c>
      <c r="C13" s="6" t="inlineStr">
        <is>
          <t>46.6%</t>
        </is>
      </c>
      <c r="D13" s="6" t="inlineStr">
        <is>
          <t>93.18%</t>
        </is>
      </c>
      <c r="E13" s="6" t="inlineStr">
        <is>
          <t>287.76%</t>
        </is>
      </c>
    </row>
    <row r="14">
      <c r="A14" s="6" t="inlineStr">
        <is>
          <t>Tier 1 Ratio</t>
        </is>
      </c>
      <c r="B14" s="6" t="inlineStr">
        <is>
          <t>24.0%</t>
        </is>
      </c>
      <c r="C14" s="6" t="inlineStr">
        <is>
          <t>46.6%</t>
        </is>
      </c>
      <c r="D14" s="6" t="inlineStr">
        <is>
          <t>93.18%</t>
        </is>
      </c>
      <c r="E14" s="6" t="inlineStr">
        <is>
          <t>287.76%</t>
        </is>
      </c>
    </row>
    <row r="15">
      <c r="A15" s="6" t="inlineStr">
        <is>
          <t>Total Capital Ratio</t>
        </is>
      </c>
      <c r="B15" s="6" t="inlineStr">
        <is>
          <t>24.0%</t>
        </is>
      </c>
      <c r="C15" s="6" t="inlineStr">
        <is>
          <t>46.6%</t>
        </is>
      </c>
      <c r="D15" s="6" t="inlineStr">
        <is>
          <t>93.18%</t>
        </is>
      </c>
      <c r="E15" s="6" t="inlineStr">
        <is>
          <t>287.76%</t>
        </is>
      </c>
    </row>
    <row r="16">
      <c r="A16" s="6" t="inlineStr">
        <is>
          <t>Leverage Ratio</t>
        </is>
      </c>
      <c r="B16" s="6" t="inlineStr">
        <is>
          <t>21.2%</t>
        </is>
      </c>
      <c r="C16" s="6" t="inlineStr">
        <is>
          <t>55.6%</t>
        </is>
      </c>
      <c r="D16" s="6" t="inlineStr">
        <is>
          <t>99.97%</t>
        </is>
      </c>
      <c r="E16" s="6" t="inlineStr">
        <is>
          <t>91.82%</t>
        </is>
      </c>
    </row>
    <row r="17">
      <c r="A17" s="6" t="inlineStr">
        <is>
          <t>LCR</t>
        </is>
      </c>
      <c r="B17" s="6" t="inlineStr">
        <is>
          <t>758%</t>
        </is>
      </c>
      <c r="C17" s="6" t="inlineStr">
        <is>
          <t>4248%</t>
        </is>
      </c>
      <c r="D17" s="6" t="inlineStr">
        <is>
          <t>12926%</t>
        </is>
      </c>
      <c r="E17" s="6" t="inlineStr">
        <is>
          <t>13333%</t>
        </is>
      </c>
    </row>
    <row r="18">
      <c r="A18" s="6" t="inlineStr">
        <is>
          <t>NSFR</t>
        </is>
      </c>
      <c r="B18" s="6" t="inlineStr">
        <is>
          <t>4522%</t>
        </is>
      </c>
      <c r="C18" s="6" t="inlineStr">
        <is>
          <t>5272%</t>
        </is>
      </c>
      <c r="D18" s="6" t="inlineStr">
        <is>
          <t>493%</t>
        </is>
      </c>
      <c r="E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Only 4 years shown - no FY2025 Annual Report or Pillar 3 report has been published yet.</t>
        </is>
      </c>
    </row>
  </sheetData>
  <mergeCells count="1">
    <mergeCell ref="A20:E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Statement of Cash Flows</t>
        </is>
      </c>
    </row>
    <row r="2">
      <c r="A2" s="2" t="inlineStr">
        <is>
          <t>Bank-only, £; each year's own originally reported line items preserved (see source note)</t>
        </is>
      </c>
    </row>
    <row r="3">
      <c r="A3" s="4" t="inlineStr">
        <is>
          <t>Line item</t>
        </is>
      </c>
      <c r="B3" s="4" t="inlineStr">
        <is>
          <t>FY2024 (£)</t>
        </is>
      </c>
      <c r="C3" s="4" t="inlineStr">
        <is>
          <t>FY2023 (£)</t>
        </is>
      </c>
      <c r="D3" s="4" t="inlineStr">
        <is>
          <t>FY2022 (£)</t>
        </is>
      </c>
      <c r="E3" s="4" t="inlineStr">
        <is>
          <t>FY2021 (£)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</row>
    <row r="5">
      <c r="A5" s="6" t="inlineStr">
        <is>
          <t>Loss before taxation</t>
        </is>
      </c>
      <c r="B5" s="6" t="n">
        <v>-19287124</v>
      </c>
      <c r="C5" s="6" t="n">
        <v>-27927373</v>
      </c>
      <c r="D5" s="6" t="n">
        <v>-16318251</v>
      </c>
      <c r="E5" s="6" t="n">
        <v>-9064658</v>
      </c>
    </row>
    <row r="6">
      <c r="A6" s="6" t="inlineStr">
        <is>
          <t>Depreciation</t>
        </is>
      </c>
      <c r="B6" s="6" t="n">
        <v>196429</v>
      </c>
      <c r="C6" s="6" t="n">
        <v>179217</v>
      </c>
      <c r="D6" s="6" t="n">
        <v>94230</v>
      </c>
      <c r="E6" s="6" t="n">
        <v>52641</v>
      </c>
    </row>
    <row r="7">
      <c r="A7" s="6" t="inlineStr">
        <is>
          <t>Loss on disposal of fixed assets</t>
        </is>
      </c>
      <c r="B7" s="6" t="n">
        <v>25053</v>
      </c>
      <c r="C7" s="6" t="n"/>
      <c r="D7" s="6" t="n"/>
      <c r="E7" s="6" t="n"/>
    </row>
    <row r="8">
      <c r="A8" s="6" t="inlineStr">
        <is>
          <t>Impairment charge</t>
        </is>
      </c>
      <c r="B8" s="6" t="n">
        <v>1031330</v>
      </c>
      <c r="C8" s="6" t="n">
        <v>59996</v>
      </c>
      <c r="D8" s="6" t="n">
        <v>1151</v>
      </c>
      <c r="E8" s="6" t="n"/>
    </row>
    <row r="9">
      <c r="A9" s="6" t="inlineStr">
        <is>
          <t>Share option charge / Value of share options issued</t>
        </is>
      </c>
      <c r="B9" s="6" t="n">
        <v>613689</v>
      </c>
      <c r="C9" s="6" t="n">
        <v>760478</v>
      </c>
      <c r="D9" s="6" t="n">
        <v>454457</v>
      </c>
      <c r="E9" s="6" t="n">
        <v>711032</v>
      </c>
    </row>
    <row r="10">
      <c r="A10" s="6" t="inlineStr">
        <is>
          <t>Unauthorised overdraft operational loss</t>
        </is>
      </c>
      <c r="B10" s="6" t="n">
        <v>-21790</v>
      </c>
      <c r="C10" s="6" t="n"/>
      <c r="D10" s="6" t="n"/>
      <c r="E10" s="6" t="n"/>
    </row>
    <row r="11">
      <c r="A11" s="6" t="inlineStr">
        <is>
          <t>Net interest income</t>
        </is>
      </c>
      <c r="B11" s="6" t="n">
        <v>-9459226</v>
      </c>
      <c r="C11" s="6" t="n">
        <v>-6159249</v>
      </c>
      <c r="D11" s="6" t="n"/>
      <c r="E11" s="6" t="n"/>
    </row>
    <row r="12">
      <c r="A12" s="6" t="inlineStr">
        <is>
          <t>Interest on debt securities</t>
        </is>
      </c>
      <c r="B12" s="6" t="n"/>
      <c r="C12" s="6" t="n"/>
      <c r="D12" s="6" t="n">
        <v>-116040</v>
      </c>
      <c r="E12" s="6" t="n"/>
    </row>
    <row r="13">
      <c r="A13" s="6" t="inlineStr">
        <is>
          <t>Interest on convertible loan</t>
        </is>
      </c>
      <c r="B13" s="6" t="n"/>
      <c r="C13" s="6" t="n"/>
      <c r="D13" s="6" t="n"/>
      <c r="E13" s="6" t="n">
        <v>259205</v>
      </c>
    </row>
    <row r="14">
      <c r="A14" s="6" t="inlineStr">
        <is>
          <t>(Increase)/decrease in other assets</t>
        </is>
      </c>
      <c r="B14" s="6" t="n">
        <v>-1221715</v>
      </c>
      <c r="C14" s="6" t="n">
        <v>-1960147</v>
      </c>
      <c r="D14" s="6" t="n">
        <v>-934468</v>
      </c>
      <c r="E14" s="6" t="n">
        <v>-232127</v>
      </c>
    </row>
    <row r="15">
      <c r="A15" s="6" t="inlineStr">
        <is>
          <t>Increase/(decrease) in other liabilities</t>
        </is>
      </c>
      <c r="B15" s="6" t="n">
        <v>-2599814</v>
      </c>
      <c r="C15" s="6" t="n">
        <v>2769451</v>
      </c>
      <c r="D15" s="6" t="n">
        <v>1188991</v>
      </c>
      <c r="E15" s="6" t="n">
        <v>359711</v>
      </c>
    </row>
    <row r="16">
      <c r="A16" s="6" t="inlineStr">
        <is>
          <t>Movement in customer advances</t>
        </is>
      </c>
      <c r="B16" s="6" t="n">
        <v>-14807003</v>
      </c>
      <c r="C16" s="6" t="n">
        <v>-2315093</v>
      </c>
      <c r="D16" s="6" t="n"/>
      <c r="E16" s="6" t="n"/>
    </row>
    <row r="17">
      <c r="A17" s="6" t="inlineStr">
        <is>
          <t>Movement in customer deposits</t>
        </is>
      </c>
      <c r="B17" s="6" t="n">
        <v>111086286</v>
      </c>
      <c r="C17" s="6" t="n">
        <v>850875499</v>
      </c>
      <c r="D17" s="6" t="n"/>
      <c r="E17" s="6" t="n"/>
    </row>
    <row r="18">
      <c r="A18" s="6" t="inlineStr">
        <is>
          <t>Movement in customer balances</t>
        </is>
      </c>
      <c r="B18" s="6" t="n"/>
      <c r="C18" s="6" t="n"/>
      <c r="D18" s="6" t="n">
        <v>1231895</v>
      </c>
      <c r="E18" s="6" t="n"/>
    </row>
    <row r="19">
      <c r="A19" s="6" t="inlineStr">
        <is>
          <t>R&amp;D tax credit received</t>
        </is>
      </c>
      <c r="B19" s="6" t="n"/>
      <c r="C19" s="6" t="n">
        <v>1369199</v>
      </c>
      <c r="D19" s="6" t="n"/>
      <c r="E19" s="6" t="n">
        <v>478309</v>
      </c>
    </row>
    <row r="20">
      <c r="A20" s="6" t="inlineStr">
        <is>
          <t>Interest received</t>
        </is>
      </c>
      <c r="B20" s="6" t="n">
        <v>49131596</v>
      </c>
      <c r="C20" s="6" t="n">
        <v>27920335</v>
      </c>
      <c r="D20" s="6" t="n"/>
      <c r="E20" s="6" t="n"/>
    </row>
    <row r="21">
      <c r="A21" s="6" t="inlineStr">
        <is>
          <t>Interest paid</t>
        </is>
      </c>
      <c r="B21" s="6" t="n">
        <v>-39841442</v>
      </c>
      <c r="C21" s="6" t="n">
        <v>-19112492</v>
      </c>
      <c r="D21" s="6" t="n"/>
      <c r="E21" s="6" t="n"/>
    </row>
    <row r="22">
      <c r="A22" s="5" t="inlineStr">
        <is>
          <t>Net cash from/(used in) operating activities</t>
        </is>
      </c>
      <c r="B22" s="5" t="n">
        <v>74846269</v>
      </c>
      <c r="C22" s="5" t="n">
        <v>826459821</v>
      </c>
      <c r="D22" s="5" t="n">
        <v>-14398035</v>
      </c>
      <c r="E22" s="5" t="n">
        <v>-7435887</v>
      </c>
    </row>
    <row r="23">
      <c r="A23" s="5" t="inlineStr">
        <is>
          <t>Investing activities</t>
        </is>
      </c>
      <c r="B23" s="6" t="n"/>
      <c r="C23" s="6" t="n"/>
      <c r="D23" s="6" t="n"/>
      <c r="E23" s="6" t="n"/>
    </row>
    <row r="24">
      <c r="A24" s="6" t="inlineStr">
        <is>
          <t>Purchase of tangible fixed assets</t>
        </is>
      </c>
      <c r="B24" s="6" t="n">
        <v>-15265</v>
      </c>
      <c r="C24" s="6" t="n">
        <v>-283243</v>
      </c>
      <c r="D24" s="6" t="n">
        <v>-270719</v>
      </c>
      <c r="E24" s="6" t="n">
        <v>-70707</v>
      </c>
    </row>
    <row r="25">
      <c r="A25" s="6" t="inlineStr">
        <is>
          <t>Proceeds of sale of tangible fixed assets</t>
        </is>
      </c>
      <c r="B25" s="6" t="n"/>
      <c r="C25" s="6" t="n"/>
      <c r="D25" s="6" t="n">
        <v>800</v>
      </c>
      <c r="E25" s="6" t="n"/>
    </row>
    <row r="26">
      <c r="A26" s="6" t="inlineStr">
        <is>
          <t>Purchase of debt securities</t>
        </is>
      </c>
      <c r="B26" s="6" t="n"/>
      <c r="C26" s="6" t="n"/>
      <c r="D26" s="6" t="n">
        <v>-19976892</v>
      </c>
      <c r="E26" s="6" t="n"/>
    </row>
    <row r="27">
      <c r="A27" s="6" t="inlineStr">
        <is>
          <t>Sale of debt securities</t>
        </is>
      </c>
      <c r="B27" s="6" t="n"/>
      <c r="C27" s="6" t="n">
        <v>10000000</v>
      </c>
      <c r="D27" s="6" t="n">
        <v>10120349</v>
      </c>
      <c r="E27" s="6" t="n"/>
    </row>
    <row r="28">
      <c r="A28" s="5" t="inlineStr">
        <is>
          <t>Net cash from/(used in) investing activities</t>
        </is>
      </c>
      <c r="B28" s="5" t="n">
        <v>-15265</v>
      </c>
      <c r="C28" s="5" t="n">
        <v>9716757</v>
      </c>
      <c r="D28" s="5" t="n">
        <v>-10126462</v>
      </c>
      <c r="E28" s="5" t="n">
        <v>-70707</v>
      </c>
    </row>
    <row r="29">
      <c r="A29" s="5" t="inlineStr">
        <is>
          <t>Financing activities</t>
        </is>
      </c>
      <c r="B29" s="6" t="n"/>
      <c r="C29" s="6" t="n"/>
      <c r="D29" s="6" t="n"/>
      <c r="E29" s="6" t="n"/>
    </row>
    <row r="30">
      <c r="A30" s="6" t="inlineStr">
        <is>
          <t>Issue of convertible loan note</t>
        </is>
      </c>
      <c r="B30" s="6" t="n"/>
      <c r="C30" s="6" t="n"/>
      <c r="D30" s="6" t="n"/>
      <c r="E30" s="6" t="n"/>
    </row>
    <row r="31">
      <c r="A31" s="6" t="inlineStr">
        <is>
          <t>Issue of share capital / Issue of shares</t>
        </is>
      </c>
      <c r="B31" s="6" t="n">
        <v>12508985</v>
      </c>
      <c r="C31" s="6" t="n">
        <v>18020475</v>
      </c>
      <c r="D31" s="6" t="n">
        <v>27268402</v>
      </c>
      <c r="E31" s="6" t="n">
        <v>15064176</v>
      </c>
    </row>
    <row r="32">
      <c r="A32" s="6" t="inlineStr">
        <is>
          <t>Cost of share issues</t>
        </is>
      </c>
      <c r="B32" s="6" t="n"/>
      <c r="C32" s="6" t="n">
        <v>-72726</v>
      </c>
      <c r="D32" s="6" t="n"/>
      <c r="E32" s="6" t="n"/>
    </row>
    <row r="33">
      <c r="A33" s="5" t="inlineStr">
        <is>
          <t>Net cash from financing activities</t>
        </is>
      </c>
      <c r="B33" s="5" t="n">
        <v>12508985</v>
      </c>
      <c r="C33" s="5" t="n">
        <v>17947749</v>
      </c>
      <c r="D33" s="5" t="n">
        <v>27268402</v>
      </c>
      <c r="E33" s="5" t="n">
        <v>15064176</v>
      </c>
    </row>
    <row r="34">
      <c r="A34" s="5" t="inlineStr">
        <is>
          <t>Net increase/(decrease) in cash and cash equivalents</t>
        </is>
      </c>
      <c r="B34" s="5" t="n">
        <v>87339989</v>
      </c>
      <c r="C34" s="5" t="n">
        <v>854124327</v>
      </c>
      <c r="D34" s="5" t="n">
        <v>2743905</v>
      </c>
      <c r="E34" s="5" t="n">
        <v>7557582</v>
      </c>
    </row>
    <row r="35">
      <c r="A35" s="6" t="inlineStr">
        <is>
          <t>Cash at beginning of year</t>
        </is>
      </c>
      <c r="B35" s="6" t="n">
        <v>865759423</v>
      </c>
      <c r="C35" s="6" t="n">
        <v>11635096</v>
      </c>
      <c r="D35" s="6" t="n">
        <v>8891191</v>
      </c>
      <c r="E35" s="6" t="n">
        <v>1333609</v>
      </c>
    </row>
    <row r="36">
      <c r="A36" s="5" t="inlineStr">
        <is>
          <t>Cash at end of year</t>
        </is>
      </c>
      <c r="B36" s="5" t="n">
        <v>953099412</v>
      </c>
      <c r="C36" s="5" t="n">
        <v>865759423</v>
      </c>
      <c r="D36" s="5" t="n">
        <v>11635096</v>
      </c>
      <c r="E36" s="5" t="n">
        <v>8891191</v>
      </c>
    </row>
    <row r="38" ht="180" customHeight="1">
      <c r="A38" s="8" t="inlineStr">
        <is>
          <t>Sources - all figures are Kroo Bank Ltd's own Statement of Cash Flows, each year's own originally published figures used (no restatement affects the cash flow statement itself):
FY2024: Annual Report 2024, p.37 (Statement of cash flows) - https://www.kroo.com/files/kroo-annual-report-2024.pdf
FY2023: Annual Report 2023, p.38 (Statement of Cash Flows) - https://www.kroo.com/files/kroo-annual-report-2023.pdf
FY2022: Annual Report 2022, p.28 (Statement of Cash Flows) - https://www.kroo.com/files/kroo-annual-report-2022.pdf
FY2021: Annual Report 2021, p.27 (Statement of Cash Flows) - https://www.kroo.com/files/kroo-annual-report-2021.pdf
Note: the FY2023 Annual Report's own FY2022 comparative column and the FY2022 Annual Report's own FY2022 figures present operating-activity line items with different labels/groupings (e.g. FY2022's own report shows a standalone 'Interest on debt securities' line, while FY2023's report combines this into a single 'Net interest income' line) - each year's own originally published report's own line items are used here rather than a later report's re-presentation, consistent with this project's convention.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38:E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CET1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7327982</v>
      </c>
      <c r="C4" s="6" t="n">
        <v>14288553</v>
      </c>
      <c r="D4" s="6" t="n">
        <v>22428333</v>
      </c>
      <c r="E4" s="6" t="n">
        <v>9557150</v>
      </c>
    </row>
    <row r="6" ht="150" customHeight="1">
      <c r="A6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Note: the FY2024 Pillar 3 report's own FY2023 comparative shows a materially different, restated CET1/Tier 1/Total Capital figure of £13,429,696 (and RWA £30,694,218 vs the originally-published £30,694,218 - RWA is unchanged, only capital changed), explicitly attributed by the document itself to 'a prior year adjustment' detailed in note 1 of the 2024 Annual Report. FY2023's own originally published figure (£14,288,553) is used here per this project's convention.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6:E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24.0%</t>
        </is>
      </c>
      <c r="C4" s="6" t="inlineStr">
        <is>
          <t>46.6%</t>
        </is>
      </c>
      <c r="D4" s="6" t="inlineStr">
        <is>
          <t>93.18%</t>
        </is>
      </c>
      <c r="E4" s="6" t="inlineStr">
        <is>
          <t>287.76%</t>
        </is>
      </c>
    </row>
    <row r="5" ht="60" customHeight="1">
      <c r="A5" s="7" t="inlineStr">
        <is>
          <t>Note: Extreme early-year ratios (287.76% FY2021, 93.18% FY2022) reflect a genuine early-mobilisation position - capital raised well ahead of RWA growth, confirmed internally consistent against each year's own RWA figure, not a transcription error.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Tier 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Tier 1 capital</t>
        </is>
      </c>
      <c r="B4" s="6" t="n">
        <v>7327982</v>
      </c>
      <c r="C4" s="6" t="n">
        <v>14288553</v>
      </c>
      <c r="D4" s="6" t="n">
        <v>22428333</v>
      </c>
      <c r="E4" s="6" t="n">
        <v>9557150</v>
      </c>
    </row>
    <row r="5" ht="60" customHeight="1">
      <c r="A5" s="7" t="inlineStr">
        <is>
          <t>Note: No Additional Tier 1 instruments in issue any year - Tier 1 capital equals CET1 capital throughout, per the source's own Table 3/Key metrics.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24.0%</t>
        </is>
      </c>
      <c r="C4" s="6" t="inlineStr">
        <is>
          <t>46.6%</t>
        </is>
      </c>
      <c r="D4" s="6" t="inlineStr">
        <is>
          <t>93.18%</t>
        </is>
      </c>
      <c r="E4" s="6" t="inlineStr">
        <is>
          <t>287.76%</t>
        </is>
      </c>
    </row>
    <row r="6" ht="150" customHeight="1">
      <c r="A6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6:E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Total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Total capital</t>
        </is>
      </c>
      <c r="B4" s="6" t="n">
        <v>7327982</v>
      </c>
      <c r="C4" s="6" t="n">
        <v>14288553</v>
      </c>
      <c r="D4" s="6" t="n">
        <v>22428333</v>
      </c>
      <c r="E4" s="6" t="n">
        <v>9557150</v>
      </c>
    </row>
    <row r="5" ht="60" customHeight="1">
      <c r="A5" s="7" t="inlineStr">
        <is>
          <t>Note: No Tier 2 instruments in issue any year - Total capital equals CET1/Tier 1 capital throughout.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24.0%</t>
        </is>
      </c>
      <c r="C4" s="6" t="inlineStr">
        <is>
          <t>46.6%</t>
        </is>
      </c>
      <c r="D4" s="6" t="inlineStr">
        <is>
          <t>93.18%</t>
        </is>
      </c>
      <c r="E4" s="6" t="inlineStr">
        <is>
          <t>287.76%</t>
        </is>
      </c>
    </row>
    <row r="6" ht="150" customHeight="1">
      <c r="A6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6:E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Total RWAs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30590678</v>
      </c>
      <c r="C4" s="6" t="n">
        <v>30694218</v>
      </c>
      <c r="D4" s="6" t="n">
        <v>24070601</v>
      </c>
      <c r="E4" s="6" t="n">
        <v>3321197</v>
      </c>
    </row>
    <row r="6" ht="150" customHeight="1">
      <c r="A6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6:E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Leverage ratio excluding claims on central banks</t>
        </is>
      </c>
      <c r="B4" s="6" t="inlineStr">
        <is>
          <t>21.2%</t>
        </is>
      </c>
      <c r="C4" s="6" t="inlineStr">
        <is>
          <t>55.6%</t>
        </is>
      </c>
      <c r="D4" s="6" t="inlineStr">
        <is>
          <t>99.97%</t>
        </is>
      </c>
      <c r="E4" s="6" t="inlineStr">
        <is>
          <t>91.82%</t>
        </is>
      </c>
    </row>
    <row r="5" ht="60" customHeight="1">
      <c r="A5" s="7" t="inlineStr">
        <is>
          <t>Note: FY2021's own Pillar 3 report does not show the 'claims on central banks excluded, capped at level of liabilities' adjustment line that appears in every later year's reconciliation table - its 91.82% is computed on Total Balance Sheet Exposures with no such exclusion applied, a genuine methodology basis break in the Bank's first reporting year, not a transcription choice.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758%</t>
        </is>
      </c>
      <c r="C4" s="6" t="inlineStr">
        <is>
          <t>4248%</t>
        </is>
      </c>
      <c r="D4" s="6" t="inlineStr">
        <is>
          <t>12926%</t>
        </is>
      </c>
      <c r="E4" s="6" t="inlineStr">
        <is>
          <t>13333%</t>
        </is>
      </c>
    </row>
    <row r="5" ht="60" customHeight="1">
      <c r="A5" s="7" t="inlineStr">
        <is>
          <t>Note: Extreme ratios throughout (up to 13,333%) reflect the Bank's own explicit narrative that these are not representative during its early mobilisation/deposit-ramp phase - genuine per the source, not a transcription error.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Note: FY2022's own contemporaneous Pillar 3 report (Table 9) shows a materially different, much larger LCR of 258,343% for the 31 Dec 2022 quarter alone, apparently using a shorter/different averaging window than the full-year methodology used in the FY2023 report's own FY2022 comparative (12,926%, used here). Both the Bank's own FY2021 and FY2022 narrative sections explicitly caveat that these ratios are 'not representative' during the mobilisation phase, when the Bank held only small testing-purpose deposit balances - flagged here rather than silently reconciled.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4522%</t>
        </is>
      </c>
      <c r="C4" s="6" t="inlineStr">
        <is>
          <t>5272%</t>
        </is>
      </c>
      <c r="D4" s="6" t="inlineStr">
        <is>
          <t>493%</t>
        </is>
      </c>
      <c r="E4" s="6" t="n"/>
    </row>
    <row r="5" ht="60" customHeight="1">
      <c r="A5" s="7" t="inlineStr">
        <is>
          <t>Note: Not disclosed for FY2021 - the Bank's FY2021 Pillar 3 report discloses no NSFR table at all (only LCR), confirmed genuinely absent rather than an access gap.</t>
        </is>
      </c>
    </row>
    <row r="7" ht="150" customHeight="1">
      <c r="A7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Kroo Bank Ltd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6" ht="150" customHeight="1">
      <c r="A6" s="8" t="inlineStr">
        <is>
          <t>Sources - Kroo Bank Ltd Pillar 3 Disclosures, each year's own originally published figures used:
FY2024: Pillar 3 Disclosures 2024, Table 3 (Key metrics, 31 Dec 2024 column) - https://www.kroo.com/files/kroo-pillar-3-disclosures-2024.pdf
FY2023: Pillar 3 Disclosures 2023, Table 3 (Key metrics, 31 Dec 2023 column) - https://www.kroo.com/files/kroo-pillar-3-disclosures-2023.pdf
FY2022: Pillar 3 Disclosures 2022, Table 3 (Capital resources)/Table 6 (Leverage ratio) - https://www.kroo.com/files/kroo-pillar-3-disclosures-2022.pdf
FY2021: Pillar 3 Disclosures 2021, Table 3 (Capital resources)/Table 6 (Leverage ratio) - https://www.kroo.com/files/kroo-pillar-3-disclosures-2021.pdf
Kroo Bank Ltd (Companies House 10359002) was authorised as a bank with restrictions on 7 July 2021 and only came within scope of UK bank regulation from that date - FY2021 is therefore its first reporting period as a regulated bank. Only 4 Annual Reports have ever been published (FY2021-FY2024) - no FY2025 Annual Report or Pillar 3 report exists yet as of this build, so only 4 years are included here rather than padding to 5.</t>
        </is>
      </c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2026-08-29T08:45:55Z</dcterms:created>
  <dcterms:modified xmlns:dcterms="http://purl.org/dc/terms/" xmlns:xsi="http://www.w3.org/2001/XMLSchema-instance" xsi:type="dcterms:W3CDTF">2026-08-29T08:45:55Z</dcterms:modified>
</cp:coreProperties>
</file>