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B3F8C"/>
        <bgColor rgb="006B3F8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'Overview'!$AH$25:$AL$25</f>
            </numRef>
          </val>
        </ser>
        <ser>
          <idx val="1"/>
          <order val="1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'Overview'!$AH$26:$AL$26</f>
            </numRef>
          </val>
        </ser>
        <ser>
          <idx val="2"/>
          <order val="2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'Overview'!$AH$27:$AL$27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33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55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77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99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121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1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Rathbones Investment Management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 (£'000))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4809683</v>
      </c>
      <c r="C6" s="5" t="n">
        <v>3017731</v>
      </c>
      <c r="D6" s="5" t="n">
        <v>2845759</v>
      </c>
      <c r="E6" s="5" t="n">
        <v>3081068</v>
      </c>
      <c r="F6" s="5" t="n">
        <v>2843239</v>
      </c>
      <c r="I6" t="inlineStr">
        <is>
          <t>Total assets</t>
        </is>
      </c>
      <c r="J6" t="n">
        <v>2843239</v>
      </c>
      <c r="K6" t="n">
        <v>3081068</v>
      </c>
      <c r="L6" t="n">
        <v>2845759</v>
      </c>
      <c r="M6" t="n">
        <v>3017731</v>
      </c>
      <c r="N6" t="n">
        <v>4809683</v>
      </c>
      <c r="AO6" t="inlineStr">
        <is>
          <t>CET1 Ratio</t>
        </is>
      </c>
    </row>
    <row r="7">
      <c r="A7" s="5" t="inlineStr">
        <is>
          <t>Loans and advances to customers</t>
        </is>
      </c>
      <c r="B7" s="5" t="n">
        <v>206392</v>
      </c>
      <c r="C7" s="5" t="n">
        <v>124556</v>
      </c>
      <c r="D7" s="5" t="n">
        <v>131817</v>
      </c>
      <c r="E7" s="5" t="n">
        <v>205120</v>
      </c>
      <c r="F7" s="5" t="n">
        <v>194424</v>
      </c>
      <c r="I7" t="inlineStr">
        <is>
          <t>Loans and advances to customers</t>
        </is>
      </c>
      <c r="J7" t="n">
        <v>194424</v>
      </c>
      <c r="K7" t="n">
        <v>205120</v>
      </c>
      <c r="L7" t="n">
        <v>131817</v>
      </c>
      <c r="M7" t="n">
        <v>124556</v>
      </c>
      <c r="N7" t="n">
        <v>206392</v>
      </c>
    </row>
    <row r="8">
      <c r="A8" s="5" t="inlineStr">
        <is>
          <t>Due to customers</t>
        </is>
      </c>
      <c r="B8" s="5" t="n">
        <v>3474635</v>
      </c>
      <c r="C8" s="5" t="n">
        <v>2540560</v>
      </c>
      <c r="D8" s="5" t="n">
        <v>2359342</v>
      </c>
      <c r="E8" s="5" t="n">
        <v>2622664</v>
      </c>
      <c r="F8" s="5" t="n">
        <v>2390232</v>
      </c>
      <c r="I8" t="inlineStr">
        <is>
          <t>Due to customers</t>
        </is>
      </c>
      <c r="J8" t="n">
        <v>2390232</v>
      </c>
      <c r="K8" t="n">
        <v>2622664</v>
      </c>
      <c r="L8" t="n">
        <v>2359342</v>
      </c>
      <c r="M8" t="n">
        <v>2540560</v>
      </c>
      <c r="N8" t="n">
        <v>3474635</v>
      </c>
    </row>
    <row r="9">
      <c r="A9" s="5" t="inlineStr">
        <is>
          <t>Total equity</t>
        </is>
      </c>
      <c r="B9" s="5" t="n">
        <v>1147348</v>
      </c>
      <c r="C9" s="5" t="n">
        <v>405212</v>
      </c>
      <c r="D9" s="5" t="n">
        <v>415845</v>
      </c>
      <c r="E9" s="5" t="n">
        <v>415887</v>
      </c>
      <c r="F9" s="5" t="n">
        <v>409920</v>
      </c>
      <c r="I9" t="inlineStr">
        <is>
          <t>Total equity</t>
        </is>
      </c>
      <c r="J9" t="n">
        <v>409920</v>
      </c>
      <c r="K9" t="n">
        <v>415887</v>
      </c>
      <c r="L9" t="n">
        <v>415845</v>
      </c>
      <c r="M9" t="n">
        <v>405212</v>
      </c>
      <c r="N9" t="n">
        <v>1147348</v>
      </c>
    </row>
    <row r="11">
      <c r="A11" s="3" t="inlineStr">
        <is>
          <t>Profit &amp; Loss Summary ( (£'000))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Operating income</t>
        </is>
      </c>
      <c r="B13" s="5" t="n">
        <v>781638</v>
      </c>
      <c r="C13" s="5" t="n">
        <v>424964</v>
      </c>
      <c r="D13" s="5" t="n">
        <v>385751</v>
      </c>
      <c r="E13" s="5" t="n">
        <v>351147</v>
      </c>
      <c r="F13" s="5" t="n">
        <v>352939</v>
      </c>
      <c r="Q13" t="inlineStr">
        <is>
          <t>Operating income</t>
        </is>
      </c>
      <c r="R13" t="n">
        <v>352939</v>
      </c>
      <c r="S13" t="n">
        <v>351147</v>
      </c>
      <c r="T13" t="n">
        <v>385751</v>
      </c>
      <c r="U13" t="n">
        <v>424964</v>
      </c>
      <c r="V13" t="n">
        <v>781638</v>
      </c>
    </row>
    <row r="14">
      <c r="A14" s="5" t="inlineStr">
        <is>
          <t>Operating expenses</t>
        </is>
      </c>
      <c r="B14" s="5" t="n">
        <v>-670165</v>
      </c>
      <c r="C14" s="5" t="n">
        <v>-403797</v>
      </c>
      <c r="D14" s="5" t="n">
        <v>-321887</v>
      </c>
      <c r="E14" s="5" t="n">
        <v>-301973</v>
      </c>
      <c r="F14" s="5" t="n">
        <v>-277741</v>
      </c>
      <c r="Q14" t="inlineStr">
        <is>
          <t>Operating expenses</t>
        </is>
      </c>
      <c r="R14" t="n">
        <v>-277741</v>
      </c>
      <c r="S14" t="n">
        <v>-301973</v>
      </c>
      <c r="T14" t="n">
        <v>-321887</v>
      </c>
      <c r="U14" t="n">
        <v>-403797</v>
      </c>
      <c r="V14" t="n">
        <v>-670165</v>
      </c>
    </row>
    <row r="15">
      <c r="A15" s="5" t="inlineStr">
        <is>
          <t>Profit for the year</t>
        </is>
      </c>
      <c r="B15" s="5" t="n">
        <v>81117</v>
      </c>
      <c r="C15" s="5" t="n">
        <v>16367</v>
      </c>
      <c r="D15" s="5" t="n">
        <v>49958</v>
      </c>
      <c r="E15" s="5" t="n">
        <v>40967</v>
      </c>
      <c r="F15" s="5" t="n">
        <v>58964</v>
      </c>
      <c r="Q15" t="inlineStr">
        <is>
          <t>Profit for the year</t>
        </is>
      </c>
      <c r="R15" t="n">
        <v>58964</v>
      </c>
      <c r="S15" t="n">
        <v>40967</v>
      </c>
      <c r="T15" t="n">
        <v>49958</v>
      </c>
      <c r="U15" t="n">
        <v>16367</v>
      </c>
      <c r="V15" t="n">
        <v>81117</v>
      </c>
    </row>
    <row r="17">
      <c r="A17" s="3" t="inlineStr">
        <is>
          <t>Statement of Changes in Equity Summary ( (£'000))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405212</v>
      </c>
      <c r="C19" s="5" t="n">
        <v>415845</v>
      </c>
      <c r="D19" s="5" t="n">
        <v>415887</v>
      </c>
      <c r="E19" s="5" t="n">
        <v>409920</v>
      </c>
      <c r="F19" s="5" t="n">
        <v>405956</v>
      </c>
      <c r="Y19" t="inlineStr">
        <is>
          <t>Opening equity</t>
        </is>
      </c>
      <c r="Z19" t="n">
        <v>405956</v>
      </c>
      <c r="AA19" t="n">
        <v>409920</v>
      </c>
      <c r="AB19" t="n">
        <v>415887</v>
      </c>
      <c r="AC19" t="n">
        <v>415845</v>
      </c>
      <c r="AD19" t="n">
        <v>405212</v>
      </c>
    </row>
    <row r="20">
      <c r="A20" s="5" t="inlineStr">
        <is>
          <t>Total comprehensive income for the year</t>
        </is>
      </c>
      <c r="B20" s="5" t="n">
        <v>81117</v>
      </c>
      <c r="C20" s="5" t="n">
        <v>16367</v>
      </c>
      <c r="D20" s="5" t="n">
        <v>49958</v>
      </c>
      <c r="E20" s="5" t="n">
        <v>40967</v>
      </c>
      <c r="F20" s="5" t="n">
        <v>58964</v>
      </c>
      <c r="Y20" t="inlineStr">
        <is>
          <t>Total comprehensive income for the year</t>
        </is>
      </c>
      <c r="Z20" t="n">
        <v>58964</v>
      </c>
      <c r="AA20" t="n">
        <v>40967</v>
      </c>
      <c r="AB20" t="n">
        <v>49958</v>
      </c>
      <c r="AC20" t="n">
        <v>16367</v>
      </c>
      <c r="AD20" t="n">
        <v>81117</v>
      </c>
    </row>
    <row r="21">
      <c r="A21" s="5" t="inlineStr">
        <is>
          <t>Closing equity</t>
        </is>
      </c>
      <c r="B21" s="5" t="n">
        <v>1147348</v>
      </c>
      <c r="C21" s="5" t="n">
        <v>405212</v>
      </c>
      <c r="D21" s="5" t="n">
        <v>415845</v>
      </c>
      <c r="E21" s="5" t="n">
        <v>415887</v>
      </c>
      <c r="F21" s="5" t="n">
        <v>409920</v>
      </c>
      <c r="Y21" t="inlineStr">
        <is>
          <t>Closing equity</t>
        </is>
      </c>
      <c r="Z21" t="n">
        <v>409920</v>
      </c>
      <c r="AA21" t="n">
        <v>415887</v>
      </c>
      <c r="AB21" t="n">
        <v>415845</v>
      </c>
      <c r="AC21" t="n">
        <v>405212</v>
      </c>
      <c r="AD21" t="n">
        <v>1147348</v>
      </c>
    </row>
    <row r="23">
      <c r="A23" s="3" t="inlineStr">
        <is>
          <t>Cash Flow Summary ( (£'000))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AH24" t="inlineStr">
        <is>
          <t>FY2021</t>
        </is>
      </c>
      <c r="AI24" t="inlineStr">
        <is>
          <t>FY2022</t>
        </is>
      </c>
      <c r="AJ24" t="inlineStr">
        <is>
          <t>FY2023</t>
        </is>
      </c>
      <c r="AK24" t="inlineStr">
        <is>
          <t>FY2024</t>
        </is>
      </c>
      <c r="AL24" t="inlineStr">
        <is>
          <t>FY2025</t>
        </is>
      </c>
    </row>
    <row r="25">
      <c r="A25" s="5" t="inlineStr">
        <is>
          <t>Net cash inflow/(outflow) from operating activities</t>
        </is>
      </c>
      <c r="B25" s="5" t="n">
        <v>988180</v>
      </c>
      <c r="C25" s="5" t="n">
        <v>200256</v>
      </c>
      <c r="D25" s="5" t="n">
        <v>-99468</v>
      </c>
      <c r="E25" s="5" t="n">
        <v>276728</v>
      </c>
      <c r="F25" s="5" t="n">
        <v>-249109</v>
      </c>
      <c r="AG25" t="inlineStr">
        <is>
          <t>Net cash inflow/(outflow) from operating activities</t>
        </is>
      </c>
      <c r="AH25" t="n">
        <v>-249109</v>
      </c>
      <c r="AI25" t="n">
        <v>276728</v>
      </c>
      <c r="AJ25" t="n">
        <v>-99468</v>
      </c>
      <c r="AK25" t="n">
        <v>200256</v>
      </c>
      <c r="AL25" t="n">
        <v>988180</v>
      </c>
    </row>
    <row r="26">
      <c r="A26" s="5" t="inlineStr">
        <is>
          <t>Net cash used in investing activities</t>
        </is>
      </c>
      <c r="B26" s="5" t="n">
        <v>-559268</v>
      </c>
      <c r="C26" s="5" t="n">
        <v>-2375</v>
      </c>
      <c r="D26" s="5" t="n">
        <v>-256406</v>
      </c>
      <c r="E26" s="5" t="n">
        <v>-285059</v>
      </c>
      <c r="F26" s="5" t="n">
        <v>-126903</v>
      </c>
      <c r="AG26" t="inlineStr">
        <is>
          <t>Net cash used in investing activities</t>
        </is>
      </c>
      <c r="AH26" t="n">
        <v>-126903</v>
      </c>
      <c r="AI26" t="n">
        <v>-285059</v>
      </c>
      <c r="AJ26" t="n">
        <v>-256406</v>
      </c>
      <c r="AK26" t="n">
        <v>-2375</v>
      </c>
      <c r="AL26" t="n">
        <v>-559268</v>
      </c>
    </row>
    <row r="27">
      <c r="A27" s="5" t="inlineStr">
        <is>
          <t>Cash and cash equivalents at the end of the year</t>
        </is>
      </c>
      <c r="B27" s="5" t="n">
        <v>1609394</v>
      </c>
      <c r="C27" s="5" t="n">
        <v>1249482</v>
      </c>
      <c r="D27" s="5" t="n">
        <v>1078601</v>
      </c>
      <c r="E27" s="5" t="n">
        <v>1484475</v>
      </c>
      <c r="F27" s="5" t="n">
        <v>1530445</v>
      </c>
      <c r="AG27" t="inlineStr">
        <is>
          <t>Cash and cash equivalents at the end of the year</t>
        </is>
      </c>
      <c r="AH27" t="n">
        <v>1530445</v>
      </c>
      <c r="AI27" t="n">
        <v>1484475</v>
      </c>
      <c r="AJ27" t="n">
        <v>1078601</v>
      </c>
      <c r="AK27" t="n">
        <v>1249482</v>
      </c>
      <c r="AL27" t="n">
        <v>1609394</v>
      </c>
    </row>
    <row r="29">
      <c r="A29" s="3" t="inlineStr">
        <is>
          <t>Pillar 3 Key Metrics</t>
        </is>
      </c>
    </row>
    <row r="30">
      <c r="A30" s="4" t="inlineStr">
        <is>
          <t>Line item</t>
        </is>
      </c>
      <c r="B30" s="4" t="inlineStr">
        <is>
          <t>FY2025</t>
        </is>
      </c>
      <c r="C30" s="4" t="inlineStr">
        <is>
          <t>FY2024</t>
        </is>
      </c>
      <c r="D30" s="4" t="inlineStr">
        <is>
          <t>FY2023</t>
        </is>
      </c>
      <c r="E30" s="4" t="inlineStr">
        <is>
          <t>FY2022</t>
        </is>
      </c>
      <c r="F30" s="4" t="inlineStr">
        <is>
          <t>FY2021</t>
        </is>
      </c>
    </row>
    <row r="31">
      <c r="A31" s="6" t="inlineStr">
        <is>
          <t>CET1 Ratio</t>
        </is>
      </c>
      <c r="B31" s="6" t="n"/>
      <c r="C31" s="6" t="n"/>
      <c r="D31" s="6" t="n"/>
      <c r="E31" s="6" t="n"/>
      <c r="F31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Balance Sheet</t>
        </is>
      </c>
    </row>
    <row r="2">
      <c r="A2" s="2" t="inlineStr">
        <is>
          <t>Entity basis, £'000. Blank cells indicate a line not disclosed that year (0 indicates a line disclosed as nil, not a gap).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with central banks</t>
        </is>
      </c>
      <c r="B5" s="6" t="n">
        <v>1503963</v>
      </c>
      <c r="C5" s="6" t="n">
        <v>1165956</v>
      </c>
      <c r="D5" s="6" t="n">
        <v>1038280</v>
      </c>
      <c r="E5" s="6" t="n">
        <v>1412915</v>
      </c>
      <c r="F5" s="6" t="n">
        <v>1463293</v>
      </c>
    </row>
    <row r="6">
      <c r="A6" s="6" t="inlineStr">
        <is>
          <t>Settlement balances</t>
        </is>
      </c>
      <c r="B6" s="6" t="n">
        <v>44654</v>
      </c>
      <c r="C6" s="6" t="n">
        <v>35248</v>
      </c>
      <c r="D6" s="6" t="n">
        <v>39048</v>
      </c>
      <c r="E6" s="6" t="n">
        <v>19825</v>
      </c>
      <c r="F6" s="6" t="n">
        <v>28831</v>
      </c>
    </row>
    <row r="7">
      <c r="A7" s="6" t="inlineStr">
        <is>
          <t>Loans and advances to banks</t>
        </is>
      </c>
      <c r="B7" s="6" t="n">
        <v>105394</v>
      </c>
      <c r="C7" s="6" t="n">
        <v>83482</v>
      </c>
      <c r="D7" s="6" t="n">
        <v>42601</v>
      </c>
      <c r="E7" s="6" t="n">
        <v>106475</v>
      </c>
      <c r="F7" s="6" t="n">
        <v>97887</v>
      </c>
    </row>
    <row r="8">
      <c r="A8" s="6" t="inlineStr">
        <is>
          <t>Loans and advances to customers</t>
        </is>
      </c>
      <c r="B8" s="6" t="n">
        <v>206392</v>
      </c>
      <c r="C8" s="6" t="n">
        <v>124556</v>
      </c>
      <c r="D8" s="6" t="n">
        <v>131817</v>
      </c>
      <c r="E8" s="6" t="n">
        <v>205120</v>
      </c>
      <c r="F8" s="6" t="n">
        <v>194424</v>
      </c>
    </row>
    <row r="9">
      <c r="A9" s="6" t="inlineStr">
        <is>
          <t>Investment securities - fair value through profit and loss</t>
        </is>
      </c>
      <c r="B9" s="6" t="n"/>
      <c r="C9" s="6" t="n"/>
      <c r="D9" s="6" t="n">
        <v>1181</v>
      </c>
      <c r="E9" s="6" t="n">
        <v>3146</v>
      </c>
      <c r="F9" s="6" t="n">
        <v>2558</v>
      </c>
    </row>
    <row r="10">
      <c r="A10" s="6" t="inlineStr">
        <is>
          <t>Investment securities - amortised cost</t>
        </is>
      </c>
      <c r="B10" s="6" t="n">
        <v>1864282</v>
      </c>
      <c r="C10" s="6" t="n">
        <v>1278219</v>
      </c>
      <c r="D10" s="6" t="n">
        <v>1294589</v>
      </c>
      <c r="E10" s="6" t="n">
        <v>1045234</v>
      </c>
      <c r="F10" s="6" t="n">
        <v>761654</v>
      </c>
    </row>
    <row r="11">
      <c r="A11" s="6" t="inlineStr">
        <is>
          <t>Prepayments, accrued income and other assets</t>
        </is>
      </c>
      <c r="B11" s="6" t="n">
        <v>209933</v>
      </c>
      <c r="C11" s="6" t="n">
        <v>147396</v>
      </c>
      <c r="D11" s="6" t="n">
        <v>118622</v>
      </c>
      <c r="E11" s="6" t="n">
        <v>92179</v>
      </c>
      <c r="F11" s="6" t="n">
        <v>85601</v>
      </c>
    </row>
    <row r="12">
      <c r="A12" s="6" t="inlineStr">
        <is>
          <t>Property, plant and equipment</t>
        </is>
      </c>
      <c r="B12" s="6" t="n">
        <v>48050</v>
      </c>
      <c r="C12" s="6" t="n">
        <v>10939</v>
      </c>
      <c r="D12" s="6" t="n">
        <v>7783</v>
      </c>
      <c r="E12" s="6" t="n">
        <v>12341</v>
      </c>
      <c r="F12" s="6" t="n">
        <v>12496</v>
      </c>
    </row>
    <row r="13">
      <c r="A13" s="6" t="inlineStr">
        <is>
          <t>Right of use assets</t>
        </is>
      </c>
      <c r="B13" s="6" t="n"/>
      <c r="C13" s="6" t="n"/>
      <c r="D13" s="6" t="n">
        <v>1</v>
      </c>
      <c r="E13" s="6" t="n">
        <v>17</v>
      </c>
      <c r="F13" s="6" t="n">
        <v>83</v>
      </c>
    </row>
    <row r="14">
      <c r="A14" s="6" t="inlineStr">
        <is>
          <t>Current tax asset</t>
        </is>
      </c>
      <c r="B14" s="6" t="n">
        <v>6770</v>
      </c>
      <c r="C14" s="6" t="n">
        <v>7992</v>
      </c>
      <c r="D14" s="6" t="n">
        <v>2130</v>
      </c>
      <c r="E14" s="6" t="n">
        <v>3520</v>
      </c>
      <c r="F14" s="6" t="n">
        <v>2826</v>
      </c>
    </row>
    <row r="15">
      <c r="A15" s="6" t="inlineStr">
        <is>
          <t>Deferred tax asset</t>
        </is>
      </c>
      <c r="B15" s="6" t="n"/>
      <c r="C15" s="6" t="n">
        <v>1116</v>
      </c>
      <c r="D15" s="6" t="n">
        <v>1158</v>
      </c>
      <c r="E15" s="6" t="n"/>
      <c r="F15" s="6" t="n"/>
    </row>
    <row r="16">
      <c r="A16" s="6" t="inlineStr">
        <is>
          <t>Intangible assets</t>
        </is>
      </c>
      <c r="B16" s="6" t="n">
        <v>779332</v>
      </c>
      <c r="C16" s="6" t="n">
        <v>153029</v>
      </c>
      <c r="D16" s="6" t="n">
        <v>158751</v>
      </c>
      <c r="E16" s="6" t="n">
        <v>170498</v>
      </c>
      <c r="F16" s="6" t="n">
        <v>183788</v>
      </c>
    </row>
    <row r="17">
      <c r="A17" s="6" t="inlineStr">
        <is>
          <t>Investments in subsidiary undertakings</t>
        </is>
      </c>
      <c r="B17" s="6" t="n">
        <v>40913</v>
      </c>
      <c r="C17" s="6" t="n">
        <v>9798</v>
      </c>
      <c r="D17" s="6" t="n">
        <v>9798</v>
      </c>
      <c r="E17" s="6" t="n">
        <v>9798</v>
      </c>
      <c r="F17" s="6" t="n">
        <v>9798</v>
      </c>
    </row>
    <row r="18">
      <c r="A18" s="5" t="inlineStr">
        <is>
          <t>Total assets</t>
        </is>
      </c>
      <c r="B18" s="5" t="n">
        <v>4809683</v>
      </c>
      <c r="C18" s="5" t="n">
        <v>3017731</v>
      </c>
      <c r="D18" s="5" t="n">
        <v>2845759</v>
      </c>
      <c r="E18" s="5" t="n">
        <v>3081068</v>
      </c>
      <c r="F18" s="5" t="n">
        <v>2843239</v>
      </c>
    </row>
    <row r="19">
      <c r="A19" s="5" t="inlineStr">
        <is>
          <t>Liabilities</t>
        </is>
      </c>
      <c r="B19" s="6" t="n"/>
      <c r="C19" s="6" t="n"/>
      <c r="D19" s="6" t="n"/>
      <c r="E19" s="6" t="n"/>
      <c r="F19" s="6" t="n"/>
    </row>
    <row r="20">
      <c r="A20" s="6" t="inlineStr">
        <is>
          <t>Deposits by banks</t>
        </is>
      </c>
      <c r="B20" s="6" t="n">
        <v>8410</v>
      </c>
      <c r="C20" s="6" t="n">
        <v>3770</v>
      </c>
      <c r="D20" s="6" t="n">
        <v>12359</v>
      </c>
      <c r="E20" s="6" t="n">
        <v>1035</v>
      </c>
      <c r="F20" s="6" t="n">
        <v>2213</v>
      </c>
    </row>
    <row r="21">
      <c r="A21" s="6" t="inlineStr">
        <is>
          <t>Settlement balances</t>
        </is>
      </c>
      <c r="B21" s="6" t="n">
        <v>63146</v>
      </c>
      <c r="C21" s="6" t="n">
        <v>47225</v>
      </c>
      <c r="D21" s="6" t="n">
        <v>41942</v>
      </c>
      <c r="E21" s="6" t="n">
        <v>31028</v>
      </c>
      <c r="F21" s="6" t="n">
        <v>27118</v>
      </c>
    </row>
    <row r="22">
      <c r="A22" s="6" t="inlineStr">
        <is>
          <t>Due to customers</t>
        </is>
      </c>
      <c r="B22" s="6" t="n">
        <v>3474635</v>
      </c>
      <c r="C22" s="6" t="n">
        <v>2540560</v>
      </c>
      <c r="D22" s="6" t="n">
        <v>2359342</v>
      </c>
      <c r="E22" s="6" t="n">
        <v>2622664</v>
      </c>
      <c r="F22" s="6" t="n">
        <v>2390232</v>
      </c>
    </row>
    <row r="23">
      <c r="A23" s="6" t="inlineStr">
        <is>
          <t>Accruals, deferred income, provisions and other liabilities</t>
        </is>
      </c>
      <c r="B23" s="6" t="n">
        <v>41844</v>
      </c>
      <c r="C23" s="6" t="n">
        <v>20964</v>
      </c>
      <c r="D23" s="6" t="n">
        <v>16271</v>
      </c>
      <c r="E23" s="6" t="n">
        <v>8736</v>
      </c>
      <c r="F23" s="6" t="n">
        <v>9432</v>
      </c>
    </row>
    <row r="24">
      <c r="A24" s="6" t="inlineStr">
        <is>
          <t>Lease liabilities</t>
        </is>
      </c>
      <c r="B24" s="6" t="n"/>
      <c r="C24" s="6" t="n"/>
      <c r="D24" s="6" t="n"/>
      <c r="E24" s="6" t="n">
        <v>0</v>
      </c>
      <c r="F24" s="6" t="n">
        <v>81</v>
      </c>
    </row>
    <row r="25">
      <c r="A25" s="6" t="inlineStr">
        <is>
          <t>Deferred tax liability</t>
        </is>
      </c>
      <c r="B25" s="6" t="n">
        <v>74300</v>
      </c>
      <c r="C25" s="6" t="n"/>
      <c r="D25" s="6" t="n"/>
      <c r="E25" s="6" t="n">
        <v>1718</v>
      </c>
      <c r="F25" s="6" t="n">
        <v>4243</v>
      </c>
    </row>
    <row r="26">
      <c r="A26" s="5" t="inlineStr">
        <is>
          <t>Total liabilities</t>
        </is>
      </c>
      <c r="B26" s="5" t="n">
        <v>3662335</v>
      </c>
      <c r="C26" s="5" t="n">
        <v>2612519</v>
      </c>
      <c r="D26" s="5" t="n">
        <v>2429914</v>
      </c>
      <c r="E26" s="5" t="n">
        <v>2665181</v>
      </c>
      <c r="F26" s="5" t="n">
        <v>2433319</v>
      </c>
    </row>
    <row r="27">
      <c r="A27" s="5" t="inlineStr">
        <is>
          <t>Equity</t>
        </is>
      </c>
      <c r="B27" s="6" t="n"/>
      <c r="C27" s="6" t="n"/>
      <c r="D27" s="6" t="n"/>
      <c r="E27" s="6" t="n"/>
      <c r="F27" s="6" t="n"/>
    </row>
    <row r="28">
      <c r="A28" s="6" t="inlineStr">
        <is>
          <t>Share capital</t>
        </is>
      </c>
      <c r="B28" s="6" t="n">
        <v>4996</v>
      </c>
      <c r="C28" s="6" t="n">
        <v>4996</v>
      </c>
      <c r="D28" s="6" t="n">
        <v>4996</v>
      </c>
      <c r="E28" s="6" t="n">
        <v>4996</v>
      </c>
      <c r="F28" s="6" t="n">
        <v>4996</v>
      </c>
    </row>
    <row r="29">
      <c r="A29" s="6" t="inlineStr">
        <is>
          <t>Share premium</t>
        </is>
      </c>
      <c r="B29" s="6" t="n">
        <v>751899</v>
      </c>
      <c r="C29" s="6" t="n">
        <v>298066</v>
      </c>
      <c r="D29" s="6" t="n">
        <v>298066</v>
      </c>
      <c r="E29" s="6" t="n">
        <v>298066</v>
      </c>
      <c r="F29" s="6" t="n">
        <v>298066</v>
      </c>
    </row>
    <row r="30">
      <c r="A30" s="6" t="inlineStr">
        <is>
          <t>Other reserves</t>
        </is>
      </c>
      <c r="B30" s="6" t="n">
        <v>-21897</v>
      </c>
      <c r="C30" s="6" t="n"/>
      <c r="D30" s="6" t="n"/>
      <c r="E30" s="6" t="n"/>
      <c r="F30" s="6" t="n"/>
    </row>
    <row r="31">
      <c r="A31" s="6" t="inlineStr">
        <is>
          <t>Retained earnings</t>
        </is>
      </c>
      <c r="B31" s="6" t="n">
        <v>412350</v>
      </c>
      <c r="C31" s="6" t="n">
        <v>102150</v>
      </c>
      <c r="D31" s="6" t="n">
        <v>112783</v>
      </c>
      <c r="E31" s="6" t="n">
        <v>112825</v>
      </c>
      <c r="F31" s="6" t="n">
        <v>106858</v>
      </c>
    </row>
    <row r="32">
      <c r="A32" s="5" t="inlineStr">
        <is>
          <t>Total equity</t>
        </is>
      </c>
      <c r="B32" s="5" t="n">
        <v>1147348</v>
      </c>
      <c r="C32" s="5" t="n">
        <v>405212</v>
      </c>
      <c r="D32" s="5" t="n">
        <v>415845</v>
      </c>
      <c r="E32" s="5" t="n">
        <v>415887</v>
      </c>
      <c r="F32" s="5" t="n">
        <v>409920</v>
      </c>
    </row>
    <row r="33">
      <c r="A33" s="5" t="inlineStr">
        <is>
          <t>Total liabilities and equity</t>
        </is>
      </c>
      <c r="B33" s="5" t="n">
        <v>4809683</v>
      </c>
      <c r="C33" s="5" t="n">
        <v>3017731</v>
      </c>
      <c r="D33" s="5" t="n">
        <v>2845759</v>
      </c>
      <c r="E33" s="5" t="n">
        <v>3081068</v>
      </c>
      <c r="F33" s="5" t="n">
        <v>2843239</v>
      </c>
    </row>
    <row r="35" ht="280" customHeight="1">
      <c r="A35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Profit &amp; Loss</t>
        </is>
      </c>
    </row>
    <row r="2">
      <c r="A2" s="2" t="inlineStr">
        <is>
          <t>Entity basis, £'000. Statement of comprehensive income; all comprehensive income each year is attributable to equity holders of the Company.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and similar income</t>
        </is>
      </c>
      <c r="B5" s="6" t="n">
        <v>155597</v>
      </c>
      <c r="C5" s="6" t="n">
        <v>137333</v>
      </c>
      <c r="D5" s="6" t="n">
        <v>123040</v>
      </c>
      <c r="E5" s="6" t="n">
        <v>43908</v>
      </c>
      <c r="F5" s="6" t="n">
        <v>7577</v>
      </c>
    </row>
    <row r="6">
      <c r="A6" s="6" t="inlineStr">
        <is>
          <t>Interest expense and similar charges</t>
        </is>
      </c>
      <c r="B6" s="6" t="n">
        <v>-72439</v>
      </c>
      <c r="C6" s="6" t="n">
        <v>-80881</v>
      </c>
      <c r="D6" s="6" t="n">
        <v>-73395</v>
      </c>
      <c r="E6" s="6" t="n">
        <v>-21293</v>
      </c>
      <c r="F6" s="6" t="n">
        <v>-193</v>
      </c>
    </row>
    <row r="7">
      <c r="A7" s="5" t="inlineStr">
        <is>
          <t>Net interest income</t>
        </is>
      </c>
      <c r="B7" s="5" t="n">
        <v>83158</v>
      </c>
      <c r="C7" s="5" t="n">
        <v>56452</v>
      </c>
      <c r="D7" s="5" t="n">
        <v>49645</v>
      </c>
      <c r="E7" s="5" t="n">
        <v>22615</v>
      </c>
      <c r="F7" s="5" t="n">
        <v>7384</v>
      </c>
    </row>
    <row r="8">
      <c r="A8" s="6" t="inlineStr">
        <is>
          <t>Fee and commission income</t>
        </is>
      </c>
      <c r="B8" s="6" t="n">
        <v>626296</v>
      </c>
      <c r="C8" s="6" t="n">
        <v>352499</v>
      </c>
      <c r="D8" s="6" t="n">
        <v>318826</v>
      </c>
      <c r="E8" s="6" t="n">
        <v>318304</v>
      </c>
      <c r="F8" s="6" t="n">
        <v>335389</v>
      </c>
    </row>
    <row r="9">
      <c r="A9" s="6" t="inlineStr">
        <is>
          <t>Fee and commission expense</t>
        </is>
      </c>
      <c r="B9" s="6" t="n">
        <v>-3515</v>
      </c>
      <c r="C9" s="6" t="n">
        <v>-3050</v>
      </c>
      <c r="D9" s="6" t="n">
        <v>-2811</v>
      </c>
      <c r="E9" s="6" t="n">
        <v>-3666</v>
      </c>
      <c r="F9" s="6" t="n">
        <v>-4016</v>
      </c>
    </row>
    <row r="10">
      <c r="A10" s="5" t="inlineStr">
        <is>
          <t>Net fee and commission income</t>
        </is>
      </c>
      <c r="B10" s="5" t="n">
        <v>622781</v>
      </c>
      <c r="C10" s="5" t="n">
        <v>349449</v>
      </c>
      <c r="D10" s="5" t="n">
        <v>316015</v>
      </c>
      <c r="E10" s="5" t="n">
        <v>314638</v>
      </c>
      <c r="F10" s="5" t="n">
        <v>331373</v>
      </c>
    </row>
    <row r="11">
      <c r="A11" s="6" t="inlineStr">
        <is>
          <t>Intra-group management charges</t>
        </is>
      </c>
      <c r="B11" s="6" t="n">
        <v>16754</v>
      </c>
      <c r="C11" s="6" t="n">
        <v>13433</v>
      </c>
      <c r="D11" s="6" t="n">
        <v>13760</v>
      </c>
      <c r="E11" s="6" t="n">
        <v>12705</v>
      </c>
      <c r="F11" s="6" t="n">
        <v>13518</v>
      </c>
    </row>
    <row r="12">
      <c r="A12" s="6" t="inlineStr">
        <is>
          <t>Dividends from subsidiaries</t>
        </is>
      </c>
      <c r="B12" s="6" t="n">
        <v>57002</v>
      </c>
      <c r="C12" s="6" t="n">
        <v>5000</v>
      </c>
      <c r="D12" s="6" t="n">
        <v>5000</v>
      </c>
      <c r="E12" s="6" t="n">
        <v>0</v>
      </c>
      <c r="F12" s="6" t="n">
        <v>0</v>
      </c>
    </row>
    <row r="13">
      <c r="A13" s="6" t="inlineStr">
        <is>
          <t>Other operating income</t>
        </is>
      </c>
      <c r="B13" s="6" t="n">
        <v>1943</v>
      </c>
      <c r="C13" s="6" t="n">
        <v>630</v>
      </c>
      <c r="D13" s="6" t="n">
        <v>1331</v>
      </c>
      <c r="E13" s="6" t="n">
        <v>1189</v>
      </c>
      <c r="F13" s="6" t="n">
        <v>664</v>
      </c>
    </row>
    <row r="14">
      <c r="A14" s="5" t="inlineStr">
        <is>
          <t>Operating income</t>
        </is>
      </c>
      <c r="B14" s="5" t="n">
        <v>781638</v>
      </c>
      <c r="C14" s="5" t="n">
        <v>424964</v>
      </c>
      <c r="D14" s="5" t="n">
        <v>385751</v>
      </c>
      <c r="E14" s="5" t="n">
        <v>351147</v>
      </c>
      <c r="F14" s="5" t="n">
        <v>352939</v>
      </c>
    </row>
    <row r="15">
      <c r="A15" s="5" t="inlineStr">
        <is>
          <t>Expenses</t>
        </is>
      </c>
      <c r="B15" s="6" t="n"/>
      <c r="C15" s="6" t="n"/>
      <c r="D15" s="6" t="n"/>
      <c r="E15" s="6" t="n"/>
      <c r="F15" s="6" t="n"/>
    </row>
    <row r="16">
      <c r="A16" s="6" t="inlineStr">
        <is>
          <t>Charges in relation to client relationships and goodwill</t>
        </is>
      </c>
      <c r="B16" s="6" t="n">
        <v>-32717</v>
      </c>
      <c r="C16" s="6" t="n">
        <v>-13244</v>
      </c>
      <c r="D16" s="6" t="n">
        <v>-12593</v>
      </c>
      <c r="E16" s="6" t="n">
        <v>-13311</v>
      </c>
      <c r="F16" s="6" t="n">
        <v>-13515</v>
      </c>
    </row>
    <row r="17">
      <c r="A17" s="6" t="inlineStr">
        <is>
          <t>Impairment in investment in subsidiaries</t>
        </is>
      </c>
      <c r="B17" s="6" t="n">
        <v>-43888</v>
      </c>
      <c r="C17" s="6" t="n"/>
      <c r="D17" s="6" t="n"/>
      <c r="E17" s="6" t="n"/>
      <c r="F17" s="6" t="n"/>
    </row>
    <row r="18">
      <c r="A18" s="6" t="inlineStr">
        <is>
          <t>Other operating expenses</t>
        </is>
      </c>
      <c r="B18" s="6" t="n">
        <v>-593560</v>
      </c>
      <c r="C18" s="6" t="n">
        <v>-390553</v>
      </c>
      <c r="D18" s="6" t="n">
        <v>-309294</v>
      </c>
      <c r="E18" s="6" t="n">
        <v>-288662</v>
      </c>
      <c r="F18" s="6" t="n">
        <v>-264226</v>
      </c>
    </row>
    <row r="19">
      <c r="A19" s="5" t="inlineStr">
        <is>
          <t>Operating expenses</t>
        </is>
      </c>
      <c r="B19" s="5" t="n">
        <v>-670165</v>
      </c>
      <c r="C19" s="5" t="n">
        <v>-403797</v>
      </c>
      <c r="D19" s="5" t="n">
        <v>-321887</v>
      </c>
      <c r="E19" s="5" t="n">
        <v>-301973</v>
      </c>
      <c r="F19" s="5" t="n">
        <v>-277741</v>
      </c>
    </row>
    <row r="20">
      <c r="A20" s="5" t="inlineStr">
        <is>
          <t>Profit before tax</t>
        </is>
      </c>
      <c r="B20" s="5" t="n">
        <v>111473</v>
      </c>
      <c r="C20" s="5" t="n">
        <v>21167</v>
      </c>
      <c r="D20" s="5" t="n">
        <v>63864</v>
      </c>
      <c r="E20" s="5" t="n">
        <v>49174</v>
      </c>
      <c r="F20" s="5" t="n">
        <v>75198</v>
      </c>
    </row>
    <row r="21">
      <c r="A21" s="6" t="inlineStr">
        <is>
          <t>Taxation</t>
        </is>
      </c>
      <c r="B21" s="6" t="n">
        <v>-30356</v>
      </c>
      <c r="C21" s="6" t="n">
        <v>-4800</v>
      </c>
      <c r="D21" s="6" t="n">
        <v>-13906</v>
      </c>
      <c r="E21" s="6" t="n">
        <v>-8207</v>
      </c>
      <c r="F21" s="6" t="n">
        <v>-16234</v>
      </c>
    </row>
    <row r="22">
      <c r="A22" s="5" t="inlineStr">
        <is>
          <t>Profit for the year attributable to equity holders of the Company</t>
        </is>
      </c>
      <c r="B22" s="5" t="n">
        <v>81117</v>
      </c>
      <c r="C22" s="5" t="n">
        <v>16367</v>
      </c>
      <c r="D22" s="5" t="n">
        <v>49958</v>
      </c>
      <c r="E22" s="5" t="n">
        <v>40967</v>
      </c>
      <c r="F22" s="5" t="n">
        <v>58964</v>
      </c>
    </row>
    <row r="23">
      <c r="A23" s="5" t="inlineStr">
        <is>
          <t>Other comprehensive income</t>
        </is>
      </c>
      <c r="B23" s="6" t="n"/>
      <c r="C23" s="6" t="n"/>
      <c r="D23" s="6" t="n"/>
      <c r="E23" s="6" t="n"/>
      <c r="F23" s="6" t="n"/>
    </row>
    <row r="24">
      <c r="A24" s="6" t="inlineStr">
        <is>
          <t>Other comprehensive income for the year, net of tax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6" t="n">
        <v>0</v>
      </c>
    </row>
    <row r="25">
      <c r="A25" s="5" t="inlineStr">
        <is>
          <t>Total comprehensive income for the year, net of tax</t>
        </is>
      </c>
      <c r="B25" s="5" t="n">
        <v>81117</v>
      </c>
      <c r="C25" s="5" t="n">
        <v>16367</v>
      </c>
      <c r="D25" s="5" t="n">
        <v>49958</v>
      </c>
      <c r="E25" s="5" t="n">
        <v>40967</v>
      </c>
      <c r="F25" s="5" t="n">
        <v>58964</v>
      </c>
    </row>
    <row r="27" ht="280" customHeight="1">
      <c r="A27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Statement of Changes in Equity</t>
        </is>
      </c>
    </row>
    <row r="2">
      <c r="A2" s="2" t="inlineStr">
        <is>
          <t>Chronological roll-forward, oldest to newest, entity basis, £'000. Equity reconciliation ladder confirmed: every year's own closing balance ties exactly to both the next year's own opening balance and that year's own Balance Sheet Total equity - zero undocumented plug rows across all 5 years, including FY2025's four separate movements (business transfer, share issue, share premium cancellation, other).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Other reserves</t>
        </is>
      </c>
      <c r="E3" s="4" t="inlineStr">
        <is>
          <t>Retained earnings</t>
        </is>
      </c>
      <c r="F3" s="4" t="inlineStr">
        <is>
          <t>Total equity</t>
        </is>
      </c>
    </row>
    <row r="4">
      <c r="A4" s="5" t="inlineStr">
        <is>
          <t>At 1 January 2021</t>
        </is>
      </c>
      <c r="B4" s="5" t="n">
        <v>4996</v>
      </c>
      <c r="C4" s="5" t="n">
        <v>298066</v>
      </c>
      <c r="D4" s="5" t="n"/>
      <c r="E4" s="5" t="n">
        <v>102894</v>
      </c>
      <c r="F4" s="5" t="n">
        <v>405956</v>
      </c>
    </row>
    <row r="5">
      <c r="A5" s="5" t="inlineStr">
        <is>
          <t>Total comprehensive income for the year (FY2021)</t>
        </is>
      </c>
      <c r="B5" s="5" t="n"/>
      <c r="C5" s="5" t="n"/>
      <c r="D5" s="5" t="n"/>
      <c r="E5" s="5" t="n">
        <v>58964</v>
      </c>
      <c r="F5" s="5" t="n">
        <v>58964</v>
      </c>
    </row>
    <row r="6">
      <c r="A6" s="6" t="inlineStr">
        <is>
          <t>Dividends paid (FY2021)</t>
        </is>
      </c>
      <c r="B6" s="6" t="n"/>
      <c r="C6" s="6" t="n"/>
      <c r="D6" s="6" t="n"/>
      <c r="E6" s="6" t="n">
        <v>-55000</v>
      </c>
      <c r="F6" s="6" t="n">
        <v>-55000</v>
      </c>
    </row>
    <row r="7">
      <c r="A7" s="5" t="inlineStr">
        <is>
          <t>At 31 December 2021</t>
        </is>
      </c>
      <c r="B7" s="5" t="n">
        <v>4996</v>
      </c>
      <c r="C7" s="5" t="n">
        <v>298066</v>
      </c>
      <c r="D7" s="5" t="n"/>
      <c r="E7" s="5" t="n">
        <v>106858</v>
      </c>
      <c r="F7" s="5" t="n">
        <v>409920</v>
      </c>
    </row>
    <row r="8">
      <c r="A8" s="5" t="inlineStr">
        <is>
          <t>Total comprehensive income for the year (FY2022)</t>
        </is>
      </c>
      <c r="B8" s="5" t="n"/>
      <c r="C8" s="5" t="n"/>
      <c r="D8" s="5" t="n"/>
      <c r="E8" s="5" t="n">
        <v>40967</v>
      </c>
      <c r="F8" s="5" t="n">
        <v>40967</v>
      </c>
    </row>
    <row r="9">
      <c r="A9" s="6" t="inlineStr">
        <is>
          <t>Dividends paid (FY2022)</t>
        </is>
      </c>
      <c r="B9" s="6" t="n"/>
      <c r="C9" s="6" t="n"/>
      <c r="D9" s="6" t="n"/>
      <c r="E9" s="6" t="n">
        <v>-35000</v>
      </c>
      <c r="F9" s="6" t="n">
        <v>-35000</v>
      </c>
    </row>
    <row r="10">
      <c r="A10" s="5" t="inlineStr">
        <is>
          <t>At 31 December 2022</t>
        </is>
      </c>
      <c r="B10" s="5" t="n">
        <v>4996</v>
      </c>
      <c r="C10" s="5" t="n">
        <v>298066</v>
      </c>
      <c r="D10" s="5" t="n"/>
      <c r="E10" s="5" t="n">
        <v>112825</v>
      </c>
      <c r="F10" s="5" t="n">
        <v>415887</v>
      </c>
    </row>
    <row r="11">
      <c r="A11" s="5" t="inlineStr">
        <is>
          <t>Total comprehensive income for the year (FY2023)</t>
        </is>
      </c>
      <c r="B11" s="5" t="n"/>
      <c r="C11" s="5" t="n"/>
      <c r="D11" s="5" t="n"/>
      <c r="E11" s="5" t="n">
        <v>49958</v>
      </c>
      <c r="F11" s="5" t="n">
        <v>49958</v>
      </c>
    </row>
    <row r="12">
      <c r="A12" s="6" t="inlineStr">
        <is>
          <t>Dividends paid (FY2023)</t>
        </is>
      </c>
      <c r="B12" s="6" t="n"/>
      <c r="C12" s="6" t="n"/>
      <c r="D12" s="6" t="n"/>
      <c r="E12" s="6" t="n">
        <v>-50000</v>
      </c>
      <c r="F12" s="6" t="n">
        <v>-50000</v>
      </c>
    </row>
    <row r="13">
      <c r="A13" s="5" t="inlineStr">
        <is>
          <t>At 31 December 2023</t>
        </is>
      </c>
      <c r="B13" s="5" t="n">
        <v>4996</v>
      </c>
      <c r="C13" s="5" t="n">
        <v>298066</v>
      </c>
      <c r="D13" s="5" t="n"/>
      <c r="E13" s="5" t="n">
        <v>112783</v>
      </c>
      <c r="F13" s="5" t="n">
        <v>415845</v>
      </c>
    </row>
    <row r="14">
      <c r="A14" s="5" t="inlineStr">
        <is>
          <t>Total comprehensive income for the year (FY2024)</t>
        </is>
      </c>
      <c r="B14" s="5" t="n"/>
      <c r="C14" s="5" t="n"/>
      <c r="D14" s="5" t="n"/>
      <c r="E14" s="5" t="n">
        <v>16367</v>
      </c>
      <c r="F14" s="5" t="n">
        <v>16367</v>
      </c>
    </row>
    <row r="15">
      <c r="A15" s="6" t="inlineStr">
        <is>
          <t>Dividends paid (FY2024)</t>
        </is>
      </c>
      <c r="B15" s="6" t="n"/>
      <c r="C15" s="6" t="n"/>
      <c r="D15" s="6" t="n"/>
      <c r="E15" s="6" t="n">
        <v>-27000</v>
      </c>
      <c r="F15" s="6" t="n">
        <v>-27000</v>
      </c>
    </row>
    <row r="16">
      <c r="A16" s="5" t="inlineStr">
        <is>
          <t>At 31 December 2024</t>
        </is>
      </c>
      <c r="B16" s="5" t="n">
        <v>4996</v>
      </c>
      <c r="C16" s="5" t="n">
        <v>298066</v>
      </c>
      <c r="D16" s="5" t="n"/>
      <c r="E16" s="5" t="n">
        <v>102150</v>
      </c>
      <c r="F16" s="5" t="n">
        <v>405212</v>
      </c>
    </row>
    <row r="17">
      <c r="A17" s="5" t="inlineStr">
        <is>
          <t>Total comprehensive income for the year (FY2025)</t>
        </is>
      </c>
      <c r="B17" s="5" t="n"/>
      <c r="C17" s="5" t="n"/>
      <c r="D17" s="5" t="n"/>
      <c r="E17" s="5" t="n">
        <v>81117</v>
      </c>
      <c r="F17" s="5" t="n">
        <v>81117</v>
      </c>
    </row>
    <row r="18">
      <c r="A18" s="6" t="inlineStr">
        <is>
          <t>Dividends paid (FY2025)</t>
        </is>
      </c>
      <c r="B18" s="6" t="n"/>
      <c r="C18" s="6" t="n"/>
      <c r="D18" s="6" t="n"/>
      <c r="E18" s="6" t="n">
        <v>-69000</v>
      </c>
      <c r="F18" s="6" t="n">
        <v>-69000</v>
      </c>
    </row>
    <row r="19">
      <c r="A19" s="6" t="inlineStr">
        <is>
          <t>Arisen from business transfer (FY2025)</t>
        </is>
      </c>
      <c r="B19" s="6" t="n"/>
      <c r="C19" s="6" t="n"/>
      <c r="D19" s="6" t="n">
        <v>-21897</v>
      </c>
      <c r="E19" s="6" t="n"/>
      <c r="F19" s="6" t="n">
        <v>-21897</v>
      </c>
    </row>
    <row r="20">
      <c r="A20" s="6" t="inlineStr">
        <is>
          <t>Issue of share capital (FY2025)</t>
        </is>
      </c>
      <c r="B20" s="6" t="n"/>
      <c r="C20" s="6" t="n">
        <v>751898</v>
      </c>
      <c r="D20" s="6" t="n"/>
      <c r="E20" s="6" t="n"/>
      <c r="F20" s="6" t="n">
        <v>751898</v>
      </c>
    </row>
    <row r="21">
      <c r="A21" s="6" t="inlineStr">
        <is>
          <t>Cancellation of share premium (FY2025)</t>
        </is>
      </c>
      <c r="B21" s="6" t="n"/>
      <c r="C21" s="6" t="n">
        <v>-298065</v>
      </c>
      <c r="D21" s="6" t="n"/>
      <c r="E21" s="6" t="n">
        <v>298065</v>
      </c>
      <c r="F21" s="6" t="n">
        <v>0</v>
      </c>
    </row>
    <row r="22">
      <c r="A22" s="6" t="inlineStr">
        <is>
          <t>Other movement (FY2025)</t>
        </is>
      </c>
      <c r="B22" s="6" t="n"/>
      <c r="C22" s="6" t="n"/>
      <c r="D22" s="6" t="n"/>
      <c r="E22" s="6" t="n">
        <v>18</v>
      </c>
      <c r="F22" s="6" t="n">
        <v>18</v>
      </c>
    </row>
    <row r="23">
      <c r="A23" s="5" t="inlineStr">
        <is>
          <t>At 31 December 2025</t>
        </is>
      </c>
      <c r="B23" s="5" t="n">
        <v>4996</v>
      </c>
      <c r="C23" s="5" t="n">
        <v>751899</v>
      </c>
      <c r="D23" s="5" t="n">
        <v>-21897</v>
      </c>
      <c r="E23" s="5" t="n">
        <v>412350</v>
      </c>
      <c r="F23" s="5" t="n">
        <v>1147348</v>
      </c>
    </row>
    <row r="25" ht="260" customHeight="1">
      <c r="A25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Cash Flow Statement</t>
        </is>
      </c>
    </row>
    <row r="2">
      <c r="A2" s="2" t="inlineStr">
        <is>
          <t>Entity basis, £'000. All figures transcribed from the Company's statutory accounts.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111473</v>
      </c>
      <c r="C5" s="6" t="n">
        <v>21167</v>
      </c>
      <c r="D5" s="6" t="n">
        <v>63864</v>
      </c>
      <c r="E5" s="6" t="n">
        <v>49174</v>
      </c>
      <c r="F5" s="6" t="n">
        <v>75198</v>
      </c>
    </row>
    <row r="6">
      <c r="A6" s="6" t="inlineStr">
        <is>
          <t>Change in fair value through profit or loss</t>
        </is>
      </c>
      <c r="B6" s="6" t="n"/>
      <c r="C6" s="6" t="n">
        <v>19</v>
      </c>
      <c r="D6" s="6" t="n">
        <v>-958</v>
      </c>
      <c r="E6" s="6" t="n">
        <v>-588</v>
      </c>
      <c r="F6" s="6" t="n"/>
    </row>
    <row r="7">
      <c r="A7" s="6" t="inlineStr">
        <is>
          <t>Net charge for provisions</t>
        </is>
      </c>
      <c r="B7" s="6" t="n">
        <v>6493</v>
      </c>
      <c r="C7" s="6" t="n">
        <v>1962</v>
      </c>
      <c r="D7" s="6" t="n">
        <v>1914</v>
      </c>
      <c r="E7" s="6" t="n">
        <v>150</v>
      </c>
      <c r="F7" s="6" t="n">
        <v>1436</v>
      </c>
    </row>
    <row r="8">
      <c r="A8" s="6" t="inlineStr">
        <is>
          <t>Net interest income</t>
        </is>
      </c>
      <c r="B8" s="6" t="n">
        <v>-83158</v>
      </c>
      <c r="C8" s="6" t="n">
        <v>-56469</v>
      </c>
      <c r="D8" s="6" t="n">
        <v>-49638</v>
      </c>
      <c r="E8" s="6" t="n">
        <v>-22576</v>
      </c>
      <c r="F8" s="6" t="n">
        <v>-6657</v>
      </c>
    </row>
    <row r="9">
      <c r="A9" s="6" t="inlineStr">
        <is>
          <t>Impairment losses on financial instruments</t>
        </is>
      </c>
      <c r="B9" s="6" t="n">
        <v>4</v>
      </c>
      <c r="C9" s="6" t="n">
        <v>17</v>
      </c>
      <c r="D9" s="6" t="n">
        <v>-7</v>
      </c>
      <c r="E9" s="6" t="n">
        <v>-39</v>
      </c>
      <c r="F9" s="6" t="n">
        <v>-727</v>
      </c>
    </row>
    <row r="10">
      <c r="A10" s="6" t="inlineStr">
        <is>
          <t>Profit on disposal of property, plant and equipment</t>
        </is>
      </c>
      <c r="B10" s="6" t="n"/>
      <c r="C10" s="6" t="n"/>
      <c r="D10" s="6" t="n">
        <v>0</v>
      </c>
      <c r="E10" s="6" t="n">
        <v>0</v>
      </c>
      <c r="F10" s="6" t="n">
        <v>67</v>
      </c>
    </row>
    <row r="11">
      <c r="A11" s="6" t="inlineStr">
        <is>
          <t>Depreciation and amortisation</t>
        </is>
      </c>
      <c r="B11" s="6" t="n">
        <v>43690</v>
      </c>
      <c r="C11" s="6" t="n">
        <v>23492</v>
      </c>
      <c r="D11" s="6" t="n">
        <v>22843</v>
      </c>
      <c r="E11" s="6" t="n">
        <v>22072</v>
      </c>
      <c r="F11" s="6" t="n">
        <v>23966</v>
      </c>
    </row>
    <row r="12">
      <c r="A12" s="6" t="inlineStr">
        <is>
          <t>Impairment in investment in subsidiary</t>
        </is>
      </c>
      <c r="B12" s="6" t="n">
        <v>43888</v>
      </c>
      <c r="C12" s="6" t="n"/>
      <c r="D12" s="6" t="n"/>
      <c r="E12" s="6" t="n"/>
      <c r="F12" s="6" t="n"/>
    </row>
    <row r="13">
      <c r="A13" s="6" t="inlineStr">
        <is>
          <t>Foreign exchange movements</t>
        </is>
      </c>
      <c r="B13" s="6" t="n">
        <v>3025</v>
      </c>
      <c r="C13" s="6" t="n">
        <v>-1012</v>
      </c>
      <c r="D13" s="6" t="n">
        <v>3433</v>
      </c>
      <c r="E13" s="6" t="n">
        <v>-7078</v>
      </c>
      <c r="F13" s="6" t="n">
        <v>-519</v>
      </c>
    </row>
    <row r="14">
      <c r="A14" s="6" t="inlineStr">
        <is>
          <t>Interest paid</t>
        </is>
      </c>
      <c r="B14" s="6" t="n">
        <v>-74032</v>
      </c>
      <c r="C14" s="6" t="n">
        <v>-81871</v>
      </c>
      <c r="D14" s="6" t="n">
        <v>-67542</v>
      </c>
      <c r="E14" s="6" t="n">
        <v>-19438</v>
      </c>
      <c r="F14" s="6" t="n">
        <v>-1300</v>
      </c>
    </row>
    <row r="15">
      <c r="A15" s="6" t="inlineStr">
        <is>
          <t>Interest received</t>
        </is>
      </c>
      <c r="B15" s="6" t="n">
        <v>150214</v>
      </c>
      <c r="C15" s="6" t="n">
        <v>137180</v>
      </c>
      <c r="D15" s="6" t="n">
        <v>93817</v>
      </c>
      <c r="E15" s="6" t="n">
        <v>31519</v>
      </c>
      <c r="F15" s="6" t="n">
        <v>-10470</v>
      </c>
    </row>
    <row r="16">
      <c r="A16" s="6" t="inlineStr">
        <is>
          <t>Net (increase)/decrease in loans and advances to banks and customers</t>
        </is>
      </c>
      <c r="B16" s="6" t="n">
        <v>-81775</v>
      </c>
      <c r="C16" s="6" t="n">
        <v>21867</v>
      </c>
      <c r="D16" s="6" t="n">
        <v>87017</v>
      </c>
      <c r="E16" s="6" t="n">
        <v>7357</v>
      </c>
      <c r="F16" s="6" t="n">
        <v>-38715</v>
      </c>
    </row>
    <row r="17">
      <c r="A17" s="6" t="inlineStr">
        <is>
          <t>Net (increase)/decrease in settlement balance debtors</t>
        </is>
      </c>
      <c r="B17" s="6" t="n">
        <v>-9406</v>
      </c>
      <c r="C17" s="6" t="n">
        <v>3800</v>
      </c>
      <c r="D17" s="6" t="n">
        <v>-19223</v>
      </c>
      <c r="E17" s="6" t="n">
        <v>9006</v>
      </c>
      <c r="F17" s="6" t="n">
        <v>14260</v>
      </c>
    </row>
    <row r="18">
      <c r="A18" s="6" t="inlineStr">
        <is>
          <t>Net increase/(decrease) in prepayments, accrued income and other assets</t>
        </is>
      </c>
      <c r="B18" s="6" t="n">
        <v>-57400</v>
      </c>
      <c r="C18" s="6" t="n">
        <v>-41320</v>
      </c>
      <c r="D18" s="6" t="n">
        <v>21727</v>
      </c>
      <c r="E18" s="6" t="n">
        <v>-13828</v>
      </c>
      <c r="F18" s="6" t="n">
        <v>-364</v>
      </c>
    </row>
    <row r="19">
      <c r="A19" s="6" t="inlineStr">
        <is>
          <t>Net increase/(decrease) in amounts due to customers and deposits by banks</t>
        </is>
      </c>
      <c r="B19" s="6" t="n">
        <v>938715</v>
      </c>
      <c r="C19" s="6" t="n">
        <v>172629</v>
      </c>
      <c r="D19" s="6" t="n">
        <v>-251998</v>
      </c>
      <c r="E19" s="6" t="n">
        <v>231254</v>
      </c>
      <c r="F19" s="6" t="n">
        <v>-260531</v>
      </c>
    </row>
    <row r="20">
      <c r="A20" s="6" t="inlineStr">
        <is>
          <t>Net increase/(decrease) in settlement balance creditors</t>
        </is>
      </c>
      <c r="B20" s="6" t="n">
        <v>15921</v>
      </c>
      <c r="C20" s="6" t="n">
        <v>5283</v>
      </c>
      <c r="D20" s="6" t="n">
        <v>10914</v>
      </c>
      <c r="E20" s="6" t="n">
        <v>3910</v>
      </c>
      <c r="F20" s="6" t="n">
        <v>-27472</v>
      </c>
    </row>
    <row r="21">
      <c r="A21" s="6" t="inlineStr">
        <is>
          <t>Net increase/(decrease) in accruals, deferred income, provisions and other liabilities</t>
        </is>
      </c>
      <c r="B21" s="6" t="n">
        <v>14555</v>
      </c>
      <c r="C21" s="6" t="n">
        <v>3739</v>
      </c>
      <c r="D21" s="6" t="n">
        <v>-239</v>
      </c>
      <c r="E21" s="6" t="n">
        <v>-2741</v>
      </c>
      <c r="F21" s="6" t="n">
        <v>2395</v>
      </c>
    </row>
    <row r="22">
      <c r="A22" s="6" t="inlineStr">
        <is>
          <t>Tax paid</t>
        </is>
      </c>
      <c r="B22" s="6" t="n">
        <v>-34027</v>
      </c>
      <c r="C22" s="6" t="n">
        <v>-10227</v>
      </c>
      <c r="D22" s="6" t="n">
        <v>-15392</v>
      </c>
      <c r="E22" s="6" t="n">
        <v>-11426</v>
      </c>
      <c r="F22" s="6" t="n">
        <v>-19676</v>
      </c>
    </row>
    <row r="23">
      <c r="A23" s="5" t="inlineStr">
        <is>
          <t>Net cash inflow/(outflow) from operating activities</t>
        </is>
      </c>
      <c r="B23" s="5" t="n">
        <v>988180</v>
      </c>
      <c r="C23" s="5" t="n">
        <v>200256</v>
      </c>
      <c r="D23" s="5" t="n">
        <v>-99468</v>
      </c>
      <c r="E23" s="5" t="n">
        <v>276728</v>
      </c>
      <c r="F23" s="5" t="n">
        <v>-249109</v>
      </c>
    </row>
    <row r="24">
      <c r="A24" s="5" t="inlineStr">
        <is>
          <t>Investing activities</t>
        </is>
      </c>
      <c r="B24" s="6" t="n"/>
      <c r="C24" s="6" t="n"/>
      <c r="D24" s="6" t="n"/>
      <c r="E24" s="6" t="n"/>
      <c r="F24" s="6" t="n"/>
    </row>
    <row r="25">
      <c r="A25" s="6" t="inlineStr">
        <is>
          <t>Cash acquired on acquisition of subsidiaries</t>
        </is>
      </c>
      <c r="B25" s="6" t="n">
        <v>46460</v>
      </c>
      <c r="C25" s="6" t="n"/>
      <c r="D25" s="6" t="n"/>
      <c r="E25" s="6" t="n"/>
      <c r="F25" s="6" t="n"/>
    </row>
    <row r="26">
      <c r="A26" s="6" t="inlineStr">
        <is>
          <t>Acquisition of investment in subsidiary undertaking</t>
        </is>
      </c>
      <c r="B26" s="6" t="n"/>
      <c r="C26" s="6" t="n"/>
      <c r="D26" s="6" t="n"/>
      <c r="E26" s="6" t="n"/>
      <c r="F26" s="6" t="n">
        <v>0</v>
      </c>
    </row>
    <row r="27">
      <c r="A27" s="6" t="inlineStr">
        <is>
          <t>Purchase of property, plant and equipment and intangible assets</t>
        </is>
      </c>
      <c r="B27" s="6" t="n">
        <v>-16629</v>
      </c>
      <c r="C27" s="6" t="n">
        <v>-20925</v>
      </c>
      <c r="D27" s="6" t="n">
        <v>-6521</v>
      </c>
      <c r="E27" s="6" t="n">
        <v>-8561</v>
      </c>
      <c r="F27" s="6" t="n">
        <v>-17275</v>
      </c>
    </row>
    <row r="28">
      <c r="A28" s="6" t="inlineStr">
        <is>
          <t>Proceeds from sale of equity securities</t>
        </is>
      </c>
      <c r="B28" s="6" t="n"/>
      <c r="C28" s="6" t="n">
        <v>1162</v>
      </c>
      <c r="D28" s="6" t="n">
        <v>2922</v>
      </c>
      <c r="E28" s="6" t="n"/>
      <c r="F28" s="6" t="n"/>
    </row>
    <row r="29">
      <c r="A29" s="6" t="inlineStr">
        <is>
          <t>Purchase of investment securities</t>
        </is>
      </c>
      <c r="B29" s="6" t="n">
        <v>-2690119</v>
      </c>
      <c r="C29" s="6" t="n">
        <v>-2027961</v>
      </c>
      <c r="D29" s="6" t="n">
        <v>-2059899</v>
      </c>
      <c r="E29" s="6" t="n">
        <v>-1259979</v>
      </c>
      <c r="F29" s="6" t="n">
        <v>-930728</v>
      </c>
    </row>
    <row r="30">
      <c r="A30" s="6" t="inlineStr">
        <is>
          <t>Proceeds from sale and redemption of investment securities</t>
        </is>
      </c>
      <c r="B30" s="6" t="n">
        <v>2101020</v>
      </c>
      <c r="C30" s="6" t="n">
        <v>2045349</v>
      </c>
      <c r="D30" s="6" t="n">
        <v>1807092</v>
      </c>
      <c r="E30" s="6" t="n">
        <v>983481</v>
      </c>
      <c r="F30" s="6" t="n">
        <v>821100</v>
      </c>
    </row>
    <row r="31">
      <c r="A31" s="5" t="inlineStr">
        <is>
          <t>Net cash used in investing activities</t>
        </is>
      </c>
      <c r="B31" s="5" t="n">
        <v>-559268</v>
      </c>
      <c r="C31" s="5" t="n">
        <v>-2375</v>
      </c>
      <c r="D31" s="5" t="n">
        <v>-256406</v>
      </c>
      <c r="E31" s="5" t="n">
        <v>-285059</v>
      </c>
      <c r="F31" s="5" t="n">
        <v>-126903</v>
      </c>
    </row>
    <row r="32">
      <c r="A32" s="5" t="inlineStr">
        <is>
          <t>Financing activities</t>
        </is>
      </c>
      <c r="B32" s="6" t="n"/>
      <c r="C32" s="6" t="n"/>
      <c r="D32" s="6" t="n"/>
      <c r="E32" s="6" t="n"/>
      <c r="F32" s="6" t="n"/>
    </row>
    <row r="33">
      <c r="A33" s="6" t="inlineStr">
        <is>
          <t>Dividends paid</t>
        </is>
      </c>
      <c r="B33" s="6" t="n">
        <v>-69000</v>
      </c>
      <c r="C33" s="6" t="n">
        <v>-27000</v>
      </c>
      <c r="D33" s="6" t="n">
        <v>-50000</v>
      </c>
      <c r="E33" s="6" t="n">
        <v>-35000</v>
      </c>
      <c r="F33" s="6" t="n">
        <v>-55000</v>
      </c>
    </row>
    <row r="34">
      <c r="A34" s="6" t="inlineStr">
        <is>
          <t>Payment of lease liabilities</t>
        </is>
      </c>
      <c r="B34" s="6" t="n"/>
      <c r="C34" s="6" t="n"/>
      <c r="D34" s="6" t="n"/>
      <c r="E34" s="6" t="n">
        <v>-81</v>
      </c>
      <c r="F34" s="6" t="n">
        <v>-90</v>
      </c>
    </row>
    <row r="35">
      <c r="A35" s="5" t="inlineStr">
        <is>
          <t>Net cash used in financing activities</t>
        </is>
      </c>
      <c r="B35" s="5" t="n">
        <v>-69000</v>
      </c>
      <c r="C35" s="5" t="n">
        <v>-27000</v>
      </c>
      <c r="D35" s="5" t="n">
        <v>-50000</v>
      </c>
      <c r="E35" s="5" t="n">
        <v>-35081</v>
      </c>
      <c r="F35" s="5" t="n">
        <v>-55090</v>
      </c>
    </row>
    <row r="36">
      <c r="A36" s="5" t="inlineStr">
        <is>
          <t>Net increase/(decrease) in cash and cash equivalents</t>
        </is>
      </c>
      <c r="B36" s="5" t="n">
        <v>359912</v>
      </c>
      <c r="C36" s="5" t="n">
        <v>170881</v>
      </c>
      <c r="D36" s="5" t="n">
        <v>-405874</v>
      </c>
      <c r="E36" s="5" t="n">
        <v>-43412</v>
      </c>
      <c r="F36" s="5" t="n">
        <v>-431102</v>
      </c>
    </row>
    <row r="37">
      <c r="A37" s="6" t="inlineStr">
        <is>
          <t>Cash and cash equivalents at the beginning of the year</t>
        </is>
      </c>
      <c r="B37" s="6" t="n">
        <v>1249482</v>
      </c>
      <c r="C37" s="6" t="n">
        <v>1078601</v>
      </c>
      <c r="D37" s="6" t="n">
        <v>1484475</v>
      </c>
      <c r="E37" s="6" t="n">
        <v>1527887</v>
      </c>
      <c r="F37" s="6" t="n">
        <v>1961547</v>
      </c>
    </row>
    <row r="38">
      <c r="A38" s="5" t="inlineStr">
        <is>
          <t>Cash and cash equivalents at the end of the year</t>
        </is>
      </c>
      <c r="B38" s="5" t="n">
        <v>1609394</v>
      </c>
      <c r="C38" s="5" t="n">
        <v>1249482</v>
      </c>
      <c r="D38" s="5" t="n">
        <v>1078601</v>
      </c>
      <c r="E38" s="5" t="n">
        <v>1484475</v>
      </c>
      <c r="F38" s="5" t="n">
        <v>1530445</v>
      </c>
    </row>
    <row r="40" ht="330" customHeight="1">
      <c r="A40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40:F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Asset Quality</t>
        </is>
      </c>
    </row>
    <row r="2">
      <c r="A2" s="2" t="inlineStr">
        <is>
          <t>Entity basis, £'000. Loans and advances to customers by product (Note 14); no IFRS 9 Stage 1/2/3 split is disclosed for this book - loans are fully secured against clients' investment portfolios held in Rathbones' nominee name, and the Company's own risk-management note (27) reports £nil-to-negligible impairment losses arising from the loan book in every year covered. (The Company's separate treasury book - money-market/interbank placements, not customer lending - does carry a 12-month/lifetime ECL stage split in note 27, but that reflects counterparty credit risk on Company cash, not loan asset quality, so it is not reproduced here.)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customers, by product</t>
        </is>
      </c>
      <c r="B4" s="6" t="n"/>
      <c r="C4" s="6" t="n"/>
      <c r="D4" s="6" t="n"/>
      <c r="E4" s="6" t="n"/>
      <c r="F4" s="6" t="n"/>
    </row>
    <row r="5">
      <c r="A5" s="6" t="inlineStr">
        <is>
          <t>Overdrafts</t>
        </is>
      </c>
      <c r="B5" s="6" t="n">
        <v>17710</v>
      </c>
      <c r="C5" s="6" t="n">
        <v>15606</v>
      </c>
      <c r="D5" s="6" t="n">
        <v>9558</v>
      </c>
      <c r="E5" s="6" t="n">
        <v>6238</v>
      </c>
      <c r="F5" s="6" t="n">
        <v>6742</v>
      </c>
    </row>
    <row r="6">
      <c r="A6" s="6" t="inlineStr">
        <is>
          <t>Loan book</t>
        </is>
      </c>
      <c r="B6" s="6" t="n">
        <v>146810</v>
      </c>
      <c r="C6" s="6" t="n">
        <v>75942</v>
      </c>
      <c r="D6" s="6" t="n">
        <v>101666</v>
      </c>
      <c r="E6" s="6" t="n">
        <v>159694</v>
      </c>
      <c r="F6" s="6" t="n">
        <v>167981</v>
      </c>
    </row>
    <row r="7">
      <c r="A7" s="6" t="inlineStr">
        <is>
          <t>Amounts owed by group undertakings</t>
        </is>
      </c>
      <c r="B7" s="6" t="n">
        <v>39880</v>
      </c>
      <c r="C7" s="6" t="n">
        <v>31935</v>
      </c>
      <c r="D7" s="6" t="n">
        <v>19629</v>
      </c>
      <c r="E7" s="6" t="n">
        <v>38576</v>
      </c>
      <c r="F7" s="6" t="n">
        <v>18936</v>
      </c>
    </row>
    <row r="8">
      <c r="A8" s="6" t="inlineStr">
        <is>
          <t>Financial planning debtors</t>
        </is>
      </c>
      <c r="B8" s="6" t="n">
        <v>747</v>
      </c>
      <c r="C8" s="6" t="n">
        <v>718</v>
      </c>
      <c r="D8" s="6" t="n">
        <v>656</v>
      </c>
      <c r="E8" s="6" t="n">
        <v>520</v>
      </c>
      <c r="F8" s="6" t="n">
        <v>310</v>
      </c>
    </row>
    <row r="9">
      <c r="A9" s="6" t="inlineStr">
        <is>
          <t>Other debtors</t>
        </is>
      </c>
      <c r="B9" s="6" t="n">
        <v>1246</v>
      </c>
      <c r="C9" s="6" t="n">
        <v>417</v>
      </c>
      <c r="D9" s="6" t="n">
        <v>308</v>
      </c>
      <c r="E9" s="6" t="n">
        <v>104</v>
      </c>
      <c r="F9" s="6" t="n">
        <v>455</v>
      </c>
    </row>
    <row r="10">
      <c r="A10" s="5" t="inlineStr">
        <is>
          <t>Total before impairment loss allowance</t>
        </is>
      </c>
      <c r="B10" s="5" t="n">
        <v>206393</v>
      </c>
      <c r="C10" s="5" t="n">
        <v>124618</v>
      </c>
      <c r="D10" s="5" t="n">
        <v>131817</v>
      </c>
      <c r="E10" s="5" t="n">
        <v>205132</v>
      </c>
      <c r="F10" s="5" t="n">
        <v>194424</v>
      </c>
    </row>
    <row r="11">
      <c r="A11" s="6" t="inlineStr">
        <is>
          <t>Less: impairment loss allowance</t>
        </is>
      </c>
      <c r="B11" s="6" t="n">
        <v>0</v>
      </c>
      <c r="C11" s="6" t="n">
        <v>-62</v>
      </c>
      <c r="D11" s="6" t="n">
        <v>0</v>
      </c>
      <c r="E11" s="6" t="n">
        <v>-12</v>
      </c>
      <c r="F11" s="6" t="n">
        <v>0</v>
      </c>
    </row>
    <row r="12">
      <c r="A12" s="5" t="inlineStr">
        <is>
          <t>Net loans and advances to customers</t>
        </is>
      </c>
      <c r="B12" s="5" t="n">
        <v>206392</v>
      </c>
      <c r="C12" s="5" t="n">
        <v>124556</v>
      </c>
      <c r="D12" s="5" t="n">
        <v>131817</v>
      </c>
      <c r="E12" s="5" t="n">
        <v>205120</v>
      </c>
      <c r="F12" s="5" t="n">
        <v>194424</v>
      </c>
    </row>
    <row r="13">
      <c r="A13" s="5" t="inlineStr">
        <is>
          <t>Asset quality ratio (derived)</t>
        </is>
      </c>
      <c r="B13" s="6" t="n"/>
      <c r="C13" s="6" t="n"/>
      <c r="D13" s="6" t="n"/>
      <c r="E13" s="6" t="n"/>
      <c r="F13" s="6" t="n"/>
    </row>
    <row r="14">
      <c r="A14" s="6" t="inlineStr">
        <is>
          <t>Impairment loss allowance as % of gross loans and advances to customers</t>
        </is>
      </c>
      <c r="B14" s="6" t="inlineStr">
        <is>
          <t>0.0%</t>
        </is>
      </c>
      <c r="C14" s="6" t="inlineStr">
        <is>
          <t>0.05%</t>
        </is>
      </c>
      <c r="D14" s="6" t="inlineStr">
        <is>
          <t>0.0%</t>
        </is>
      </c>
      <c r="E14" s="6" t="inlineStr">
        <is>
          <t>0.01%</t>
        </is>
      </c>
      <c r="F14" s="6" t="inlineStr">
        <is>
          <t>0.0%</t>
        </is>
      </c>
    </row>
    <row r="16" ht="280" customHeight="1">
      <c r="A16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
Note 14 (Loans and advances to customers) page references - FY2025/FY2024: p.39; FY2024/FY2023: p.41; FY2023/FY2022: p.41 (AR2023); FY2022/FY2021: p.43 (AR2022). FY2025's component lines sum to £206,393k against a reported net total of £206,392k - a genuine £1k source rounding artifact, not a transcription error; the reported net total is used for the Balance Sheet tie-out.</t>
        </is>
      </c>
    </row>
  </sheetData>
  <mergeCells count="1">
    <mergeCell ref="A16:F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CET1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CET1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Tier 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RWAs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RWA Breakdown</t>
        </is>
      </c>
    </row>
    <row r="2">
      <c r="A2" s="2" t="inlineStr">
        <is>
          <t>Not publicly disclosed at entity level.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RWA Breakdown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80" customHeight="1">
      <c r="A6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6:F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2026-09-07T01:44:28Z</dcterms:created>
  <dcterms:modified xmlns:dcterms="http://purl.org/dc/terms/" xmlns:xsi="http://www.w3.org/2001/XMLSchema-instance" xsi:type="dcterms:W3CDTF">2026-09-07T01:44:28Z</dcterms:modified>
</cp:coreProperties>
</file>