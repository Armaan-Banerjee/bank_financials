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B3F8C"/>
        <bgColor rgb="006B3F8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5" fillId="0" borderId="0"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Rathbones Investment Management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xml:space="preserve"> (£'000)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Rathbones Investment Management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xml:space="preserve"> (£'000)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Rathbones Investment Management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xml:space="preserve"> (£'000)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Rathbones Investment Management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'Overview'!AG25</f>
            </strRef>
          </tx>
          <spPr>
            <a:ln xmlns:a="http://schemas.openxmlformats.org/drawingml/2006/main">
              <a:prstDash val="solid"/>
            </a:ln>
          </spPr>
          <cat>
            <numRef>
              <f>'Overview'!$AH$24:$AL$24</f>
            </numRef>
          </cat>
          <val>
            <numRef>
              <f>'Overview'!$AH$25:$AL$25</f>
            </numRef>
          </val>
        </ser>
        <ser>
          <idx val="1"/>
          <order val="1"/>
          <tx>
            <strRef>
              <f>'Overview'!AG26</f>
            </strRef>
          </tx>
          <spPr>
            <a:ln xmlns:a="http://schemas.openxmlformats.org/drawingml/2006/main">
              <a:prstDash val="solid"/>
            </a:ln>
          </spPr>
          <cat>
            <numRef>
              <f>'Overview'!$AH$24:$AL$24</f>
            </numRef>
          </cat>
          <val>
            <numRef>
              <f>'Overview'!$AH$26:$AL$26</f>
            </numRef>
          </val>
        </ser>
        <ser>
          <idx val="2"/>
          <order val="2"/>
          <tx>
            <strRef>
              <f>'Overview'!AG27</f>
            </strRef>
          </tx>
          <spPr>
            <a:ln xmlns:a="http://schemas.openxmlformats.org/drawingml/2006/main">
              <a:prstDash val="solid"/>
            </a:ln>
          </spPr>
          <cat>
            <numRef>
              <f>'Overview'!$AH$24:$AL$24</f>
            </numRef>
          </cat>
          <val>
            <numRef>
              <f>'Overview'!$AH$27:$AL$27</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xml:space="preserve"> (£'000)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Rathbones Investment Management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55</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77</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99</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121</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1"/>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Rathbones Investment Management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4809683</v>
      </c>
      <c r="C6" s="5" t="n">
        <v>3017731</v>
      </c>
      <c r="D6" s="5" t="n">
        <v>2845759</v>
      </c>
      <c r="E6" s="5" t="n">
        <v>3081068</v>
      </c>
      <c r="F6" s="5" t="n">
        <v>2843239</v>
      </c>
      <c r="I6" t="inlineStr">
        <is>
          <t>Total assets</t>
        </is>
      </c>
      <c r="J6" t="n">
        <v>2843239</v>
      </c>
      <c r="K6" t="n">
        <v>3081068</v>
      </c>
      <c r="L6" t="n">
        <v>2845759</v>
      </c>
      <c r="M6" t="n">
        <v>3017731</v>
      </c>
      <c r="N6" t="n">
        <v>4809683</v>
      </c>
      <c r="AO6" t="inlineStr">
        <is>
          <t>CET1 Ratio</t>
        </is>
      </c>
    </row>
    <row r="7">
      <c r="A7" s="5" t="inlineStr">
        <is>
          <t>Loans and advances to customers</t>
        </is>
      </c>
      <c r="B7" s="5" t="n">
        <v>206392</v>
      </c>
      <c r="C7" s="5" t="n">
        <v>124556</v>
      </c>
      <c r="D7" s="5" t="n">
        <v>131817</v>
      </c>
      <c r="E7" s="5" t="n">
        <v>205120</v>
      </c>
      <c r="F7" s="5" t="n">
        <v>194424</v>
      </c>
      <c r="I7" t="inlineStr">
        <is>
          <t>Loans and advances to customers</t>
        </is>
      </c>
      <c r="J7" t="n">
        <v>194424</v>
      </c>
      <c r="K7" t="n">
        <v>205120</v>
      </c>
      <c r="L7" t="n">
        <v>131817</v>
      </c>
      <c r="M7" t="n">
        <v>124556</v>
      </c>
      <c r="N7" t="n">
        <v>206392</v>
      </c>
    </row>
    <row r="8">
      <c r="A8" s="5" t="inlineStr">
        <is>
          <t>Due to customers</t>
        </is>
      </c>
      <c r="B8" s="5" t="n">
        <v>3474635</v>
      </c>
      <c r="C8" s="5" t="n">
        <v>2540560</v>
      </c>
      <c r="D8" s="5" t="n">
        <v>2359342</v>
      </c>
      <c r="E8" s="5" t="n">
        <v>2622664</v>
      </c>
      <c r="F8" s="5" t="n">
        <v>2390232</v>
      </c>
      <c r="I8" t="inlineStr">
        <is>
          <t>Due to customers</t>
        </is>
      </c>
      <c r="J8" t="n">
        <v>2390232</v>
      </c>
      <c r="K8" t="n">
        <v>2622664</v>
      </c>
      <c r="L8" t="n">
        <v>2359342</v>
      </c>
      <c r="M8" t="n">
        <v>2540560</v>
      </c>
      <c r="N8" t="n">
        <v>3474635</v>
      </c>
    </row>
    <row r="9">
      <c r="A9" s="5" t="inlineStr">
        <is>
          <t>Total equity</t>
        </is>
      </c>
      <c r="B9" s="5" t="n">
        <v>1147348</v>
      </c>
      <c r="C9" s="5" t="n">
        <v>405212</v>
      </c>
      <c r="D9" s="5" t="n">
        <v>415845</v>
      </c>
      <c r="E9" s="5" t="n">
        <v>415887</v>
      </c>
      <c r="F9" s="5" t="n">
        <v>409920</v>
      </c>
      <c r="I9" t="inlineStr">
        <is>
          <t>Total equity</t>
        </is>
      </c>
      <c r="J9" t="n">
        <v>409920</v>
      </c>
      <c r="K9" t="n">
        <v>415887</v>
      </c>
      <c r="L9" t="n">
        <v>415845</v>
      </c>
      <c r="M9" t="n">
        <v>405212</v>
      </c>
      <c r="N9" t="n">
        <v>1147348</v>
      </c>
    </row>
    <row r="11">
      <c r="A11" s="3" t="inlineStr">
        <is>
          <t>Profit &amp; Loss Summary ( (£'000))</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Operating income</t>
        </is>
      </c>
      <c r="B13" s="5" t="n">
        <v>781638</v>
      </c>
      <c r="C13" s="5" t="n">
        <v>424964</v>
      </c>
      <c r="D13" s="5" t="n">
        <v>385751</v>
      </c>
      <c r="E13" s="5" t="n">
        <v>351147</v>
      </c>
      <c r="F13" s="5" t="n">
        <v>352939</v>
      </c>
      <c r="Q13" t="inlineStr">
        <is>
          <t>Operating income</t>
        </is>
      </c>
      <c r="R13" t="n">
        <v>352939</v>
      </c>
      <c r="S13" t="n">
        <v>351147</v>
      </c>
      <c r="T13" t="n">
        <v>385751</v>
      </c>
      <c r="U13" t="n">
        <v>424964</v>
      </c>
      <c r="V13" t="n">
        <v>781638</v>
      </c>
    </row>
    <row r="14">
      <c r="A14" s="5" t="inlineStr">
        <is>
          <t>Operating expenses</t>
        </is>
      </c>
      <c r="B14" s="5" t="n">
        <v>-670165</v>
      </c>
      <c r="C14" s="5" t="n">
        <v>-403797</v>
      </c>
      <c r="D14" s="5" t="n">
        <v>-321887</v>
      </c>
      <c r="E14" s="5" t="n">
        <v>-301973</v>
      </c>
      <c r="F14" s="5" t="n">
        <v>-277741</v>
      </c>
      <c r="Q14" t="inlineStr">
        <is>
          <t>Operating expenses</t>
        </is>
      </c>
      <c r="R14" t="n">
        <v>-277741</v>
      </c>
      <c r="S14" t="n">
        <v>-301973</v>
      </c>
      <c r="T14" t="n">
        <v>-321887</v>
      </c>
      <c r="U14" t="n">
        <v>-403797</v>
      </c>
      <c r="V14" t="n">
        <v>-670165</v>
      </c>
    </row>
    <row r="15">
      <c r="A15" s="5" t="inlineStr">
        <is>
          <t>Profit for the year</t>
        </is>
      </c>
      <c r="B15" s="5" t="n">
        <v>81117</v>
      </c>
      <c r="C15" s="5" t="n">
        <v>16367</v>
      </c>
      <c r="D15" s="5" t="n">
        <v>49958</v>
      </c>
      <c r="E15" s="5" t="n">
        <v>40967</v>
      </c>
      <c r="F15" s="5" t="n">
        <v>58964</v>
      </c>
      <c r="Q15" t="inlineStr">
        <is>
          <t>Profit for the year</t>
        </is>
      </c>
      <c r="R15" t="n">
        <v>58964</v>
      </c>
      <c r="S15" t="n">
        <v>40967</v>
      </c>
      <c r="T15" t="n">
        <v>49958</v>
      </c>
      <c r="U15" t="n">
        <v>16367</v>
      </c>
      <c r="V15" t="n">
        <v>81117</v>
      </c>
    </row>
    <row r="17">
      <c r="A17" s="3" t="inlineStr">
        <is>
          <t>Statement of Changes in Equity Summary ( (£'000))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405212</v>
      </c>
      <c r="C19" s="5" t="n">
        <v>415845</v>
      </c>
      <c r="D19" s="5" t="n">
        <v>415887</v>
      </c>
      <c r="E19" s="5" t="n">
        <v>409920</v>
      </c>
      <c r="F19" s="5" t="n">
        <v>405956</v>
      </c>
      <c r="Y19" t="inlineStr">
        <is>
          <t>Opening equity</t>
        </is>
      </c>
      <c r="Z19" t="n">
        <v>405956</v>
      </c>
      <c r="AA19" t="n">
        <v>409920</v>
      </c>
      <c r="AB19" t="n">
        <v>415887</v>
      </c>
      <c r="AC19" t="n">
        <v>415845</v>
      </c>
      <c r="AD19" t="n">
        <v>405212</v>
      </c>
    </row>
    <row r="20">
      <c r="A20" s="5" t="inlineStr">
        <is>
          <t>Total comprehensive income for the year</t>
        </is>
      </c>
      <c r="B20" s="5" t="n">
        <v>81117</v>
      </c>
      <c r="C20" s="5" t="n">
        <v>16367</v>
      </c>
      <c r="D20" s="5" t="n">
        <v>49958</v>
      </c>
      <c r="E20" s="5" t="n">
        <v>40967</v>
      </c>
      <c r="F20" s="5" t="n">
        <v>58964</v>
      </c>
      <c r="Y20" t="inlineStr">
        <is>
          <t>Total comprehensive income for the year</t>
        </is>
      </c>
      <c r="Z20" t="n">
        <v>58964</v>
      </c>
      <c r="AA20" t="n">
        <v>40967</v>
      </c>
      <c r="AB20" t="n">
        <v>49958</v>
      </c>
      <c r="AC20" t="n">
        <v>16367</v>
      </c>
      <c r="AD20" t="n">
        <v>81117</v>
      </c>
    </row>
    <row r="21">
      <c r="A21" s="5" t="inlineStr">
        <is>
          <t>Closing equity</t>
        </is>
      </c>
      <c r="B21" s="5" t="n">
        <v>1147348</v>
      </c>
      <c r="C21" s="5" t="n">
        <v>405212</v>
      </c>
      <c r="D21" s="5" t="n">
        <v>415845</v>
      </c>
      <c r="E21" s="5" t="n">
        <v>415887</v>
      </c>
      <c r="F21" s="5" t="n">
        <v>409920</v>
      </c>
      <c r="Y21" t="inlineStr">
        <is>
          <t>Closing equity</t>
        </is>
      </c>
      <c r="Z21" t="n">
        <v>409920</v>
      </c>
      <c r="AA21" t="n">
        <v>415887</v>
      </c>
      <c r="AB21" t="n">
        <v>415845</v>
      </c>
      <c r="AC21" t="n">
        <v>405212</v>
      </c>
      <c r="AD21" t="n">
        <v>1147348</v>
      </c>
    </row>
    <row r="23">
      <c r="A23" s="3" t="inlineStr">
        <is>
          <t>Cash Flow Summary ( (£'000))</t>
        </is>
      </c>
    </row>
    <row r="24">
      <c r="A24" s="4" t="inlineStr">
        <is>
          <t>Line item</t>
        </is>
      </c>
      <c r="B24" s="4" t="inlineStr">
        <is>
          <t>FY2025</t>
        </is>
      </c>
      <c r="C24" s="4" t="inlineStr">
        <is>
          <t>FY2024</t>
        </is>
      </c>
      <c r="D24" s="4" t="inlineStr">
        <is>
          <t>FY2023</t>
        </is>
      </c>
      <c r="E24" s="4" t="inlineStr">
        <is>
          <t>FY2022</t>
        </is>
      </c>
      <c r="F24" s="4" t="inlineStr">
        <is>
          <t>FY2021</t>
        </is>
      </c>
      <c r="AH24" t="inlineStr">
        <is>
          <t>FY2021</t>
        </is>
      </c>
      <c r="AI24" t="inlineStr">
        <is>
          <t>FY2022</t>
        </is>
      </c>
      <c r="AJ24" t="inlineStr">
        <is>
          <t>FY2023</t>
        </is>
      </c>
      <c r="AK24" t="inlineStr">
        <is>
          <t>FY2024</t>
        </is>
      </c>
      <c r="AL24" t="inlineStr">
        <is>
          <t>FY2025</t>
        </is>
      </c>
    </row>
    <row r="25">
      <c r="A25" s="5" t="inlineStr">
        <is>
          <t>Net cash inflow/(outflow) from operating activities</t>
        </is>
      </c>
      <c r="B25" s="5" t="n">
        <v>988180</v>
      </c>
      <c r="C25" s="5" t="n">
        <v>200256</v>
      </c>
      <c r="D25" s="5" t="n">
        <v>-99468</v>
      </c>
      <c r="E25" s="5" t="n">
        <v>276728</v>
      </c>
      <c r="F25" s="5" t="n">
        <v>-249109</v>
      </c>
      <c r="AG25" t="inlineStr">
        <is>
          <t>Net cash inflow/(outflow) from operating activities</t>
        </is>
      </c>
      <c r="AH25" t="n">
        <v>-249109</v>
      </c>
      <c r="AI25" t="n">
        <v>276728</v>
      </c>
      <c r="AJ25" t="n">
        <v>-99468</v>
      </c>
      <c r="AK25" t="n">
        <v>200256</v>
      </c>
      <c r="AL25" t="n">
        <v>988180</v>
      </c>
    </row>
    <row r="26">
      <c r="A26" s="5" t="inlineStr">
        <is>
          <t>Net cash used in investing activities</t>
        </is>
      </c>
      <c r="B26" s="5" t="n">
        <v>-559268</v>
      </c>
      <c r="C26" s="5" t="n">
        <v>-2375</v>
      </c>
      <c r="D26" s="5" t="n">
        <v>-256406</v>
      </c>
      <c r="E26" s="5" t="n">
        <v>-285059</v>
      </c>
      <c r="F26" s="5" t="n">
        <v>-126903</v>
      </c>
      <c r="AG26" t="inlineStr">
        <is>
          <t>Net cash used in investing activities</t>
        </is>
      </c>
      <c r="AH26" t="n">
        <v>-126903</v>
      </c>
      <c r="AI26" t="n">
        <v>-285059</v>
      </c>
      <c r="AJ26" t="n">
        <v>-256406</v>
      </c>
      <c r="AK26" t="n">
        <v>-2375</v>
      </c>
      <c r="AL26" t="n">
        <v>-559268</v>
      </c>
    </row>
    <row r="27">
      <c r="A27" s="5" t="inlineStr">
        <is>
          <t>Cash and cash equivalents at the end of the year</t>
        </is>
      </c>
      <c r="B27" s="5" t="n">
        <v>1609394</v>
      </c>
      <c r="C27" s="5" t="n">
        <v>1249482</v>
      </c>
      <c r="D27" s="5" t="n">
        <v>1078601</v>
      </c>
      <c r="E27" s="5" t="n">
        <v>1484475</v>
      </c>
      <c r="F27" s="5" t="n">
        <v>1530445</v>
      </c>
      <c r="AG27" t="inlineStr">
        <is>
          <t>Cash and cash equivalents at the end of the year</t>
        </is>
      </c>
      <c r="AH27" t="n">
        <v>1530445</v>
      </c>
      <c r="AI27" t="n">
        <v>1484475</v>
      </c>
      <c r="AJ27" t="n">
        <v>1078601</v>
      </c>
      <c r="AK27" t="n">
        <v>1249482</v>
      </c>
      <c r="AL27" t="n">
        <v>1609394</v>
      </c>
    </row>
    <row r="29">
      <c r="A29" s="3" t="inlineStr">
        <is>
          <t>Pillar 3 Key Metrics</t>
        </is>
      </c>
    </row>
    <row r="30">
      <c r="A30" s="4" t="inlineStr">
        <is>
          <t>Line item</t>
        </is>
      </c>
      <c r="B30" s="4" t="inlineStr">
        <is>
          <t>FY2025</t>
        </is>
      </c>
      <c r="C30" s="4" t="inlineStr">
        <is>
          <t>FY2024</t>
        </is>
      </c>
      <c r="D30" s="4" t="inlineStr">
        <is>
          <t>FY2023</t>
        </is>
      </c>
      <c r="E30" s="4" t="inlineStr">
        <is>
          <t>FY2022</t>
        </is>
      </c>
      <c r="F30" s="4" t="inlineStr">
        <is>
          <t>FY2021</t>
        </is>
      </c>
    </row>
    <row r="31">
      <c r="A31" s="6" t="inlineStr">
        <is>
          <t>CET1 Ratio</t>
        </is>
      </c>
      <c r="B31" s="6" t="n"/>
      <c r="C31" s="6" t="n"/>
      <c r="D31" s="6" t="n"/>
      <c r="E31" s="6" t="n"/>
      <c r="F31" s="6" t="n"/>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Balance Sheet</t>
        </is>
      </c>
    </row>
    <row r="2">
      <c r="A2" s="2" t="inlineStr">
        <is>
          <t>Entity basis, £'000. Blank cells indicate a line not disclosed that year (0 indicates a line disclosed as nil, not a gap).</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balances with central banks</t>
        </is>
      </c>
      <c r="B5" s="6" t="n">
        <v>1503963</v>
      </c>
      <c r="C5" s="6" t="n">
        <v>1165956</v>
      </c>
      <c r="D5" s="6" t="n">
        <v>1038280</v>
      </c>
      <c r="E5" s="6" t="n">
        <v>1412915</v>
      </c>
      <c r="F5" s="6" t="n">
        <v>1463293</v>
      </c>
    </row>
    <row r="6">
      <c r="A6" s="6" t="inlineStr">
        <is>
          <t>Settlement balances</t>
        </is>
      </c>
      <c r="B6" s="6" t="n">
        <v>44654</v>
      </c>
      <c r="C6" s="6" t="n">
        <v>35248</v>
      </c>
      <c r="D6" s="6" t="n">
        <v>39048</v>
      </c>
      <c r="E6" s="6" t="n">
        <v>19825</v>
      </c>
      <c r="F6" s="6" t="n">
        <v>28831</v>
      </c>
    </row>
    <row r="7">
      <c r="A7" s="6" t="inlineStr">
        <is>
          <t>Loans and advances to banks</t>
        </is>
      </c>
      <c r="B7" s="6" t="n">
        <v>105394</v>
      </c>
      <c r="C7" s="6" t="n">
        <v>83482</v>
      </c>
      <c r="D7" s="6" t="n">
        <v>42601</v>
      </c>
      <c r="E7" s="6" t="n">
        <v>106475</v>
      </c>
      <c r="F7" s="6" t="n">
        <v>97887</v>
      </c>
    </row>
    <row r="8">
      <c r="A8" s="6" t="inlineStr">
        <is>
          <t>Loans and advances to customers</t>
        </is>
      </c>
      <c r="B8" s="6" t="n">
        <v>206392</v>
      </c>
      <c r="C8" s="6" t="n">
        <v>124556</v>
      </c>
      <c r="D8" s="6" t="n">
        <v>131817</v>
      </c>
      <c r="E8" s="6" t="n">
        <v>205120</v>
      </c>
      <c r="F8" s="6" t="n">
        <v>194424</v>
      </c>
    </row>
    <row r="9">
      <c r="A9" s="6" t="inlineStr">
        <is>
          <t>Investment securities - fair value through profit and loss</t>
        </is>
      </c>
      <c r="B9" s="6" t="n"/>
      <c r="C9" s="6" t="n"/>
      <c r="D9" s="6" t="n">
        <v>1181</v>
      </c>
      <c r="E9" s="6" t="n">
        <v>3146</v>
      </c>
      <c r="F9" s="6" t="n">
        <v>2558</v>
      </c>
    </row>
    <row r="10">
      <c r="A10" s="6" t="inlineStr">
        <is>
          <t>Investment securities - amortised cost</t>
        </is>
      </c>
      <c r="B10" s="6" t="n">
        <v>1864282</v>
      </c>
      <c r="C10" s="6" t="n">
        <v>1278219</v>
      </c>
      <c r="D10" s="6" t="n">
        <v>1294589</v>
      </c>
      <c r="E10" s="6" t="n">
        <v>1045234</v>
      </c>
      <c r="F10" s="6" t="n">
        <v>761654</v>
      </c>
    </row>
    <row r="11">
      <c r="A11" s="6" t="inlineStr">
        <is>
          <t>Prepayments, accrued income and other assets</t>
        </is>
      </c>
      <c r="B11" s="6" t="n">
        <v>209933</v>
      </c>
      <c r="C11" s="6" t="n">
        <v>147396</v>
      </c>
      <c r="D11" s="6" t="n">
        <v>118622</v>
      </c>
      <c r="E11" s="6" t="n">
        <v>92179</v>
      </c>
      <c r="F11" s="6" t="n">
        <v>85601</v>
      </c>
    </row>
    <row r="12">
      <c r="A12" s="6" t="inlineStr">
        <is>
          <t>Property, plant and equipment</t>
        </is>
      </c>
      <c r="B12" s="6" t="n">
        <v>48050</v>
      </c>
      <c r="C12" s="6" t="n">
        <v>10939</v>
      </c>
      <c r="D12" s="6" t="n">
        <v>7783</v>
      </c>
      <c r="E12" s="6" t="n">
        <v>12341</v>
      </c>
      <c r="F12" s="6" t="n">
        <v>12496</v>
      </c>
    </row>
    <row r="13">
      <c r="A13" s="6" t="inlineStr">
        <is>
          <t>Right of use assets</t>
        </is>
      </c>
      <c r="B13" s="6" t="n"/>
      <c r="C13" s="6" t="n"/>
      <c r="D13" s="6" t="n">
        <v>1</v>
      </c>
      <c r="E13" s="6" t="n">
        <v>17</v>
      </c>
      <c r="F13" s="6" t="n">
        <v>83</v>
      </c>
    </row>
    <row r="14">
      <c r="A14" s="6" t="inlineStr">
        <is>
          <t>Current tax asset</t>
        </is>
      </c>
      <c r="B14" s="6" t="n">
        <v>6770</v>
      </c>
      <c r="C14" s="6" t="n">
        <v>7992</v>
      </c>
      <c r="D14" s="6" t="n">
        <v>2130</v>
      </c>
      <c r="E14" s="6" t="n">
        <v>3520</v>
      </c>
      <c r="F14" s="6" t="n">
        <v>2826</v>
      </c>
    </row>
    <row r="15">
      <c r="A15" s="6" t="inlineStr">
        <is>
          <t>Deferred tax asset</t>
        </is>
      </c>
      <c r="B15" s="6" t="n"/>
      <c r="C15" s="6" t="n">
        <v>1116</v>
      </c>
      <c r="D15" s="6" t="n">
        <v>1158</v>
      </c>
      <c r="E15" s="6" t="n"/>
      <c r="F15" s="6" t="n"/>
    </row>
    <row r="16">
      <c r="A16" s="6" t="inlineStr">
        <is>
          <t>Intangible assets</t>
        </is>
      </c>
      <c r="B16" s="6" t="n">
        <v>779332</v>
      </c>
      <c r="C16" s="6" t="n">
        <v>153029</v>
      </c>
      <c r="D16" s="6" t="n">
        <v>158751</v>
      </c>
      <c r="E16" s="6" t="n">
        <v>170498</v>
      </c>
      <c r="F16" s="6" t="n">
        <v>183788</v>
      </c>
    </row>
    <row r="17">
      <c r="A17" s="6" t="inlineStr">
        <is>
          <t>Investments in subsidiary undertakings</t>
        </is>
      </c>
      <c r="B17" s="6" t="n">
        <v>40913</v>
      </c>
      <c r="C17" s="6" t="n">
        <v>9798</v>
      </c>
      <c r="D17" s="6" t="n">
        <v>9798</v>
      </c>
      <c r="E17" s="6" t="n">
        <v>9798</v>
      </c>
      <c r="F17" s="6" t="n">
        <v>9798</v>
      </c>
    </row>
    <row r="18">
      <c r="A18" s="5" t="inlineStr">
        <is>
          <t>Total assets</t>
        </is>
      </c>
      <c r="B18" s="5" t="n">
        <v>4809683</v>
      </c>
      <c r="C18" s="5" t="n">
        <v>3017731</v>
      </c>
      <c r="D18" s="5" t="n">
        <v>2845759</v>
      </c>
      <c r="E18" s="5" t="n">
        <v>3081068</v>
      </c>
      <c r="F18" s="5" t="n">
        <v>2843239</v>
      </c>
    </row>
    <row r="19">
      <c r="A19" s="5" t="inlineStr">
        <is>
          <t>Liabilities</t>
        </is>
      </c>
      <c r="B19" s="6" t="n"/>
      <c r="C19" s="6" t="n"/>
      <c r="D19" s="6" t="n"/>
      <c r="E19" s="6" t="n"/>
      <c r="F19" s="6" t="n"/>
    </row>
    <row r="20">
      <c r="A20" s="6" t="inlineStr">
        <is>
          <t>Deposits by banks</t>
        </is>
      </c>
      <c r="B20" s="6" t="n">
        <v>8410</v>
      </c>
      <c r="C20" s="6" t="n">
        <v>3770</v>
      </c>
      <c r="D20" s="6" t="n">
        <v>12359</v>
      </c>
      <c r="E20" s="6" t="n">
        <v>1035</v>
      </c>
      <c r="F20" s="6" t="n">
        <v>2213</v>
      </c>
    </row>
    <row r="21">
      <c r="A21" s="6" t="inlineStr">
        <is>
          <t>Settlement balances</t>
        </is>
      </c>
      <c r="B21" s="6" t="n">
        <v>63146</v>
      </c>
      <c r="C21" s="6" t="n">
        <v>47225</v>
      </c>
      <c r="D21" s="6" t="n">
        <v>41942</v>
      </c>
      <c r="E21" s="6" t="n">
        <v>31028</v>
      </c>
      <c r="F21" s="6" t="n">
        <v>27118</v>
      </c>
    </row>
    <row r="22">
      <c r="A22" s="6" t="inlineStr">
        <is>
          <t>Due to customers</t>
        </is>
      </c>
      <c r="B22" s="6" t="n">
        <v>3474635</v>
      </c>
      <c r="C22" s="6" t="n">
        <v>2540560</v>
      </c>
      <c r="D22" s="6" t="n">
        <v>2359342</v>
      </c>
      <c r="E22" s="6" t="n">
        <v>2622664</v>
      </c>
      <c r="F22" s="6" t="n">
        <v>2390232</v>
      </c>
    </row>
    <row r="23">
      <c r="A23" s="6" t="inlineStr">
        <is>
          <t>Accruals, deferred income, provisions and other liabilities</t>
        </is>
      </c>
      <c r="B23" s="6" t="n">
        <v>41844</v>
      </c>
      <c r="C23" s="6" t="n">
        <v>20964</v>
      </c>
      <c r="D23" s="6" t="n">
        <v>16271</v>
      </c>
      <c r="E23" s="6" t="n">
        <v>8736</v>
      </c>
      <c r="F23" s="6" t="n">
        <v>9432</v>
      </c>
    </row>
    <row r="24">
      <c r="A24" s="6" t="inlineStr">
        <is>
          <t>Lease liabilities</t>
        </is>
      </c>
      <c r="B24" s="6" t="n"/>
      <c r="C24" s="6" t="n"/>
      <c r="D24" s="6" t="n"/>
      <c r="E24" s="6" t="n">
        <v>0</v>
      </c>
      <c r="F24" s="6" t="n">
        <v>81</v>
      </c>
    </row>
    <row r="25">
      <c r="A25" s="6" t="inlineStr">
        <is>
          <t>Deferred tax liability</t>
        </is>
      </c>
      <c r="B25" s="6" t="n">
        <v>74300</v>
      </c>
      <c r="C25" s="6" t="n"/>
      <c r="D25" s="6" t="n"/>
      <c r="E25" s="6" t="n">
        <v>1718</v>
      </c>
      <c r="F25" s="6" t="n">
        <v>4243</v>
      </c>
    </row>
    <row r="26">
      <c r="A26" s="5" t="inlineStr">
        <is>
          <t>Total liabilities</t>
        </is>
      </c>
      <c r="B26" s="5" t="n">
        <v>3662335</v>
      </c>
      <c r="C26" s="5" t="n">
        <v>2612519</v>
      </c>
      <c r="D26" s="5" t="n">
        <v>2429914</v>
      </c>
      <c r="E26" s="5" t="n">
        <v>2665181</v>
      </c>
      <c r="F26" s="5" t="n">
        <v>2433319</v>
      </c>
    </row>
    <row r="27">
      <c r="A27" s="5" t="inlineStr">
        <is>
          <t>Equity</t>
        </is>
      </c>
      <c r="B27" s="6" t="n"/>
      <c r="C27" s="6" t="n"/>
      <c r="D27" s="6" t="n"/>
      <c r="E27" s="6" t="n"/>
      <c r="F27" s="6" t="n"/>
    </row>
    <row r="28">
      <c r="A28" s="6" t="inlineStr">
        <is>
          <t>Share capital</t>
        </is>
      </c>
      <c r="B28" s="6" t="n">
        <v>4996</v>
      </c>
      <c r="C28" s="6" t="n">
        <v>4996</v>
      </c>
      <c r="D28" s="6" t="n">
        <v>4996</v>
      </c>
      <c r="E28" s="6" t="n">
        <v>4996</v>
      </c>
      <c r="F28" s="6" t="n">
        <v>4996</v>
      </c>
    </row>
    <row r="29">
      <c r="A29" s="6" t="inlineStr">
        <is>
          <t>Share premium</t>
        </is>
      </c>
      <c r="B29" s="6" t="n">
        <v>751899</v>
      </c>
      <c r="C29" s="6" t="n">
        <v>298066</v>
      </c>
      <c r="D29" s="6" t="n">
        <v>298066</v>
      </c>
      <c r="E29" s="6" t="n">
        <v>298066</v>
      </c>
      <c r="F29" s="6" t="n">
        <v>298066</v>
      </c>
    </row>
    <row r="30">
      <c r="A30" s="6" t="inlineStr">
        <is>
          <t>Other reserves</t>
        </is>
      </c>
      <c r="B30" s="6" t="n">
        <v>-21897</v>
      </c>
      <c r="C30" s="6" t="n"/>
      <c r="D30" s="6" t="n"/>
      <c r="E30" s="6" t="n"/>
      <c r="F30" s="6" t="n"/>
    </row>
    <row r="31">
      <c r="A31" s="6" t="inlineStr">
        <is>
          <t>Retained earnings</t>
        </is>
      </c>
      <c r="B31" s="6" t="n">
        <v>412350</v>
      </c>
      <c r="C31" s="6" t="n">
        <v>102150</v>
      </c>
      <c r="D31" s="6" t="n">
        <v>112783</v>
      </c>
      <c r="E31" s="6" t="n">
        <v>112825</v>
      </c>
      <c r="F31" s="6" t="n">
        <v>106858</v>
      </c>
    </row>
    <row r="32">
      <c r="A32" s="5" t="inlineStr">
        <is>
          <t>Total equity</t>
        </is>
      </c>
      <c r="B32" s="5" t="n">
        <v>1147348</v>
      </c>
      <c r="C32" s="5" t="n">
        <v>405212</v>
      </c>
      <c r="D32" s="5" t="n">
        <v>415845</v>
      </c>
      <c r="E32" s="5" t="n">
        <v>415887</v>
      </c>
      <c r="F32" s="5" t="n">
        <v>409920</v>
      </c>
    </row>
    <row r="33">
      <c r="A33" s="5" t="inlineStr">
        <is>
          <t>Total liabilities and equity</t>
        </is>
      </c>
      <c r="B33" s="5" t="n">
        <v>4809683</v>
      </c>
      <c r="C33" s="5" t="n">
        <v>3017731</v>
      </c>
      <c r="D33" s="5" t="n">
        <v>2845759</v>
      </c>
      <c r="E33" s="5" t="n">
        <v>3081068</v>
      </c>
      <c r="F33" s="5" t="n">
        <v>2843239</v>
      </c>
    </row>
    <row r="35" ht="377" customHeight="1">
      <c r="A35" s="7" t="inlineStr">
        <is>
          <t>Sources - Rathbones Investment Management Limited statutory accounts, entity basis, GBP'000.
FY2025 and FY2024 comparative: Annual report and financial statements 2025, Statement of comprehensive income p.22, Statement of changes in equity p.23, Balance sheet p.24 - https://find-and-update.company-information.service.gov.uk/company/01448919/filing-history/MzUyMjY1MjQyNWFkaXF6a2N4/document?download=0&amp;format=pdf
FY2024 and FY2023 comparative: Annual report and financial statements 2024, p.25/26/27 - https://find-and-update.company-information.service.gov.uk/company/01448919/filing-history/MzQ3MzI5ODI4OWFkaXF6a2N4/document?download=0&amp;format=pdf
FY2023 and FY2022 comparative: Annual report and financial statements 2023, p.26/27/28 - https://find-and-update.company-information.service.gov.uk/company/01448919/filing-history/MzQyMjI5MjUwM2FkaXF6a2N4/document?download=0&amp;format=pdf
FY2022 and FY2021 comparative: Annual report and financial statements 2022, p.26/27/29 - https://find-and-update.company-information.service.gov.uk/company/01448919/filing-history/MzM4MTE3NjI0OGFkaXF6a2N4/document?download=0&amp;format=pdf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t>
        </is>
      </c>
    </row>
    <row r="37" ht="280" customHeight="1">
      <c r="A37" s="7" t="inlineStr">
        <is>
          <t>(continued)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2">
    <mergeCell ref="A35:F35"/>
    <mergeCell ref="A37:F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Profit &amp; Loss</t>
        </is>
      </c>
    </row>
    <row r="2">
      <c r="A2" s="2" t="inlineStr">
        <is>
          <t>Entity basis, £'000. Statement of comprehensive income; all comprehensive income each year is attributable to equity holders of the Company.</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and similar income</t>
        </is>
      </c>
      <c r="B5" s="6" t="n">
        <v>155597</v>
      </c>
      <c r="C5" s="6" t="n">
        <v>137333</v>
      </c>
      <c r="D5" s="6" t="n">
        <v>123040</v>
      </c>
      <c r="E5" s="6" t="n">
        <v>43908</v>
      </c>
      <c r="F5" s="6" t="n">
        <v>7577</v>
      </c>
    </row>
    <row r="6">
      <c r="A6" s="6" t="inlineStr">
        <is>
          <t>Interest expense and similar charges</t>
        </is>
      </c>
      <c r="B6" s="6" t="n">
        <v>-72439</v>
      </c>
      <c r="C6" s="6" t="n">
        <v>-80881</v>
      </c>
      <c r="D6" s="6" t="n">
        <v>-73395</v>
      </c>
      <c r="E6" s="6" t="n">
        <v>-21293</v>
      </c>
      <c r="F6" s="6" t="n">
        <v>-193</v>
      </c>
    </row>
    <row r="7">
      <c r="A7" s="5" t="inlineStr">
        <is>
          <t>Net interest income</t>
        </is>
      </c>
      <c r="B7" s="5" t="n">
        <v>83158</v>
      </c>
      <c r="C7" s="5" t="n">
        <v>56452</v>
      </c>
      <c r="D7" s="5" t="n">
        <v>49645</v>
      </c>
      <c r="E7" s="5" t="n">
        <v>22615</v>
      </c>
      <c r="F7" s="5" t="n">
        <v>7384</v>
      </c>
    </row>
    <row r="8">
      <c r="A8" s="6" t="inlineStr">
        <is>
          <t>Fee and commission income</t>
        </is>
      </c>
      <c r="B8" s="6" t="n">
        <v>626296</v>
      </c>
      <c r="C8" s="6" t="n">
        <v>352499</v>
      </c>
      <c r="D8" s="6" t="n">
        <v>318826</v>
      </c>
      <c r="E8" s="6" t="n">
        <v>318304</v>
      </c>
      <c r="F8" s="6" t="n">
        <v>335389</v>
      </c>
    </row>
    <row r="9">
      <c r="A9" s="6" t="inlineStr">
        <is>
          <t>Fee and commission expense</t>
        </is>
      </c>
      <c r="B9" s="6" t="n">
        <v>-3515</v>
      </c>
      <c r="C9" s="6" t="n">
        <v>-3050</v>
      </c>
      <c r="D9" s="6" t="n">
        <v>-2811</v>
      </c>
      <c r="E9" s="6" t="n">
        <v>-3666</v>
      </c>
      <c r="F9" s="6" t="n">
        <v>-4016</v>
      </c>
    </row>
    <row r="10">
      <c r="A10" s="5" t="inlineStr">
        <is>
          <t>Net fee and commission income</t>
        </is>
      </c>
      <c r="B10" s="5" t="n">
        <v>622781</v>
      </c>
      <c r="C10" s="5" t="n">
        <v>349449</v>
      </c>
      <c r="D10" s="5" t="n">
        <v>316015</v>
      </c>
      <c r="E10" s="5" t="n">
        <v>314638</v>
      </c>
      <c r="F10" s="5" t="n">
        <v>331373</v>
      </c>
    </row>
    <row r="11">
      <c r="A11" s="6" t="inlineStr">
        <is>
          <t>Intra-group management charges</t>
        </is>
      </c>
      <c r="B11" s="6" t="n">
        <v>16754</v>
      </c>
      <c r="C11" s="6" t="n">
        <v>13433</v>
      </c>
      <c r="D11" s="6" t="n">
        <v>13760</v>
      </c>
      <c r="E11" s="6" t="n">
        <v>12705</v>
      </c>
      <c r="F11" s="6" t="n">
        <v>13518</v>
      </c>
    </row>
    <row r="12">
      <c r="A12" s="6" t="inlineStr">
        <is>
          <t>Dividends from subsidiaries</t>
        </is>
      </c>
      <c r="B12" s="6" t="n">
        <v>57002</v>
      </c>
      <c r="C12" s="6" t="n">
        <v>5000</v>
      </c>
      <c r="D12" s="6" t="n">
        <v>5000</v>
      </c>
      <c r="E12" s="6" t="n">
        <v>0</v>
      </c>
      <c r="F12" s="6" t="n">
        <v>0</v>
      </c>
    </row>
    <row r="13">
      <c r="A13" s="6" t="inlineStr">
        <is>
          <t>Other operating income</t>
        </is>
      </c>
      <c r="B13" s="6" t="n">
        <v>1943</v>
      </c>
      <c r="C13" s="6" t="n">
        <v>630</v>
      </c>
      <c r="D13" s="6" t="n">
        <v>1331</v>
      </c>
      <c r="E13" s="6" t="n">
        <v>1189</v>
      </c>
      <c r="F13" s="6" t="n">
        <v>664</v>
      </c>
    </row>
    <row r="14">
      <c r="A14" s="5" t="inlineStr">
        <is>
          <t>Operating income</t>
        </is>
      </c>
      <c r="B14" s="5" t="n">
        <v>781638</v>
      </c>
      <c r="C14" s="5" t="n">
        <v>424964</v>
      </c>
      <c r="D14" s="5" t="n">
        <v>385751</v>
      </c>
      <c r="E14" s="5" t="n">
        <v>351147</v>
      </c>
      <c r="F14" s="5" t="n">
        <v>352939</v>
      </c>
    </row>
    <row r="15">
      <c r="A15" s="5" t="inlineStr">
        <is>
          <t>Expenses</t>
        </is>
      </c>
      <c r="B15" s="6" t="n"/>
      <c r="C15" s="6" t="n"/>
      <c r="D15" s="6" t="n"/>
      <c r="E15" s="6" t="n"/>
      <c r="F15" s="6" t="n"/>
    </row>
    <row r="16">
      <c r="A16" s="6" t="inlineStr">
        <is>
          <t>Charges in relation to client relationships and goodwill</t>
        </is>
      </c>
      <c r="B16" s="6" t="n">
        <v>-32717</v>
      </c>
      <c r="C16" s="6" t="n">
        <v>-13244</v>
      </c>
      <c r="D16" s="6" t="n">
        <v>-12593</v>
      </c>
      <c r="E16" s="6" t="n">
        <v>-13311</v>
      </c>
      <c r="F16" s="6" t="n">
        <v>-13515</v>
      </c>
    </row>
    <row r="17">
      <c r="A17" s="6" t="inlineStr">
        <is>
          <t>Impairment in investment in subsidiaries</t>
        </is>
      </c>
      <c r="B17" s="6" t="n">
        <v>-43888</v>
      </c>
      <c r="C17" s="6" t="n"/>
      <c r="D17" s="6" t="n"/>
      <c r="E17" s="6" t="n"/>
      <c r="F17" s="6" t="n"/>
    </row>
    <row r="18">
      <c r="A18" s="6" t="inlineStr">
        <is>
          <t>Other operating expenses</t>
        </is>
      </c>
      <c r="B18" s="6" t="n">
        <v>-593560</v>
      </c>
      <c r="C18" s="6" t="n">
        <v>-390553</v>
      </c>
      <c r="D18" s="6" t="n">
        <v>-309294</v>
      </c>
      <c r="E18" s="6" t="n">
        <v>-288662</v>
      </c>
      <c r="F18" s="6" t="n">
        <v>-264226</v>
      </c>
    </row>
    <row r="19">
      <c r="A19" s="5" t="inlineStr">
        <is>
          <t>Operating expenses</t>
        </is>
      </c>
      <c r="B19" s="5" t="n">
        <v>-670165</v>
      </c>
      <c r="C19" s="5" t="n">
        <v>-403797</v>
      </c>
      <c r="D19" s="5" t="n">
        <v>-321887</v>
      </c>
      <c r="E19" s="5" t="n">
        <v>-301973</v>
      </c>
      <c r="F19" s="5" t="n">
        <v>-277741</v>
      </c>
    </row>
    <row r="20">
      <c r="A20" s="5" t="inlineStr">
        <is>
          <t>Profit before tax</t>
        </is>
      </c>
      <c r="B20" s="5" t="n">
        <v>111473</v>
      </c>
      <c r="C20" s="5" t="n">
        <v>21167</v>
      </c>
      <c r="D20" s="5" t="n">
        <v>63864</v>
      </c>
      <c r="E20" s="5" t="n">
        <v>49174</v>
      </c>
      <c r="F20" s="5" t="n">
        <v>75198</v>
      </c>
    </row>
    <row r="21">
      <c r="A21" s="6" t="inlineStr">
        <is>
          <t>Taxation</t>
        </is>
      </c>
      <c r="B21" s="6" t="n">
        <v>-30356</v>
      </c>
      <c r="C21" s="6" t="n">
        <v>-4800</v>
      </c>
      <c r="D21" s="6" t="n">
        <v>-13906</v>
      </c>
      <c r="E21" s="6" t="n">
        <v>-8207</v>
      </c>
      <c r="F21" s="6" t="n">
        <v>-16234</v>
      </c>
    </row>
    <row r="22">
      <c r="A22" s="5" t="inlineStr">
        <is>
          <t>Profit for the year attributable to equity holders of the Company</t>
        </is>
      </c>
      <c r="B22" s="5" t="n">
        <v>81117</v>
      </c>
      <c r="C22" s="5" t="n">
        <v>16367</v>
      </c>
      <c r="D22" s="5" t="n">
        <v>49958</v>
      </c>
      <c r="E22" s="5" t="n">
        <v>40967</v>
      </c>
      <c r="F22" s="5" t="n">
        <v>58964</v>
      </c>
    </row>
    <row r="23">
      <c r="A23" s="5" t="inlineStr">
        <is>
          <t>Other comprehensive income</t>
        </is>
      </c>
      <c r="B23" s="6" t="n"/>
      <c r="C23" s="6" t="n"/>
      <c r="D23" s="6" t="n"/>
      <c r="E23" s="6" t="n"/>
      <c r="F23" s="6" t="n"/>
    </row>
    <row r="24">
      <c r="A24" s="6" t="inlineStr">
        <is>
          <t>Other comprehensive income for the year, net of tax</t>
        </is>
      </c>
      <c r="B24" s="6" t="n">
        <v>0</v>
      </c>
      <c r="C24" s="6" t="n">
        <v>0</v>
      </c>
      <c r="D24" s="6" t="n">
        <v>0</v>
      </c>
      <c r="E24" s="6" t="n">
        <v>0</v>
      </c>
      <c r="F24" s="6" t="n">
        <v>0</v>
      </c>
    </row>
    <row r="25">
      <c r="A25" s="5" t="inlineStr">
        <is>
          <t>Total comprehensive income for the year, net of tax</t>
        </is>
      </c>
      <c r="B25" s="5" t="n">
        <v>81117</v>
      </c>
      <c r="C25" s="5" t="n">
        <v>16367</v>
      </c>
      <c r="D25" s="5" t="n">
        <v>49958</v>
      </c>
      <c r="E25" s="5" t="n">
        <v>40967</v>
      </c>
      <c r="F25" s="5" t="n">
        <v>58964</v>
      </c>
    </row>
    <row r="27" ht="377" customHeight="1">
      <c r="A27" s="7" t="inlineStr">
        <is>
          <t>Sources - Rathbones Investment Management Limited statutory accounts, entity basis, GBP'000.
FY2025 and FY2024 comparative: Annual report and financial statements 2025, Statement of comprehensive income p.22, Statement of changes in equity p.23, Balance sheet p.24 - https://find-and-update.company-information.service.gov.uk/company/01448919/filing-history/MzUyMjY1MjQyNWFkaXF6a2N4/document?download=0&amp;format=pdf
FY2024 and FY2023 comparative: Annual report and financial statements 2024, p.25/26/27 - https://find-and-update.company-information.service.gov.uk/company/01448919/filing-history/MzQ3MzI5ODI4OWFkaXF6a2N4/document?download=0&amp;format=pdf
FY2023 and FY2022 comparative: Annual report and financial statements 2023, p.26/27/28 - https://find-and-update.company-information.service.gov.uk/company/01448919/filing-history/MzQyMjI5MjUwM2FkaXF6a2N4/document?download=0&amp;format=pdf
FY2022 and FY2021 comparative: Annual report and financial statements 2022, p.26/27/29 - https://find-and-update.company-information.service.gov.uk/company/01448919/filing-history/MzM4MTE3NjI0OGFkaXF6a2N4/document?download=0&amp;format=pdf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t>
        </is>
      </c>
    </row>
    <row r="29" ht="280" customHeight="1">
      <c r="A29" s="7" t="inlineStr">
        <is>
          <t>(continued)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2">
    <mergeCell ref="A29:F29"/>
    <mergeCell ref="A27:F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Statement of Changes in Equity</t>
        </is>
      </c>
    </row>
    <row r="2">
      <c r="A2" s="2" t="inlineStr">
        <is>
          <t>Chronological roll-forward, oldest to newest, entity basis, £'000. Equity reconciliation ladder confirmed: every year's own closing balance ties exactly to both the next year's own opening balance and that year's own Balance Sheet Total equity - zero undocumented plug rows across all 5 years, including FY2025's four separate movements (business transfer, share issue, share premium cancellation, other).</t>
        </is>
      </c>
    </row>
    <row r="3">
      <c r="A3" s="4" t="inlineStr">
        <is>
          <t>Movement</t>
        </is>
      </c>
      <c r="B3" s="4" t="inlineStr">
        <is>
          <t>Share capital</t>
        </is>
      </c>
      <c r="C3" s="4" t="inlineStr">
        <is>
          <t>Share premium</t>
        </is>
      </c>
      <c r="D3" s="4" t="inlineStr">
        <is>
          <t>Other reserves</t>
        </is>
      </c>
      <c r="E3" s="4" t="inlineStr">
        <is>
          <t>Retained earnings</t>
        </is>
      </c>
      <c r="F3" s="4" t="inlineStr">
        <is>
          <t>Total equity</t>
        </is>
      </c>
    </row>
    <row r="4">
      <c r="A4" s="5" t="inlineStr">
        <is>
          <t>At 1 January 2021</t>
        </is>
      </c>
      <c r="B4" s="5" t="n">
        <v>4996</v>
      </c>
      <c r="C4" s="5" t="n">
        <v>298066</v>
      </c>
      <c r="D4" s="5" t="n"/>
      <c r="E4" s="5" t="n">
        <v>102894</v>
      </c>
      <c r="F4" s="5" t="n">
        <v>405956</v>
      </c>
    </row>
    <row r="5">
      <c r="A5" s="5" t="inlineStr">
        <is>
          <t>Total comprehensive income for the year (FY2021)</t>
        </is>
      </c>
      <c r="B5" s="5" t="n"/>
      <c r="C5" s="5" t="n"/>
      <c r="D5" s="5" t="n"/>
      <c r="E5" s="5" t="n">
        <v>58964</v>
      </c>
      <c r="F5" s="5" t="n">
        <v>58964</v>
      </c>
    </row>
    <row r="6">
      <c r="A6" s="6" t="inlineStr">
        <is>
          <t>Dividends paid (FY2021)</t>
        </is>
      </c>
      <c r="B6" s="6" t="n"/>
      <c r="C6" s="6" t="n"/>
      <c r="D6" s="6" t="n"/>
      <c r="E6" s="6" t="n">
        <v>-55000</v>
      </c>
      <c r="F6" s="6" t="n">
        <v>-55000</v>
      </c>
    </row>
    <row r="7">
      <c r="A7" s="5" t="inlineStr">
        <is>
          <t>At 31 December 2021</t>
        </is>
      </c>
      <c r="B7" s="5" t="n">
        <v>4996</v>
      </c>
      <c r="C7" s="5" t="n">
        <v>298066</v>
      </c>
      <c r="D7" s="5" t="n"/>
      <c r="E7" s="5" t="n">
        <v>106858</v>
      </c>
      <c r="F7" s="5" t="n">
        <v>409920</v>
      </c>
    </row>
    <row r="8">
      <c r="A8" s="5" t="inlineStr">
        <is>
          <t>Total comprehensive income for the year (FY2022)</t>
        </is>
      </c>
      <c r="B8" s="5" t="n"/>
      <c r="C8" s="5" t="n"/>
      <c r="D8" s="5" t="n"/>
      <c r="E8" s="5" t="n">
        <v>40967</v>
      </c>
      <c r="F8" s="5" t="n">
        <v>40967</v>
      </c>
    </row>
    <row r="9">
      <c r="A9" s="6" t="inlineStr">
        <is>
          <t>Dividends paid (FY2022)</t>
        </is>
      </c>
      <c r="B9" s="6" t="n"/>
      <c r="C9" s="6" t="n"/>
      <c r="D9" s="6" t="n"/>
      <c r="E9" s="6" t="n">
        <v>-35000</v>
      </c>
      <c r="F9" s="6" t="n">
        <v>-35000</v>
      </c>
    </row>
    <row r="10">
      <c r="A10" s="5" t="inlineStr">
        <is>
          <t>At 31 December 2022</t>
        </is>
      </c>
      <c r="B10" s="5" t="n">
        <v>4996</v>
      </c>
      <c r="C10" s="5" t="n">
        <v>298066</v>
      </c>
      <c r="D10" s="5" t="n"/>
      <c r="E10" s="5" t="n">
        <v>112825</v>
      </c>
      <c r="F10" s="5" t="n">
        <v>415887</v>
      </c>
    </row>
    <row r="11">
      <c r="A11" s="5" t="inlineStr">
        <is>
          <t>Total comprehensive income for the year (FY2023)</t>
        </is>
      </c>
      <c r="B11" s="5" t="n"/>
      <c r="C11" s="5" t="n"/>
      <c r="D11" s="5" t="n"/>
      <c r="E11" s="5" t="n">
        <v>49958</v>
      </c>
      <c r="F11" s="5" t="n">
        <v>49958</v>
      </c>
    </row>
    <row r="12">
      <c r="A12" s="6" t="inlineStr">
        <is>
          <t>Dividends paid (FY2023)</t>
        </is>
      </c>
      <c r="B12" s="6" t="n"/>
      <c r="C12" s="6" t="n"/>
      <c r="D12" s="6" t="n"/>
      <c r="E12" s="6" t="n">
        <v>-50000</v>
      </c>
      <c r="F12" s="6" t="n">
        <v>-50000</v>
      </c>
    </row>
    <row r="13">
      <c r="A13" s="5" t="inlineStr">
        <is>
          <t>At 31 December 2023</t>
        </is>
      </c>
      <c r="B13" s="5" t="n">
        <v>4996</v>
      </c>
      <c r="C13" s="5" t="n">
        <v>298066</v>
      </c>
      <c r="D13" s="5" t="n"/>
      <c r="E13" s="5" t="n">
        <v>112783</v>
      </c>
      <c r="F13" s="5" t="n">
        <v>415845</v>
      </c>
    </row>
    <row r="14">
      <c r="A14" s="5" t="inlineStr">
        <is>
          <t>Total comprehensive income for the year (FY2024)</t>
        </is>
      </c>
      <c r="B14" s="5" t="n"/>
      <c r="C14" s="5" t="n"/>
      <c r="D14" s="5" t="n"/>
      <c r="E14" s="5" t="n">
        <v>16367</v>
      </c>
      <c r="F14" s="5" t="n">
        <v>16367</v>
      </c>
    </row>
    <row r="15">
      <c r="A15" s="6" t="inlineStr">
        <is>
          <t>Dividends paid (FY2024)</t>
        </is>
      </c>
      <c r="B15" s="6" t="n"/>
      <c r="C15" s="6" t="n"/>
      <c r="D15" s="6" t="n"/>
      <c r="E15" s="6" t="n">
        <v>-27000</v>
      </c>
      <c r="F15" s="6" t="n">
        <v>-27000</v>
      </c>
    </row>
    <row r="16">
      <c r="A16" s="5" t="inlineStr">
        <is>
          <t>At 31 December 2024</t>
        </is>
      </c>
      <c r="B16" s="5" t="n">
        <v>4996</v>
      </c>
      <c r="C16" s="5" t="n">
        <v>298066</v>
      </c>
      <c r="D16" s="5" t="n"/>
      <c r="E16" s="5" t="n">
        <v>102150</v>
      </c>
      <c r="F16" s="5" t="n">
        <v>405212</v>
      </c>
    </row>
    <row r="17">
      <c r="A17" s="5" t="inlineStr">
        <is>
          <t>Total comprehensive income for the year (FY2025)</t>
        </is>
      </c>
      <c r="B17" s="5" t="n"/>
      <c r="C17" s="5" t="n"/>
      <c r="D17" s="5" t="n"/>
      <c r="E17" s="5" t="n">
        <v>81117</v>
      </c>
      <c r="F17" s="5" t="n">
        <v>81117</v>
      </c>
    </row>
    <row r="18">
      <c r="A18" s="6" t="inlineStr">
        <is>
          <t>Dividends paid (FY2025)</t>
        </is>
      </c>
      <c r="B18" s="6" t="n"/>
      <c r="C18" s="6" t="n"/>
      <c r="D18" s="6" t="n"/>
      <c r="E18" s="6" t="n">
        <v>-69000</v>
      </c>
      <c r="F18" s="6" t="n">
        <v>-69000</v>
      </c>
    </row>
    <row r="19">
      <c r="A19" s="6" t="inlineStr">
        <is>
          <t>Arisen from business transfer (FY2025)</t>
        </is>
      </c>
      <c r="B19" s="6" t="n"/>
      <c r="C19" s="6" t="n"/>
      <c r="D19" s="6" t="n">
        <v>-21897</v>
      </c>
      <c r="E19" s="6" t="n"/>
      <c r="F19" s="6" t="n">
        <v>-21897</v>
      </c>
    </row>
    <row r="20">
      <c r="A20" s="6" t="inlineStr">
        <is>
          <t>Issue of share capital (FY2025)</t>
        </is>
      </c>
      <c r="B20" s="6" t="n"/>
      <c r="C20" s="6" t="n">
        <v>751898</v>
      </c>
      <c r="D20" s="6" t="n"/>
      <c r="E20" s="6" t="n"/>
      <c r="F20" s="6" t="n">
        <v>751898</v>
      </c>
    </row>
    <row r="21">
      <c r="A21" s="6" t="inlineStr">
        <is>
          <t>Cancellation of share premium (FY2025)</t>
        </is>
      </c>
      <c r="B21" s="6" t="n"/>
      <c r="C21" s="6" t="n">
        <v>-298065</v>
      </c>
      <c r="D21" s="6" t="n"/>
      <c r="E21" s="6" t="n">
        <v>298065</v>
      </c>
      <c r="F21" s="6" t="n">
        <v>0</v>
      </c>
    </row>
    <row r="22">
      <c r="A22" s="6" t="inlineStr">
        <is>
          <t>Other movement (FY2025)</t>
        </is>
      </c>
      <c r="B22" s="6" t="n"/>
      <c r="C22" s="6" t="n"/>
      <c r="D22" s="6" t="n"/>
      <c r="E22" s="6" t="n">
        <v>18</v>
      </c>
      <c r="F22" s="6" t="n">
        <v>18</v>
      </c>
    </row>
    <row r="23">
      <c r="A23" s="5" t="inlineStr">
        <is>
          <t>At 31 December 2025</t>
        </is>
      </c>
      <c r="B23" s="5" t="n">
        <v>4996</v>
      </c>
      <c r="C23" s="5" t="n">
        <v>751899</v>
      </c>
      <c r="D23" s="5" t="n">
        <v>-21897</v>
      </c>
      <c r="E23" s="5" t="n">
        <v>412350</v>
      </c>
      <c r="F23" s="5" t="n">
        <v>1147348</v>
      </c>
    </row>
    <row r="25" ht="351" customHeight="1">
      <c r="A25" s="7" t="inlineStr">
        <is>
          <t>Sources - Rathbones Investment Management Limited statutory accounts, entity basis, GBP'000.
FY2025 and FY2024 comparative: Annual report and financial statements 2025, Statement of comprehensive income p.22, Statement of changes in equity p.23, Balance sheet p.24 - https://find-and-update.company-information.service.gov.uk/company/01448919/filing-history/MzUyMjY1MjQyNWFkaXF6a2N4/document?download=0&amp;format=pdf
FY2024 and FY2023 comparative: Annual report and financial statements 2024, p.25/26/27 - https://find-and-update.company-information.service.gov.uk/company/01448919/filing-history/MzQ3MzI5ODI4OWFkaXF6a2N4/document?download=0&amp;format=pdf
FY2023 and FY2022 comparative: Annual report and financial statements 2023, p.26/27/28 - https://find-and-update.company-information.service.gov.uk/company/01448919/filing-history/MzQyMjI5MjUwM2FkaXF6a2N4/document?download=0&amp;format=pdf
FY2022 and FY2021 comparative: Annual report and financial statements 2022, p.26/27/29 - https://find-and-update.company-information.service.gov.uk/company/01448919/filing-history/MzM4MTE3NjI0OGFkaXF6a2N4/document?download=0&amp;format=pdf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t>
        </is>
      </c>
    </row>
    <row r="27" ht="260" customHeight="1">
      <c r="A27" s="7" t="inlineStr">
        <is>
          <t>(continued)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2">
    <mergeCell ref="A25:F25"/>
    <mergeCell ref="A27:F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Cash Flow Statement</t>
        </is>
      </c>
    </row>
    <row r="2">
      <c r="A2" s="2" t="inlineStr">
        <is>
          <t>Entity basis, £'000. All figures transcribed from the Company's statutory accounts.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Operating activities</t>
        </is>
      </c>
      <c r="B4" s="6" t="n"/>
      <c r="C4" s="6" t="n"/>
      <c r="D4" s="6" t="n"/>
      <c r="E4" s="6" t="n"/>
      <c r="F4" s="6" t="n"/>
    </row>
    <row r="5">
      <c r="A5" s="6" t="inlineStr">
        <is>
          <t>Profit before tax</t>
        </is>
      </c>
      <c r="B5" s="6" t="n">
        <v>111473</v>
      </c>
      <c r="C5" s="6" t="n">
        <v>21167</v>
      </c>
      <c r="D5" s="6" t="n">
        <v>63864</v>
      </c>
      <c r="E5" s="6" t="n">
        <v>49174</v>
      </c>
      <c r="F5" s="6" t="n">
        <v>75198</v>
      </c>
    </row>
    <row r="6">
      <c r="A6" s="6" t="inlineStr">
        <is>
          <t>Change in fair value through profit or loss</t>
        </is>
      </c>
      <c r="B6" s="6" t="n"/>
      <c r="C6" s="6" t="n">
        <v>19</v>
      </c>
      <c r="D6" s="6" t="n">
        <v>-958</v>
      </c>
      <c r="E6" s="6" t="n">
        <v>-588</v>
      </c>
      <c r="F6" s="6" t="n"/>
    </row>
    <row r="7">
      <c r="A7" s="6" t="inlineStr">
        <is>
          <t>Net charge for provisions</t>
        </is>
      </c>
      <c r="B7" s="6" t="n">
        <v>6493</v>
      </c>
      <c r="C7" s="6" t="n">
        <v>1962</v>
      </c>
      <c r="D7" s="6" t="n">
        <v>1914</v>
      </c>
      <c r="E7" s="6" t="n">
        <v>150</v>
      </c>
      <c r="F7" s="6" t="n">
        <v>1436</v>
      </c>
    </row>
    <row r="8">
      <c r="A8" s="6" t="inlineStr">
        <is>
          <t>Net interest income</t>
        </is>
      </c>
      <c r="B8" s="6" t="n">
        <v>-83158</v>
      </c>
      <c r="C8" s="6" t="n">
        <v>-56469</v>
      </c>
      <c r="D8" s="6" t="n">
        <v>-49638</v>
      </c>
      <c r="E8" s="6" t="n">
        <v>-22576</v>
      </c>
      <c r="F8" s="6" t="n">
        <v>-6657</v>
      </c>
    </row>
    <row r="9">
      <c r="A9" s="6" t="inlineStr">
        <is>
          <t>Impairment losses on financial instruments</t>
        </is>
      </c>
      <c r="B9" s="6" t="n">
        <v>4</v>
      </c>
      <c r="C9" s="6" t="n">
        <v>17</v>
      </c>
      <c r="D9" s="6" t="n">
        <v>-7</v>
      </c>
      <c r="E9" s="6" t="n">
        <v>-39</v>
      </c>
      <c r="F9" s="6" t="n">
        <v>-727</v>
      </c>
    </row>
    <row r="10">
      <c r="A10" s="6" t="inlineStr">
        <is>
          <t>Profit on disposal of property, plant and equipment</t>
        </is>
      </c>
      <c r="B10" s="6" t="n"/>
      <c r="C10" s="6" t="n"/>
      <c r="D10" s="6" t="n">
        <v>0</v>
      </c>
      <c r="E10" s="6" t="n">
        <v>0</v>
      </c>
      <c r="F10" s="6" t="n">
        <v>67</v>
      </c>
    </row>
    <row r="11">
      <c r="A11" s="6" t="inlineStr">
        <is>
          <t>Depreciation and amortisation</t>
        </is>
      </c>
      <c r="B11" s="6" t="n">
        <v>43690</v>
      </c>
      <c r="C11" s="6" t="n">
        <v>23492</v>
      </c>
      <c r="D11" s="6" t="n">
        <v>22843</v>
      </c>
      <c r="E11" s="6" t="n">
        <v>22072</v>
      </c>
      <c r="F11" s="6" t="n">
        <v>23966</v>
      </c>
    </row>
    <row r="12">
      <c r="A12" s="6" t="inlineStr">
        <is>
          <t>Impairment in investment in subsidiary</t>
        </is>
      </c>
      <c r="B12" s="6" t="n">
        <v>43888</v>
      </c>
      <c r="C12" s="6" t="n"/>
      <c r="D12" s="6" t="n"/>
      <c r="E12" s="6" t="n"/>
      <c r="F12" s="6" t="n"/>
    </row>
    <row r="13">
      <c r="A13" s="6" t="inlineStr">
        <is>
          <t>Foreign exchange movements</t>
        </is>
      </c>
      <c r="B13" s="6" t="n">
        <v>3025</v>
      </c>
      <c r="C13" s="6" t="n">
        <v>-1012</v>
      </c>
      <c r="D13" s="6" t="n">
        <v>3433</v>
      </c>
      <c r="E13" s="6" t="n">
        <v>-7078</v>
      </c>
      <c r="F13" s="6" t="n">
        <v>-519</v>
      </c>
    </row>
    <row r="14">
      <c r="A14" s="6" t="inlineStr">
        <is>
          <t>Interest paid</t>
        </is>
      </c>
      <c r="B14" s="6" t="n">
        <v>-74032</v>
      </c>
      <c r="C14" s="6" t="n">
        <v>-81871</v>
      </c>
      <c r="D14" s="6" t="n">
        <v>-67542</v>
      </c>
      <c r="E14" s="6" t="n">
        <v>-19438</v>
      </c>
      <c r="F14" s="6" t="n">
        <v>-1300</v>
      </c>
    </row>
    <row r="15">
      <c r="A15" s="6" t="inlineStr">
        <is>
          <t>Interest received</t>
        </is>
      </c>
      <c r="B15" s="6" t="n">
        <v>150214</v>
      </c>
      <c r="C15" s="6" t="n">
        <v>137180</v>
      </c>
      <c r="D15" s="6" t="n">
        <v>93817</v>
      </c>
      <c r="E15" s="6" t="n">
        <v>31519</v>
      </c>
      <c r="F15" s="6" t="n">
        <v>-10470</v>
      </c>
    </row>
    <row r="16">
      <c r="A16" s="6" t="inlineStr">
        <is>
          <t>Net (increase)/decrease in loans and advances to banks and customers</t>
        </is>
      </c>
      <c r="B16" s="6" t="n">
        <v>-81775</v>
      </c>
      <c r="C16" s="6" t="n">
        <v>21867</v>
      </c>
      <c r="D16" s="6" t="n">
        <v>87017</v>
      </c>
      <c r="E16" s="6" t="n">
        <v>7357</v>
      </c>
      <c r="F16" s="6" t="n">
        <v>-38715</v>
      </c>
    </row>
    <row r="17">
      <c r="A17" s="6" t="inlineStr">
        <is>
          <t>Net (increase)/decrease in settlement balance debtors</t>
        </is>
      </c>
      <c r="B17" s="6" t="n">
        <v>-9406</v>
      </c>
      <c r="C17" s="6" t="n">
        <v>3800</v>
      </c>
      <c r="D17" s="6" t="n">
        <v>-19223</v>
      </c>
      <c r="E17" s="6" t="n">
        <v>9006</v>
      </c>
      <c r="F17" s="6" t="n">
        <v>14260</v>
      </c>
    </row>
    <row r="18">
      <c r="A18" s="6" t="inlineStr">
        <is>
          <t>Net increase/(decrease) in prepayments, accrued income and other assets</t>
        </is>
      </c>
      <c r="B18" s="6" t="n">
        <v>-57400</v>
      </c>
      <c r="C18" s="6" t="n">
        <v>-41320</v>
      </c>
      <c r="D18" s="6" t="n">
        <v>21727</v>
      </c>
      <c r="E18" s="6" t="n">
        <v>-13828</v>
      </c>
      <c r="F18" s="6" t="n">
        <v>-364</v>
      </c>
    </row>
    <row r="19">
      <c r="A19" s="6" t="inlineStr">
        <is>
          <t>Net increase/(decrease) in amounts due to customers and deposits by banks</t>
        </is>
      </c>
      <c r="B19" s="6" t="n">
        <v>938715</v>
      </c>
      <c r="C19" s="6" t="n">
        <v>172629</v>
      </c>
      <c r="D19" s="6" t="n">
        <v>-251998</v>
      </c>
      <c r="E19" s="6" t="n">
        <v>231254</v>
      </c>
      <c r="F19" s="6" t="n">
        <v>-260531</v>
      </c>
    </row>
    <row r="20">
      <c r="A20" s="6" t="inlineStr">
        <is>
          <t>Net increase/(decrease) in settlement balance creditors</t>
        </is>
      </c>
      <c r="B20" s="6" t="n">
        <v>15921</v>
      </c>
      <c r="C20" s="6" t="n">
        <v>5283</v>
      </c>
      <c r="D20" s="6" t="n">
        <v>10914</v>
      </c>
      <c r="E20" s="6" t="n">
        <v>3910</v>
      </c>
      <c r="F20" s="6" t="n">
        <v>-27472</v>
      </c>
    </row>
    <row r="21">
      <c r="A21" s="6" t="inlineStr">
        <is>
          <t>Net increase/(decrease) in accruals, deferred income, provisions and other liabilities</t>
        </is>
      </c>
      <c r="B21" s="6" t="n">
        <v>14555</v>
      </c>
      <c r="C21" s="6" t="n">
        <v>3739</v>
      </c>
      <c r="D21" s="6" t="n">
        <v>-239</v>
      </c>
      <c r="E21" s="6" t="n">
        <v>-2741</v>
      </c>
      <c r="F21" s="6" t="n">
        <v>2395</v>
      </c>
    </row>
    <row r="22">
      <c r="A22" s="6" t="inlineStr">
        <is>
          <t>Tax paid</t>
        </is>
      </c>
      <c r="B22" s="6" t="n">
        <v>-34027</v>
      </c>
      <c r="C22" s="6" t="n">
        <v>-10227</v>
      </c>
      <c r="D22" s="6" t="n">
        <v>-15392</v>
      </c>
      <c r="E22" s="6" t="n">
        <v>-11426</v>
      </c>
      <c r="F22" s="6" t="n">
        <v>-19676</v>
      </c>
    </row>
    <row r="23">
      <c r="A23" s="5" t="inlineStr">
        <is>
          <t>Net cash inflow/(outflow) from operating activities</t>
        </is>
      </c>
      <c r="B23" s="5" t="n">
        <v>988180</v>
      </c>
      <c r="C23" s="5" t="n">
        <v>200256</v>
      </c>
      <c r="D23" s="5" t="n">
        <v>-99468</v>
      </c>
      <c r="E23" s="5" t="n">
        <v>276728</v>
      </c>
      <c r="F23" s="5" t="n">
        <v>-249109</v>
      </c>
    </row>
    <row r="24">
      <c r="A24" s="5" t="inlineStr">
        <is>
          <t>Investing activities</t>
        </is>
      </c>
      <c r="B24" s="6" t="n"/>
      <c r="C24" s="6" t="n"/>
      <c r="D24" s="6" t="n"/>
      <c r="E24" s="6" t="n"/>
      <c r="F24" s="6" t="n"/>
    </row>
    <row r="25">
      <c r="A25" s="6" t="inlineStr">
        <is>
          <t>Cash acquired on acquisition of subsidiaries</t>
        </is>
      </c>
      <c r="B25" s="6" t="n">
        <v>46460</v>
      </c>
      <c r="C25" s="6" t="n"/>
      <c r="D25" s="6" t="n"/>
      <c r="E25" s="6" t="n"/>
      <c r="F25" s="6" t="n"/>
    </row>
    <row r="26">
      <c r="A26" s="6" t="inlineStr">
        <is>
          <t>Acquisition of investment in subsidiary undertaking</t>
        </is>
      </c>
      <c r="B26" s="6" t="n"/>
      <c r="C26" s="6" t="n"/>
      <c r="D26" s="6" t="n"/>
      <c r="E26" s="6" t="n"/>
      <c r="F26" s="6" t="n">
        <v>0</v>
      </c>
    </row>
    <row r="27">
      <c r="A27" s="6" t="inlineStr">
        <is>
          <t>Purchase of property, plant and equipment and intangible assets</t>
        </is>
      </c>
      <c r="B27" s="6" t="n">
        <v>-16629</v>
      </c>
      <c r="C27" s="6" t="n">
        <v>-20925</v>
      </c>
      <c r="D27" s="6" t="n">
        <v>-6521</v>
      </c>
      <c r="E27" s="6" t="n">
        <v>-8561</v>
      </c>
      <c r="F27" s="6" t="n">
        <v>-17275</v>
      </c>
    </row>
    <row r="28">
      <c r="A28" s="6" t="inlineStr">
        <is>
          <t>Proceeds from sale of equity securities</t>
        </is>
      </c>
      <c r="B28" s="6" t="n"/>
      <c r="C28" s="6" t="n">
        <v>1162</v>
      </c>
      <c r="D28" s="6" t="n">
        <v>2922</v>
      </c>
      <c r="E28" s="6" t="n"/>
      <c r="F28" s="6" t="n"/>
    </row>
    <row r="29">
      <c r="A29" s="6" t="inlineStr">
        <is>
          <t>Purchase of investment securities</t>
        </is>
      </c>
      <c r="B29" s="6" t="n">
        <v>-2690119</v>
      </c>
      <c r="C29" s="6" t="n">
        <v>-2027961</v>
      </c>
      <c r="D29" s="6" t="n">
        <v>-2059899</v>
      </c>
      <c r="E29" s="6" t="n">
        <v>-1259979</v>
      </c>
      <c r="F29" s="6" t="n">
        <v>-930728</v>
      </c>
    </row>
    <row r="30">
      <c r="A30" s="6" t="inlineStr">
        <is>
          <t>Proceeds from sale and redemption of investment securities</t>
        </is>
      </c>
      <c r="B30" s="6" t="n">
        <v>2101020</v>
      </c>
      <c r="C30" s="6" t="n">
        <v>2045349</v>
      </c>
      <c r="D30" s="6" t="n">
        <v>1807092</v>
      </c>
      <c r="E30" s="6" t="n">
        <v>983481</v>
      </c>
      <c r="F30" s="6" t="n">
        <v>821100</v>
      </c>
    </row>
    <row r="31">
      <c r="A31" s="5" t="inlineStr">
        <is>
          <t>Net cash used in investing activities</t>
        </is>
      </c>
      <c r="B31" s="5" t="n">
        <v>-559268</v>
      </c>
      <c r="C31" s="5" t="n">
        <v>-2375</v>
      </c>
      <c r="D31" s="5" t="n">
        <v>-256406</v>
      </c>
      <c r="E31" s="5" t="n">
        <v>-285059</v>
      </c>
      <c r="F31" s="5" t="n">
        <v>-126903</v>
      </c>
    </row>
    <row r="32">
      <c r="A32" s="5" t="inlineStr">
        <is>
          <t>Financing activities</t>
        </is>
      </c>
      <c r="B32" s="6" t="n"/>
      <c r="C32" s="6" t="n"/>
      <c r="D32" s="6" t="n"/>
      <c r="E32" s="6" t="n"/>
      <c r="F32" s="6" t="n"/>
    </row>
    <row r="33">
      <c r="A33" s="6" t="inlineStr">
        <is>
          <t>Dividends paid</t>
        </is>
      </c>
      <c r="B33" s="6" t="n">
        <v>-69000</v>
      </c>
      <c r="C33" s="6" t="n">
        <v>-27000</v>
      </c>
      <c r="D33" s="6" t="n">
        <v>-50000</v>
      </c>
      <c r="E33" s="6" t="n">
        <v>-35000</v>
      </c>
      <c r="F33" s="6" t="n">
        <v>-55000</v>
      </c>
    </row>
    <row r="34">
      <c r="A34" s="6" t="inlineStr">
        <is>
          <t>Payment of lease liabilities</t>
        </is>
      </c>
      <c r="B34" s="6" t="n"/>
      <c r="C34" s="6" t="n"/>
      <c r="D34" s="6" t="n"/>
      <c r="E34" s="6" t="n">
        <v>-81</v>
      </c>
      <c r="F34" s="6" t="n">
        <v>-90</v>
      </c>
    </row>
    <row r="35">
      <c r="A35" s="5" t="inlineStr">
        <is>
          <t>Net cash used in financing activities</t>
        </is>
      </c>
      <c r="B35" s="5" t="n">
        <v>-69000</v>
      </c>
      <c r="C35" s="5" t="n">
        <v>-27000</v>
      </c>
      <c r="D35" s="5" t="n">
        <v>-50000</v>
      </c>
      <c r="E35" s="5" t="n">
        <v>-35081</v>
      </c>
      <c r="F35" s="5" t="n">
        <v>-55090</v>
      </c>
    </row>
    <row r="36">
      <c r="A36" s="5" t="inlineStr">
        <is>
          <t>Net increase/(decrease) in cash and cash equivalents</t>
        </is>
      </c>
      <c r="B36" s="5" t="n">
        <v>359912</v>
      </c>
      <c r="C36" s="5" t="n">
        <v>170881</v>
      </c>
      <c r="D36" s="5" t="n">
        <v>-405874</v>
      </c>
      <c r="E36" s="5" t="n">
        <v>-43412</v>
      </c>
      <c r="F36" s="5" t="n">
        <v>-431102</v>
      </c>
    </row>
    <row r="37">
      <c r="A37" s="6" t="inlineStr">
        <is>
          <t>Cash and cash equivalents at the beginning of the year</t>
        </is>
      </c>
      <c r="B37" s="6" t="n">
        <v>1249482</v>
      </c>
      <c r="C37" s="6" t="n">
        <v>1078601</v>
      </c>
      <c r="D37" s="6" t="n">
        <v>1484475</v>
      </c>
      <c r="E37" s="6" t="n">
        <v>1527887</v>
      </c>
      <c r="F37" s="6" t="n">
        <v>1961547</v>
      </c>
    </row>
    <row r="38">
      <c r="A38" s="5" t="inlineStr">
        <is>
          <t>Cash and cash equivalents at the end of the year</t>
        </is>
      </c>
      <c r="B38" s="5" t="n">
        <v>1609394</v>
      </c>
      <c r="C38" s="5" t="n">
        <v>1249482</v>
      </c>
      <c r="D38" s="5" t="n">
        <v>1078601</v>
      </c>
      <c r="E38" s="5" t="n">
        <v>1484475</v>
      </c>
      <c r="F38" s="5" t="n">
        <v>1530445</v>
      </c>
    </row>
    <row r="40" ht="409" customHeight="1">
      <c r="A40" s="7" t="inlineStr">
        <is>
          <t>Sources - Rathbones Investment Management Limited statutory Statement of cash flows, GBP'000. Each year's own column was checked against the next year's comparative column where available.
FY2025 and FY2024 comparative: Annual report and financial statements 2025, p.25 - https://find-and-update.company-information.service.gov.uk/company/01448919/filing-history/MzUyMjY1MjQyNWFkaXF6a2N4/document?download=0&amp;format=pdf
FY2024 and FY2023 comparative: Annual report and financial statements 2024, p.28 - https://find-and-update.company-information.service.gov.uk/company/01448919/filing-history/MzQ3MzI5ODI4OWFkaXF6a2N4/document?download=0&amp;format=pdf
FY2023 and FY2022 comparative: Annual report and financial statements 2023, p.29 - https://find-and-update.company-information.service.gov.uk/company/01448919/filing-history/MzQyMjI5MjUwM2FkaXF6a2N4/document?download=0&amp;format=pdf
FY2022 and FY2021 comparative: Annual report and financial statements 2022, p.29 - https://find-and-update.company-information.service.gov.uk/company/01448919/filing-history/MzM4MTE3NjI0OGFkaXF6a2N4/document?download=0&amp;format=pdf
FY2021: Annual report and financial statements 2021, p.29 - https://find-and-update.company-information.service.gov.uk/company/01448919/filing-history/MzM0MjM1MjU5OWFkaXF6a2N4/document?download=0&amp;format=pdf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t>
        </is>
      </c>
    </row>
    <row r="42" ht="409" customHeight="1">
      <c r="A42" s="7" t="inlineStr">
        <is>
          <t>(continued)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2">
    <mergeCell ref="A40:F40"/>
    <mergeCell ref="A42:F4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Asset Quality</t>
        </is>
      </c>
    </row>
    <row r="2">
      <c r="A2" s="2" t="inlineStr">
        <is>
          <t>Entity basis, £'000. Loans and advances to customers by product (Note 14); no IFRS 9 Stage 1/2/3 split is disclosed for this book - loans are fully secured against clients' investment portfolios held in Rathbones' nominee name, and the Company's own risk-management note (27) reports £nil-to-negligible impairment losses arising from the loan book in every year covered. (The Company's separate treasury book - money-market/interbank placements, not customer lending - does carry a 12-month/lifetime ECL stage split in note 27, but that reflects counterparty credit risk on Company cash, not loan asset quality, so it is not reproduced here.)</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Loans and advances to customers, by product</t>
        </is>
      </c>
      <c r="B4" s="6" t="n"/>
      <c r="C4" s="6" t="n"/>
      <c r="D4" s="6" t="n"/>
      <c r="E4" s="6" t="n"/>
      <c r="F4" s="6" t="n"/>
    </row>
    <row r="5">
      <c r="A5" s="6" t="inlineStr">
        <is>
          <t>Overdrafts</t>
        </is>
      </c>
      <c r="B5" s="6" t="n">
        <v>17710</v>
      </c>
      <c r="C5" s="6" t="n">
        <v>15606</v>
      </c>
      <c r="D5" s="6" t="n">
        <v>9558</v>
      </c>
      <c r="E5" s="6" t="n">
        <v>6238</v>
      </c>
      <c r="F5" s="6" t="n">
        <v>6742</v>
      </c>
    </row>
    <row r="6">
      <c r="A6" s="6" t="inlineStr">
        <is>
          <t>Loan book</t>
        </is>
      </c>
      <c r="B6" s="6" t="n">
        <v>146810</v>
      </c>
      <c r="C6" s="6" t="n">
        <v>75942</v>
      </c>
      <c r="D6" s="6" t="n">
        <v>101666</v>
      </c>
      <c r="E6" s="6" t="n">
        <v>159694</v>
      </c>
      <c r="F6" s="6" t="n">
        <v>167981</v>
      </c>
    </row>
    <row r="7">
      <c r="A7" s="6" t="inlineStr">
        <is>
          <t>Amounts owed by group undertakings</t>
        </is>
      </c>
      <c r="B7" s="6" t="n">
        <v>39880</v>
      </c>
      <c r="C7" s="6" t="n">
        <v>31935</v>
      </c>
      <c r="D7" s="6" t="n">
        <v>19629</v>
      </c>
      <c r="E7" s="6" t="n">
        <v>38576</v>
      </c>
      <c r="F7" s="6" t="n">
        <v>18936</v>
      </c>
    </row>
    <row r="8">
      <c r="A8" s="6" t="inlineStr">
        <is>
          <t>Financial planning debtors</t>
        </is>
      </c>
      <c r="B8" s="6" t="n">
        <v>747</v>
      </c>
      <c r="C8" s="6" t="n">
        <v>718</v>
      </c>
      <c r="D8" s="6" t="n">
        <v>656</v>
      </c>
      <c r="E8" s="6" t="n">
        <v>520</v>
      </c>
      <c r="F8" s="6" t="n">
        <v>310</v>
      </c>
    </row>
    <row r="9">
      <c r="A9" s="6" t="inlineStr">
        <is>
          <t>Other debtors</t>
        </is>
      </c>
      <c r="B9" s="6" t="n">
        <v>1246</v>
      </c>
      <c r="C9" s="6" t="n">
        <v>417</v>
      </c>
      <c r="D9" s="6" t="n">
        <v>308</v>
      </c>
      <c r="E9" s="6" t="n">
        <v>104</v>
      </c>
      <c r="F9" s="6" t="n">
        <v>455</v>
      </c>
    </row>
    <row r="10">
      <c r="A10" s="5" t="inlineStr">
        <is>
          <t>Total before impairment loss allowance</t>
        </is>
      </c>
      <c r="B10" s="5" t="n">
        <v>206393</v>
      </c>
      <c r="C10" s="5" t="n">
        <v>124618</v>
      </c>
      <c r="D10" s="5" t="n">
        <v>131817</v>
      </c>
      <c r="E10" s="5" t="n">
        <v>205132</v>
      </c>
      <c r="F10" s="5" t="n">
        <v>194424</v>
      </c>
    </row>
    <row r="11">
      <c r="A11" s="6" t="inlineStr">
        <is>
          <t>Less: impairment loss allowance</t>
        </is>
      </c>
      <c r="B11" s="6" t="n">
        <v>0</v>
      </c>
      <c r="C11" s="6" t="n">
        <v>-62</v>
      </c>
      <c r="D11" s="6" t="n">
        <v>0</v>
      </c>
      <c r="E11" s="6" t="n">
        <v>-12</v>
      </c>
      <c r="F11" s="6" t="n">
        <v>0</v>
      </c>
    </row>
    <row r="12">
      <c r="A12" s="5" t="inlineStr">
        <is>
          <t>Net loans and advances to customers</t>
        </is>
      </c>
      <c r="B12" s="5" t="n">
        <v>206392</v>
      </c>
      <c r="C12" s="5" t="n">
        <v>124556</v>
      </c>
      <c r="D12" s="5" t="n">
        <v>131817</v>
      </c>
      <c r="E12" s="5" t="n">
        <v>205120</v>
      </c>
      <c r="F12" s="5" t="n">
        <v>194424</v>
      </c>
    </row>
    <row r="13">
      <c r="A13" s="5" t="inlineStr">
        <is>
          <t>Asset quality ratio (derived)</t>
        </is>
      </c>
      <c r="B13" s="6" t="n"/>
      <c r="C13" s="6" t="n"/>
      <c r="D13" s="6" t="n"/>
      <c r="E13" s="6" t="n"/>
      <c r="F13" s="6" t="n"/>
    </row>
    <row r="14">
      <c r="A14" s="6" t="inlineStr">
        <is>
          <t>Impairment loss allowance as % of gross loans and advances to customers</t>
        </is>
      </c>
      <c r="B14" s="6" t="inlineStr">
        <is>
          <t>0.0%</t>
        </is>
      </c>
      <c r="C14" s="6" t="inlineStr">
        <is>
          <t>0.05%</t>
        </is>
      </c>
      <c r="D14" s="6" t="inlineStr">
        <is>
          <t>0.0%</t>
        </is>
      </c>
      <c r="E14" s="6" t="inlineStr">
        <is>
          <t>0.01%</t>
        </is>
      </c>
      <c r="F14" s="6" t="inlineStr">
        <is>
          <t>0.0%</t>
        </is>
      </c>
    </row>
    <row r="16" ht="390" customHeight="1">
      <c r="A16" s="7" t="inlineStr">
        <is>
          <t>Sources - Rathbones Investment Management Limited statutory accounts, entity basis, GBP'000.
FY2025 and FY2024 comparative: Annual report and financial statements 2025, Statement of comprehensive income p.22, Statement of changes in equity p.23, Balance sheet p.24 - https://find-and-update.company-information.service.gov.uk/company/01448919/filing-history/MzUyMjY1MjQyNWFkaXF6a2N4/document?download=0&amp;format=pdf
FY2024 and FY2023 comparative: Annual report and financial statements 2024, p.25/26/27 - https://find-and-update.company-information.service.gov.uk/company/01448919/filing-history/MzQ3MzI5ODI4OWFkaXF6a2N4/document?download=0&amp;format=pdf
FY2023 and FY2022 comparative: Annual report and financial statements 2023, p.26/27/28 - https://find-and-update.company-information.service.gov.uk/company/01448919/filing-history/MzQyMjI5MjUwM2FkaXF6a2N4/document?download=0&amp;format=pdf
FY2022 and FY2021 comparative: Annual report and financial statements 2022, p.26/27/29 - https://find-and-update.company-information.service.gov.uk/company/01448919/filing-history/MzM4MTE3NjI0OGFkaXF6a2N4/document?download=0&amp;format=pdf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t>
        </is>
      </c>
    </row>
    <row r="18" ht="280" customHeight="1">
      <c r="A18" s="7" t="inlineStr">
        <is>
          <t>(continued)
The 2021 own-account closing cash (£1,530,445k) does not equal the 2022 account's comparative opening cash (£1,527,887k); both source-presented figures are retained and the difference is not inferred or forced.
Note 14 (Loans and advances to customers) page references - FY2025/FY2024: p.39; FY2024/FY2023: p.41; FY2023/FY2022: p.41 (AR2023); FY2022/FY2021: p.43 (AR2022). FY2025's component lines sum to £206,393k against a reported net total of £206,392k - a genuine £1k source rounding artifact, not a transcription error; the reported net total is used for the Balance Sheet tie-out.</t>
        </is>
      </c>
    </row>
  </sheetData>
  <mergeCells count="2">
    <mergeCell ref="A16:F16"/>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KM1 Key Metrics</t>
        </is>
      </c>
    </row>
    <row r="2">
      <c r="A2" s="2" t="inlineStr">
        <is>
          <t>Not applicable at this entity's level. Pillar 3 IS published and the UK KM1 template IS used - but only by the parent, Rathbones Group Plc, on a consolidated basis, which its own Pillar 3 states is the only basis of disclosure because no subsidiary is large enough to require individual disclosure (CRR Article 4(146)). Group KM1 figures are a different entity and a different basis from this entity-only workbook and are deliberately NOT reproduced. See the source note for the quoted evidence and the editions checked.</t>
        </is>
      </c>
    </row>
    <row r="3">
      <c r="A3" s="4" t="inlineStr">
        <is>
          <t>Line item</t>
        </is>
      </c>
      <c r="B3" s="4" t="inlineStr">
        <is>
          <t>FY2025</t>
        </is>
      </c>
      <c r="C3" s="4" t="inlineStr">
        <is>
          <t>FY2024</t>
        </is>
      </c>
      <c r="D3" s="4" t="inlineStr">
        <is>
          <t>FY2023</t>
        </is>
      </c>
      <c r="E3" s="4" t="inlineStr">
        <is>
          <t>FY2022</t>
        </is>
      </c>
      <c r="F3" s="4" t="inlineStr">
        <is>
          <t>FY2021</t>
        </is>
      </c>
    </row>
    <row r="4">
      <c r="A4" s="6" t="inlineStr">
        <is>
          <t>UK KM1 key-metrics template — Rathbones Investment Management Limited (entity)</t>
        </is>
      </c>
      <c r="B4" s="6" t="inlineStr">
        <is>
          <t>Not applicable — published only at Rathbones Group Plc consolidated level</t>
        </is>
      </c>
      <c r="C4" s="6" t="inlineStr">
        <is>
          <t>Not applicable — published only at Rathbones Group Plc consolidated level</t>
        </is>
      </c>
      <c r="D4" s="6" t="inlineStr">
        <is>
          <t>Not applicable — published only at Rathbones Group Plc consolidated level</t>
        </is>
      </c>
      <c r="E4" s="6" t="inlineStr">
        <is>
          <t>Not applicable — published only at Rathbones Group Plc consolidated level</t>
        </is>
      </c>
      <c r="F4" s="6" t="inlineStr">
        <is>
          <t>Not applicable — published only at Rathbones Group Plc consolidated level</t>
        </is>
      </c>
    </row>
    <row r="6" ht="409" customHeight="1">
      <c r="A6" s="7" t="inlineStr">
        <is>
          <t>Sources - the UK KM1 key-metrics template is NOT published for Rathbones Investment Management Limited in any year, and no figure on this sheet is withheld for want of looking. Positive evidence, from the publisher's own documents:
• Rathbones Group Plc, Pillar 3 Disclosures 31 December 2025 (the NEWEST edition on rathbones.com as at 16 September 2026, found on the bank's own results/reports/presentations page rather than from a cited URL), section 1 'Executive summary', printed p.6: 'Disclosures are made on a consolidated group level, as the grouphave [sic] no large subsidiaries meeting the requirements for individual disclosure under the definition within CRR Article 4(146).' - https://www.rathbones.com/sites/main/files/results_and_presentations/files/31_december_2025_pillar_3_discosures.pdf
• The same document DOES print a 'UK KM1 - Key metrics template' (contents p.3; table at printed p.3, in GBP million), but its header block reads 'A summary of the Rathbones group's key ratios' and the table is Rathbones Group Plc CONSOLIDATED. That is a different reporting entity and a different basis from this workbook, whose every figure is Rathbones Investment Management Limited entity-only, so it is deliberately not reproduced here.
• Rathbones Group Plc, Pillar 3 Disclosures 31 December 2024, same statement at section 1, printed p.6 - https://www.rathbones.com/sites/main/files/results_and_presentations/files/31_december_2024_pillar_3_disclosures.pdf
• Rathbones Group Plc, Pillar 3 Semi-annual Disclosures 30 June 2025, section 1.2: 'We have no large subsidiaries meeting the...' [requirements for individual disclosure] - https://www.rathbones.com/sites/main/files/results_and_presentations/files/interim_pillar_3_disclosures_30_june_2025_1.pdf
• The FY2025 annual edition also records (p.25 area, NSFR section) that Rathbones 'is required to calculate and monitor the ratio on a RIM-solo and group consolidated basis, reporting the positions quarterly'. A RIM-solo regulatory position therefore EXISTS but goes to the regulator only; it is not published in any Pillar 3 template, and nothing has been derived from the Group figures to stand in for it.
• THE PARENT'S PILLAR 3 WAS SEARCHED FOR A SUBSIDIARY BLOCK, which is the first place a UK subsidiary's regulatory figures normally live - not the last. It has none. The FY2025 edition was read end to end for an 'Individual'/'Solo'/'RIM' COLUMN inside a group table and for a separate subsidiary TABLE in an appendix (both of which exist at other UK groups), case-insensitively and with a richness control to prove the extraction was working ('capital' 96 hits, 'ratio' 135, 'cet1' 17, 'leverage' 20, 'RIM' 24). Findings, all negative for an entity-level figure: every KM1/OV1/CC1/CC2/LR/LIQ template in the document and in all ten appendices is captioned for the consolidated group; no template carries an entity column; and template UK CCA's row 6, 'Eligible at solo/(sub-)consolidated/solo&amp;(sub-)consolidated', reads 'Consolidated' for every one of the group's own-funds instruments. The 24 'RIM' mentions are all narrative - governance, committees, client lending, the liquidity buffer - and carry no RIM-solo regulatory figure. Appendix 1's excluded-templates listing likewise excludes templates on relevance and materiality grounds, not an entity-level annex.
• The 30 June 2025 SEMI-ANNUAL edition was used as an independent second opinion at no transcription cost, and agrees: section 1.2 'We have no large subsidiaries meeting the...' requirements for individual disclosure, and its key-metrics table is likewise consolidated group only.
• NOT BACK-FILLED FROM THE STATUTORY ACCOUNTS. The Company's own accounts do disclose a single entity-level own-funds total (see the Total Capital sheet), but that is a capital-management note, not a KM1 row, and it carries no tier split and no RWA. It is not mapped onto template row numbers here, because doing so would invent a correspondence the Company never published.
• SOURCE DEFECT RECORDED, NOT CORRECTED (and not relied on, since nothing here is transcribed from it): the FY2025 annual edition's prose says its KM1 shows key ratios 'as at 31 December 2025', but the table's own column headers are printed 'c 30 June 2025' and 'e 31 December 2024'. Noted for a future reader who goes looking for 31 December 2025 columns in that document.</t>
        </is>
      </c>
    </row>
    <row r="8" ht="409" customHeight="1">
      <c r="A8" s="7" t="inlineStr">
        <is>
          <t>(continued)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2">
    <mergeCell ref="A8:F8"/>
    <mergeCell ref="A6:F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CET1 Capital</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CET1 Capital</t>
        </is>
      </c>
      <c r="B4" s="6" t="inlineStr">
        <is>
          <t>Not published – no RIM entity figure: Rathbones Group Plc Pillar 3 FY2021–FY2025, s.1 Executive summary, says disclosure is group-consolidated only (no large subsidiary, CRR 4(146)); RIM's own accounts print none.</t>
        </is>
      </c>
      <c r="C4" s="6" t="inlineStr">
        <is>
          <t>Not published – no RIM entity figure: Rathbones Group Plc Pillar 3 FY2021–FY2025, s.1 Executive summary, says disclosure is group-consolidated only (no large subsidiary, CRR 4(146)); RIM's own accounts print none.</t>
        </is>
      </c>
      <c r="D4" s="6" t="inlineStr">
        <is>
          <t>Not published – no RIM entity figure: Rathbones Group Plc Pillar 3 FY2021–FY2025, s.1 Executive summary, says disclosure is group-consolidated only (no large subsidiary, CRR 4(146)); RIM's own accounts print none.</t>
        </is>
      </c>
      <c r="E4" s="6" t="inlineStr">
        <is>
          <t>Not published – no RIM entity figure: Rathbones Group Plc Pillar 3 FY2021–FY2025, s.1 Executive summary, says disclosure is group-consolidated only (no large subsidiary, CRR 4(146)); RIM's own accounts print none.</t>
        </is>
      </c>
      <c r="F4" s="6" t="inlineStr">
        <is>
          <t>Not published – no RIM entity figure: Rathbones Group Plc Pillar 3 FY2021–FY2025, s.1 Executive summary, says disclosure is group-consolidated only (no large subsidiary, CRR 4(146)); RIM's own accounts print none.</t>
        </is>
      </c>
    </row>
    <row r="5" ht="117" customHeight="1">
      <c r="A5" s="8" t="inlineStr">
        <is>
          <t>Note: Not publicly disclosed at Rathbones Investment Management Limited entity level. Rathbones Group Plc's official Pillar 3 reports are consolidated and state that no large subsidiary meets the definition requiring individual disclosure; group metrics must not be substituted for this Company's metrics. See the source note.
GA-020 EVIDENCE, ALL FIVE YEARS (2026-09-19): the same statement 'Disclosures are made on a consolidated group level, as we have no large subsidiaries meeting the requirements for individual disclosure under the definition within CRR Article 4(146)' appears in Rathbones Group Plc Pillar 3 FY2021 (PDF p.5) - https://www.rathbones.com/sites/main/files/wealth-management/results_and_presentations/files/pillar_3_dec_2021_final.pdf ; FY2022 (PDF p.7) - https://www.rathbones.com/sites/main/files/wealth-management/results_and_presentations/files/rathbones_pillar_3_december_2022_final3.pdf ; FY2023 (PDF p.7) - https://www.rathbones.com/sites/main/files/wealth-management/results_and_presentations/files/31_december_2023_pillar_3_disclosures_final.pdf ; and the FY2024 and FY2025 editions (printed p.6) cited in the source note. No edition prints a RIM-solo figure.</t>
        </is>
      </c>
    </row>
    <row r="7" ht="409" customHeight="1">
      <c r="A7" s="7" t="inlineStr">
        <is>
          <t>Sources - Rathbones Investment Management Limited statutory Statement of cash flows, GBP'000. Each year's own column was checked against the next year's comparative column where available.
FY2025 and FY2024 comparative: Annual report and financial statements 2025, p.25 - https://find-and-update.company-information.service.gov.uk/company/01448919/filing-history/MzUyMjY1MjQyNWFkaXF6a2N4/document?download=0&amp;format=pdf
FY2024 and FY2023 comparative: Annual report and financial statements 2024, p.28 - https://find-and-update.company-information.service.gov.uk/company/01448919/filing-history/MzQ3MzI5ODI4OWFkaXF6a2N4/document?download=0&amp;format=pdf
FY2023 and FY2022 comparative: Annual report and financial statements 2023, p.29 - https://find-and-update.company-information.service.gov.uk/company/01448919/filing-history/MzQyMjI5MjUwM2FkaXF6a2N4/document?download=0&amp;format=pdf
FY2022 and FY2021 comparative: Annual report and financial statements 2022, p.29 - https://find-and-update.company-information.service.gov.uk/company/01448919/filing-history/MzM4MTE3NjI0OGFkaXF6a2N4/document?download=0&amp;format=pdf
FY2021: Annual report and financial statements 2021, p.29 - https://find-and-update.company-information.service.gov.uk/company/01448919/filing-history/MzM0MjM1MjU5OWFkaXF6a2N4/document?download=0&amp;format=pdf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t>
        </is>
      </c>
    </row>
    <row r="9" ht="409" customHeight="1">
      <c r="A9" s="7" t="inlineStr">
        <is>
          <t>(continued)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3">
    <mergeCell ref="A5:F5"/>
    <mergeCell ref="A7:F7"/>
    <mergeCell ref="A9:F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CET1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CET1 Ratio</t>
        </is>
      </c>
      <c r="B4" s="6" t="inlineStr">
        <is>
          <t>Not published – no RIM entity figure: Rathbones Group Plc Pillar 3 FY2021–FY2025, s.1 Executive summary, says disclosure is group-consolidated only (no large subsidiary, CRR 4(146)); RIM's own accounts print none.</t>
        </is>
      </c>
      <c r="C4" s="6" t="inlineStr">
        <is>
          <t>Not published – no RIM entity figure: Rathbones Group Plc Pillar 3 FY2021–FY2025, s.1 Executive summary, says disclosure is group-consolidated only (no large subsidiary, CRR 4(146)); RIM's own accounts print none.</t>
        </is>
      </c>
      <c r="D4" s="6" t="inlineStr">
        <is>
          <t>Not published – no RIM entity figure: Rathbones Group Plc Pillar 3 FY2021–FY2025, s.1 Executive summary, says disclosure is group-consolidated only (no large subsidiary, CRR 4(146)); RIM's own accounts print none.</t>
        </is>
      </c>
      <c r="E4" s="6" t="inlineStr">
        <is>
          <t>Not published – no RIM entity figure: Rathbones Group Plc Pillar 3 FY2021–FY2025, s.1 Executive summary, says disclosure is group-consolidated only (no large subsidiary, CRR 4(146)); RIM's own accounts print none.</t>
        </is>
      </c>
      <c r="F4" s="6" t="inlineStr">
        <is>
          <t>Not published – no RIM entity figure: Rathbones Group Plc Pillar 3 FY2021–FY2025, s.1 Executive summary, says disclosure is group-consolidated only (no large subsidiary, CRR 4(146)); RIM's own accounts print none.</t>
        </is>
      </c>
    </row>
    <row r="5" ht="117" customHeight="1">
      <c r="A5" s="8" t="inlineStr">
        <is>
          <t>Note: Not publicly disclosed at Rathbones Investment Management Limited entity level. Rathbones Group Plc's official Pillar 3 reports are consolidated and state that no large subsidiary meets the definition requiring individual disclosure; group metrics must not be substituted for this Company's metrics. See the source note.
GA-020 EVIDENCE, ALL FIVE YEARS (2026-09-19): the same statement 'Disclosures are made on a consolidated group level, as we have no large subsidiaries meeting the requirements for individual disclosure under the definition within CRR Article 4(146)' appears in Rathbones Group Plc Pillar 3 FY2021 (PDF p.5) - https://www.rathbones.com/sites/main/files/wealth-management/results_and_presentations/files/pillar_3_dec_2021_final.pdf ; FY2022 (PDF p.7) - https://www.rathbones.com/sites/main/files/wealth-management/results_and_presentations/files/rathbones_pillar_3_december_2022_final3.pdf ; FY2023 (PDF p.7) - https://www.rathbones.com/sites/main/files/wealth-management/results_and_presentations/files/31_december_2023_pillar_3_disclosures_final.pdf ; and the FY2024 and FY2025 editions (printed p.6) cited in the source note. No edition prints a RIM-solo figure.</t>
        </is>
      </c>
    </row>
    <row r="7" ht="409" customHeight="1">
      <c r="A7" s="7" t="inlineStr">
        <is>
          <t>Sources - Rathbones Investment Management Limited statutory Statement of cash flows, GBP'000. Each year's own column was checked against the next year's comparative column where available.
FY2025 and FY2024 comparative: Annual report and financial statements 2025, p.25 - https://find-and-update.company-information.service.gov.uk/company/01448919/filing-history/MzUyMjY1MjQyNWFkaXF6a2N4/document?download=0&amp;format=pdf
FY2024 and FY2023 comparative: Annual report and financial statements 2024, p.28 - https://find-and-update.company-information.service.gov.uk/company/01448919/filing-history/MzQ3MzI5ODI4OWFkaXF6a2N4/document?download=0&amp;format=pdf
FY2023 and FY2022 comparative: Annual report and financial statements 2023, p.29 - https://find-and-update.company-information.service.gov.uk/company/01448919/filing-history/MzQyMjI5MjUwM2FkaXF6a2N4/document?download=0&amp;format=pdf
FY2022 and FY2021 comparative: Annual report and financial statements 2022, p.29 - https://find-and-update.company-information.service.gov.uk/company/01448919/filing-history/MzM4MTE3NjI0OGFkaXF6a2N4/document?download=0&amp;format=pdf
FY2021: Annual report and financial statements 2021, p.29 - https://find-and-update.company-information.service.gov.uk/company/01448919/filing-history/MzM0MjM1MjU5OWFkaXF6a2N4/document?download=0&amp;format=pdf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t>
        </is>
      </c>
    </row>
    <row r="9" ht="409" customHeight="1">
      <c r="A9" s="7" t="inlineStr">
        <is>
          <t>(continued)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3">
    <mergeCell ref="A5:F5"/>
    <mergeCell ref="A7:F7"/>
    <mergeCell ref="A9:F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Tier 1 Capital</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inlineStr">
        <is>
          <t>Not published – no RIM entity figure: Rathbones Group Plc Pillar 3 FY2021–FY2025, s.1 Executive summary, says disclosure is group-consolidated only (no large subsidiary, CRR 4(146)); RIM's own accounts print none.</t>
        </is>
      </c>
      <c r="C4" s="6" t="inlineStr">
        <is>
          <t>Not published – no RIM entity figure: Rathbones Group Plc Pillar 3 FY2021–FY2025, s.1 Executive summary, says disclosure is group-consolidated only (no large subsidiary, CRR 4(146)); RIM's own accounts print none.</t>
        </is>
      </c>
      <c r="D4" s="6" t="inlineStr">
        <is>
          <t>Not published – no RIM entity figure: Rathbones Group Plc Pillar 3 FY2021–FY2025, s.1 Executive summary, says disclosure is group-consolidated only (no large subsidiary, CRR 4(146)); RIM's own accounts print none.</t>
        </is>
      </c>
      <c r="E4" s="6" t="inlineStr">
        <is>
          <t>Not published – no RIM entity figure: Rathbones Group Plc Pillar 3 FY2021–FY2025, s.1 Executive summary, says disclosure is group-consolidated only (no large subsidiary, CRR 4(146)); RIM's own accounts print none.</t>
        </is>
      </c>
      <c r="F4" s="6" t="inlineStr">
        <is>
          <t>Not published – no RIM entity figure: Rathbones Group Plc Pillar 3 FY2021–FY2025, s.1 Executive summary, says disclosure is group-consolidated only (no large subsidiary, CRR 4(146)); RIM's own accounts print none.</t>
        </is>
      </c>
    </row>
    <row r="5" ht="117" customHeight="1">
      <c r="A5" s="8" t="inlineStr">
        <is>
          <t>Note: Not publicly disclosed at Rathbones Investment Management Limited entity level. Rathbones Group Plc's official Pillar 3 reports are consolidated and state that no large subsidiary meets the definition requiring individual disclosure; group metrics must not be substituted for this Company's metrics. See the source note.
GA-020 EVIDENCE, ALL FIVE YEARS (2026-09-19): the same statement 'Disclosures are made on a consolidated group level, as we have no large subsidiaries meeting the requirements for individual disclosure under the definition within CRR Article 4(146)' appears in Rathbones Group Plc Pillar 3 FY2021 (PDF p.5) - https://www.rathbones.com/sites/main/files/wealth-management/results_and_presentations/files/pillar_3_dec_2021_final.pdf ; FY2022 (PDF p.7) - https://www.rathbones.com/sites/main/files/wealth-management/results_and_presentations/files/rathbones_pillar_3_december_2022_final3.pdf ; FY2023 (PDF p.7) - https://www.rathbones.com/sites/main/files/wealth-management/results_and_presentations/files/31_december_2023_pillar_3_disclosures_final.pdf ; and the FY2024 and FY2025 editions (printed p.6) cited in the source note. No edition prints a RIM-solo figure.</t>
        </is>
      </c>
    </row>
    <row r="7" ht="409" customHeight="1">
      <c r="A7" s="7" t="inlineStr">
        <is>
          <t>Sources - Rathbones Investment Management Limited statutory Statement of cash flows, GBP'000. Each year's own column was checked against the next year's comparative column where available.
FY2025 and FY2024 comparative: Annual report and financial statements 2025, p.25 - https://find-and-update.company-information.service.gov.uk/company/01448919/filing-history/MzUyMjY1MjQyNWFkaXF6a2N4/document?download=0&amp;format=pdf
FY2024 and FY2023 comparative: Annual report and financial statements 2024, p.28 - https://find-and-update.company-information.service.gov.uk/company/01448919/filing-history/MzQ3MzI5ODI4OWFkaXF6a2N4/document?download=0&amp;format=pdf
FY2023 and FY2022 comparative: Annual report and financial statements 2023, p.29 - https://find-and-update.company-information.service.gov.uk/company/01448919/filing-history/MzQyMjI5MjUwM2FkaXF6a2N4/document?download=0&amp;format=pdf
FY2022 and FY2021 comparative: Annual report and financial statements 2022, p.29 - https://find-and-update.company-information.service.gov.uk/company/01448919/filing-history/MzM4MTE3NjI0OGFkaXF6a2N4/document?download=0&amp;format=pdf
FY2021: Annual report and financial statements 2021, p.29 - https://find-and-update.company-information.service.gov.uk/company/01448919/filing-history/MzM0MjM1MjU5OWFkaXF6a2N4/document?download=0&amp;format=pdf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t>
        </is>
      </c>
    </row>
    <row r="9" ht="409" customHeight="1">
      <c r="A9" s="7" t="inlineStr">
        <is>
          <t>(continued)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3">
    <mergeCell ref="A5:F5"/>
    <mergeCell ref="A7:F7"/>
    <mergeCell ref="A9:F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Tier 1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Not published – no RIM entity figure: Rathbones Group Plc Pillar 3 FY2021–FY2025, s.1 Executive summary, says disclosure is group-consolidated only (no large subsidiary, CRR 4(146)); RIM's own accounts print none.</t>
        </is>
      </c>
      <c r="C4" s="6" t="inlineStr">
        <is>
          <t>Not published – no RIM entity figure: Rathbones Group Plc Pillar 3 FY2021–FY2025, s.1 Executive summary, says disclosure is group-consolidated only (no large subsidiary, CRR 4(146)); RIM's own accounts print none.</t>
        </is>
      </c>
      <c r="D4" s="6" t="inlineStr">
        <is>
          <t>Not published – no RIM entity figure: Rathbones Group Plc Pillar 3 FY2021–FY2025, s.1 Executive summary, says disclosure is group-consolidated only (no large subsidiary, CRR 4(146)); RIM's own accounts print none.</t>
        </is>
      </c>
      <c r="E4" s="6" t="inlineStr">
        <is>
          <t>Not published – no RIM entity figure: Rathbones Group Plc Pillar 3 FY2021–FY2025, s.1 Executive summary, says disclosure is group-consolidated only (no large subsidiary, CRR 4(146)); RIM's own accounts print none.</t>
        </is>
      </c>
      <c r="F4" s="6" t="inlineStr">
        <is>
          <t>Not published – no RIM entity figure: Rathbones Group Plc Pillar 3 FY2021–FY2025, s.1 Executive summary, says disclosure is group-consolidated only (no large subsidiary, CRR 4(146)); RIM's own accounts print none.</t>
        </is>
      </c>
    </row>
    <row r="5" ht="117" customHeight="1">
      <c r="A5" s="8" t="inlineStr">
        <is>
          <t>Note: Not publicly disclosed at Rathbones Investment Management Limited entity level. Rathbones Group Plc's official Pillar 3 reports are consolidated and state that no large subsidiary meets the definition requiring individual disclosure; group metrics must not be substituted for this Company's metrics. See the source note.
GA-020 EVIDENCE, ALL FIVE YEARS (2026-09-19): the same statement 'Disclosures are made on a consolidated group level, as we have no large subsidiaries meeting the requirements for individual disclosure under the definition within CRR Article 4(146)' appears in Rathbones Group Plc Pillar 3 FY2021 (PDF p.5) - https://www.rathbones.com/sites/main/files/wealth-management/results_and_presentations/files/pillar_3_dec_2021_final.pdf ; FY2022 (PDF p.7) - https://www.rathbones.com/sites/main/files/wealth-management/results_and_presentations/files/rathbones_pillar_3_december_2022_final3.pdf ; FY2023 (PDF p.7) - https://www.rathbones.com/sites/main/files/wealth-management/results_and_presentations/files/31_december_2023_pillar_3_disclosures_final.pdf ; and the FY2024 and FY2025 editions (printed p.6) cited in the source note. No edition prints a RIM-solo figure.</t>
        </is>
      </c>
    </row>
    <row r="7" ht="409" customHeight="1">
      <c r="A7" s="7" t="inlineStr">
        <is>
          <t>Sources - Rathbones Investment Management Limited statutory Statement of cash flows, GBP'000. Each year's own column was checked against the next year's comparative column where available.
FY2025 and FY2024 comparative: Annual report and financial statements 2025, p.25 - https://find-and-update.company-information.service.gov.uk/company/01448919/filing-history/MzUyMjY1MjQyNWFkaXF6a2N4/document?download=0&amp;format=pdf
FY2024 and FY2023 comparative: Annual report and financial statements 2024, p.28 - https://find-and-update.company-information.service.gov.uk/company/01448919/filing-history/MzQ3MzI5ODI4OWFkaXF6a2N4/document?download=0&amp;format=pdf
FY2023 and FY2022 comparative: Annual report and financial statements 2023, p.29 - https://find-and-update.company-information.service.gov.uk/company/01448919/filing-history/MzQyMjI5MjUwM2FkaXF6a2N4/document?download=0&amp;format=pdf
FY2022 and FY2021 comparative: Annual report and financial statements 2022, p.29 - https://find-and-update.company-information.service.gov.uk/company/01448919/filing-history/MzM4MTE3NjI0OGFkaXF6a2N4/document?download=0&amp;format=pdf
FY2021: Annual report and financial statements 2021, p.29 - https://find-and-update.company-information.service.gov.uk/company/01448919/filing-history/MzM0MjM1MjU5OWFkaXF6a2N4/document?download=0&amp;format=pdf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t>
        </is>
      </c>
    </row>
    <row r="9" ht="409" customHeight="1">
      <c r="A9" s="7" t="inlineStr">
        <is>
          <t>(continued)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3">
    <mergeCell ref="A5:F5"/>
    <mergeCell ref="A7:F7"/>
    <mergeCell ref="A9:F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Regulatory capital resources (own funds) — Company entity level</t>
        </is>
      </c>
      <c r="B4" s="6" t="n">
        <v>467062</v>
      </c>
      <c r="C4" s="6" t="n">
        <v>261190</v>
      </c>
      <c r="D4" s="6" t="n">
        <v>267182</v>
      </c>
      <c r="E4" s="6" t="n">
        <v>256378</v>
      </c>
      <c r="F4" s="6" t="n">
        <v>237897</v>
      </c>
    </row>
    <row r="5" ht="52" customHeight="1">
      <c r="A5" s="8" t="inlineStr">
        <is>
          <t>Note: ENTITY-LEVEL own-funds total taken from the Company's own statutory accounts, not from a Pillar 3 template - Rathbones Group Plc's Pillar 3 is consolidated only and discloses nothing at this entity's level. No tier split or RWA accompanies it, so no ratio on this sheet or the Total Capital Ratio / Total RWAs sheets is derivable from it. The FY2024-to-FY2025 near-doubling is genuine and reflects the migration of Investec Wealth &amp; Investment clients into this entity, which also drives the Balance Sheet and equity jump visible on the Overview sheet.</t>
        </is>
      </c>
    </row>
    <row r="7" ht="409" customHeight="1">
      <c r="A7" s="7" t="inlineStr">
        <is>
          <t>Sources - Rathbones Investment Management Limited statutory Statement of cash flows, GBP'000. Each year's own column was checked against the next year's comparative column where available.
FY2025 and FY2024 comparative: Annual report and financial statements 2025, p.25 - https://find-and-update.company-information.service.gov.uk/company/01448919/filing-history/MzUyMjY1MjQyNWFkaXF6a2N4/document?download=0&amp;format=pdf
FY2024 and FY2023 comparative: Annual report and financial statements 2024, p.28 - https://find-and-update.company-information.service.gov.uk/company/01448919/filing-history/MzQ3MzI5ODI4OWFkaXF6a2N4/document?download=0&amp;format=pdf
FY2023 and FY2022 comparative: Annual report and financial statements 2023, p.29 - https://find-and-update.company-information.service.gov.uk/company/01448919/filing-history/MzQyMjI5MjUwM2FkaXF6a2N4/document?download=0&amp;format=pdf
FY2022 and FY2021 comparative: Annual report and financial statements 2022, p.29 - https://find-and-update.company-information.service.gov.uk/company/01448919/filing-history/MzM4MTE3NjI0OGFkaXF6a2N4/document?download=0&amp;format=pdf
FY2021: Annual report and financial statements 2021, p.29 - https://find-and-update.company-information.service.gov.uk/company/01448919/filing-history/MzM0MjM1MjU5OWFkaXF6a2N4/document?download=0&amp;format=pdf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t>
        </is>
      </c>
    </row>
    <row r="9" ht="409" customHeight="1">
      <c r="A9" s="7" t="inlineStr">
        <is>
          <t>(continued)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
ENTITY-LEVEL REGULATORY CAPITAL RESOURCES (added 2026-09-15). Each year's own Annual Report and Financial Statements, capital-management note (scanned filings - figures read by OCR at 300-400 dpi and confirmed visually):
FY2025 and FY2024 comparative: 'At 31 December 2025, the Company's regulatory capital resources, including retained earnings for 2025, were GBP467,062,000 (2024: GBP261,190,000).' - https://find-and-update.company-information.service.gov.uk/company/01448919/filing-history/MzUyMjY1MjQyNWFkaXF6a2N4/document?download=0&amp;format=pdf
FY2024 own-year, and FY2023 comparative: 'At 31 December 2024 ... were GBP261,190,000 (2023: GBP267,182,000).' - https://find-and-update.company-information.service.gov.uk/company/01448919/filing-history/MzQ3MzI5ODI4OWFkaXF6a2N4/document?download=0&amp;format=pdf
FY2023 own-year, and FY2022 comparative: 'At 31 December 2023 ... were GBP267,182,000 (2022: GBP256,378,000).' - https://find-and-update.company-information.service.gov.uk/company/01448919/filing-history/MzQyMjI5MjUwM2FkaXF6a2N4/document?download=0&amp;format=pdf
FY2021 own-year: 'At 31 December 2021 ... were GBP237,897,000 (2020: GBP247,786,000).' - https://find-and-update.company-information.service.gov.uk/company/01448919/filing-history/MzM0MjM1MjU5OWFkaXF6a2N4/document?download=0&amp;format=pdf
VALIDATION: every year except FY2022 and FY2025 appears in two separate filings and agrees in both - FY2024 reads GBP261,190,000 in both the FY2025 comparative and the FY2024 own-year note, and FY2023 reads GBP267,182,000 in both the FY2024 comparative and the FY2023 own-year note.
BASIS: this is the Company's total regulatory capital RESOURCES (own funds) as defined in its own note - 'accounting capital and certain deductions from accounting capital, the latter largely in respect of intangible assets', measured against Pillar I and Pillar II requirements under the PRA's application of CRD. The note gives NO tier split and NO risk-weighted assets, so CET1 Capital, Tier 1 Capital, all three capital ratios and Total RWAs remain blank rather than derived - in particular this figure has NOT been copied into CET1 or Tier 1, because the Company nowhere states that its capital is wholly CET1.</t>
        </is>
      </c>
    </row>
  </sheetData>
  <mergeCells count="3">
    <mergeCell ref="A5:F5"/>
    <mergeCell ref="A7:F7"/>
    <mergeCell ref="A9:F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Total Capital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Not published – no RIM entity figure: Rathbones Group Plc Pillar 3 FY2021–FY2025, s.1 Executive summary, says disclosure is group-consolidated only (no large subsidiary, CRR 4(146)); RIM's own accounts print none.</t>
        </is>
      </c>
      <c r="C4" s="6" t="inlineStr">
        <is>
          <t>Not published – no RIM entity figure: Rathbones Group Plc Pillar 3 FY2021–FY2025, s.1 Executive summary, says disclosure is group-consolidated only (no large subsidiary, CRR 4(146)); RIM's own accounts print none.</t>
        </is>
      </c>
      <c r="D4" s="6" t="inlineStr">
        <is>
          <t>Not published – no RIM entity figure: Rathbones Group Plc Pillar 3 FY2021–FY2025, s.1 Executive summary, says disclosure is group-consolidated only (no large subsidiary, CRR 4(146)); RIM's own accounts print none.</t>
        </is>
      </c>
      <c r="E4" s="6" t="inlineStr">
        <is>
          <t>Not published – no RIM entity figure: Rathbones Group Plc Pillar 3 FY2021–FY2025, s.1 Executive summary, says disclosure is group-consolidated only (no large subsidiary, CRR 4(146)); RIM's own accounts print none.</t>
        </is>
      </c>
      <c r="F4" s="6" t="inlineStr">
        <is>
          <t>Not published – no RIM entity figure: Rathbones Group Plc Pillar 3 FY2021–FY2025, s.1 Executive summary, says disclosure is group-consolidated only (no large subsidiary, CRR 4(146)); RIM's own accounts print none.</t>
        </is>
      </c>
    </row>
    <row r="5" ht="117" customHeight="1">
      <c r="A5" s="8" t="inlineStr">
        <is>
          <t>Note: Not publicly disclosed at Rathbones Investment Management Limited entity level. Rathbones Group Plc's official Pillar 3 reports are consolidated and state that no large subsidiary meets the definition requiring individual disclosure; group metrics must not be substituted for this Company's metrics. See the source note.
GA-020 EVIDENCE, ALL FIVE YEARS (2026-09-19): the same statement 'Disclosures are made on a consolidated group level, as we have no large subsidiaries meeting the requirements for individual disclosure under the definition within CRR Article 4(146)' appears in Rathbones Group Plc Pillar 3 FY2021 (PDF p.5) - https://www.rathbones.com/sites/main/files/wealth-management/results_and_presentations/files/pillar_3_dec_2021_final.pdf ; FY2022 (PDF p.7) - https://www.rathbones.com/sites/main/files/wealth-management/results_and_presentations/files/rathbones_pillar_3_december_2022_final3.pdf ; FY2023 (PDF p.7) - https://www.rathbones.com/sites/main/files/wealth-management/results_and_presentations/files/31_december_2023_pillar_3_disclosures_final.pdf ; and the FY2024 and FY2025 editions (printed p.6) cited in the source note. No edition prints a RIM-solo figure.</t>
        </is>
      </c>
    </row>
    <row r="7" ht="409" customHeight="1">
      <c r="A7" s="7" t="inlineStr">
        <is>
          <t>Sources - Rathbones Investment Management Limited statutory Statement of cash flows, GBP'000. Each year's own column was checked against the next year's comparative column where available.
FY2025 and FY2024 comparative: Annual report and financial statements 2025, p.25 - https://find-and-update.company-information.service.gov.uk/company/01448919/filing-history/MzUyMjY1MjQyNWFkaXF6a2N4/document?download=0&amp;format=pdf
FY2024 and FY2023 comparative: Annual report and financial statements 2024, p.28 - https://find-and-update.company-information.service.gov.uk/company/01448919/filing-history/MzQ3MzI5ODI4OWFkaXF6a2N4/document?download=0&amp;format=pdf
FY2023 and FY2022 comparative: Annual report and financial statements 2023, p.29 - https://find-and-update.company-information.service.gov.uk/company/01448919/filing-history/MzQyMjI5MjUwM2FkaXF6a2N4/document?download=0&amp;format=pdf
FY2022 and FY2021 comparative: Annual report and financial statements 2022, p.29 - https://find-and-update.company-information.service.gov.uk/company/01448919/filing-history/MzM4MTE3NjI0OGFkaXF6a2N4/document?download=0&amp;format=pdf
FY2021: Annual report and financial statements 2021, p.29 - https://find-and-update.company-information.service.gov.uk/company/01448919/filing-history/MzM0MjM1MjU5OWFkaXF6a2N4/document?download=0&amp;format=pdf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t>
        </is>
      </c>
    </row>
    <row r="9" ht="409" customHeight="1">
      <c r="A9" s="7" t="inlineStr">
        <is>
          <t>(continued)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3">
    <mergeCell ref="A5:F5"/>
    <mergeCell ref="A7:F7"/>
    <mergeCell ref="A9:F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Total RWAs</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Total RWAs</t>
        </is>
      </c>
      <c r="B4" s="6" t="inlineStr">
        <is>
          <t>Not published – no RIM entity figure: Rathbones Group Plc Pillar 3 FY2021–FY2025, s.1 Executive summary, says disclosure is group-consolidated only (no large subsidiary, CRR 4(146)); RIM's own accounts print none.</t>
        </is>
      </c>
      <c r="C4" s="6" t="inlineStr">
        <is>
          <t>Not published – no RIM entity figure: Rathbones Group Plc Pillar 3 FY2021–FY2025, s.1 Executive summary, says disclosure is group-consolidated only (no large subsidiary, CRR 4(146)); RIM's own accounts print none.</t>
        </is>
      </c>
      <c r="D4" s="6" t="inlineStr">
        <is>
          <t>Not published – no RIM entity figure: Rathbones Group Plc Pillar 3 FY2021–FY2025, s.1 Executive summary, says disclosure is group-consolidated only (no large subsidiary, CRR 4(146)); RIM's own accounts print none.</t>
        </is>
      </c>
      <c r="E4" s="6" t="inlineStr">
        <is>
          <t>Not published – no RIM entity figure: Rathbones Group Plc Pillar 3 FY2021–FY2025, s.1 Executive summary, says disclosure is group-consolidated only (no large subsidiary, CRR 4(146)); RIM's own accounts print none.</t>
        </is>
      </c>
      <c r="F4" s="6" t="inlineStr">
        <is>
          <t>Not published – no RIM entity figure: Rathbones Group Plc Pillar 3 FY2021–FY2025, s.1 Executive summary, says disclosure is group-consolidated only (no large subsidiary, CRR 4(146)); RIM's own accounts print none.</t>
        </is>
      </c>
    </row>
    <row r="5" ht="117" customHeight="1">
      <c r="A5" s="8" t="inlineStr">
        <is>
          <t>Note: Not publicly disclosed at Rathbones Investment Management Limited entity level. Rathbones Group Plc's official Pillar 3 reports are consolidated and state that no large subsidiary meets the definition requiring individual disclosure; group metrics must not be substituted for this Company's metrics. See the source note.
GA-020 EVIDENCE, ALL FIVE YEARS (2026-09-19): the same statement 'Disclosures are made on a consolidated group level, as we have no large subsidiaries meeting the requirements for individual disclosure under the definition within CRR Article 4(146)' appears in Rathbones Group Plc Pillar 3 FY2021 (PDF p.5) - https://www.rathbones.com/sites/main/files/wealth-management/results_and_presentations/files/pillar_3_dec_2021_final.pdf ; FY2022 (PDF p.7) - https://www.rathbones.com/sites/main/files/wealth-management/results_and_presentations/files/rathbones_pillar_3_december_2022_final3.pdf ; FY2023 (PDF p.7) - https://www.rathbones.com/sites/main/files/wealth-management/results_and_presentations/files/31_december_2023_pillar_3_disclosures_final.pdf ; and the FY2024 and FY2025 editions (printed p.6) cited in the source note. No edition prints a RIM-solo figure.</t>
        </is>
      </c>
    </row>
    <row r="7" ht="409" customHeight="1">
      <c r="A7" s="7" t="inlineStr">
        <is>
          <t>Sources - Rathbones Investment Management Limited statutory Statement of cash flows, GBP'000. Each year's own column was checked against the next year's comparative column where available.
FY2025 and FY2024 comparative: Annual report and financial statements 2025, p.25 - https://find-and-update.company-information.service.gov.uk/company/01448919/filing-history/MzUyMjY1MjQyNWFkaXF6a2N4/document?download=0&amp;format=pdf
FY2024 and FY2023 comparative: Annual report and financial statements 2024, p.28 - https://find-and-update.company-information.service.gov.uk/company/01448919/filing-history/MzQ3MzI5ODI4OWFkaXF6a2N4/document?download=0&amp;format=pdf
FY2023 and FY2022 comparative: Annual report and financial statements 2023, p.29 - https://find-and-update.company-information.service.gov.uk/company/01448919/filing-history/MzQyMjI5MjUwM2FkaXF6a2N4/document?download=0&amp;format=pdf
FY2022 and FY2021 comparative: Annual report and financial statements 2022, p.29 - https://find-and-update.company-information.service.gov.uk/company/01448919/filing-history/MzM4MTE3NjI0OGFkaXF6a2N4/document?download=0&amp;format=pdf
FY2021: Annual report and financial statements 2021, p.29 - https://find-and-update.company-information.service.gov.uk/company/01448919/filing-history/MzM0MjM1MjU5OWFkaXF6a2N4/document?download=0&amp;format=pdf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t>
        </is>
      </c>
    </row>
    <row r="9" ht="409" customHeight="1">
      <c r="A9" s="7" t="inlineStr">
        <is>
          <t>(continued)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3">
    <mergeCell ref="A5:F5"/>
    <mergeCell ref="A7:F7"/>
    <mergeCell ref="A9:F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RWA Breakdown</t>
        </is>
      </c>
    </row>
    <row r="2">
      <c r="A2" s="2" t="inlineStr">
        <is>
          <t>Not published at entity level - see the GA-020 evidence at the foot of the source note.</t>
        </is>
      </c>
    </row>
    <row r="3">
      <c r="A3" s="4" t="inlineStr">
        <is>
          <t>Line item</t>
        </is>
      </c>
      <c r="B3" s="4" t="inlineStr">
        <is>
          <t>FY2025</t>
        </is>
      </c>
      <c r="C3" s="4" t="inlineStr">
        <is>
          <t>FY2024</t>
        </is>
      </c>
      <c r="D3" s="4" t="inlineStr">
        <is>
          <t>FY2023</t>
        </is>
      </c>
      <c r="E3" s="4" t="inlineStr">
        <is>
          <t>FY2022</t>
        </is>
      </c>
      <c r="F3" s="4" t="inlineStr">
        <is>
          <t>FY2021</t>
        </is>
      </c>
    </row>
    <row r="4">
      <c r="A4" s="6" t="inlineStr">
        <is>
          <t>RWA Breakdown</t>
        </is>
      </c>
      <c r="B4" s="6" t="inlineStr">
        <is>
          <t>Not published – no RIM entity figure: Rathbones Group Plc Pillar 3 FY2021–FY2025, s.1 Executive summary, says disclosure is group-consolidated only (no large subsidiary, CRR 4(146)); RIM's own accounts print none.</t>
        </is>
      </c>
      <c r="C4" s="6" t="inlineStr">
        <is>
          <t>Not published – no RIM entity figure: Rathbones Group Plc Pillar 3 FY2021–FY2025, s.1 Executive summary, says disclosure is group-consolidated only (no large subsidiary, CRR 4(146)); RIM's own accounts print none.</t>
        </is>
      </c>
      <c r="D4" s="6" t="inlineStr">
        <is>
          <t>Not published – no RIM entity figure: Rathbones Group Plc Pillar 3 FY2021–FY2025, s.1 Executive summary, says disclosure is group-consolidated only (no large subsidiary, CRR 4(146)); RIM's own accounts print none.</t>
        </is>
      </c>
      <c r="E4" s="6" t="inlineStr">
        <is>
          <t>Not published – no RIM entity figure: Rathbones Group Plc Pillar 3 FY2021–FY2025, s.1 Executive summary, says disclosure is group-consolidated only (no large subsidiary, CRR 4(146)); RIM's own accounts print none.</t>
        </is>
      </c>
      <c r="F4" s="6" t="inlineStr">
        <is>
          <t>Not published – no RIM entity figure: Rathbones Group Plc Pillar 3 FY2021–FY2025, s.1 Executive summary, says disclosure is group-consolidated only (no large subsidiary, CRR 4(146)); RIM's own accounts print none.</t>
        </is>
      </c>
    </row>
    <row r="6" ht="409" customHeight="1">
      <c r="A6" s="7" t="inlineStr">
        <is>
          <t>Sources - Rathbones Investment Management Limited statutory Statement of cash flows, GBP'000. Each year's own column was checked against the next year's comparative column where available.
FY2025 and FY2024 comparative: Annual report and financial statements 2025, p.25 - https://find-and-update.company-information.service.gov.uk/company/01448919/filing-history/MzUyMjY1MjQyNWFkaXF6a2N4/document?download=0&amp;format=pdf
FY2024 and FY2023 comparative: Annual report and financial statements 2024, p.28 - https://find-and-update.company-information.service.gov.uk/company/01448919/filing-history/MzQ3MzI5ODI4OWFkaXF6a2N4/document?download=0&amp;format=pdf
FY2023 and FY2022 comparative: Annual report and financial statements 2023, p.29 - https://find-and-update.company-information.service.gov.uk/company/01448919/filing-history/MzQyMjI5MjUwM2FkaXF6a2N4/document?download=0&amp;format=pdf
FY2022 and FY2021 comparative: Annual report and financial statements 2022, p.29 - https://find-and-update.company-information.service.gov.uk/company/01448919/filing-history/MzM4MTE3NjI0OGFkaXF6a2N4/document?download=0&amp;format=pdf
FY2021: Annual report and financial statements 2021, p.29 - https://find-and-update.company-information.service.gov.uk/company/01448919/filing-history/MzM0MjM1MjU5OWFkaXF6a2N4/document?download=0&amp;format=pdf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t>
        </is>
      </c>
    </row>
    <row r="8" ht="409" customHeight="1">
      <c r="A8" s="7" t="inlineStr">
        <is>
          <t>(continued)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
Not publicly disclosed at Rathbones Investment Management Limited entity level. Rathbones Group Plc's official Pillar 3 reports are consolidated and state that no large subsidiary meets the definition requiring individual disclosure; group metrics must not be substituted for this Company's metrics. See the source note.
GA-020 EVIDENCE, ALL FIVE YEARS (2026-09-19): the same statement 'Disclosures are made on a consolidated group level, as we have no large subsidiaries meeting the requirements for individual disclosure under the definition within CRR Article 4(146)' appears in Rathbones Group Plc Pillar 3 FY2021 (PDF p.5) - https://www.rathbones.com/sites/main/files/wealth-management/results_and_presentations/files/pillar_3_dec_2021_final.pdf ; FY2022 (PDF p.7) - https://www.rathbones.com/sites/main/files/wealth-management/results_and_presentations/files/rathbones_pillar_3_december_2022_final3.pdf ; FY2023 (PDF p.7) - https://www.rathbones.com/sites/main/files/wealth-management/results_and_presentations/files/31_december_2023_pillar_3_disclosures_final.pdf ; and the FY2024 and FY2025 editions (printed p.6) cited in the source note. No edition prints a RIM-solo figure.</t>
        </is>
      </c>
    </row>
  </sheetData>
  <mergeCells count="2">
    <mergeCell ref="A8:F8"/>
    <mergeCell ref="A6:F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Leverage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t>
        </is>
      </c>
      <c r="B4" s="6" t="inlineStr">
        <is>
          <t>Not published – no RIM entity figure: Rathbones Group Plc Pillar 3 FY2021–FY2025, s.1 Executive summary, says disclosure is group-consolidated only (no large subsidiary, CRR 4(146)); RIM's own accounts print none.</t>
        </is>
      </c>
      <c r="C4" s="6" t="inlineStr">
        <is>
          <t>Not published – no RIM entity figure: Rathbones Group Plc Pillar 3 FY2021–FY2025, s.1 Executive summary, says disclosure is group-consolidated only (no large subsidiary, CRR 4(146)); RIM's own accounts print none.</t>
        </is>
      </c>
      <c r="D4" s="6" t="inlineStr">
        <is>
          <t>Not published – no RIM entity figure: Rathbones Group Plc Pillar 3 FY2021–FY2025, s.1 Executive summary, says disclosure is group-consolidated only (no large subsidiary, CRR 4(146)); RIM's own accounts print none.</t>
        </is>
      </c>
      <c r="E4" s="6" t="inlineStr">
        <is>
          <t>Not published – no RIM entity figure: Rathbones Group Plc Pillar 3 FY2021–FY2025, s.1 Executive summary, says disclosure is group-consolidated only (no large subsidiary, CRR 4(146)); RIM's own accounts print none.</t>
        </is>
      </c>
      <c r="F4" s="6" t="inlineStr">
        <is>
          <t>Not published – no RIM entity figure: Rathbones Group Plc Pillar 3 FY2021–FY2025, s.1 Executive summary, says disclosure is group-consolidated only (no large subsidiary, CRR 4(146)); RIM's own accounts print none.</t>
        </is>
      </c>
    </row>
    <row r="5" ht="221" customHeight="1">
      <c r="A5" s="8" t="inlineStr">
        <is>
          <t>Note: Not publicly disclosed at Rathbones Investment Management Limited entity level. Rathbones Group Plc's official Pillar 3 reports are consolidated and state that no large subsidiary meets the definition requiring individual disclosure; group metrics must not be substituted for this Company's metrics. See the source note.
GA-020 EVIDENCE, ALL FIVE YEARS (2026-09-19): the same statement 'Disclosures are made on a consolidated group level, as we have no large subsidiaries meeting the requirements for individual disclosure under the definition within CRR Article 4(146)' appears in Rathbones Group Plc Pillar 3 FY2021 (PDF p.5) - https://www.rathbones.com/sites/main/files/wealth-management/results_and_presentations/files/pillar_3_dec_2021_final.pdf ; FY2022 (PDF p.7) - https://www.rathbones.com/sites/main/files/wealth-management/results_and_presentations/files/rathbones_pillar_3_december_2022_final3.pdf ; FY2023 (PDF p.7) - https://www.rathbones.com/sites/main/files/wealth-management/results_and_presentations/files/31_december_2023_pillar_3_disclosures_final.pdf ; and the FY2024 and FY2025 editions (printed p.6) cited in the source note. No edition prints a RIM-solo figure.
GA-026 (2026-10-09) - CHECKED AGAINST THE GROUP'S OWN LEVERAGE TEMPLATE, AND STILL NOT AN ADD. This sweep looked for banks publishing BOTH UK leverage bases (template UK LR2 prints the including-claims-on-central-banks measure at row 24 / UK-25c and the excluding one at UK-24b / row 25). Rathbones DOES publish a full UK LR2 with both: the 31 December 2023 Pillar 3 disclosures, p.45, 'Template UK LR2 - LRCom', gives row 23 431.4; row 24 3,345.8; UK-24a (1,038.8); UK-24b 2,307.0; row 25 18.70%; UK-25c 12.89% at 31 December 2023, with 298.7 / 3,104.6 / (1,410.1) / 1,694.3 / 17.63% / 9.62% at 31 December 2022.
NONE OF IT BELONGS ON THIS SHEET, because that template is RATHBONES GROUP PLC CONSOLIDATED and this workbook is the entity. It is the same reason the sheet says 'not publicly disclosed' in the first place, and the same trap that stopped two other banks in this batch whose LR2 turned out to be group-level. The figures are recorded here so a later pass does not have to re-find them and does not mistake their existence for a gap on this sheet. Nothing is carried across consolidation levels.</t>
        </is>
      </c>
    </row>
    <row r="7" ht="409" customHeight="1">
      <c r="A7" s="7" t="inlineStr">
        <is>
          <t>Sources - Rathbones Investment Management Limited statutory Statement of cash flows, GBP'000. Each year's own column was checked against the next year's comparative column where available.
FY2025 and FY2024 comparative: Annual report and financial statements 2025, p.25 - https://find-and-update.company-information.service.gov.uk/company/01448919/filing-history/MzUyMjY1MjQyNWFkaXF6a2N4/document?download=0&amp;format=pdf
FY2024 and FY2023 comparative: Annual report and financial statements 2024, p.28 - https://find-and-update.company-information.service.gov.uk/company/01448919/filing-history/MzQ3MzI5ODI4OWFkaXF6a2N4/document?download=0&amp;format=pdf
FY2023 and FY2022 comparative: Annual report and financial statements 2023, p.29 - https://find-and-update.company-information.service.gov.uk/company/01448919/filing-history/MzQyMjI5MjUwM2FkaXF6a2N4/document?download=0&amp;format=pdf
FY2022 and FY2021 comparative: Annual report and financial statements 2022, p.29 - https://find-and-update.company-information.service.gov.uk/company/01448919/filing-history/MzM4MTE3NjI0OGFkaXF6a2N4/document?download=0&amp;format=pdf
FY2021: Annual report and financial statements 2021, p.29 - https://find-and-update.company-information.service.gov.uk/company/01448919/filing-history/MzM0MjM1MjU5OWFkaXF6a2N4/document?download=0&amp;format=pdf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t>
        </is>
      </c>
    </row>
    <row r="9" ht="409" customHeight="1">
      <c r="A9" s="7" t="inlineStr">
        <is>
          <t>(continued)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3">
    <mergeCell ref="A5:F5"/>
    <mergeCell ref="A7:F7"/>
    <mergeCell ref="A9:F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LCR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LCR</t>
        </is>
      </c>
      <c r="B4" s="6" t="inlineStr">
        <is>
          <t>Not published – no RIM entity figure: Rathbones Group Plc Pillar 3 FY2021–FY2025, s.1 Executive summary, says disclosure is group-consolidated only (no large subsidiary, CRR 4(146)); RIM's own accounts print none.</t>
        </is>
      </c>
      <c r="C4" s="6" t="inlineStr">
        <is>
          <t>Not published – no RIM entity figure: Rathbones Group Plc Pillar 3 FY2021–FY2025, s.1 Executive summary, says disclosure is group-consolidated only (no large subsidiary, CRR 4(146)); RIM's own accounts print none.</t>
        </is>
      </c>
      <c r="D4" s="6" t="inlineStr">
        <is>
          <t>Not published – no RIM entity figure: Rathbones Group Plc Pillar 3 FY2021–FY2025, s.1 Executive summary, says disclosure is group-consolidated only (no large subsidiary, CRR 4(146)); RIM's own accounts print none.</t>
        </is>
      </c>
      <c r="E4" s="6" t="inlineStr">
        <is>
          <t>Not published – no RIM entity figure: Rathbones Group Plc Pillar 3 FY2021–FY2025, s.1 Executive summary, says disclosure is group-consolidated only (no large subsidiary, CRR 4(146)); RIM's own accounts print none.</t>
        </is>
      </c>
      <c r="F4" s="6" t="inlineStr">
        <is>
          <t>Not published – no RIM entity figure: Rathbones Group Plc Pillar 3 FY2021–FY2025, s.1 Executive summary, says disclosure is group-consolidated only (no large subsidiary, CRR 4(146)); RIM's own accounts print none.</t>
        </is>
      </c>
    </row>
    <row r="5" ht="117" customHeight="1">
      <c r="A5" s="8" t="inlineStr">
        <is>
          <t>Note: Not publicly disclosed at Rathbones Investment Management Limited entity level. Rathbones Group Plc's official Pillar 3 reports are consolidated and state that no large subsidiary meets the definition requiring individual disclosure; group metrics must not be substituted for this Company's metrics. See the source note.
GA-020 EVIDENCE, ALL FIVE YEARS (2026-09-19): the same statement 'Disclosures are made on a consolidated group level, as we have no large subsidiaries meeting the requirements for individual disclosure under the definition within CRR Article 4(146)' appears in Rathbones Group Plc Pillar 3 FY2021 (PDF p.5) - https://www.rathbones.com/sites/main/files/wealth-management/results_and_presentations/files/pillar_3_dec_2021_final.pdf ; FY2022 (PDF p.7) - https://www.rathbones.com/sites/main/files/wealth-management/results_and_presentations/files/rathbones_pillar_3_december_2022_final3.pdf ; FY2023 (PDF p.7) - https://www.rathbones.com/sites/main/files/wealth-management/results_and_presentations/files/31_december_2023_pillar_3_disclosures_final.pdf ; and the FY2024 and FY2025 editions (printed p.6) cited in the source note. No edition prints a RIM-solo figure.</t>
        </is>
      </c>
    </row>
    <row r="7" ht="409" customHeight="1">
      <c r="A7" s="7" t="inlineStr">
        <is>
          <t>Sources - Rathbones Investment Management Limited statutory Statement of cash flows, GBP'000. Each year's own column was checked against the next year's comparative column where available.
FY2025 and FY2024 comparative: Annual report and financial statements 2025, p.25 - https://find-and-update.company-information.service.gov.uk/company/01448919/filing-history/MzUyMjY1MjQyNWFkaXF6a2N4/document?download=0&amp;format=pdf
FY2024 and FY2023 comparative: Annual report and financial statements 2024, p.28 - https://find-and-update.company-information.service.gov.uk/company/01448919/filing-history/MzQ3MzI5ODI4OWFkaXF6a2N4/document?download=0&amp;format=pdf
FY2023 and FY2022 comparative: Annual report and financial statements 2023, p.29 - https://find-and-update.company-information.service.gov.uk/company/01448919/filing-history/MzQyMjI5MjUwM2FkaXF6a2N4/document?download=0&amp;format=pdf
FY2022 and FY2021 comparative: Annual report and financial statements 2022, p.29 - https://find-and-update.company-information.service.gov.uk/company/01448919/filing-history/MzM4MTE3NjI0OGFkaXF6a2N4/document?download=0&amp;format=pdf
FY2021: Annual report and financial statements 2021, p.29 - https://find-and-update.company-information.service.gov.uk/company/01448919/filing-history/MzM0MjM1MjU5OWFkaXF6a2N4/document?download=0&amp;format=pdf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t>
        </is>
      </c>
    </row>
    <row r="9" ht="409" customHeight="1">
      <c r="A9" s="7" t="inlineStr">
        <is>
          <t>(continued)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3">
    <mergeCell ref="A5:F5"/>
    <mergeCell ref="A7:F7"/>
    <mergeCell ref="A9:F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NSFR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NSFR</t>
        </is>
      </c>
      <c r="B4" s="6" t="inlineStr">
        <is>
          <t>Not published – no RIM entity figure: Rathbones Group Plc Pillar 3 FY2021–FY2025, s.1 Executive summary, says disclosure is group-consolidated only (no large subsidiary, CRR 4(146)); RIM's own accounts print none.</t>
        </is>
      </c>
      <c r="C4" s="6" t="inlineStr">
        <is>
          <t>Not published – no RIM entity figure: Rathbones Group Plc Pillar 3 FY2021–FY2025, s.1 Executive summary, says disclosure is group-consolidated only (no large subsidiary, CRR 4(146)); RIM's own accounts print none.</t>
        </is>
      </c>
      <c r="D4" s="6" t="inlineStr">
        <is>
          <t>Not published – no RIM entity figure: Rathbones Group Plc Pillar 3 FY2021–FY2025, s.1 Executive summary, says disclosure is group-consolidated only (no large subsidiary, CRR 4(146)); RIM's own accounts print none.</t>
        </is>
      </c>
      <c r="E4" s="6" t="inlineStr">
        <is>
          <t>Not published – no RIM entity figure: Rathbones Group Plc Pillar 3 FY2021–FY2025, s.1 Executive summary, says disclosure is group-consolidated only (no large subsidiary, CRR 4(146)); RIM's own accounts print none.</t>
        </is>
      </c>
      <c r="F4" s="6" t="inlineStr">
        <is>
          <t>Not published – no RIM entity figure: Rathbones Group Plc Pillar 3 FY2021–FY2025, s.1 Executive summary, says disclosure is group-consolidated only (no large subsidiary, CRR 4(146)); RIM's own accounts print none.</t>
        </is>
      </c>
    </row>
    <row r="5" ht="117" customHeight="1">
      <c r="A5" s="8" t="inlineStr">
        <is>
          <t>Note: Not publicly disclosed at Rathbones Investment Management Limited entity level. Rathbones Group Plc's official Pillar 3 reports are consolidated and state that no large subsidiary meets the definition requiring individual disclosure; group metrics must not be substituted for this Company's metrics. See the source note.
GA-020 EVIDENCE, ALL FIVE YEARS (2026-09-19): the same statement 'Disclosures are made on a consolidated group level, as we have no large subsidiaries meeting the requirements for individual disclosure under the definition within CRR Article 4(146)' appears in Rathbones Group Plc Pillar 3 FY2021 (PDF p.5) - https://www.rathbones.com/sites/main/files/wealth-management/results_and_presentations/files/pillar_3_dec_2021_final.pdf ; FY2022 (PDF p.7) - https://www.rathbones.com/sites/main/files/wealth-management/results_and_presentations/files/rathbones_pillar_3_december_2022_final3.pdf ; FY2023 (PDF p.7) - https://www.rathbones.com/sites/main/files/wealth-management/results_and_presentations/files/31_december_2023_pillar_3_disclosures_final.pdf ; and the FY2024 and FY2025 editions (printed p.6) cited in the source note. No edition prints a RIM-solo figure.</t>
        </is>
      </c>
    </row>
    <row r="7" ht="409" customHeight="1">
      <c r="A7" s="7" t="inlineStr">
        <is>
          <t>Sources - Rathbones Investment Management Limited statutory Statement of cash flows, GBP'000. Each year's own column was checked against the next year's comparative column where available.
FY2025 and FY2024 comparative: Annual report and financial statements 2025, p.25 - https://find-and-update.company-information.service.gov.uk/company/01448919/filing-history/MzUyMjY1MjQyNWFkaXF6a2N4/document?download=0&amp;format=pdf
FY2024 and FY2023 comparative: Annual report and financial statements 2024, p.28 - https://find-and-update.company-information.service.gov.uk/company/01448919/filing-history/MzQ3MzI5ODI4OWFkaXF6a2N4/document?download=0&amp;format=pdf
FY2023 and FY2022 comparative: Annual report and financial statements 2023, p.29 - https://find-and-update.company-information.service.gov.uk/company/01448919/filing-history/MzQyMjI5MjUwM2FkaXF6a2N4/document?download=0&amp;format=pdf
FY2022 and FY2021 comparative: Annual report and financial statements 2022, p.29 - https://find-and-update.company-information.service.gov.uk/company/01448919/filing-history/MzM4MTE3NjI0OGFkaXF6a2N4/document?download=0&amp;format=pdf
FY2021: Annual report and financial statements 2021, p.29 - https://find-and-update.company-information.service.gov.uk/company/01448919/filing-history/MzM0MjM1MjU5OWFkaXF6a2N4/document?download=0&amp;format=pdf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t>
        </is>
      </c>
    </row>
    <row r="9" ht="409" customHeight="1">
      <c r="A9" s="7" t="inlineStr">
        <is>
          <t>(continued)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3">
    <mergeCell ref="A5:F5"/>
    <mergeCell ref="A7:F7"/>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Rathbones Investment Management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RIM entity figure: Rathbones Group Plc Pillar 3 FY2021–FY2025, s.1 Executive summary, says disclosure is group-consolidated only (no large subsidiary, CRR 4(146)); RIM's own accounts print none.</t>
        </is>
      </c>
      <c r="C4" s="6" t="inlineStr">
        <is>
          <t>Not published – no RIM entity figure: Rathbones Group Plc Pillar 3 FY2021–FY2025, s.1 Executive summary, says disclosure is group-consolidated only (no large subsidiary, CRR 4(146)); RIM's own accounts print none.</t>
        </is>
      </c>
      <c r="D4" s="6" t="inlineStr">
        <is>
          <t>Not published – no RIM entity figure: Rathbones Group Plc Pillar 3 FY2021–FY2025, s.1 Executive summary, says disclosure is group-consolidated only (no large subsidiary, CRR 4(146)); RIM's own accounts print none.</t>
        </is>
      </c>
      <c r="E4" s="6" t="inlineStr">
        <is>
          <t>Not published – no RIM entity figure: Rathbones Group Plc Pillar 3 FY2021–FY2025, s.1 Executive summary, says disclosure is group-consolidated only (no large subsidiary, CRR 4(146)); RIM's own accounts print none.</t>
        </is>
      </c>
      <c r="F4" s="6" t="inlineStr">
        <is>
          <t>Not published – no RIM entity figure: Rathbones Group Plc Pillar 3 FY2021–FY2025, s.1 Executive summary, says disclosure is group-consolidated only (no large subsidiary, CRR 4(146)); RIM's own accounts print none.</t>
        </is>
      </c>
    </row>
    <row r="5" ht="117" customHeight="1">
      <c r="A5" s="8" t="inlineStr">
        <is>
          <t>Note: Not publicly disclosed at Rathbones Investment Management Limited entity level. Rathbones Group Plc's official Pillar 3 reports are consolidated and state that no large subsidiary meets the definition requiring individual disclosure; group metrics must not be substituted for this Company's metrics. See the source note.
GA-020 EVIDENCE, ALL FIVE YEARS (2026-09-19): the same statement 'Disclosures are made on a consolidated group level, as we have no large subsidiaries meeting the requirements for individual disclosure under the definition within CRR Article 4(146)' appears in Rathbones Group Plc Pillar 3 FY2021 (PDF p.5) - https://www.rathbones.com/sites/main/files/wealth-management/results_and_presentations/files/pillar_3_dec_2021_final.pdf ; FY2022 (PDF p.7) - https://www.rathbones.com/sites/main/files/wealth-management/results_and_presentations/files/rathbones_pillar_3_december_2022_final3.pdf ; FY2023 (PDF p.7) - https://www.rathbones.com/sites/main/files/wealth-management/results_and_presentations/files/31_december_2023_pillar_3_disclosures_final.pdf ; and the FY2024 and FY2025 editions (printed p.6) cited in the source note. No edition prints a RIM-solo figure.</t>
        </is>
      </c>
    </row>
    <row r="7" ht="409" customHeight="1">
      <c r="A7" s="7" t="inlineStr">
        <is>
          <t>Sources - Rathbones Investment Management Limited statutory Statement of cash flows, GBP'000. Each year's own column was checked against the next year's comparative column where available.
FY2025 and FY2024 comparative: Annual report and financial statements 2025, p.25 - https://find-and-update.company-information.service.gov.uk/company/01448919/filing-history/MzUyMjY1MjQyNWFkaXF6a2N4/document?download=0&amp;format=pdf
FY2024 and FY2023 comparative: Annual report and financial statements 2024, p.28 - https://find-and-update.company-information.service.gov.uk/company/01448919/filing-history/MzQ3MzI5ODI4OWFkaXF6a2N4/document?download=0&amp;format=pdf
FY2023 and FY2022 comparative: Annual report and financial statements 2023, p.29 - https://find-and-update.company-information.service.gov.uk/company/01448919/filing-history/MzQyMjI5MjUwM2FkaXF6a2N4/document?download=0&amp;format=pdf
FY2022 and FY2021 comparative: Annual report and financial statements 2022, p.29 - https://find-and-update.company-information.service.gov.uk/company/01448919/filing-history/MzM4MTE3NjI0OGFkaXF6a2N4/document?download=0&amp;format=pdf
FY2021: Annual report and financial statements 2021, p.29 - https://find-and-update.company-information.service.gov.uk/company/01448919/filing-history/MzM0MjM1MjU5OWFkaXF6a2N4/document?download=0&amp;format=pdf
Entity: Rathbones Investment Management Limited (FRN 116316, company 01448919), formerly Rathbone Investment Management Limited until 7 December 2022. The Company is a wholly-owned subsidiary of Rathbones Group Plc and prepares entity-only IFRS financial statements under the Companies Act 2006 Section 400 exemption from consolidated accounts. Figures are GBP'000. The Company is an investment and wealth-management business, not the consolidated Rathbones Group.
Pillar 3 metrics are not substituted from Rathbones Group Plc: the official 2024 Pillar 3 report states that disclosures are consolidated and that no large subsidiary meets the definition requiring individual disclosure. Accordingly, entity-level CET1, Tier 1, Total Capital, RWA, leverage, LCR, NSFR and MREL figures are not publicly disclosed in the Company's accounts.
SOURCE FOR THAT STATEMENT (citation added 15 September 2026 - the document was named here but its URL was previously not printed on any sheet): Rathbones Group Plc, Pillar 3 Disclosures 31 December 2024, section 1 'Executive summary', p.6 - 'Disclosures are made on a consolidated group level, as we have no large subsidiaries meeting the requirements for individual disclosure under the definition within CRR Article 4(146).' - https://www.rathbones.com/sites/main/files/results_and_presentations/files/31_december_2024_pillar_3_disclosures.pdf
BASIS WARNING - this Group document is cited ONLY as evidence of ABSENCE, i.e. as the reason the entity-level Pillar 3 sheets in this workbook are blank. Not one figure in this workbook is taken from it. Every figure here comes from Rathbones Investment Management Limited's own entity-only statutory accounts filed at Companies House under company number 01448919. Re-checked 15 September 2026 against the replacement document in full: it discloses no RIM-solo quantitative metric anywhere. Its NSFR section (p.25) does say Rathbones 'is required to calculate and monitor the ratio on a RIM-solo and group consolidated basis, reporting the positions quarterly', but it prints only the group consolidated figures - templates UK KM1, UK LIQ1 and UK LIQ2 are all group-level - so there is no solo-consolidation or significant-subsidiary annex to draw entity data from, and no Group figure has been substituted.</t>
        </is>
      </c>
    </row>
    <row r="9" ht="409" customHeight="1">
      <c r="A9" s="7" t="inlineStr">
        <is>
          <t>(continued)
LATEST-EDITION CHECK (16 September 2026): rathbones.com's own investor page was checked directly and now carries a NEWER annual edition, Rathbones Group Plc Pillar 3 Disclosures 31 December 2025 - https://www.rathbones.com/sites/main/files/results_and_presentations/files/31_december_2025_pillar_3_discosures.pdf - plus a semi-annual edition at 30 June 2025 - https://www.rathbones.com/sites/main/files/results_and_presentations/files/interim_pillar_3_disclosures_30_june_2025_1.pdf. The FY2025 edition repeats the consolidated-only position verbatim at section 1 'Executive summary', printed p.6: 'Disclosures are made on a consolidated group level, as the grouphave [sic] no large subsidiaries meeting the requirements for individual disclosure under the definition within CRR Article 4(146).' Its only KM1 is again a Rathbones Group Plc consolidated table, so nothing in this entity-level workbook changes; no figure has been taken from it either.
LINK PROVENANCE (15 September 2026): the URL above is a REPLACEMENT. rathbones.com renamed its site directory from /sites/rathbones.com/ to /sites/main/, so the URL originally cited for this document now returns HTTP 404. Dead original, kept so the provenance chain stays readable: https://www.rathbones.com/sites/rathbones.com/files/results_and_presentations/files/31_december_2024_pillar_3_disclosures.pdf
The 2021 own-account closing cash (£1,530,445k) does not equal the 2022 account's comparative opening cash (£1,527,887k); both source-presented figures are retained and the difference is not inferred or forced.</t>
        </is>
      </c>
    </row>
  </sheetData>
  <mergeCells count="3">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2026-10-10T15:08:39Z</dcterms:created>
  <dcterms:modified xmlns:dcterms="http://purl.org/dc/terms/" xmlns:xsi="http://www.w3.org/2001/XMLSchema-instance" xsi:type="dcterms:W3CDTF">2026-10-10T15:08:39Z</dcterms:modified>
</cp:coreProperties>
</file>