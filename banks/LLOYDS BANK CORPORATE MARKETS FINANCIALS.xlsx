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Cash Flow Statement" sheetId="2" state="visible" r:id="rId2"/>
    <sheet xmlns:r="http://schemas.openxmlformats.org/officeDocument/2006/relationships" name="CET1 Capital" sheetId="3" state="visible" r:id="rId3"/>
    <sheet xmlns:r="http://schemas.openxmlformats.org/officeDocument/2006/relationships" name="CET1 Ratio" sheetId="4" state="visible" r:id="rId4"/>
    <sheet xmlns:r="http://schemas.openxmlformats.org/officeDocument/2006/relationships" name="Tier 1 Capital" sheetId="5" state="visible" r:id="rId5"/>
    <sheet xmlns:r="http://schemas.openxmlformats.org/officeDocument/2006/relationships" name="Tier 1 Ratio" sheetId="6" state="visible" r:id="rId6"/>
    <sheet xmlns:r="http://schemas.openxmlformats.org/officeDocument/2006/relationships" name="Total Capital" sheetId="7" state="visible" r:id="rId7"/>
    <sheet xmlns:r="http://schemas.openxmlformats.org/officeDocument/2006/relationships" name="Total Capital Ratio" sheetId="8" state="visible" r:id="rId8"/>
    <sheet xmlns:r="http://schemas.openxmlformats.org/officeDocument/2006/relationships" name="Total RWAs" sheetId="9" state="visible" r:id="rId9"/>
    <sheet xmlns:r="http://schemas.openxmlformats.org/officeDocument/2006/relationships" name="Leverage Ratio" sheetId="10" state="visible" r:id="rId10"/>
    <sheet xmlns:r="http://schemas.openxmlformats.org/officeDocument/2006/relationships" name="LCR" sheetId="11" state="visible" r:id="rId11"/>
    <sheet xmlns:r="http://schemas.openxmlformats.org/officeDocument/2006/relationships" name="NSFR" sheetId="12" state="visible" r:id="rId12"/>
    <sheet xmlns:r="http://schemas.openxmlformats.org/officeDocument/2006/relationships" name="MREL Ratio" sheetId="13" state="visible" r:id="rId13"/>
    <sheet xmlns:r="http://schemas.openxmlformats.org/officeDocument/2006/relationships" name="Interim Pillar 3" sheetId="14" state="visible" r:id="rId1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sz val="13"/>
    </font>
    <font>
      <i val="1"/>
      <color rgb="00666666"/>
      <sz val="9"/>
    </font>
    <font>
      <b val="1"/>
      <color rgb="00FFFFFF"/>
    </font>
    <font>
      <b val="1"/>
    </font>
    <font>
      <i val="1"/>
      <color rgb="00444444"/>
      <sz val="9"/>
    </font>
    <font>
      <name val="Calibri"/>
      <family val="2"/>
      <color theme="10"/>
      <sz val="12"/>
      <scheme val="minor"/>
    </font>
  </fonts>
  <fills count="3">
    <fill>
      <patternFill/>
    </fill>
    <fill>
      <patternFill patternType="gray125"/>
    </fill>
    <fill>
      <patternFill patternType="solid">
        <fgColor rgb="006A1B9A"/>
        <bgColor rgb="006A1B9A"/>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2">
    <xf numFmtId="0" fontId="0" fillId="0" borderId="0"/>
    <xf numFmtId="0" fontId="6"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xf numFmtId="0" fontId="6" fillId="0" borderId="0" pivotButton="0" quotePrefix="0" xfId="1"/>
    <xf numFmtId="0" fontId="5" fillId="0" borderId="0" applyAlignment="1" pivotButton="0" quotePrefix="0" xfId="0">
      <alignment vertical="top" wrapText="1"/>
    </xf>
  </cellXfs>
  <cellStyles count="2">
    <cellStyle name="Normal" xfId="0" builtinId="0" hidden="0"/>
    <cellStyle name="Hyperlink" xfId="1" builtinId="8"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Lloyds Bank Corporate Markets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xmlns:a="http://schemas.openxmlformats.org/drawingml/2006/main">
              <a:prstDash val="solid"/>
            </a:ln>
          </spPr>
          <marker>
            <symbol val="none"/>
            <spPr>
              <a:ln xmlns:a="http://schemas.openxmlformats.org/drawingml/2006/main">
                <a:prstDash val="solid"/>
              </a:ln>
            </spPr>
          </marker>
          <cat>
            <numRef>
              <f>'Overview'!$R$5:$V$5</f>
            </numRef>
          </cat>
          <val>
            <numRef>
              <f>'Overview'!$R$6:$V$6</f>
            </numRef>
          </val>
          <smooth val="0"/>
        </ser>
        <ser>
          <idx val="1"/>
          <order val="1"/>
          <tx>
            <strRef>
              <f>'Overview'!Q7</f>
            </strRef>
          </tx>
          <spPr>
            <a:ln xmlns:a="http://schemas.openxmlformats.org/drawingml/2006/main">
              <a:prstDash val="solid"/>
            </a:ln>
          </spPr>
          <marker>
            <symbol val="none"/>
            <spPr>
              <a:ln xmlns:a="http://schemas.openxmlformats.org/drawingml/2006/main">
                <a:prstDash val="solid"/>
              </a:ln>
            </spPr>
          </marker>
          <cat>
            <numRef>
              <f>'Overview'!$R$5:$V$5</f>
            </numRef>
          </cat>
          <val>
            <numRef>
              <f>'Overview'!$R$7:$V$7</f>
            </numRef>
          </val>
          <smooth val="0"/>
        </ser>
        <ser>
          <idx val="2"/>
          <order val="2"/>
          <tx>
            <strRef>
              <f>'Overview'!Q8</f>
            </strRef>
          </tx>
          <spPr>
            <a:ln xmlns:a="http://schemas.openxmlformats.org/drawingml/2006/main">
              <a:prstDash val="solid"/>
            </a:ln>
          </spPr>
          <marker>
            <symbol val="none"/>
            <spPr>
              <a:ln xmlns:a="http://schemas.openxmlformats.org/drawingml/2006/main">
                <a:prstDash val="solid"/>
              </a:ln>
            </spPr>
          </marker>
          <cat>
            <numRef>
              <f>'Overview'!$R$5:$V$5</f>
            </numRef>
          </cat>
          <val>
            <numRef>
              <f>'Overview'!$R$8:$V$8</f>
            </numRef>
          </val>
          <smooth val="0"/>
        </ser>
        <ser>
          <idx val="3"/>
          <order val="3"/>
          <tx>
            <strRef>
              <f>'Overview'!Q9</f>
            </strRef>
          </tx>
          <spPr>
            <a:ln xmlns:a="http://schemas.openxmlformats.org/drawingml/2006/main">
              <a:prstDash val="solid"/>
            </a:ln>
          </spPr>
          <marker>
            <symbol val="none"/>
            <spPr>
              <a:ln xmlns:a="http://schemas.openxmlformats.org/drawingml/2006/main">
                <a:prstDash val="solid"/>
              </a:ln>
            </spPr>
          </marker>
          <cat>
            <numRef>
              <f>'Overview'!$R$5:$V$5</f>
            </numRef>
          </cat>
          <val>
            <numRef>
              <f>'Overview'!$R$9:$V$9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0</col>
      <colOff>0</colOff>
      <row>20</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42</row>
      <rowOff>0</rowOff>
    </from>
    <ext cx="8640000" cy="576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14.xml.rels><Relationships xmlns="http://schemas.openxmlformats.org/package/2006/relationships"><Relationship Type="http://schemas.openxmlformats.org/officeDocument/2006/relationships/hyperlink" Target="https://www.lloydsbankinggroup.com/assets/pdfs/investors/financial-performance/lloyds-bank-corporate-markets-plc/2025/q1/2025-lbcm-q1-pillar-3.pdf" TargetMode="External" Id="rId1"/><Relationship Type="http://schemas.openxmlformats.org/officeDocument/2006/relationships/hyperlink" Target="https://www.lloydsbankinggroup.com/assets/pdfs/investors/financial-performance/lloyds-bank-corporate-markets-plc/2025/q2/2025-lbcm-hy-pillar-3.pdf" TargetMode="External" Id="rId2"/><Relationship Type="http://schemas.openxmlformats.org/officeDocument/2006/relationships/hyperlink" Target="https://www.lloydsbankinggroup.com/assets/pdfs/investors/financial-performance/lloyds-bank-corporate-markets-plc/2025/q3/2025-lbcm-q3-pillar-3.pdf" TargetMode="External" Id="rId3"/><Relationship Type="http://schemas.openxmlformats.org/officeDocument/2006/relationships/hyperlink" Target="https://www.lloydsbankinggroup.com/assets/pdfs/investors/financial-performance/lloyds-bank-corporate-markets-plc/2024/q1/2024-lbcm-q1-pillar-3.pdf" TargetMode="External" Id="rId4"/><Relationship Type="http://schemas.openxmlformats.org/officeDocument/2006/relationships/hyperlink" Target="https://www.lloydsbankinggroup.com/assets/pdfs/investors/financial-performance/lloyds-bank-corporate-markets-plc/2024/q2/2024-lbcm-hy-pillar-3.pdf" TargetMode="External" Id="rId5"/><Relationship Type="http://schemas.openxmlformats.org/officeDocument/2006/relationships/hyperlink" Target="https://www.lloydsbankinggroup.com/assets/pdfs/investors/financial-performance/lloyds-bank-corporate-markets-plc/2024/q3/2024-lbcm-q3-pillar-3.pdf" TargetMode="External" Id="rId6"/><Relationship Type="http://schemas.openxmlformats.org/officeDocument/2006/relationships/hyperlink" Target="https://www.lloydsbankinggroup.com/assets/pdfs/investors/financial-performance/lloyds-bank-corporate-markets-plc/2023/q1/2023-lbcm-q1-pillar-3.pdf" TargetMode="External" Id="rId7"/><Relationship Type="http://schemas.openxmlformats.org/officeDocument/2006/relationships/hyperlink" Target="https://www.lloydsbankinggroup.com/assets/pdfs/investors/financial-performance/lloyds-bank-corporate-markets-plc/2023/q2/2023-lbcm-hy-pillar-3.pdf" TargetMode="External" Id="rId8"/><Relationship Type="http://schemas.openxmlformats.org/officeDocument/2006/relationships/hyperlink" Target="https://www.lloydsbankinggroup.com/assets/pdfs/investors/financial-performance/lloyds-bank-corporate-markets-plc/2023/q3/2023-lbcm-q3-pillar-3.pdf" TargetMode="External" Id="rId9"/><Relationship Type="http://schemas.openxmlformats.org/officeDocument/2006/relationships/hyperlink" Target="https://www.lloydsbankinggroup.com/assets/pdfs/investors/financial-performance/lloyds-bank-corporate-markets-plc/2022/q1/2022-lbcm-q1-pillar-3.pdf" TargetMode="External" Id="rId10"/><Relationship Type="http://schemas.openxmlformats.org/officeDocument/2006/relationships/hyperlink" Target="https://www.lloydsbankinggroup.com/assets/pdfs/investors/financial-performance/lloyds-bank-corporate-markets-plc/2022/half-year/2022-lbcm-hy-pillar-3.pdf" TargetMode="External" Id="rId11"/><Relationship Type="http://schemas.openxmlformats.org/officeDocument/2006/relationships/hyperlink" Target="https://www.lloydsbankinggroup.com/assets/pdfs/investors/financial-performance/lloyds-bank-corporate-markets-plc/2022/q3/2022-lbcm-q3-pillar-3.pdf" TargetMode="External" Id="rId12"/><Relationship Type="http://schemas.openxmlformats.org/officeDocument/2006/relationships/hyperlink" Target="https://www.lloydsbankinggroup.com/assets/pdfs/investors/financial-performance/lloyds-bank-corporate-markets-plc/2025/q1/2025-lbcm-q1-pillar-3.pdf" TargetMode="External" Id="rId13"/><Relationship Type="http://schemas.openxmlformats.org/officeDocument/2006/relationships/hyperlink" Target="https://www.lloydsbankinggroup.com/assets/pdfs/investors/financial-performance/lloyds-bank-corporate-markets-plc/2025/q2/2025-lbcm-hy-pillar-3.pdf" TargetMode="External" Id="rId14"/><Relationship Type="http://schemas.openxmlformats.org/officeDocument/2006/relationships/hyperlink" Target="https://www.lloydsbankinggroup.com/assets/pdfs/investors/financial-performance/lloyds-bank-corporate-markets-plc/2025/q3/2025-lbcm-q3-pillar-3.pdf" TargetMode="External" Id="rId15"/><Relationship Type="http://schemas.openxmlformats.org/officeDocument/2006/relationships/hyperlink" Target="https://www.lloydsbankinggroup.com/assets/pdfs/investors/financial-performance/lloyds-bank-corporate-markets-plc/2024/q1/2024-lbcm-q1-pillar-3.pdf" TargetMode="External" Id="rId16"/><Relationship Type="http://schemas.openxmlformats.org/officeDocument/2006/relationships/hyperlink" Target="https://www.lloydsbankinggroup.com/assets/pdfs/investors/financial-performance/lloyds-bank-corporate-markets-plc/2024/q2/2024-lbcm-hy-pillar-3.pdf" TargetMode="External" Id="rId17"/><Relationship Type="http://schemas.openxmlformats.org/officeDocument/2006/relationships/hyperlink" Target="https://www.lloydsbankinggroup.com/assets/pdfs/investors/financial-performance/lloyds-bank-corporate-markets-plc/2024/q3/2024-lbcm-q3-pillar-3.pdf" TargetMode="External" Id="rId18"/><Relationship Type="http://schemas.openxmlformats.org/officeDocument/2006/relationships/hyperlink" Target="https://www.lloydsbankinggroup.com/assets/pdfs/investors/financial-performance/lloyds-bank-corporate-markets-plc/2023/q1/2023-lbcm-q1-pillar-3.pdf" TargetMode="External" Id="rId19"/><Relationship Type="http://schemas.openxmlformats.org/officeDocument/2006/relationships/hyperlink" Target="https://www.lloydsbankinggroup.com/assets/pdfs/investors/financial-performance/lloyds-bank-corporate-markets-plc/2023/q2/2023-lbcm-hy-pillar-3.pdf" TargetMode="External" Id="rId20"/><Relationship Type="http://schemas.openxmlformats.org/officeDocument/2006/relationships/hyperlink" Target="https://www.lloydsbankinggroup.com/assets/pdfs/investors/financial-performance/lloyds-bank-corporate-markets-plc/2023/q3/2023-lbcm-q3-pillar-3.pdf" TargetMode="External" Id="rId21"/><Relationship Type="http://schemas.openxmlformats.org/officeDocument/2006/relationships/hyperlink" Target="https://www.lloydsbankinggroup.com/assets/pdfs/investors/financial-performance/lloyds-bank-corporate-markets-plc/2022/half-year/2022-lbcm-hy-pillar-3.pdf" TargetMode="External" Id="rId22"/><Relationship Type="http://schemas.openxmlformats.org/officeDocument/2006/relationships/hyperlink" Target="https://www.lloydsbankinggroup.com/assets/pdfs/investors/financial-performance/lloyds-bank-corporate-markets-plc/2025/q1/2025-lbcm-q1-pillar-3.pdf" TargetMode="External" Id="rId23"/><Relationship Type="http://schemas.openxmlformats.org/officeDocument/2006/relationships/hyperlink" Target="https://www.lloydsbankinggroup.com/assets/pdfs/investors/financial-performance/lloyds-bank-corporate-markets-plc/2025/q2/2025-lbcm-hy-pillar-3.pdf" TargetMode="External" Id="rId24"/><Relationship Type="http://schemas.openxmlformats.org/officeDocument/2006/relationships/hyperlink" Target="https://www.lloydsbankinggroup.com/assets/pdfs/investors/financial-performance/lloyds-bank-corporate-markets-plc/2025/q3/2025-lbcm-q3-pillar-3.pdf" TargetMode="External" Id="rId25"/><Relationship Type="http://schemas.openxmlformats.org/officeDocument/2006/relationships/hyperlink" Target="https://www.lloydsbankinggroup.com/assets/pdfs/investors/financial-performance/lloyds-bank-corporate-markets-plc/2024/q1/2024-lbcm-q1-pillar-3.pdf" TargetMode="External" Id="rId26"/><Relationship Type="http://schemas.openxmlformats.org/officeDocument/2006/relationships/hyperlink" Target="https://www.lloydsbankinggroup.com/assets/pdfs/investors/financial-performance/lloyds-bank-corporate-markets-plc/2024/q2/2024-lbcm-hy-pillar-3.pdf" TargetMode="External" Id="rId27"/><Relationship Type="http://schemas.openxmlformats.org/officeDocument/2006/relationships/hyperlink" Target="https://www.lloydsbankinggroup.com/assets/pdfs/investors/financial-performance/lloyds-bank-corporate-markets-plc/2024/q3/2024-lbcm-q3-pillar-3.pdf" TargetMode="External" Id="rId28"/><Relationship Type="http://schemas.openxmlformats.org/officeDocument/2006/relationships/hyperlink" Target="https://www.lloydsbankinggroup.com/assets/pdfs/investors/financial-performance/lloyds-bank-corporate-markets-plc/2023/q1/2023-lbcm-q1-pillar-3.pdf" TargetMode="External" Id="rId29"/><Relationship Type="http://schemas.openxmlformats.org/officeDocument/2006/relationships/hyperlink" Target="https://www.lloydsbankinggroup.com/assets/pdfs/investors/financial-performance/lloyds-bank-corporate-markets-plc/2023/q2/2023-lbcm-hy-pillar-3.pdf" TargetMode="External" Id="rId30"/><Relationship Type="http://schemas.openxmlformats.org/officeDocument/2006/relationships/hyperlink" Target="https://www.lloydsbankinggroup.com/assets/pdfs/investors/financial-performance/lloyds-bank-corporate-markets-plc/2023/q3/2023-lbcm-q3-pillar-3.pdf" TargetMode="External" Id="rId31"/><Relationship Type="http://schemas.openxmlformats.org/officeDocument/2006/relationships/hyperlink" Target="https://www.lloydsbankinggroup.com/assets/pdfs/investors/financial-performance/lloyds-bank-corporate-markets-plc/2022/half-year/2022-lbcm-hy-pillar-3.pdf" TargetMode="External" Id="rId32"/><Relationship Type="http://schemas.openxmlformats.org/officeDocument/2006/relationships/hyperlink" Target="https://www.lloydsbankinggroup.com/assets/pdfs/investors/financial-performance/lloyds-bank-corporate-markets-plc/2025/q1/2025-lbcm-q1-pillar-3.pdf" TargetMode="External" Id="rId33"/><Relationship Type="http://schemas.openxmlformats.org/officeDocument/2006/relationships/hyperlink" Target="https://www.lloydsbankinggroup.com/assets/pdfs/investors/financial-performance/lloyds-bank-corporate-markets-plc/2025/q2/2025-lbcm-hy-pillar-3.pdf" TargetMode="External" Id="rId34"/><Relationship Type="http://schemas.openxmlformats.org/officeDocument/2006/relationships/hyperlink" Target="https://www.lloydsbankinggroup.com/assets/pdfs/investors/financial-performance/lloyds-bank-corporate-markets-plc/2025/q3/2025-lbcm-q3-pillar-3.pdf" TargetMode="External" Id="rId35"/><Relationship Type="http://schemas.openxmlformats.org/officeDocument/2006/relationships/hyperlink" Target="https://www.lloydsbankinggroup.com/assets/pdfs/investors/financial-performance/lloyds-bank-corporate-markets-plc/2024/q1/2024-lbcm-q1-pillar-3.pdf" TargetMode="External" Id="rId36"/><Relationship Type="http://schemas.openxmlformats.org/officeDocument/2006/relationships/hyperlink" Target="https://www.lloydsbankinggroup.com/assets/pdfs/investors/financial-performance/lloyds-bank-corporate-markets-plc/2024/q2/2024-lbcm-hy-pillar-3.pdf" TargetMode="External" Id="rId37"/><Relationship Type="http://schemas.openxmlformats.org/officeDocument/2006/relationships/hyperlink" Target="https://www.lloydsbankinggroup.com/assets/pdfs/investors/financial-performance/lloyds-bank-corporate-markets-plc/2024/q3/2024-lbcm-q3-pillar-3.pdf" TargetMode="External" Id="rId38"/><Relationship Type="http://schemas.openxmlformats.org/officeDocument/2006/relationships/hyperlink" Target="https://www.lloydsbankinggroup.com/assets/pdfs/investors/financial-performance/lloyds-bank-corporate-markets-plc/2023/q1/2023-lbcm-q1-pillar-3.pdf" TargetMode="External" Id="rId39"/><Relationship Type="http://schemas.openxmlformats.org/officeDocument/2006/relationships/hyperlink" Target="https://www.lloydsbankinggroup.com/assets/pdfs/investors/financial-performance/lloyds-bank-corporate-markets-plc/2023/q2/2023-lbcm-hy-pillar-3.pdf" TargetMode="External" Id="rId40"/><Relationship Type="http://schemas.openxmlformats.org/officeDocument/2006/relationships/hyperlink" Target="https://www.lloydsbankinggroup.com/assets/pdfs/investors/financial-performance/lloyds-bank-corporate-markets-plc/2023/q3/2023-lbcm-q3-pillar-3.pdf" TargetMode="External" Id="rId41"/><Relationship Type="http://schemas.openxmlformats.org/officeDocument/2006/relationships/hyperlink" Target="https://www.lloydsbankinggroup.com/assets/pdfs/investors/financial-performance/lloyds-bank-corporate-markets-plc/2022/q1/2022-lbcm-q1-pillar-3.pdf" TargetMode="External" Id="rId42"/><Relationship Type="http://schemas.openxmlformats.org/officeDocument/2006/relationships/hyperlink" Target="https://www.lloydsbankinggroup.com/assets/pdfs/investors/financial-performance/lloyds-bank-corporate-markets-plc/2022/half-year/2022-lbcm-hy-pillar-3.pdf" TargetMode="External" Id="rId43"/><Relationship Type="http://schemas.openxmlformats.org/officeDocument/2006/relationships/hyperlink" Target="https://www.lloydsbankinggroup.com/assets/pdfs/investors/financial-performance/lloyds-bank-corporate-markets-plc/2022/q3/2022-lbcm-q3-pillar-3.pdf" TargetMode="External" Id="rId44"/><Relationship Type="http://schemas.openxmlformats.org/officeDocument/2006/relationships/hyperlink" Target="https://www.lloydsbankinggroup.com/assets/pdfs/investors/financial-performance/lloyds-bank-corporate-markets-plc/2025/q2/2025-lbcm-hy-pillar-3.pdf" TargetMode="External" Id="rId45"/><Relationship Type="http://schemas.openxmlformats.org/officeDocument/2006/relationships/hyperlink" Target="https://www.lloydsbankinggroup.com/assets/pdfs/investors/financial-performance/lloyds-bank-corporate-markets-plc/2024/q2/2024-lbcm-hy-pillar-3.pdf" TargetMode="External" Id="rId46"/><Relationship Type="http://schemas.openxmlformats.org/officeDocument/2006/relationships/hyperlink" Target="https://www.lloydsbankinggroup.com/assets/pdfs/investors/financial-performance/lloyds-bank-corporate-markets-plc/2023/q2/2023-lbcm-hy-pillar-3.pdf" TargetMode="External" Id="rId47"/><Relationship Type="http://schemas.openxmlformats.org/officeDocument/2006/relationships/hyperlink" Target="https://www.lloydsbankinggroup.com/assets/pdfs/investors/financial-performance/lloyds-bank-corporate-markets-plc/2022/half-year/2022-lbcm-hy-pillar-3.pdf" TargetMode="External" Id="rId48"/><Relationship Type="http://schemas.openxmlformats.org/officeDocument/2006/relationships/hyperlink" Target="https://www.lloydsbankinggroup.com/assets/pdfs/investors/financial-performance/lloyds-bank-corporate-markets-plc/2025/q2/2025-lbcm-hy-pillar-3.pdf" TargetMode="External" Id="rId49"/><Relationship Type="http://schemas.openxmlformats.org/officeDocument/2006/relationships/hyperlink" Target="https://www.lloydsbankinggroup.com/assets/pdfs/investors/financial-performance/lloyds-bank-corporate-markets-plc/2024/q2/2024-lbcm-hy-pillar-3.pdf" TargetMode="External" Id="rId50"/><Relationship Type="http://schemas.openxmlformats.org/officeDocument/2006/relationships/hyperlink" Target="https://www.lloydsbankinggroup.com/assets/pdfs/investors/financial-performance/lloyds-bank-corporate-markets-plc/2023/q2/2023-lbcm-hy-pillar-3.pdf" TargetMode="External" Id="rId51"/><Relationship Type="http://schemas.openxmlformats.org/officeDocument/2006/relationships/hyperlink" Target="https://www.lloydsbankinggroup.com/assets/pdfs/investors/financial-performance/lloyds-bank-corporate-markets-plc/2022/half-year/2022-lbcm-hy-pillar-3.pdf" TargetMode="External" Id="rId52"/><Relationship Type="http://schemas.openxmlformats.org/officeDocument/2006/relationships/hyperlink" Target="https://www.lloydsbankinggroup.com/assets/pdfs/investors/financial-performance/lloyds-bank-corporate-markets-plc/2025/q2/2025-lbcm-hy-pillar-3.pdf" TargetMode="External" Id="rId53"/><Relationship Type="http://schemas.openxmlformats.org/officeDocument/2006/relationships/hyperlink" Target="https://www.lloydsbankinggroup.com/assets/pdfs/investors/financial-performance/lloyds-bank-corporate-markets-plc/2024/q2/2024-lbcm-hy-pillar-3.pdf" TargetMode="External" Id="rId54"/><Relationship Type="http://schemas.openxmlformats.org/officeDocument/2006/relationships/hyperlink" Target="https://www.lloydsbankinggroup.com/assets/pdfs/investors/financial-performance/lloyds-bank-corporate-markets-plc/2023/q2/2023-lbcm-hy-pillar-3.pdf" TargetMode="External" Id="rId55"/><Relationship Type="http://schemas.openxmlformats.org/officeDocument/2006/relationships/hyperlink" Target="https://www.lloydsbankinggroup.com/assets/pdfs/investors/financial-performance/lloyds-bank-corporate-markets-plc/2022/half-year/2022-lbcm-hy-pillar-3.pdf" TargetMode="External" Id="rId56"/><Relationship Type="http://schemas.openxmlformats.org/officeDocument/2006/relationships/hyperlink" Target="https://www.lloydsbankinggroup.com/assets/pdfs/investors/financial-performance/lloyds-bank-corporate-markets-plc/2025/q2/2025-lbcm-hy-pillar-3.pdf" TargetMode="External" Id="rId57"/><Relationship Type="http://schemas.openxmlformats.org/officeDocument/2006/relationships/hyperlink" Target="https://www.lloydsbankinggroup.com/assets/pdfs/investors/financial-performance/lloyds-bank-corporate-markets-plc/2024/q2/2024-lbcm-hy-pillar-3.pdf" TargetMode="External" Id="rId58"/><Relationship Type="http://schemas.openxmlformats.org/officeDocument/2006/relationships/hyperlink" Target="https://www.lloydsbankinggroup.com/assets/pdfs/investors/financial-performance/lloyds-bank-corporate-markets-plc/2023/q2/2023-lbcm-hy-pillar-3.pdf" TargetMode="External" Id="rId59"/><Relationship Type="http://schemas.openxmlformats.org/officeDocument/2006/relationships/hyperlink" Target="https://www.lloydsbankinggroup.com/assets/pdfs/investors/financial-performance/lloyds-bank-corporate-markets-plc/2022/half-year/2022-lbcm-hy-pillar-3.pdf" TargetMode="External" Id="rId60"/><Relationship Type="http://schemas.openxmlformats.org/officeDocument/2006/relationships/hyperlink" Target="https://www.lloydsbankinggroup.com/assets/pdfs/investors/financial-performance/lloyds-bank-corporate-markets-plc/2025/q2/2025-lbcm-hy-pillar-3.pdf" TargetMode="External" Id="rId61"/><Relationship Type="http://schemas.openxmlformats.org/officeDocument/2006/relationships/hyperlink" Target="https://www.lloydsbankinggroup.com/assets/pdfs/investors/financial-performance/lloyds-bank-corporate-markets-plc/2024/q2/2024-lbcm-hy-pillar-3.pdf" TargetMode="External" Id="rId62"/><Relationship Type="http://schemas.openxmlformats.org/officeDocument/2006/relationships/hyperlink" Target="https://www.lloydsbankinggroup.com/assets/pdfs/investors/financial-performance/lloyds-bank-corporate-markets-plc/2023/q2/2023-lbcm-hy-pillar-3.pdf" TargetMode="External" Id="rId63"/><Relationship Type="http://schemas.openxmlformats.org/officeDocument/2006/relationships/hyperlink" Target="https://www.lloydsbankinggroup.com/assets/pdfs/investors/financial-performance/lloyds-bank-corporate-markets-plc/2022/half-year/2022-lbcm-hy-pillar-3.pdf" TargetMode="External" Id="rId64"/><Relationship Type="http://schemas.openxmlformats.org/officeDocument/2006/relationships/hyperlink" Target="https://www.lloydsbankinggroup.com/assets/pdfs/investors/financial-performance/lloyds-bank-corporate-markets-plc/2025/q2/2025-lbcm-hy-pillar-3.pdf" TargetMode="External" Id="rId65"/><Relationship Type="http://schemas.openxmlformats.org/officeDocument/2006/relationships/hyperlink" Target="https://www.lloydsbankinggroup.com/assets/pdfs/investors/financial-performance/lloyds-bank-corporate-markets-plc/2024/q2/2024-lbcm-hy-pillar-3.pdf" TargetMode="External" Id="rId66"/><Relationship Type="http://schemas.openxmlformats.org/officeDocument/2006/relationships/hyperlink" Target="https://www.lloydsbankinggroup.com/assets/pdfs/investors/financial-performance/lloyds-bank-corporate-markets-plc/2023/q2/2023-lbcm-hy-pillar-3.pdf" TargetMode="External" Id="rId67"/><Relationship Type="http://schemas.openxmlformats.org/officeDocument/2006/relationships/hyperlink" Target="https://www.lloydsbankinggroup.com/assets/pdfs/investors/financial-performance/lloyds-bank-corporate-markets-plc/2022/half-year/2022-lbcm-hy-pillar-3.pdf" TargetMode="External" Id="rId68"/><Relationship Type="http://schemas.openxmlformats.org/officeDocument/2006/relationships/hyperlink" Target="https://www.lloydsbankinggroup.com/assets/pdfs/investors/financial-performance/lloyds-bank-corporate-markets-plc/2025/q2/2025-lbcm-hy-pillar-3.pdf" TargetMode="External" Id="rId69"/><Relationship Type="http://schemas.openxmlformats.org/officeDocument/2006/relationships/hyperlink" Target="https://www.lloydsbankinggroup.com/assets/pdfs/investors/financial-performance/lloyds-bank-corporate-markets-plc/2024/q2/2024-lbcm-hy-pillar-3.pdf" TargetMode="External" Id="rId70"/><Relationship Type="http://schemas.openxmlformats.org/officeDocument/2006/relationships/hyperlink" Target="https://www.lloydsbankinggroup.com/assets/pdfs/investors/financial-performance/lloyds-bank-corporate-markets-plc/2023/q2/2023-lbcm-hy-pillar-3.pdf" TargetMode="External" Id="rId71"/><Relationship Type="http://schemas.openxmlformats.org/officeDocument/2006/relationships/hyperlink" Target="https://www.lloydsbankinggroup.com/assets/pdfs/investors/financial-performance/lloyds-bank-corporate-markets-plc/2025/q1/2025-lbcm-q1-pillar-3.pdf" TargetMode="External" Id="rId72"/><Relationship Type="http://schemas.openxmlformats.org/officeDocument/2006/relationships/hyperlink" Target="https://www.lloydsbankinggroup.com/assets/pdfs/investors/financial-performance/lloyds-bank-corporate-markets-plc/2025/q2/2025-lbcm-hy-pillar-3.pdf" TargetMode="External" Id="rId73"/><Relationship Type="http://schemas.openxmlformats.org/officeDocument/2006/relationships/hyperlink" Target="https://www.lloydsbankinggroup.com/assets/pdfs/investors/financial-performance/lloyds-bank-corporate-markets-plc/2025/q3/2025-lbcm-q3-pillar-3.pdf" TargetMode="External" Id="rId74"/><Relationship Type="http://schemas.openxmlformats.org/officeDocument/2006/relationships/hyperlink" Target="https://www.lloydsbankinggroup.com/assets/pdfs/investors/financial-performance/lloyds-bank-corporate-markets-plc/2024/q1/2024-lbcm-q1-pillar-3.pdf" TargetMode="External" Id="rId75"/><Relationship Type="http://schemas.openxmlformats.org/officeDocument/2006/relationships/hyperlink" Target="https://www.lloydsbankinggroup.com/assets/pdfs/investors/financial-performance/lloyds-bank-corporate-markets-plc/2024/q2/2024-lbcm-hy-pillar-3.pdf" TargetMode="External" Id="rId76"/><Relationship Type="http://schemas.openxmlformats.org/officeDocument/2006/relationships/hyperlink" Target="https://www.lloydsbankinggroup.com/assets/pdfs/investors/financial-performance/lloyds-bank-corporate-markets-plc/2024/q3/2024-lbcm-q3-pillar-3.pdf" TargetMode="External" Id="rId77"/><Relationship Type="http://schemas.openxmlformats.org/officeDocument/2006/relationships/hyperlink" Target="https://www.lloydsbankinggroup.com/assets/pdfs/investors/financial-performance/lloyds-bank-corporate-markets-plc/2023/q1/2023-lbcm-q1-pillar-3.pdf" TargetMode="External" Id="rId78"/><Relationship Type="http://schemas.openxmlformats.org/officeDocument/2006/relationships/hyperlink" Target="https://www.lloydsbankinggroup.com/assets/pdfs/investors/financial-performance/lloyds-bank-corporate-markets-plc/2023/q2/2023-lbcm-hy-pillar-3.pdf" TargetMode="External" Id="rId79"/><Relationship Type="http://schemas.openxmlformats.org/officeDocument/2006/relationships/hyperlink" Target="https://www.lloydsbankinggroup.com/assets/pdfs/investors/financial-performance/lloyds-bank-corporate-markets-plc/2023/q3/2023-lbcm-q3-pillar-3.pdf" TargetMode="External" Id="rId80"/><Relationship Type="http://schemas.openxmlformats.org/officeDocument/2006/relationships/hyperlink" Target="https://www.lloydsbankinggroup.com/assets/pdfs/investors/financial-performance/lloyds-bank-corporate-markets-plc/2022/q1/2022-lbcm-q1-pillar-3.pdf" TargetMode="External" Id="rId81"/><Relationship Type="http://schemas.openxmlformats.org/officeDocument/2006/relationships/hyperlink" Target="https://www.lloydsbankinggroup.com/assets/pdfs/investors/financial-performance/lloyds-bank-corporate-markets-plc/2022/half-year/2022-lbcm-hy-pillar-3.pdf" TargetMode="External" Id="rId82"/><Relationship Type="http://schemas.openxmlformats.org/officeDocument/2006/relationships/hyperlink" Target="https://www.lloydsbankinggroup.com/assets/pdfs/investors/financial-performance/lloyds-bank-corporate-markets-plc/2022/q3/2022-lbcm-q3-pillar-3.pdf" TargetMode="External" Id="rId83"/></Relationships>
</file>

<file path=xl/worksheets/sheet1.xml><?xml version="1.0" encoding="utf-8"?>
<worksheet xmlns="http://schemas.openxmlformats.org/spreadsheetml/2006/main">
  <sheetPr>
    <outlinePr summaryBelow="1" summaryRight="1"/>
    <pageSetUpPr/>
  </sheetPr>
  <dimension ref="A1:V18"/>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Lloyds Bank Corporate Markets plc — Overview</t>
        </is>
      </c>
    </row>
    <row r="2">
      <c r="A2" s="2" t="inlineStr">
        <is>
          <t>Summary of cash flow and Pillar 3 disclosures across all years covered in this workbook</t>
        </is>
      </c>
    </row>
    <row r="4">
      <c r="A4" s="3" t="inlineStr">
        <is>
          <t>Cash Flow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provided by/(used in) operating activities</t>
        </is>
      </c>
      <c r="B6" s="5" t="n">
        <v>-2800</v>
      </c>
      <c r="C6" s="5" t="n">
        <v>-635</v>
      </c>
      <c r="D6" s="5" t="n">
        <v>1288</v>
      </c>
      <c r="E6" s="5" t="n">
        <v>-4456</v>
      </c>
      <c r="F6" s="5" t="n">
        <v>-3219</v>
      </c>
      <c r="I6" t="inlineStr">
        <is>
          <t>Net cash provided by/(used in) operating activities</t>
        </is>
      </c>
      <c r="J6" t="n">
        <v>-3219</v>
      </c>
      <c r="K6" t="n">
        <v>-4456</v>
      </c>
      <c r="L6" t="n">
        <v>1288</v>
      </c>
      <c r="M6" t="n">
        <v>-635</v>
      </c>
      <c r="N6" t="n">
        <v>-2800</v>
      </c>
      <c r="Q6" t="inlineStr">
        <is>
          <t>CET1 Ratio</t>
        </is>
      </c>
      <c r="R6" t="n">
        <v>13.1</v>
      </c>
      <c r="S6" t="n">
        <v>14.6</v>
      </c>
      <c r="T6" t="n">
        <v>13.3</v>
      </c>
      <c r="U6" t="n">
        <v>13.6</v>
      </c>
      <c r="V6" t="n">
        <v>13.7</v>
      </c>
    </row>
    <row r="7">
      <c r="A7" s="5" t="inlineStr">
        <is>
          <t>Net cash provided by/(used in) investing activities</t>
        </is>
      </c>
      <c r="B7" s="5" t="n">
        <v>-3</v>
      </c>
      <c r="C7" s="5" t="n">
        <v>-5</v>
      </c>
      <c r="D7" s="5" t="n">
        <v>5</v>
      </c>
      <c r="E7" s="5" t="n">
        <v>122</v>
      </c>
      <c r="F7" s="5" t="n">
        <v>96</v>
      </c>
      <c r="I7" t="inlineStr">
        <is>
          <t>Net cash provided by/(used in) investing activities</t>
        </is>
      </c>
      <c r="J7" t="n">
        <v>96</v>
      </c>
      <c r="K7" t="n">
        <v>122</v>
      </c>
      <c r="L7" t="n">
        <v>5</v>
      </c>
      <c r="M7" t="n">
        <v>-5</v>
      </c>
      <c r="N7" t="n">
        <v>-3</v>
      </c>
      <c r="Q7" t="inlineStr">
        <is>
          <t>Tier 1 Ratio</t>
        </is>
      </c>
      <c r="R7" t="n">
        <v>17.2</v>
      </c>
      <c r="S7" t="n">
        <v>18.3</v>
      </c>
      <c r="T7" t="n">
        <v>17.1</v>
      </c>
      <c r="U7" t="n">
        <v>17.4</v>
      </c>
      <c r="V7" t="n">
        <v>31.8</v>
      </c>
    </row>
    <row r="8">
      <c r="A8" s="5" t="inlineStr">
        <is>
          <t>Net cash provided by/(used in) financing activities</t>
        </is>
      </c>
      <c r="B8" s="5" t="n">
        <v>2372</v>
      </c>
      <c r="C8" s="5" t="n">
        <v>-586</v>
      </c>
      <c r="D8" s="5" t="n">
        <v>-117</v>
      </c>
      <c r="E8" s="5" t="n">
        <v>-46</v>
      </c>
      <c r="F8" s="5" t="n">
        <v>-249</v>
      </c>
      <c r="I8" t="inlineStr">
        <is>
          <t>Net cash provided by/(used in) financing activities</t>
        </is>
      </c>
      <c r="J8" t="n">
        <v>-249</v>
      </c>
      <c r="K8" t="n">
        <v>-46</v>
      </c>
      <c r="L8" t="n">
        <v>-117</v>
      </c>
      <c r="M8" t="n">
        <v>-586</v>
      </c>
      <c r="N8" t="n">
        <v>2372</v>
      </c>
      <c r="Q8" t="inlineStr">
        <is>
          <t>Total Capital Ratio</t>
        </is>
      </c>
      <c r="R8" t="n">
        <v>20.1</v>
      </c>
      <c r="S8" t="n">
        <v>21.2</v>
      </c>
      <c r="T8" t="n">
        <v>20.1</v>
      </c>
      <c r="U8" t="n">
        <v>20.2</v>
      </c>
      <c r="V8" t="n">
        <v>31.8</v>
      </c>
    </row>
    <row r="9">
      <c r="A9" s="5" t="inlineStr">
        <is>
          <t>Cash and cash equivalents at end of year</t>
        </is>
      </c>
      <c r="B9" s="5" t="n">
        <v>19681</v>
      </c>
      <c r="C9" s="5" t="n">
        <v>20633</v>
      </c>
      <c r="D9" s="5" t="n">
        <v>20169</v>
      </c>
      <c r="E9" s="5" t="n">
        <v>19396</v>
      </c>
      <c r="F9" s="5" t="n">
        <v>23038</v>
      </c>
      <c r="I9" t="inlineStr">
        <is>
          <t>Cash and cash equivalents at end of year</t>
        </is>
      </c>
      <c r="J9" t="n">
        <v>23038</v>
      </c>
      <c r="K9" t="n">
        <v>19396</v>
      </c>
      <c r="L9" t="n">
        <v>20169</v>
      </c>
      <c r="M9" t="n">
        <v>20633</v>
      </c>
      <c r="N9" t="n">
        <v>19681</v>
      </c>
      <c r="Q9" t="inlineStr">
        <is>
          <t>Leverage Ratio</t>
        </is>
      </c>
      <c r="R9" t="n">
        <v>3.5</v>
      </c>
      <c r="S9" t="n">
        <v>5.4</v>
      </c>
      <c r="T9" t="n">
        <v>4.7</v>
      </c>
      <c r="U9" t="n">
        <v>4.5</v>
      </c>
      <c r="V9" t="n">
        <v>8.4</v>
      </c>
    </row>
    <row r="11">
      <c r="A11" s="3" t="inlineStr">
        <is>
          <t>Pillar 3 Key Metrics</t>
        </is>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inlineStr">
        <is>
          <t>13.7%</t>
        </is>
      </c>
      <c r="C13" s="6" t="inlineStr">
        <is>
          <t>13.6%</t>
        </is>
      </c>
      <c r="D13" s="6" t="inlineStr">
        <is>
          <t>13.3%</t>
        </is>
      </c>
      <c r="E13" s="6" t="inlineStr">
        <is>
          <t>14.6%</t>
        </is>
      </c>
      <c r="F13" s="6" t="inlineStr">
        <is>
          <t>13.1%</t>
        </is>
      </c>
    </row>
    <row r="14">
      <c r="A14" s="6" t="inlineStr">
        <is>
          <t>Tier 1 Ratio</t>
        </is>
      </c>
      <c r="B14" s="6" t="inlineStr">
        <is>
          <t>31.8%</t>
        </is>
      </c>
      <c r="C14" s="6" t="inlineStr">
        <is>
          <t>17.4%</t>
        </is>
      </c>
      <c r="D14" s="6" t="inlineStr">
        <is>
          <t>17.1%</t>
        </is>
      </c>
      <c r="E14" s="6" t="inlineStr">
        <is>
          <t>18.3%</t>
        </is>
      </c>
      <c r="F14" s="6" t="inlineStr">
        <is>
          <t>17.2%</t>
        </is>
      </c>
    </row>
    <row r="15">
      <c r="A15" s="6" t="inlineStr">
        <is>
          <t>Total Capital Ratio</t>
        </is>
      </c>
      <c r="B15" s="6" t="inlineStr">
        <is>
          <t>31.8%</t>
        </is>
      </c>
      <c r="C15" s="6" t="inlineStr">
        <is>
          <t>20.2%</t>
        </is>
      </c>
      <c r="D15" s="6" t="inlineStr">
        <is>
          <t>20.1%</t>
        </is>
      </c>
      <c r="E15" s="6" t="inlineStr">
        <is>
          <t>21.2%</t>
        </is>
      </c>
      <c r="F15" s="6" t="inlineStr">
        <is>
          <t>20.1%</t>
        </is>
      </c>
    </row>
    <row r="16">
      <c r="A16" s="6" t="inlineStr">
        <is>
          <t>Leverage Ratio</t>
        </is>
      </c>
      <c r="B16" s="6" t="inlineStr">
        <is>
          <t>8.4%</t>
        </is>
      </c>
      <c r="C16" s="6" t="inlineStr">
        <is>
          <t>4.5%</t>
        </is>
      </c>
      <c r="D16" s="6" t="inlineStr">
        <is>
          <t>4.7%</t>
        </is>
      </c>
      <c r="E16" s="6" t="inlineStr">
        <is>
          <t>5.4%</t>
        </is>
      </c>
      <c r="F16" s="6" t="inlineStr">
        <is>
          <t>3.5%</t>
        </is>
      </c>
    </row>
    <row r="18" ht="45" customHeight="1">
      <c r="A18" s="7" t="inlineStr">
        <is>
          <t>Note: All figures are Lloyds Bank Corporate Markets plc's own Bank (solo) basis, not the wider Lloyds Banking Group.</t>
        </is>
      </c>
    </row>
  </sheetData>
  <mergeCells count="1">
    <mergeCell ref="A18:F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Cash Flow Statement</t>
        </is>
      </c>
    </row>
    <row r="2">
      <c r="A2" s="2" t="inlineStr">
        <is>
          <t>Lloyds Bank Corporate Markets plc, Bank (solo) basis, £m. Two genuine restatements exist between years' opening/closing cash balances; each year's own originally-published figure is used (not the following year's restated comparative), per this project's standard convention: (1) FY2021's own report shows Bank closing cash of £23,038m, but FY2022's own report's FY2021 comparative shows £23,083m (a £45m gap). (2) FY2023's own report shows Bank closing cash of £20,169m, but FY2024's own report's FY2023 comparative shows £21,743m (a much larger £1,574m gap) — flagged prominently as it is the larger of the two and not further explained in either source document. FY2024→FY2025 and FY2022→FY2023 both tie exactly.</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Operating activities</t>
        </is>
      </c>
      <c r="B4" s="6" t="n"/>
      <c r="C4" s="6" t="n"/>
      <c r="D4" s="6" t="n"/>
      <c r="E4" s="6" t="n"/>
      <c r="F4" s="6" t="n"/>
    </row>
    <row r="5">
      <c r="A5" s="6" t="inlineStr">
        <is>
          <t>Profit before tax</t>
        </is>
      </c>
      <c r="B5" s="6" t="n">
        <v>583</v>
      </c>
      <c r="C5" s="6" t="n">
        <v>468</v>
      </c>
      <c r="D5" s="6" t="n">
        <v>399</v>
      </c>
      <c r="E5" s="6" t="n">
        <v>436</v>
      </c>
      <c r="F5" s="6" t="n">
        <v>293</v>
      </c>
    </row>
    <row r="6">
      <c r="A6" s="6" t="inlineStr">
        <is>
          <t>Change in operating assets</t>
        </is>
      </c>
      <c r="B6" s="6" t="n">
        <v>863</v>
      </c>
      <c r="C6" s="6" t="n">
        <v>-5920</v>
      </c>
      <c r="D6" s="6" t="n">
        <v>-3331</v>
      </c>
      <c r="E6" s="6" t="n">
        <v>-1657</v>
      </c>
      <c r="F6" s="6" t="n">
        <v>180</v>
      </c>
    </row>
    <row r="7">
      <c r="A7" s="6" t="inlineStr">
        <is>
          <t>Change in operating liabilities</t>
        </is>
      </c>
      <c r="B7" s="6" t="n">
        <v>-4782</v>
      </c>
      <c r="C7" s="6" t="n">
        <v>4619</v>
      </c>
      <c r="D7" s="6" t="n">
        <v>3614</v>
      </c>
      <c r="E7" s="6" t="n">
        <v>-2881</v>
      </c>
      <c r="F7" s="6" t="n">
        <v>-3502</v>
      </c>
    </row>
    <row r="8">
      <c r="A8" s="6" t="inlineStr">
        <is>
          <t>Non-cash and other items</t>
        </is>
      </c>
      <c r="B8" s="6" t="n">
        <v>623</v>
      </c>
      <c r="C8" s="6" t="n">
        <v>282</v>
      </c>
      <c r="D8" s="6" t="n">
        <v>702</v>
      </c>
      <c r="E8" s="6" t="n">
        <v>-296</v>
      </c>
      <c r="F8" s="6" t="n">
        <v>-152</v>
      </c>
    </row>
    <row r="9">
      <c r="A9" s="6" t="inlineStr">
        <is>
          <t>Tax paid, net</t>
        </is>
      </c>
      <c r="B9" s="6" t="n">
        <v>-87</v>
      </c>
      <c r="C9" s="6" t="n">
        <v>-84</v>
      </c>
      <c r="D9" s="6" t="n">
        <v>-96</v>
      </c>
      <c r="E9" s="6" t="n">
        <v>-58</v>
      </c>
      <c r="F9" s="6" t="n">
        <v>-38</v>
      </c>
    </row>
    <row r="10">
      <c r="A10" s="5" t="inlineStr">
        <is>
          <t>Net cash provided by/(used in) operating activities</t>
        </is>
      </c>
      <c r="B10" s="5" t="n">
        <v>-2800</v>
      </c>
      <c r="C10" s="5" t="n">
        <v>-635</v>
      </c>
      <c r="D10" s="5" t="n">
        <v>1288</v>
      </c>
      <c r="E10" s="5" t="n">
        <v>-4456</v>
      </c>
      <c r="F10" s="5" t="n">
        <v>-3219</v>
      </c>
    </row>
    <row r="11">
      <c r="A11" s="5" t="inlineStr">
        <is>
          <t>Investing activities</t>
        </is>
      </c>
      <c r="B11" s="6" t="n"/>
      <c r="C11" s="6" t="n"/>
      <c r="D11" s="6" t="n"/>
      <c r="E11" s="6" t="n"/>
      <c r="F11" s="6" t="n"/>
    </row>
    <row r="12">
      <c r="A12" s="6" t="inlineStr">
        <is>
          <t>Purchase of financial assets</t>
        </is>
      </c>
      <c r="B12" s="6" t="n"/>
      <c r="C12" s="6" t="n">
        <v>0</v>
      </c>
      <c r="D12" s="6" t="n">
        <v>-3</v>
      </c>
      <c r="E12" s="6" t="n">
        <v>-27</v>
      </c>
      <c r="F12" s="6" t="n">
        <v>-85</v>
      </c>
    </row>
    <row r="13">
      <c r="A13" s="6" t="inlineStr">
        <is>
          <t>Proceeds from sale and maturity of financial assets</t>
        </is>
      </c>
      <c r="B13" s="6" t="n"/>
      <c r="C13" s="6" t="n">
        <v>0</v>
      </c>
      <c r="D13" s="6" t="n">
        <v>10</v>
      </c>
      <c r="E13" s="6" t="n">
        <v>132</v>
      </c>
      <c r="F13" s="6" t="n">
        <v>138</v>
      </c>
    </row>
    <row r="14">
      <c r="A14" s="6" t="inlineStr">
        <is>
          <t>Purchase of fixed assets</t>
        </is>
      </c>
      <c r="B14" s="6" t="n">
        <v>-3</v>
      </c>
      <c r="C14" s="6" t="n">
        <v>-2</v>
      </c>
      <c r="D14" s="6" t="n">
        <v>-2</v>
      </c>
      <c r="E14" s="6" t="n">
        <v>-5</v>
      </c>
      <c r="F14" s="6" t="n">
        <v>-1</v>
      </c>
    </row>
    <row r="15">
      <c r="A15" s="6" t="inlineStr">
        <is>
          <t>Purchase of intangible assets</t>
        </is>
      </c>
      <c r="B15" s="6" t="n">
        <v>0</v>
      </c>
      <c r="C15" s="6" t="n">
        <v>-4</v>
      </c>
      <c r="D15" s="6" t="n"/>
      <c r="E15" s="6" t="n"/>
      <c r="F15" s="6" t="n"/>
    </row>
    <row r="16">
      <c r="A16" s="6" t="inlineStr">
        <is>
          <t>Proceeds from sale of fixed assets</t>
        </is>
      </c>
      <c r="B16" s="6" t="n">
        <v>0</v>
      </c>
      <c r="C16" s="6" t="n">
        <v>1</v>
      </c>
      <c r="D16" s="6" t="n"/>
      <c r="E16" s="6" t="n"/>
      <c r="F16" s="6" t="n"/>
    </row>
    <row r="17">
      <c r="A17" s="6" t="inlineStr">
        <is>
          <t>Dividends received from subsidiaries</t>
        </is>
      </c>
      <c r="B17" s="6" t="n"/>
      <c r="C17" s="6" t="n"/>
      <c r="D17" s="6" t="n"/>
      <c r="E17" s="6" t="n">
        <v>22</v>
      </c>
      <c r="F17" s="6" t="n">
        <v>44</v>
      </c>
    </row>
    <row r="18">
      <c r="A18" s="5" t="inlineStr">
        <is>
          <t>Net cash provided by/(used in) investing activities</t>
        </is>
      </c>
      <c r="B18" s="5" t="n">
        <v>-3</v>
      </c>
      <c r="C18" s="5" t="n">
        <v>-5</v>
      </c>
      <c r="D18" s="5" t="n">
        <v>5</v>
      </c>
      <c r="E18" s="5" t="n">
        <v>122</v>
      </c>
      <c r="F18" s="5" t="n">
        <v>96</v>
      </c>
    </row>
    <row r="19">
      <c r="A19" s="5" t="inlineStr">
        <is>
          <t>Financing activities</t>
        </is>
      </c>
      <c r="B19" s="6" t="n"/>
      <c r="C19" s="6" t="n"/>
      <c r="D19" s="6" t="n"/>
      <c r="E19" s="6" t="n"/>
      <c r="F19" s="6" t="n"/>
    </row>
    <row r="20">
      <c r="A20" s="6" t="inlineStr">
        <is>
          <t>Dividends paid to ordinary shareholders</t>
        </is>
      </c>
      <c r="B20" s="6" t="n"/>
      <c r="C20" s="6" t="n">
        <v>-450</v>
      </c>
      <c r="D20" s="6" t="n"/>
      <c r="E20" s="6" t="n">
        <v>-220</v>
      </c>
      <c r="F20" s="6" t="n">
        <v>-200</v>
      </c>
    </row>
    <row r="21">
      <c r="A21" s="6" t="inlineStr">
        <is>
          <t>Distributions on other equity instruments</t>
        </is>
      </c>
      <c r="B21" s="6" t="n">
        <v>-210</v>
      </c>
      <c r="C21" s="6" t="n">
        <v>-78</v>
      </c>
      <c r="D21" s="6" t="n">
        <v>-80</v>
      </c>
      <c r="E21" s="6" t="n">
        <v>-43</v>
      </c>
      <c r="F21" s="6" t="n">
        <v>-33</v>
      </c>
    </row>
    <row r="22">
      <c r="A22" s="6" t="inlineStr">
        <is>
          <t>Issue of ordinary shares</t>
        </is>
      </c>
      <c r="B22" s="6" t="n"/>
      <c r="C22" s="6" t="n"/>
      <c r="D22" s="6" t="n"/>
      <c r="E22" s="6" t="n">
        <v>250</v>
      </c>
      <c r="F22" s="6" t="n"/>
    </row>
    <row r="23">
      <c r="A23" s="6" t="inlineStr">
        <is>
          <t>Interest paid on subordinated liabilities</t>
        </is>
      </c>
      <c r="B23" s="6" t="n">
        <v>-24</v>
      </c>
      <c r="C23" s="6" t="n">
        <v>-54</v>
      </c>
      <c r="D23" s="6" t="n">
        <v>-58</v>
      </c>
      <c r="E23" s="6" t="n">
        <v>-25</v>
      </c>
      <c r="F23" s="6" t="n">
        <v>-16</v>
      </c>
    </row>
    <row r="24">
      <c r="A24" s="6" t="inlineStr">
        <is>
          <t>Finance leases</t>
        </is>
      </c>
      <c r="B24" s="6" t="n">
        <v>-5</v>
      </c>
      <c r="C24" s="6" t="n">
        <v>-4</v>
      </c>
      <c r="D24" s="6" t="n">
        <v>-5</v>
      </c>
      <c r="E24" s="6" t="n">
        <v>-8</v>
      </c>
      <c r="F24" s="6" t="n"/>
    </row>
    <row r="25">
      <c r="A25" s="6" t="inlineStr">
        <is>
          <t>Proceeds from issue of subordinated liabilities</t>
        </is>
      </c>
      <c r="B25" s="6" t="n"/>
      <c r="C25" s="6" t="n"/>
      <c r="D25" s="6" t="n">
        <v>299</v>
      </c>
      <c r="E25" s="6" t="n"/>
      <c r="F25" s="6" t="n"/>
    </row>
    <row r="26">
      <c r="A26" s="6" t="inlineStr">
        <is>
          <t>Repayment of subordinated liabilities</t>
        </is>
      </c>
      <c r="B26" s="6" t="n">
        <v>-730</v>
      </c>
      <c r="C26" s="6" t="n"/>
      <c r="D26" s="6" t="n">
        <v>-284</v>
      </c>
      <c r="E26" s="6" t="n"/>
      <c r="F26" s="6" t="n"/>
    </row>
    <row r="27">
      <c r="A27" s="6" t="inlineStr">
        <is>
          <t>Loss on repayment of other equity instruments</t>
        </is>
      </c>
      <c r="B27" s="6" t="n"/>
      <c r="C27" s="6" t="n"/>
      <c r="D27" s="6" t="n">
        <v>-15</v>
      </c>
      <c r="E27" s="6" t="n"/>
      <c r="F27" s="6" t="n"/>
    </row>
    <row r="28">
      <c r="A28" s="6" t="inlineStr">
        <is>
          <t>Proceeds from issue of other equity instruments</t>
        </is>
      </c>
      <c r="B28" s="6" t="n">
        <v>3637</v>
      </c>
      <c r="C28" s="6" t="n"/>
      <c r="D28" s="6" t="n">
        <v>289</v>
      </c>
      <c r="E28" s="6" t="n"/>
      <c r="F28" s="6" t="n"/>
    </row>
    <row r="29">
      <c r="A29" s="6" t="inlineStr">
        <is>
          <t>Repurchases and redemptions of other equity instruments</t>
        </is>
      </c>
      <c r="B29" s="6" t="n">
        <v>-296</v>
      </c>
      <c r="C29" s="6" t="n"/>
      <c r="D29" s="6" t="n">
        <v>-263</v>
      </c>
      <c r="E29" s="6" t="n"/>
      <c r="F29" s="6" t="n"/>
    </row>
    <row r="30">
      <c r="A30" s="5" t="inlineStr">
        <is>
          <t>Net cash provided by/(used in) financing activities</t>
        </is>
      </c>
      <c r="B30" s="5" t="n">
        <v>2372</v>
      </c>
      <c r="C30" s="5" t="n">
        <v>-586</v>
      </c>
      <c r="D30" s="5" t="n">
        <v>-117</v>
      </c>
      <c r="E30" s="5" t="n">
        <v>-46</v>
      </c>
      <c r="F30" s="5" t="n">
        <v>-249</v>
      </c>
    </row>
    <row r="31">
      <c r="A31" s="6" t="inlineStr">
        <is>
          <t>Effect of exchange rate changes on cash and cash equivalents</t>
        </is>
      </c>
      <c r="B31" s="6" t="n">
        <v>-521</v>
      </c>
      <c r="C31" s="6" t="n">
        <v>116</v>
      </c>
      <c r="D31" s="6" t="n">
        <v>-403</v>
      </c>
      <c r="E31" s="6" t="n">
        <v>693</v>
      </c>
      <c r="F31" s="6" t="n">
        <v>69</v>
      </c>
    </row>
    <row r="32">
      <c r="A32" s="5" t="inlineStr">
        <is>
          <t>Change in cash and cash equivalents</t>
        </is>
      </c>
      <c r="B32" s="5" t="n">
        <v>-952</v>
      </c>
      <c r="C32" s="5" t="n">
        <v>-1110</v>
      </c>
      <c r="D32" s="5" t="n">
        <v>773</v>
      </c>
      <c r="E32" s="5" t="n">
        <v>-3687</v>
      </c>
      <c r="F32" s="5" t="n">
        <v>-3303</v>
      </c>
    </row>
    <row r="33">
      <c r="A33" s="6" t="inlineStr">
        <is>
          <t>Cash and cash equivalents at beginning of year</t>
        </is>
      </c>
      <c r="B33" s="6" t="n">
        <v>20633</v>
      </c>
      <c r="C33" s="6" t="n">
        <v>21743</v>
      </c>
      <c r="D33" s="6" t="n">
        <v>19396</v>
      </c>
      <c r="E33" s="6" t="n">
        <v>23083</v>
      </c>
      <c r="F33" s="6" t="n">
        <v>26341</v>
      </c>
    </row>
    <row r="34">
      <c r="A34" s="5" t="inlineStr">
        <is>
          <t>Cash and cash equivalents at end of year</t>
        </is>
      </c>
      <c r="B34" s="5" t="n">
        <v>19681</v>
      </c>
      <c r="C34" s="5" t="n">
        <v>20633</v>
      </c>
      <c r="D34" s="5" t="n">
        <v>20169</v>
      </c>
      <c r="E34" s="5" t="n">
        <v>19396</v>
      </c>
      <c r="F34" s="5" t="n">
        <v>23038</v>
      </c>
    </row>
    <row r="36" ht="150" customHeight="1">
      <c r="A36" s="8" t="inlineStr">
        <is>
          <t>FY2025: Lloyds Bank Corporate Markets plc Annual Report and Accounts, Cash flow statements (Bank column), p.61 — https://www.lloydsbankinggroup.com/assets/pdfs/investors/financial-performance/lloyds-bank-corporate-markets-plc/2025/q4/2025-lbcm-annual-report.pdf
FY2024: Lloyds Bank Corporate Markets plc Annual Report and Accounts, Cash flow statements (Bank column), p.68 — https://www.lloydsbankinggroup.com/assets/pdfs/investors/financial-performance/lloyds-bank-corporate-markets-plc/2024/q4/2024-lbcm-annual-report.pdf
FY2023: Lloyds Bank Corporate Markets plc Annual Report and Accounts, Cash flow statements (Bank column), p.67 — https://www.lloydsbankinggroup.com/assets/pdfs/investors/financial-performance/lloyds-bank-corporate-markets-plc/2023/q4/2023-lbcm-annual-report.pdf
FY2022: Lloyds Bank Corporate Markets plc Annual Report and Accounts, Cash flow statements (Bank column), p.63 — https://www.lloydsbankinggroup.com/assets/pdfs/investors/financial-performance/lloyds-bank-corporate-markets-plc/2022/q4/2022-lbcm-annual-report.pdf
FY2021: Lloyds Bank Corporate Markets plc Annual Report and Accounts, Cash flow statements (Bank column), p.36 — https://www.lloydsbankinggroup.com/assets/pdfs/investors/financial-performance/lloyds-bank-corporate-markets-plc/2021/2021-lbcm-annual-report.pdf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Companies House — https://find-and-update.company-information.service.gov.uk/company/10399850</t>
        </is>
      </c>
    </row>
  </sheetData>
  <mergeCells count="1">
    <mergeCell ref="A36:F36"/>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n">
        <v>3085</v>
      </c>
      <c r="C4" s="6" t="n">
        <v>2797</v>
      </c>
      <c r="D4" s="6" t="n">
        <v>2725</v>
      </c>
      <c r="E4" s="6" t="n">
        <v>2948</v>
      </c>
      <c r="F4" s="6" t="n">
        <v>2423</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Companies House — https://find-and-update.company-information.service.gov.uk/company/10399850</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inlineStr">
        <is>
          <t>13.7%</t>
        </is>
      </c>
      <c r="C4" s="6" t="inlineStr">
        <is>
          <t>13.6%</t>
        </is>
      </c>
      <c r="D4" s="6" t="inlineStr">
        <is>
          <t>13.3%</t>
        </is>
      </c>
      <c r="E4" s="6" t="inlineStr">
        <is>
          <t>14.6%</t>
        </is>
      </c>
      <c r="F4" s="6" t="inlineStr">
        <is>
          <t>13.1%</t>
        </is>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Companies House — https://find-and-update.company-information.service.gov.uk/company/10399850</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7137</v>
      </c>
      <c r="C4" s="6" t="n">
        <v>3580</v>
      </c>
      <c r="D4" s="6" t="n">
        <v>3508</v>
      </c>
      <c r="E4" s="6" t="n">
        <v>3705</v>
      </c>
      <c r="F4" s="6" t="n">
        <v>3180</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Companies House — https://find-and-update.company-information.service.gov.uk/company/10399850</t>
        </is>
      </c>
    </row>
  </sheetData>
  <mergeCells count="1">
    <mergeCell ref="A6:F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31.8%</t>
        </is>
      </c>
      <c r="C4" s="6" t="inlineStr">
        <is>
          <t>17.4%</t>
        </is>
      </c>
      <c r="D4" s="6" t="inlineStr">
        <is>
          <t>17.1%</t>
        </is>
      </c>
      <c r="E4" s="6" t="inlineStr">
        <is>
          <t>18.3%</t>
        </is>
      </c>
      <c r="F4" s="6" t="inlineStr">
        <is>
          <t>17.2%</t>
        </is>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Companies House — https://find-and-update.company-information.service.gov.uk/company/10399850</t>
        </is>
      </c>
    </row>
  </sheetData>
  <mergeCells count="1">
    <mergeCell ref="A6:F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7137</v>
      </c>
      <c r="C4" s="6" t="n">
        <v>4171</v>
      </c>
      <c r="D4" s="6" t="n">
        <v>4109</v>
      </c>
      <c r="E4" s="6" t="n">
        <v>4285</v>
      </c>
      <c r="F4" s="6" t="n">
        <v>3709</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Companies House — https://find-and-update.company-information.service.gov.uk/company/10399850</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31.8%</t>
        </is>
      </c>
      <c r="C4" s="6" t="inlineStr">
        <is>
          <t>20.2%</t>
        </is>
      </c>
      <c r="D4" s="6" t="inlineStr">
        <is>
          <t>20.1%</t>
        </is>
      </c>
      <c r="E4" s="6" t="inlineStr">
        <is>
          <t>21.2%</t>
        </is>
      </c>
      <c r="F4" s="6" t="inlineStr">
        <is>
          <t>20.1%</t>
        </is>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Companies House — https://find-and-update.company-information.service.gov.uk/company/10399850</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RWAs</t>
        </is>
      </c>
      <c r="B4" s="6" t="n">
        <v>22442</v>
      </c>
      <c r="C4" s="6" t="n">
        <v>20605</v>
      </c>
      <c r="D4" s="6" t="n">
        <v>20492</v>
      </c>
      <c r="E4" s="6" t="n">
        <v>20195</v>
      </c>
      <c r="F4" s="6" t="n">
        <v>18436</v>
      </c>
    </row>
    <row r="6" ht="150" customHeight="1">
      <c r="A6"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Companies House — https://find-and-update.company-information.service.gov.uk/company/10399850</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8.4%</t>
        </is>
      </c>
      <c r="C4" s="6" t="inlineStr">
        <is>
          <t>4.5%</t>
        </is>
      </c>
      <c r="D4" s="6" t="inlineStr">
        <is>
          <t>4.7%</t>
        </is>
      </c>
      <c r="E4" s="6" t="inlineStr">
        <is>
          <t>5.4%</t>
        </is>
      </c>
      <c r="F4" s="6" t="inlineStr">
        <is>
          <t>3.5%</t>
        </is>
      </c>
    </row>
    <row r="5" ht="60" customHeight="1">
      <c r="A5" s="7" t="inlineStr">
        <is>
          <t>Note: FY2021's 3.5% is on the original CRR basis (inclusive of claims on central banks), explicitly confirmed by a footnote in the FY2022 Pillar 3 report. FY2022 onward are 'excluding claims on central banks' under the revised basis — a genuine methodology break, not a data error.</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Companies House — https://find-and-update.company-information.service.gov.uk/company/10399850</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LCR</t>
        </is>
      </c>
      <c r="B4" s="6" t="inlineStr">
        <is>
          <t>169%</t>
        </is>
      </c>
      <c r="C4" s="6" t="inlineStr">
        <is>
          <t>168%</t>
        </is>
      </c>
      <c r="D4" s="6" t="inlineStr">
        <is>
          <t>166%</t>
        </is>
      </c>
      <c r="E4" s="6" t="inlineStr">
        <is>
          <t>170%</t>
        </is>
      </c>
      <c r="F4" s="6" t="n"/>
    </row>
    <row r="5" ht="60" customHeight="1">
      <c r="A5" s="7" t="inlineStr">
        <is>
          <t>Note: FY2021 LCR was not disclosed at all in that year's Pillar 3 report — genuinely absent, not an access gap.</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Companies House — https://find-and-update.company-information.service.gov.uk/company/10399850</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NSFR</t>
        </is>
      </c>
      <c r="B4" s="6" t="inlineStr">
        <is>
          <t>133%</t>
        </is>
      </c>
      <c r="C4" s="6" t="inlineStr">
        <is>
          <t>138%</t>
        </is>
      </c>
      <c r="D4" s="6" t="inlineStr">
        <is>
          <t>145%</t>
        </is>
      </c>
      <c r="E4" s="6" t="inlineStr">
        <is>
          <t>137%</t>
        </is>
      </c>
      <c r="F4" s="6" t="n"/>
    </row>
    <row r="5" ht="60" customHeight="1">
      <c r="A5" s="7" t="inlineStr">
        <is>
          <t>Note: FY2021 NSFR was not disclosed at all in that year's Pillar 3 report (the metric predates this entity's KM1 template). FY2022's 137% was not shown in FY2022's own report either — recovered from FY2023's own report's FY2022 comparative column, per this project's standard convention for a metric a bank starts disclosing only in a later year.</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Companies House — https://find-and-update.company-information.service.gov.uk/company/10399850</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Lloyds Bank Corporate Markets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Each year's own Pillar 3 report explicitly states MREL disclosures for this entity are made via Template TLAC 2 within Lloyds Banking Group plc's own consolidated Pillar 3 disclosures, not at this solo entity level — the same not-a-resolution-entity pattern seen at RBS plc/Coutts &amp; Company/several HSBC ring-fenced subsidiaries in this project. Group-level MREL figures are not substituted here.</t>
        </is>
      </c>
    </row>
    <row r="7" ht="150" customHeight="1">
      <c r="A7" s="8" t="inlineStr">
        <is>
          <t>FY2025: Lloyds Bank Corporate Markets plc Year-End Pillar 3 disclosure, KM1 Key Metrics (Bank-level), p.4 — https://www.lloydsbankinggroup.com/assets/pdfs/investors/financial-performance/lloyds-bank-corporate-markets-plc/2025/q4/2025-lbcm-fy-pillar-3.pdf
FY2024: Lloyds Bank Corporate Markets plc Year-End Pillar 3 disclosure, KM1 Key Metrics (Bank-level), p.4 — https://www.lloydsbankinggroup.com/assets/pdfs/investors/financial-performance/lloyds-bank-corporate-markets-plc/2024/q4/2024-lbcm-fy-pillar-3.pdf
FY2023: Lloyds Bank Corporate Markets plc Year-End Pillar 3 disclosure, KM1 Key Metrics (Bank-level), p.4 — https://www.lloydsbankinggroup.com/assets/pdfs/investors/financial-performance/lloyds-bank-corporate-markets-plc/2023/q4/2023-lbcm-fy-pillar-3.pdf
FY2022: Lloyds Bank Corporate Markets plc Year-End Pillar 3 disclosure, KM1 Key Metrics (Bank-level), p.5 — https://www.lloydsbankinggroup.com/assets/pdfs/investors/financial-performance/lloyds-bank-corporate-markets-plc/2022/q4/2022-lbcm-fy-pillar-3.pdf
FY2021: Lloyds Bank Corporate Markets plc Year-End Pillar 3 disclosure, KM1 Key Metrics (Bank-level), p.5 — https://www.lloydsbankinggroup.com/assets/pdfs/investors/financial-performance/lloyds-bank-corporate-markets-plc/2021/2021-lbcm-fy-pillar3.pdf
Entity: Lloyds Bank Corporate Markets plc, company number 10399850, FRN 763256, LEI 213800MBWEIJDM5CU638. Companies House confirms the active bank company. This is the non-ring-fenced wholesale/markets entity created as part of Lloyds Banking Group's 2018 ring-fencing restructuring, DISTINCT from the ring-fenced Lloyds Bank plc (FRN 119278, built separately as 'LLOYDS BANK FINANCIALS.xlsx'). All figures below are the Bank (solo) column, not the Group consolidated column also shown in each source document.
Companies House — https://find-and-update.company-information.service.gov.uk/company/10399850</t>
        </is>
      </c>
    </row>
  </sheetData>
  <mergeCells count="2">
    <mergeCell ref="A5:F5"/>
    <mergeCell ref="A7:F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O3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32" customWidth="1" min="1" max="1"/>
    <col width="18" customWidth="1" min="2" max="2"/>
    <col width="34"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s>
  <sheetData>
    <row r="1">
      <c r="A1" s="1" t="inlineStr">
        <is>
          <t>Lloyds Bank Corporate Markets plc — Interim Pillar 3</t>
        </is>
      </c>
    </row>
    <row r="2">
      <c r="A2" s="2" t="inlineStr">
        <is>
          <t>Quarterly and half-year disclosures, 2022–2025 (Bank solo basis)</t>
        </is>
      </c>
    </row>
    <row r="4">
      <c r="A4" s="4" t="inlineStr">
        <is>
          <t>Metric</t>
        </is>
      </c>
      <c r="B4" s="4" t="inlineStr">
        <is>
          <t>Unit</t>
        </is>
      </c>
      <c r="C4" s="4" t="inlineStr">
        <is>
          <t>Basis</t>
        </is>
      </c>
      <c r="D4" s="4" t="inlineStr">
        <is>
          <t>2025-Q1</t>
        </is>
      </c>
      <c r="E4" s="4" t="inlineStr">
        <is>
          <t>2025-H1</t>
        </is>
      </c>
      <c r="F4" s="4" t="inlineStr">
        <is>
          <t>2025-Q3</t>
        </is>
      </c>
      <c r="G4" s="4" t="inlineStr">
        <is>
          <t>2024-Q1</t>
        </is>
      </c>
      <c r="H4" s="4" t="inlineStr">
        <is>
          <t>2024-H1</t>
        </is>
      </c>
      <c r="I4" s="4" t="inlineStr">
        <is>
          <t>2024-Q3</t>
        </is>
      </c>
      <c r="J4" s="4" t="inlineStr">
        <is>
          <t>2023-Q1</t>
        </is>
      </c>
      <c r="K4" s="4" t="inlineStr">
        <is>
          <t>2023-H1</t>
        </is>
      </c>
      <c r="L4" s="4" t="inlineStr">
        <is>
          <t>2023-Q3</t>
        </is>
      </c>
      <c r="M4" s="4" t="inlineStr">
        <is>
          <t>2022-Q1</t>
        </is>
      </c>
      <c r="N4" s="4" t="inlineStr">
        <is>
          <t>2022-H1</t>
        </is>
      </c>
      <c r="O4" s="4" t="inlineStr">
        <is>
          <t>2022-Q3</t>
        </is>
      </c>
    </row>
    <row r="5">
      <c r="A5" s="6" t="inlineStr">
        <is>
          <t>Total risk-weighted exposure amount</t>
        </is>
      </c>
      <c r="B5" s="6" t="inlineStr">
        <is>
          <t>£m</t>
        </is>
      </c>
      <c r="C5" s="6" t="inlineStr">
        <is>
          <t>Lloyds Bank Corporate Markets plc Bank (solo) basis</t>
        </is>
      </c>
      <c r="D5" s="9" t="n">
        <v>21775</v>
      </c>
      <c r="E5" s="9" t="n">
        <v>22419</v>
      </c>
      <c r="F5" s="9" t="n">
        <v>23391</v>
      </c>
      <c r="G5" s="9" t="n">
        <v>20805</v>
      </c>
      <c r="H5" s="9" t="n">
        <v>21204</v>
      </c>
      <c r="I5" s="9" t="n">
        <v>21229</v>
      </c>
      <c r="J5" s="9" t="n">
        <v>20597</v>
      </c>
      <c r="K5" s="9" t="n">
        <v>21079</v>
      </c>
      <c r="L5" s="9" t="n">
        <v>21460</v>
      </c>
      <c r="M5" s="9" t="n">
        <v>20326</v>
      </c>
      <c r="N5" s="9" t="n">
        <v>20572</v>
      </c>
      <c r="O5" s="9" t="n">
        <v>22093</v>
      </c>
    </row>
    <row r="6">
      <c r="A6" s="6" t="inlineStr">
        <is>
          <t>Total exposure measure excluding claims on central banks</t>
        </is>
      </c>
      <c r="B6" s="6" t="inlineStr">
        <is>
          <t>£m</t>
        </is>
      </c>
      <c r="C6" s="6" t="inlineStr">
        <is>
          <t>Lloyds Bank Corporate Markets plc Bank (solo) basis</t>
        </is>
      </c>
      <c r="D6" s="9" t="n">
        <v>81263</v>
      </c>
      <c r="E6" s="9" t="n">
        <v>84779</v>
      </c>
      <c r="F6" s="9" t="n">
        <v>86981</v>
      </c>
      <c r="G6" s="9" t="n">
        <v>76908</v>
      </c>
      <c r="H6" s="9" t="n">
        <v>78930</v>
      </c>
      <c r="I6" s="9" t="n">
        <v>79004</v>
      </c>
      <c r="J6" s="9" t="n">
        <v>75981</v>
      </c>
      <c r="K6" s="9" t="n">
        <v>76243</v>
      </c>
      <c r="L6" s="9" t="n">
        <v>80485</v>
      </c>
      <c r="M6" s="6" t="n"/>
      <c r="N6" s="9" t="n">
        <v>74898</v>
      </c>
      <c r="O6" s="6" t="n"/>
    </row>
    <row r="7">
      <c r="A7" s="6" t="inlineStr">
        <is>
          <t>Leverage ratio excluding claims on central banks</t>
        </is>
      </c>
      <c r="B7" s="6" t="inlineStr">
        <is>
          <t>%</t>
        </is>
      </c>
      <c r="C7" s="6" t="inlineStr">
        <is>
          <t>Lloyds Bank Corporate Markets plc Bank (solo) basis</t>
        </is>
      </c>
      <c r="D7" s="9" t="inlineStr">
        <is>
          <t>4.4%</t>
        </is>
      </c>
      <c r="E7" s="9" t="inlineStr">
        <is>
          <t>8.2%</t>
        </is>
      </c>
      <c r="F7" s="9" t="inlineStr">
        <is>
          <t>8.0%</t>
        </is>
      </c>
      <c r="G7" s="9" t="inlineStr">
        <is>
          <t>4.6%</t>
        </is>
      </c>
      <c r="H7" s="9" t="inlineStr">
        <is>
          <t>4.7%</t>
        </is>
      </c>
      <c r="I7" s="9" t="inlineStr">
        <is>
          <t>4.4%</t>
        </is>
      </c>
      <c r="J7" s="9" t="inlineStr">
        <is>
          <t>4.9%</t>
        </is>
      </c>
      <c r="K7" s="9" t="inlineStr">
        <is>
          <t>5.0%</t>
        </is>
      </c>
      <c r="L7" s="9" t="inlineStr">
        <is>
          <t>4.7%</t>
        </is>
      </c>
      <c r="M7" s="6" t="n"/>
      <c r="N7" s="9" t="inlineStr">
        <is>
          <t>4.5%</t>
        </is>
      </c>
      <c r="O7" s="6" t="n"/>
    </row>
    <row r="8">
      <c r="A8" s="6" t="inlineStr">
        <is>
          <t>Average liquidity coverage ratio</t>
        </is>
      </c>
      <c r="B8" s="6" t="inlineStr">
        <is>
          <t>%</t>
        </is>
      </c>
      <c r="C8" s="6" t="inlineStr">
        <is>
          <t>Lloyds Bank Corporate Markets plc Bank (solo) basis</t>
        </is>
      </c>
      <c r="D8" s="9" t="inlineStr">
        <is>
          <t>166%</t>
        </is>
      </c>
      <c r="E8" s="9" t="inlineStr">
        <is>
          <t>167%</t>
        </is>
      </c>
      <c r="F8" s="9" t="inlineStr">
        <is>
          <t>168%</t>
        </is>
      </c>
      <c r="G8" s="9" t="inlineStr">
        <is>
          <t>167%</t>
        </is>
      </c>
      <c r="H8" s="9" t="inlineStr">
        <is>
          <t>168%</t>
        </is>
      </c>
      <c r="I8" s="9" t="inlineStr">
        <is>
          <t>165%</t>
        </is>
      </c>
      <c r="J8" s="9" t="inlineStr">
        <is>
          <t>171%</t>
        </is>
      </c>
      <c r="K8" s="9" t="inlineStr">
        <is>
          <t>167%</t>
        </is>
      </c>
      <c r="L8" s="9" t="inlineStr">
        <is>
          <t>165%</t>
        </is>
      </c>
      <c r="M8" s="9" t="inlineStr">
        <is>
          <t>166%</t>
        </is>
      </c>
      <c r="N8" s="9" t="inlineStr">
        <is>
          <t>168%</t>
        </is>
      </c>
      <c r="O8" s="9" t="inlineStr">
        <is>
          <t>169%</t>
        </is>
      </c>
    </row>
    <row r="9">
      <c r="A9" s="6" t="inlineStr">
        <is>
          <t>CET1 capital</t>
        </is>
      </c>
      <c r="B9" s="6" t="inlineStr">
        <is>
          <t>£m</t>
        </is>
      </c>
      <c r="C9" s="6" t="inlineStr">
        <is>
          <t>Lloyds Bank Corporate Markets plc Bank (solo) basis</t>
        </is>
      </c>
      <c r="D9" s="6" t="n"/>
      <c r="E9" s="9" t="n">
        <v>2971</v>
      </c>
      <c r="F9" s="6" t="n"/>
      <c r="G9" s="6" t="n"/>
      <c r="H9" s="9" t="n">
        <v>2908</v>
      </c>
      <c r="I9" s="6" t="n"/>
      <c r="J9" s="6" t="n"/>
      <c r="K9" s="9" t="n">
        <v>3055</v>
      </c>
      <c r="L9" s="6" t="n"/>
      <c r="M9" s="6" t="n"/>
      <c r="N9" s="9" t="n">
        <v>2588</v>
      </c>
      <c r="O9" s="6" t="n"/>
    </row>
    <row r="10">
      <c r="A10" s="6" t="inlineStr">
        <is>
          <t>Tier 1 capital</t>
        </is>
      </c>
      <c r="B10" s="6" t="inlineStr">
        <is>
          <t>£m</t>
        </is>
      </c>
      <c r="C10" s="6" t="inlineStr">
        <is>
          <t>Lloyds Bank Corporate Markets plc Bank (solo) basis</t>
        </is>
      </c>
      <c r="D10" s="6" t="n"/>
      <c r="E10" s="9" t="n">
        <v>6950</v>
      </c>
      <c r="F10" s="6" t="n"/>
      <c r="G10" s="6" t="n"/>
      <c r="H10" s="9" t="n">
        <v>3691</v>
      </c>
      <c r="I10" s="6" t="n"/>
      <c r="J10" s="6" t="n"/>
      <c r="K10" s="9" t="n">
        <v>3812</v>
      </c>
      <c r="L10" s="6" t="n"/>
      <c r="M10" s="6" t="n"/>
      <c r="N10" s="9" t="n">
        <v>3345</v>
      </c>
      <c r="O10" s="6" t="n"/>
    </row>
    <row r="11">
      <c r="A11" s="6" t="inlineStr">
        <is>
          <t>Total capital</t>
        </is>
      </c>
      <c r="B11" s="6" t="inlineStr">
        <is>
          <t>£m</t>
        </is>
      </c>
      <c r="C11" s="6" t="inlineStr">
        <is>
          <t>Lloyds Bank Corporate Markets plc Bank (solo) basis</t>
        </is>
      </c>
      <c r="D11" s="6" t="n"/>
      <c r="E11" s="9" t="n">
        <v>6950</v>
      </c>
      <c r="F11" s="6" t="n"/>
      <c r="G11" s="6" t="n"/>
      <c r="H11" s="9" t="n">
        <v>4283</v>
      </c>
      <c r="I11" s="6" t="n"/>
      <c r="J11" s="6" t="n"/>
      <c r="K11" s="9" t="n">
        <v>4380</v>
      </c>
      <c r="L11" s="6" t="n"/>
      <c r="M11" s="6" t="n"/>
      <c r="N11" s="9" t="n">
        <v>3941</v>
      </c>
      <c r="O11" s="6" t="n"/>
    </row>
    <row r="12">
      <c r="A12" s="6" t="inlineStr">
        <is>
          <t>CET1 ratio</t>
        </is>
      </c>
      <c r="B12" s="6" t="inlineStr">
        <is>
          <t>%</t>
        </is>
      </c>
      <c r="C12" s="6" t="inlineStr">
        <is>
          <t>Lloyds Bank Corporate Markets plc Bank (solo) basis</t>
        </is>
      </c>
      <c r="D12" s="6" t="n"/>
      <c r="E12" s="9" t="inlineStr">
        <is>
          <t>13.3%</t>
        </is>
      </c>
      <c r="F12" s="6" t="n"/>
      <c r="G12" s="6" t="n"/>
      <c r="H12" s="9" t="inlineStr">
        <is>
          <t>13.7%</t>
        </is>
      </c>
      <c r="I12" s="6" t="n"/>
      <c r="J12" s="6" t="n"/>
      <c r="K12" s="9" t="inlineStr">
        <is>
          <t>14.5%</t>
        </is>
      </c>
      <c r="L12" s="6" t="n"/>
      <c r="M12" s="6" t="n"/>
      <c r="N12" s="9" t="inlineStr">
        <is>
          <t>12.6%</t>
        </is>
      </c>
      <c r="O12" s="6" t="n"/>
    </row>
    <row r="13">
      <c r="A13" s="6" t="inlineStr">
        <is>
          <t>Tier 1 ratio</t>
        </is>
      </c>
      <c r="B13" s="6" t="inlineStr">
        <is>
          <t>%</t>
        </is>
      </c>
      <c r="C13" s="6" t="inlineStr">
        <is>
          <t>Lloyds Bank Corporate Markets plc Bank (solo) basis</t>
        </is>
      </c>
      <c r="D13" s="6" t="n"/>
      <c r="E13" s="9" t="inlineStr">
        <is>
          <t>31.0%</t>
        </is>
      </c>
      <c r="F13" s="6" t="n"/>
      <c r="G13" s="6" t="n"/>
      <c r="H13" s="9" t="inlineStr">
        <is>
          <t>17.4%</t>
        </is>
      </c>
      <c r="I13" s="6" t="n"/>
      <c r="J13" s="6" t="n"/>
      <c r="K13" s="9" t="inlineStr">
        <is>
          <t>18.1%</t>
        </is>
      </c>
      <c r="L13" s="6" t="n"/>
      <c r="M13" s="6" t="n"/>
      <c r="N13" s="9" t="inlineStr">
        <is>
          <t>16.3%</t>
        </is>
      </c>
      <c r="O13" s="6" t="n"/>
    </row>
    <row r="14">
      <c r="A14" s="6" t="inlineStr">
        <is>
          <t>Total capital ratio</t>
        </is>
      </c>
      <c r="B14" s="6" t="inlineStr">
        <is>
          <t>%</t>
        </is>
      </c>
      <c r="C14" s="6" t="inlineStr">
        <is>
          <t>Lloyds Bank Corporate Markets plc Bank (solo) basis</t>
        </is>
      </c>
      <c r="D14" s="6" t="n"/>
      <c r="E14" s="9" t="inlineStr">
        <is>
          <t>31.0%</t>
        </is>
      </c>
      <c r="F14" s="6" t="n"/>
      <c r="G14" s="6" t="n"/>
      <c r="H14" s="9" t="inlineStr">
        <is>
          <t>20.2%</t>
        </is>
      </c>
      <c r="I14" s="6" t="n"/>
      <c r="J14" s="6" t="n"/>
      <c r="K14" s="9" t="inlineStr">
        <is>
          <t>20.8%</t>
        </is>
      </c>
      <c r="L14" s="6" t="n"/>
      <c r="M14" s="6" t="n"/>
      <c r="N14" s="9" t="inlineStr">
        <is>
          <t>19.2%</t>
        </is>
      </c>
      <c r="O14" s="6" t="n"/>
    </row>
    <row r="15">
      <c r="A15" s="6" t="inlineStr">
        <is>
          <t>Average net stable funding ratio</t>
        </is>
      </c>
      <c r="B15" s="6" t="inlineStr">
        <is>
          <t>%</t>
        </is>
      </c>
      <c r="C15" s="6" t="inlineStr">
        <is>
          <t>Lloyds Bank Corporate Markets plc Bank (solo) basis</t>
        </is>
      </c>
      <c r="D15" s="6" t="n"/>
      <c r="E15" s="9" t="inlineStr">
        <is>
          <t>132%</t>
        </is>
      </c>
      <c r="F15" s="6" t="n"/>
      <c r="G15" s="6" t="n"/>
      <c r="H15" s="9" t="inlineStr">
        <is>
          <t>145%</t>
        </is>
      </c>
      <c r="I15" s="6" t="n"/>
      <c r="J15" s="6" t="n"/>
      <c r="K15" s="9" t="inlineStr">
        <is>
          <t>139%</t>
        </is>
      </c>
      <c r="L15" s="6" t="n"/>
      <c r="M15" s="6" t="n"/>
      <c r="N15" s="6" t="n"/>
      <c r="O15" s="6" t="n"/>
    </row>
    <row r="18">
      <c r="A18" s="2" t="inlineStr">
        <is>
          <t>Source register</t>
        </is>
      </c>
    </row>
    <row r="19">
      <c r="A19" s="4" t="inlineStr">
        <is>
          <t>Period</t>
        </is>
      </c>
      <c r="B19" s="4" t="inlineStr">
        <is>
          <t>Disclosure type</t>
        </is>
      </c>
      <c r="C19" s="4" t="inlineStr">
        <is>
          <t>Source document</t>
        </is>
      </c>
      <c r="D19" s="4" t="inlineStr">
        <is>
          <t>Page / table</t>
        </is>
      </c>
    </row>
    <row r="20">
      <c r="A20" s="6" t="inlineStr">
        <is>
          <t>2025-Q1</t>
        </is>
      </c>
      <c r="B20" s="6" t="inlineStr">
        <is>
          <t>Quarterly/interim Pillar 3 disclosure</t>
        </is>
      </c>
      <c r="C20" s="9" t="inlineStr">
        <is>
          <t>https://www.lloydsbankinggroup.com/assets/pdfs/investors/financial-performance/lloyds-bank-corporate-markets-plc/2025/q1/2025-lbcm-q1-pillar-3.pdf</t>
        </is>
      </c>
      <c r="D20" s="6" t="inlineStr">
        <is>
          <t>KM1/LR2/OV1/LIQ1</t>
        </is>
      </c>
    </row>
    <row r="21">
      <c r="A21" s="6" t="inlineStr">
        <is>
          <t>2025-H1</t>
        </is>
      </c>
      <c r="B21" s="6" t="inlineStr">
        <is>
          <t>Quarterly/interim Pillar 3 disclosure</t>
        </is>
      </c>
      <c r="C21" s="9" t="inlineStr">
        <is>
          <t>https://www.lloydsbankinggroup.com/assets/pdfs/investors/financial-performance/lloyds-bank-corporate-markets-plc/2025/q2/2025-lbcm-hy-pillar-3.pdf</t>
        </is>
      </c>
      <c r="D21" s="6" t="inlineStr">
        <is>
          <t>KM1/LR2/OV1/LIQ1</t>
        </is>
      </c>
    </row>
    <row r="22">
      <c r="A22" s="6" t="inlineStr">
        <is>
          <t>2025-Q3</t>
        </is>
      </c>
      <c r="B22" s="6" t="inlineStr">
        <is>
          <t>Quarterly/interim Pillar 3 disclosure</t>
        </is>
      </c>
      <c r="C22" s="9" t="inlineStr">
        <is>
          <t>https://www.lloydsbankinggroup.com/assets/pdfs/investors/financial-performance/lloyds-bank-corporate-markets-plc/2025/q3/2025-lbcm-q3-pillar-3.pdf</t>
        </is>
      </c>
      <c r="D22" s="6" t="inlineStr">
        <is>
          <t>KM1/LR2/OV1/LIQ1</t>
        </is>
      </c>
    </row>
    <row r="23">
      <c r="A23" s="6" t="inlineStr">
        <is>
          <t>2024-Q1</t>
        </is>
      </c>
      <c r="B23" s="6" t="inlineStr">
        <is>
          <t>Quarterly/interim Pillar 3 disclosure</t>
        </is>
      </c>
      <c r="C23" s="9" t="inlineStr">
        <is>
          <t>https://www.lloydsbankinggroup.com/assets/pdfs/investors/financial-performance/lloyds-bank-corporate-markets-plc/2024/q1/2024-lbcm-q1-pillar-3.pdf</t>
        </is>
      </c>
      <c r="D23" s="6" t="inlineStr">
        <is>
          <t>KM1/LR2/OV1/LIQ1</t>
        </is>
      </c>
    </row>
    <row r="24">
      <c r="A24" s="6" t="inlineStr">
        <is>
          <t>2024-H1</t>
        </is>
      </c>
      <c r="B24" s="6" t="inlineStr">
        <is>
          <t>Quarterly/interim Pillar 3 disclosure</t>
        </is>
      </c>
      <c r="C24" s="9" t="inlineStr">
        <is>
          <t>https://www.lloydsbankinggroup.com/assets/pdfs/investors/financial-performance/lloyds-bank-corporate-markets-plc/2024/q2/2024-lbcm-hy-pillar-3.pdf</t>
        </is>
      </c>
      <c r="D24" s="6" t="inlineStr">
        <is>
          <t>KM1/LR2/OV1/LIQ1</t>
        </is>
      </c>
    </row>
    <row r="25">
      <c r="A25" s="6" t="inlineStr">
        <is>
          <t>2024-Q3</t>
        </is>
      </c>
      <c r="B25" s="6" t="inlineStr">
        <is>
          <t>Quarterly/interim Pillar 3 disclosure</t>
        </is>
      </c>
      <c r="C25" s="9" t="inlineStr">
        <is>
          <t>https://www.lloydsbankinggroup.com/assets/pdfs/investors/financial-performance/lloyds-bank-corporate-markets-plc/2024/q3/2024-lbcm-q3-pillar-3.pdf</t>
        </is>
      </c>
      <c r="D25" s="6" t="inlineStr">
        <is>
          <t>KM1/LR2/OV1/LIQ1</t>
        </is>
      </c>
    </row>
    <row r="26">
      <c r="A26" s="6" t="inlineStr">
        <is>
          <t>2023-Q1</t>
        </is>
      </c>
      <c r="B26" s="6" t="inlineStr">
        <is>
          <t>Quarterly/interim Pillar 3 disclosure</t>
        </is>
      </c>
      <c r="C26" s="9" t="inlineStr">
        <is>
          <t>https://www.lloydsbankinggroup.com/assets/pdfs/investors/financial-performance/lloyds-bank-corporate-markets-plc/2023/q1/2023-lbcm-q1-pillar-3.pdf</t>
        </is>
      </c>
      <c r="D26" s="6" t="inlineStr">
        <is>
          <t>KM1/LR2/OV1/LIQ1</t>
        </is>
      </c>
    </row>
    <row r="27">
      <c r="A27" s="6" t="inlineStr">
        <is>
          <t>2023-H1</t>
        </is>
      </c>
      <c r="B27" s="6" t="inlineStr">
        <is>
          <t>Quarterly/interim Pillar 3 disclosure</t>
        </is>
      </c>
      <c r="C27" s="9" t="inlineStr">
        <is>
          <t>https://www.lloydsbankinggroup.com/assets/pdfs/investors/financial-performance/lloyds-bank-corporate-markets-plc/2023/q2/2023-lbcm-hy-pillar-3.pdf</t>
        </is>
      </c>
      <c r="D27" s="6" t="inlineStr">
        <is>
          <t>KM1/LR2/OV1/LIQ1</t>
        </is>
      </c>
    </row>
    <row r="28">
      <c r="A28" s="6" t="inlineStr">
        <is>
          <t>2023-Q3</t>
        </is>
      </c>
      <c r="B28" s="6" t="inlineStr">
        <is>
          <t>Quarterly/interim Pillar 3 disclosure</t>
        </is>
      </c>
      <c r="C28" s="9" t="inlineStr">
        <is>
          <t>https://www.lloydsbankinggroup.com/assets/pdfs/investors/financial-performance/lloyds-bank-corporate-markets-plc/2023/q3/2023-lbcm-q3-pillar-3.pdf</t>
        </is>
      </c>
      <c r="D28" s="6" t="inlineStr">
        <is>
          <t>KM1/LR2/OV1/LIQ1</t>
        </is>
      </c>
    </row>
    <row r="29">
      <c r="A29" s="6" t="inlineStr">
        <is>
          <t>2022-Q1</t>
        </is>
      </c>
      <c r="B29" s="6" t="inlineStr">
        <is>
          <t>Quarterly/interim Pillar 3 disclosure</t>
        </is>
      </c>
      <c r="C29" s="9" t="inlineStr">
        <is>
          <t>https://www.lloydsbankinggroup.com/assets/pdfs/investors/financial-performance/lloyds-bank-corporate-markets-plc/2022/q1/2022-lbcm-q1-pillar-3.pdf</t>
        </is>
      </c>
      <c r="D29" s="6" t="inlineStr">
        <is>
          <t>KM1/LR2/OV1/LIQ1</t>
        </is>
      </c>
    </row>
    <row r="30">
      <c r="A30" s="6" t="inlineStr">
        <is>
          <t>2022-H1</t>
        </is>
      </c>
      <c r="B30" s="6" t="inlineStr">
        <is>
          <t>Quarterly/interim Pillar 3 disclosure</t>
        </is>
      </c>
      <c r="C30" s="9" t="inlineStr">
        <is>
          <t>https://www.lloydsbankinggroup.com/assets/pdfs/investors/financial-performance/lloyds-bank-corporate-markets-plc/2022/half-year/2022-lbcm-hy-pillar-3.pdf</t>
        </is>
      </c>
      <c r="D30" s="6" t="inlineStr">
        <is>
          <t>KM1/LR2/OV1/LIQ1</t>
        </is>
      </c>
    </row>
    <row r="31">
      <c r="A31" s="6" t="inlineStr">
        <is>
          <t>2022-Q3</t>
        </is>
      </c>
      <c r="B31" s="6" t="inlineStr">
        <is>
          <t>Quarterly/interim Pillar 3 disclosure</t>
        </is>
      </c>
      <c r="C31" s="9" t="inlineStr">
        <is>
          <t>https://www.lloydsbankinggroup.com/assets/pdfs/investors/financial-performance/lloyds-bank-corporate-markets-plc/2022/q3/2022-lbcm-q3-pillar-3.pdf</t>
        </is>
      </c>
      <c r="D31" s="6" t="inlineStr">
        <is>
          <t>KM1/LR2/OV1/LIQ1</t>
        </is>
      </c>
    </row>
    <row r="33" ht="60" customHeight="1">
      <c r="A33" s="10" t="inlineStr">
        <is>
          <t>Note: Official LBCM reports publish limited Pillar 3 disclosures at interim quarter ends and half-year, on the Bank's own (solo) basis. Only the half-year (H1) reports include the full KM1 table (CET1/Tier 1/Total Capital and their ratios, plus NSFR); Q1/Q3 reports disclose only LR2 (leverage), OV1 (total RWA) and LIQ1 (LCR) — confirmed by direct inspection of each report's table of contents, not an extraction gap. No leverage template was published in the Q1/Q3 2022 reports (first appears from the 2022 half-year report onward). NSFR was not disclosed before the 31 December 2022 comparative shown in the 2023 half-year report. No interim (non-year-end) Pillar 3 disclosures exist for LBCM for 2021 — confirmed via direct URL-pattern checks against the same archive structure used for 2022–2025, all of which 404.</t>
        </is>
      </c>
    </row>
  </sheetData>
  <mergeCells count="1">
    <mergeCell ref="A33:O33"/>
  </mergeCells>
  <hyperlinks>
    <hyperlink xmlns:r="http://schemas.openxmlformats.org/officeDocument/2006/relationships" ref="D5" r:id="rId1"/>
    <hyperlink xmlns:r="http://schemas.openxmlformats.org/officeDocument/2006/relationships" ref="E5" r:id="rId2"/>
    <hyperlink xmlns:r="http://schemas.openxmlformats.org/officeDocument/2006/relationships" ref="F5" r:id="rId3"/>
    <hyperlink xmlns:r="http://schemas.openxmlformats.org/officeDocument/2006/relationships" ref="G5" r:id="rId4"/>
    <hyperlink xmlns:r="http://schemas.openxmlformats.org/officeDocument/2006/relationships" ref="H5" r:id="rId5"/>
    <hyperlink xmlns:r="http://schemas.openxmlformats.org/officeDocument/2006/relationships" ref="I5" r:id="rId6"/>
    <hyperlink xmlns:r="http://schemas.openxmlformats.org/officeDocument/2006/relationships" ref="J5" r:id="rId7"/>
    <hyperlink xmlns:r="http://schemas.openxmlformats.org/officeDocument/2006/relationships" ref="K5" r:id="rId8"/>
    <hyperlink xmlns:r="http://schemas.openxmlformats.org/officeDocument/2006/relationships" ref="L5" r:id="rId9"/>
    <hyperlink xmlns:r="http://schemas.openxmlformats.org/officeDocument/2006/relationships" ref="M5" r:id="rId10"/>
    <hyperlink xmlns:r="http://schemas.openxmlformats.org/officeDocument/2006/relationships" ref="N5" r:id="rId11"/>
    <hyperlink xmlns:r="http://schemas.openxmlformats.org/officeDocument/2006/relationships" ref="O5" r:id="rId12"/>
    <hyperlink xmlns:r="http://schemas.openxmlformats.org/officeDocument/2006/relationships" ref="D6" r:id="rId13"/>
    <hyperlink xmlns:r="http://schemas.openxmlformats.org/officeDocument/2006/relationships" ref="E6" r:id="rId14"/>
    <hyperlink xmlns:r="http://schemas.openxmlformats.org/officeDocument/2006/relationships" ref="F6" r:id="rId15"/>
    <hyperlink xmlns:r="http://schemas.openxmlformats.org/officeDocument/2006/relationships" ref="G6" r:id="rId16"/>
    <hyperlink xmlns:r="http://schemas.openxmlformats.org/officeDocument/2006/relationships" ref="H6" r:id="rId17"/>
    <hyperlink xmlns:r="http://schemas.openxmlformats.org/officeDocument/2006/relationships" ref="I6" r:id="rId18"/>
    <hyperlink xmlns:r="http://schemas.openxmlformats.org/officeDocument/2006/relationships" ref="J6" r:id="rId19"/>
    <hyperlink xmlns:r="http://schemas.openxmlformats.org/officeDocument/2006/relationships" ref="K6" r:id="rId20"/>
    <hyperlink xmlns:r="http://schemas.openxmlformats.org/officeDocument/2006/relationships" ref="L6" r:id="rId21"/>
    <hyperlink xmlns:r="http://schemas.openxmlformats.org/officeDocument/2006/relationships" ref="N6" r:id="rId22"/>
    <hyperlink xmlns:r="http://schemas.openxmlformats.org/officeDocument/2006/relationships" ref="D7" r:id="rId23"/>
    <hyperlink xmlns:r="http://schemas.openxmlformats.org/officeDocument/2006/relationships" ref="E7" r:id="rId24"/>
    <hyperlink xmlns:r="http://schemas.openxmlformats.org/officeDocument/2006/relationships" ref="F7" r:id="rId25"/>
    <hyperlink xmlns:r="http://schemas.openxmlformats.org/officeDocument/2006/relationships" ref="G7" r:id="rId26"/>
    <hyperlink xmlns:r="http://schemas.openxmlformats.org/officeDocument/2006/relationships" ref="H7" r:id="rId27"/>
    <hyperlink xmlns:r="http://schemas.openxmlformats.org/officeDocument/2006/relationships" ref="I7" r:id="rId28"/>
    <hyperlink xmlns:r="http://schemas.openxmlformats.org/officeDocument/2006/relationships" ref="J7" r:id="rId29"/>
    <hyperlink xmlns:r="http://schemas.openxmlformats.org/officeDocument/2006/relationships" ref="K7" r:id="rId30"/>
    <hyperlink xmlns:r="http://schemas.openxmlformats.org/officeDocument/2006/relationships" ref="L7" r:id="rId31"/>
    <hyperlink xmlns:r="http://schemas.openxmlformats.org/officeDocument/2006/relationships" ref="N7" r:id="rId32"/>
    <hyperlink xmlns:r="http://schemas.openxmlformats.org/officeDocument/2006/relationships" ref="D8" r:id="rId33"/>
    <hyperlink xmlns:r="http://schemas.openxmlformats.org/officeDocument/2006/relationships" ref="E8" r:id="rId34"/>
    <hyperlink xmlns:r="http://schemas.openxmlformats.org/officeDocument/2006/relationships" ref="F8" r:id="rId35"/>
    <hyperlink xmlns:r="http://schemas.openxmlformats.org/officeDocument/2006/relationships" ref="G8" r:id="rId36"/>
    <hyperlink xmlns:r="http://schemas.openxmlformats.org/officeDocument/2006/relationships" ref="H8" r:id="rId37"/>
    <hyperlink xmlns:r="http://schemas.openxmlformats.org/officeDocument/2006/relationships" ref="I8" r:id="rId38"/>
    <hyperlink xmlns:r="http://schemas.openxmlformats.org/officeDocument/2006/relationships" ref="J8" r:id="rId39"/>
    <hyperlink xmlns:r="http://schemas.openxmlformats.org/officeDocument/2006/relationships" ref="K8" r:id="rId40"/>
    <hyperlink xmlns:r="http://schemas.openxmlformats.org/officeDocument/2006/relationships" ref="L8" r:id="rId41"/>
    <hyperlink xmlns:r="http://schemas.openxmlformats.org/officeDocument/2006/relationships" ref="M8" r:id="rId42"/>
    <hyperlink xmlns:r="http://schemas.openxmlformats.org/officeDocument/2006/relationships" ref="N8" r:id="rId43"/>
    <hyperlink xmlns:r="http://schemas.openxmlformats.org/officeDocument/2006/relationships" ref="O8" r:id="rId44"/>
    <hyperlink xmlns:r="http://schemas.openxmlformats.org/officeDocument/2006/relationships" ref="E9" r:id="rId45"/>
    <hyperlink xmlns:r="http://schemas.openxmlformats.org/officeDocument/2006/relationships" ref="H9" r:id="rId46"/>
    <hyperlink xmlns:r="http://schemas.openxmlformats.org/officeDocument/2006/relationships" ref="K9" r:id="rId47"/>
    <hyperlink xmlns:r="http://schemas.openxmlformats.org/officeDocument/2006/relationships" ref="N9" r:id="rId48"/>
    <hyperlink xmlns:r="http://schemas.openxmlformats.org/officeDocument/2006/relationships" ref="E10" r:id="rId49"/>
    <hyperlink xmlns:r="http://schemas.openxmlformats.org/officeDocument/2006/relationships" ref="H10" r:id="rId50"/>
    <hyperlink xmlns:r="http://schemas.openxmlformats.org/officeDocument/2006/relationships" ref="K10" r:id="rId51"/>
    <hyperlink xmlns:r="http://schemas.openxmlformats.org/officeDocument/2006/relationships" ref="N10" r:id="rId52"/>
    <hyperlink xmlns:r="http://schemas.openxmlformats.org/officeDocument/2006/relationships" ref="E11" r:id="rId53"/>
    <hyperlink xmlns:r="http://schemas.openxmlformats.org/officeDocument/2006/relationships" ref="H11" r:id="rId54"/>
    <hyperlink xmlns:r="http://schemas.openxmlformats.org/officeDocument/2006/relationships" ref="K11" r:id="rId55"/>
    <hyperlink xmlns:r="http://schemas.openxmlformats.org/officeDocument/2006/relationships" ref="N11" r:id="rId56"/>
    <hyperlink xmlns:r="http://schemas.openxmlformats.org/officeDocument/2006/relationships" ref="E12" r:id="rId57"/>
    <hyperlink xmlns:r="http://schemas.openxmlformats.org/officeDocument/2006/relationships" ref="H12" r:id="rId58"/>
    <hyperlink xmlns:r="http://schemas.openxmlformats.org/officeDocument/2006/relationships" ref="K12" r:id="rId59"/>
    <hyperlink xmlns:r="http://schemas.openxmlformats.org/officeDocument/2006/relationships" ref="N12" r:id="rId60"/>
    <hyperlink xmlns:r="http://schemas.openxmlformats.org/officeDocument/2006/relationships" ref="E13" r:id="rId61"/>
    <hyperlink xmlns:r="http://schemas.openxmlformats.org/officeDocument/2006/relationships" ref="H13" r:id="rId62"/>
    <hyperlink xmlns:r="http://schemas.openxmlformats.org/officeDocument/2006/relationships" ref="K13" r:id="rId63"/>
    <hyperlink xmlns:r="http://schemas.openxmlformats.org/officeDocument/2006/relationships" ref="N13" r:id="rId64"/>
    <hyperlink xmlns:r="http://schemas.openxmlformats.org/officeDocument/2006/relationships" ref="E14" r:id="rId65"/>
    <hyperlink xmlns:r="http://schemas.openxmlformats.org/officeDocument/2006/relationships" ref="H14" r:id="rId66"/>
    <hyperlink xmlns:r="http://schemas.openxmlformats.org/officeDocument/2006/relationships" ref="K14" r:id="rId67"/>
    <hyperlink xmlns:r="http://schemas.openxmlformats.org/officeDocument/2006/relationships" ref="N14" r:id="rId68"/>
    <hyperlink xmlns:r="http://schemas.openxmlformats.org/officeDocument/2006/relationships" ref="E15" r:id="rId69"/>
    <hyperlink xmlns:r="http://schemas.openxmlformats.org/officeDocument/2006/relationships" ref="H15" r:id="rId70"/>
    <hyperlink xmlns:r="http://schemas.openxmlformats.org/officeDocument/2006/relationships" ref="K15" r:id="rId71"/>
    <hyperlink xmlns:r="http://schemas.openxmlformats.org/officeDocument/2006/relationships" ref="C20" r:id="rId72"/>
    <hyperlink xmlns:r="http://schemas.openxmlformats.org/officeDocument/2006/relationships" ref="C21" r:id="rId73"/>
    <hyperlink xmlns:r="http://schemas.openxmlformats.org/officeDocument/2006/relationships" ref="C22" r:id="rId74"/>
    <hyperlink xmlns:r="http://schemas.openxmlformats.org/officeDocument/2006/relationships" ref="C23" r:id="rId75"/>
    <hyperlink xmlns:r="http://schemas.openxmlformats.org/officeDocument/2006/relationships" ref="C24" r:id="rId76"/>
    <hyperlink xmlns:r="http://schemas.openxmlformats.org/officeDocument/2006/relationships" ref="C25" r:id="rId77"/>
    <hyperlink xmlns:r="http://schemas.openxmlformats.org/officeDocument/2006/relationships" ref="C26" r:id="rId78"/>
    <hyperlink xmlns:r="http://schemas.openxmlformats.org/officeDocument/2006/relationships" ref="C27" r:id="rId79"/>
    <hyperlink xmlns:r="http://schemas.openxmlformats.org/officeDocument/2006/relationships" ref="C28" r:id="rId80"/>
    <hyperlink xmlns:r="http://schemas.openxmlformats.org/officeDocument/2006/relationships" ref="C29" r:id="rId81"/>
    <hyperlink xmlns:r="http://schemas.openxmlformats.org/officeDocument/2006/relationships" ref="C30" r:id="rId82"/>
    <hyperlink xmlns:r="http://schemas.openxmlformats.org/officeDocument/2006/relationships" ref="C31" r:id="rId83"/>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2026-09-01T21:26:57Z</dcterms:created>
  <dcterms:modified xmlns:dcterms="http://purl.org/dc/terms/" xmlns:xsi="http://www.w3.org/2001/XMLSchema-instance" xsi:type="dcterms:W3CDTF">2026-09-01T21:26:57Z</dcterms:modified>
</cp:coreProperties>
</file>