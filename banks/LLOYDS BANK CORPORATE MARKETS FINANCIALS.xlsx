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6A1B9A"/>
        <bgColor rgb="006A1B9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Lloyds Bank Corporate Markets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Lloyds Bank Corporate Markets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Lloyds Bank Corporate Markets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Lloyds Bank Corporate Markets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'Overview'!$AT$25:$BA$25</f>
            </numRef>
          </cat>
          <val>
            <numRef>
              <f>'Overview'!$AT$26:$BA$26</f>
            </numRef>
          </val>
        </ser>
        <ser>
          <idx val="1"/>
          <order val="1"/>
          <tx>
            <strRef>
              <f>'Overview'!AS27</f>
            </strRef>
          </tx>
          <spPr>
            <a:ln xmlns:a="http://schemas.openxmlformats.org/drawingml/2006/main">
              <a:prstDash val="solid"/>
            </a:ln>
          </spPr>
          <cat>
            <numRef>
              <f>'Overview'!$AT$25:$BA$25</f>
            </numRef>
          </cat>
          <val>
            <numRef>
              <f>'Overview'!$AT$27:$BA$27</f>
            </numRef>
          </val>
        </ser>
        <ser>
          <idx val="2"/>
          <order val="2"/>
          <tx>
            <strRef>
              <f>'Overview'!AS28</f>
            </strRef>
          </tx>
          <spPr>
            <a:ln xmlns:a="http://schemas.openxmlformats.org/drawingml/2006/main">
              <a:prstDash val="solid"/>
            </a:ln>
          </spPr>
          <cat>
            <numRef>
              <f>'Overview'!$AT$25:$BA$25</f>
            </numRef>
          </cat>
          <val>
            <numRef>
              <f>'Overview'!$AT$28:$BA$28</f>
            </numRef>
          </val>
        </ser>
        <ser>
          <idx val="3"/>
          <order val="3"/>
          <tx>
            <strRef>
              <f>'Overview'!AS29</f>
            </strRef>
          </tx>
          <spPr>
            <a:ln xmlns:a="http://schemas.openxmlformats.org/drawingml/2006/main">
              <a:prstDash val="solid"/>
            </a:ln>
          </spPr>
          <cat>
            <numRef>
              <f>'Overview'!$AT$25:$BA$25</f>
            </numRef>
          </cat>
          <val>
            <numRef>
              <f>'Overview'!$AT$29:$BA$29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Lloyds Bank Corporate Markets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'Overview'!$BE$6:$BL$6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'Overview'!$BE$7:$BL$7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'Overview'!$BE$8:$BL$8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'Overview'!$BE$9:$BL$9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www.lloydsbankinggroup.com/assets/pdfs/investors/financial-performance/lloyds-bank-corporate-markets-plc/2025/q1/2025-lbcm-q1-pillar-3.pdf" TargetMode="External" Id="rId1"/><Relationship Type="http://schemas.openxmlformats.org/officeDocument/2006/relationships/hyperlink" Target="https://www.lloydsbankinggroup.com/assets/pdfs/investors/financial-performance/lloyds-bank-corporate-markets-plc/2025/q2/2025-lbcm-hy-pillar-3.pdf" TargetMode="External" Id="rId2"/><Relationship Type="http://schemas.openxmlformats.org/officeDocument/2006/relationships/hyperlink" Target="https://www.lloydsbankinggroup.com/assets/pdfs/investors/financial-performance/lloyds-bank-corporate-markets-plc/2025/q3/2025-lbcm-q3-pillar-3.pdf" TargetMode="External" Id="rId3"/><Relationship Type="http://schemas.openxmlformats.org/officeDocument/2006/relationships/hyperlink" Target="https://www.lloydsbankinggroup.com/assets/pdfs/investors/financial-performance/lloyds-bank-corporate-markets-plc/2024/q1/2024-lbcm-q1-pillar-3.pdf" TargetMode="External" Id="rId4"/><Relationship Type="http://schemas.openxmlformats.org/officeDocument/2006/relationships/hyperlink" Target="https://www.lloydsbankinggroup.com/assets/pdfs/investors/financial-performance/lloyds-bank-corporate-markets-plc/2024/q2/2024-lbcm-hy-pillar-3.pdf" TargetMode="External" Id="rId5"/><Relationship Type="http://schemas.openxmlformats.org/officeDocument/2006/relationships/hyperlink" Target="https://www.lloydsbankinggroup.com/assets/pdfs/investors/financial-performance/lloyds-bank-corporate-markets-plc/2024/q3/2024-lbcm-q3-pillar-3.pdf" TargetMode="External" Id="rId6"/><Relationship Type="http://schemas.openxmlformats.org/officeDocument/2006/relationships/hyperlink" Target="https://www.lloydsbankinggroup.com/assets/pdfs/investors/financial-performance/lloyds-bank-corporate-markets-plc/2023/q1/2023-lbcm-q1-pillar-3.pdf" TargetMode="External" Id="rId7"/><Relationship Type="http://schemas.openxmlformats.org/officeDocument/2006/relationships/hyperlink" Target="https://www.lloydsbankinggroup.com/assets/pdfs/investors/financial-performance/lloyds-bank-corporate-markets-plc/2023/q2/2023-lbcm-hy-pillar-3.pdf" TargetMode="External" Id="rId8"/><Relationship Type="http://schemas.openxmlformats.org/officeDocument/2006/relationships/hyperlink" Target="https://www.lloydsbankinggroup.com/assets/pdfs/investors/financial-performance/lloyds-bank-corporate-markets-plc/2023/q3/2023-lbcm-q3-pillar-3.pdf" TargetMode="External" Id="rId9"/><Relationship Type="http://schemas.openxmlformats.org/officeDocument/2006/relationships/hyperlink" Target="https://www.lloydsbankinggroup.com/assets/pdfs/investors/financial-performance/lloyds-bank-corporate-markets-plc/2022/q1/2022-lbcm-q1-pillar-3.pdf" TargetMode="External" Id="rId10"/><Relationship Type="http://schemas.openxmlformats.org/officeDocument/2006/relationships/hyperlink" Target="https://www.lloydsbankinggroup.com/assets/pdfs/investors/financial-performance/lloyds-bank-corporate-markets-plc/2022/half-year/2022-lbcm-hy-pillar-3.pdf" TargetMode="External" Id="rId11"/><Relationship Type="http://schemas.openxmlformats.org/officeDocument/2006/relationships/hyperlink" Target="https://www.lloydsbankinggroup.com/assets/pdfs/investors/financial-performance/lloyds-bank-corporate-markets-plc/2022/q3/2022-lbcm-q3-pillar-3.pdf" TargetMode="External" Id="rId12"/><Relationship Type="http://schemas.openxmlformats.org/officeDocument/2006/relationships/hyperlink" Target="https://www.lloydsbankinggroup.com/assets/pdfs/investors/financial-performance/lloyds-bank-corporate-markets-plc/2025/q1/2025-lbcm-q1-pillar-3.pdf" TargetMode="External" Id="rId13"/><Relationship Type="http://schemas.openxmlformats.org/officeDocument/2006/relationships/hyperlink" Target="https://www.lloydsbankinggroup.com/assets/pdfs/investors/financial-performance/lloyds-bank-corporate-markets-plc/2025/q2/2025-lbcm-hy-pillar-3.pdf" TargetMode="External" Id="rId14"/><Relationship Type="http://schemas.openxmlformats.org/officeDocument/2006/relationships/hyperlink" Target="https://www.lloydsbankinggroup.com/assets/pdfs/investors/financial-performance/lloyds-bank-corporate-markets-plc/2025/q3/2025-lbcm-q3-pillar-3.pdf" TargetMode="External" Id="rId15"/><Relationship Type="http://schemas.openxmlformats.org/officeDocument/2006/relationships/hyperlink" Target="https://www.lloydsbankinggroup.com/assets/pdfs/investors/financial-performance/lloyds-bank-corporate-markets-plc/2024/q1/2024-lbcm-q1-pillar-3.pdf" TargetMode="External" Id="rId16"/><Relationship Type="http://schemas.openxmlformats.org/officeDocument/2006/relationships/hyperlink" Target="https://www.lloydsbankinggroup.com/assets/pdfs/investors/financial-performance/lloyds-bank-corporate-markets-plc/2024/q2/2024-lbcm-hy-pillar-3.pdf" TargetMode="External" Id="rId17"/><Relationship Type="http://schemas.openxmlformats.org/officeDocument/2006/relationships/hyperlink" Target="https://www.lloydsbankinggroup.com/assets/pdfs/investors/financial-performance/lloyds-bank-corporate-markets-plc/2024/q3/2024-lbcm-q3-pillar-3.pdf" TargetMode="External" Id="rId18"/><Relationship Type="http://schemas.openxmlformats.org/officeDocument/2006/relationships/hyperlink" Target="https://www.lloydsbankinggroup.com/assets/pdfs/investors/financial-performance/lloyds-bank-corporate-markets-plc/2023/q1/2023-lbcm-q1-pillar-3.pdf" TargetMode="External" Id="rId19"/><Relationship Type="http://schemas.openxmlformats.org/officeDocument/2006/relationships/hyperlink" Target="https://www.lloydsbankinggroup.com/assets/pdfs/investors/financial-performance/lloyds-bank-corporate-markets-plc/2023/q2/2023-lbcm-hy-pillar-3.pdf" TargetMode="External" Id="rId20"/><Relationship Type="http://schemas.openxmlformats.org/officeDocument/2006/relationships/hyperlink" Target="https://www.lloydsbankinggroup.com/assets/pdfs/investors/financial-performance/lloyds-bank-corporate-markets-plc/2023/q3/2023-lbcm-q3-pillar-3.pdf" TargetMode="External" Id="rId21"/><Relationship Type="http://schemas.openxmlformats.org/officeDocument/2006/relationships/hyperlink" Target="https://www.lloydsbankinggroup.com/assets/pdfs/investors/financial-performance/lloyds-bank-corporate-markets-plc/2022/half-year/2022-lbcm-hy-pillar-3.pdf" TargetMode="External" Id="rId22"/><Relationship Type="http://schemas.openxmlformats.org/officeDocument/2006/relationships/hyperlink" Target="https://www.lloydsbankinggroup.com/assets/pdfs/investors/financial-performance/lloyds-bank-corporate-markets-plc/2025/q1/2025-lbcm-q1-pillar-3.pdf" TargetMode="External" Id="rId23"/><Relationship Type="http://schemas.openxmlformats.org/officeDocument/2006/relationships/hyperlink" Target="https://www.lloydsbankinggroup.com/assets/pdfs/investors/financial-performance/lloyds-bank-corporate-markets-plc/2025/q2/2025-lbcm-hy-pillar-3.pdf" TargetMode="External" Id="rId24"/><Relationship Type="http://schemas.openxmlformats.org/officeDocument/2006/relationships/hyperlink" Target="https://www.lloydsbankinggroup.com/assets/pdfs/investors/financial-performance/lloyds-bank-corporate-markets-plc/2025/q3/2025-lbcm-q3-pillar-3.pdf" TargetMode="External" Id="rId25"/><Relationship Type="http://schemas.openxmlformats.org/officeDocument/2006/relationships/hyperlink" Target="https://www.lloydsbankinggroup.com/assets/pdfs/investors/financial-performance/lloyds-bank-corporate-markets-plc/2024/q1/2024-lbcm-q1-pillar-3.pdf" TargetMode="External" Id="rId26"/><Relationship Type="http://schemas.openxmlformats.org/officeDocument/2006/relationships/hyperlink" Target="https://www.lloydsbankinggroup.com/assets/pdfs/investors/financial-performance/lloyds-bank-corporate-markets-plc/2024/q2/2024-lbcm-hy-pillar-3.pdf" TargetMode="External" Id="rId27"/><Relationship Type="http://schemas.openxmlformats.org/officeDocument/2006/relationships/hyperlink" Target="https://www.lloydsbankinggroup.com/assets/pdfs/investors/financial-performance/lloyds-bank-corporate-markets-plc/2024/q3/2024-lbcm-q3-pillar-3.pdf" TargetMode="External" Id="rId28"/><Relationship Type="http://schemas.openxmlformats.org/officeDocument/2006/relationships/hyperlink" Target="https://www.lloydsbankinggroup.com/assets/pdfs/investors/financial-performance/lloyds-bank-corporate-markets-plc/2023/q1/2023-lbcm-q1-pillar-3.pdf" TargetMode="External" Id="rId29"/><Relationship Type="http://schemas.openxmlformats.org/officeDocument/2006/relationships/hyperlink" Target="https://www.lloydsbankinggroup.com/assets/pdfs/investors/financial-performance/lloyds-bank-corporate-markets-plc/2023/q2/2023-lbcm-hy-pillar-3.pdf" TargetMode="External" Id="rId30"/><Relationship Type="http://schemas.openxmlformats.org/officeDocument/2006/relationships/hyperlink" Target="https://www.lloydsbankinggroup.com/assets/pdfs/investors/financial-performance/lloyds-bank-corporate-markets-plc/2023/q3/2023-lbcm-q3-pillar-3.pdf" TargetMode="External" Id="rId31"/><Relationship Type="http://schemas.openxmlformats.org/officeDocument/2006/relationships/hyperlink" Target="https://www.lloydsbankinggroup.com/assets/pdfs/investors/financial-performance/lloyds-bank-corporate-markets-plc/2022/half-year/2022-lbcm-hy-pillar-3.pdf" TargetMode="External" Id="rId32"/><Relationship Type="http://schemas.openxmlformats.org/officeDocument/2006/relationships/hyperlink" Target="https://www.lloydsbankinggroup.com/assets/pdfs/investors/financial-performance/lloyds-bank-corporate-markets-plc/2025/q1/2025-lbcm-q1-pillar-3.pdf" TargetMode="External" Id="rId33"/><Relationship Type="http://schemas.openxmlformats.org/officeDocument/2006/relationships/hyperlink" Target="https://www.lloydsbankinggroup.com/assets/pdfs/investors/financial-performance/lloyds-bank-corporate-markets-plc/2025/q2/2025-lbcm-hy-pillar-3.pdf" TargetMode="External" Id="rId34"/><Relationship Type="http://schemas.openxmlformats.org/officeDocument/2006/relationships/hyperlink" Target="https://www.lloydsbankinggroup.com/assets/pdfs/investors/financial-performance/lloyds-bank-corporate-markets-plc/2025/q3/2025-lbcm-q3-pillar-3.pdf" TargetMode="External" Id="rId35"/><Relationship Type="http://schemas.openxmlformats.org/officeDocument/2006/relationships/hyperlink" Target="https://www.lloydsbankinggroup.com/assets/pdfs/investors/financial-performance/lloyds-bank-corporate-markets-plc/2024/q1/2024-lbcm-q1-pillar-3.pdf" TargetMode="External" Id="rId36"/><Relationship Type="http://schemas.openxmlformats.org/officeDocument/2006/relationships/hyperlink" Target="https://www.lloydsbankinggroup.com/assets/pdfs/investors/financial-performance/lloyds-bank-corporate-markets-plc/2024/q2/2024-lbcm-hy-pillar-3.pdf" TargetMode="External" Id="rId37"/><Relationship Type="http://schemas.openxmlformats.org/officeDocument/2006/relationships/hyperlink" Target="https://www.lloydsbankinggroup.com/assets/pdfs/investors/financial-performance/lloyds-bank-corporate-markets-plc/2024/q3/2024-lbcm-q3-pillar-3.pdf" TargetMode="External" Id="rId38"/><Relationship Type="http://schemas.openxmlformats.org/officeDocument/2006/relationships/hyperlink" Target="https://www.lloydsbankinggroup.com/assets/pdfs/investors/financial-performance/lloyds-bank-corporate-markets-plc/2023/q1/2023-lbcm-q1-pillar-3.pdf" TargetMode="External" Id="rId39"/><Relationship Type="http://schemas.openxmlformats.org/officeDocument/2006/relationships/hyperlink" Target="https://www.lloydsbankinggroup.com/assets/pdfs/investors/financial-performance/lloyds-bank-corporate-markets-plc/2023/q2/2023-lbcm-hy-pillar-3.pdf" TargetMode="External" Id="rId40"/><Relationship Type="http://schemas.openxmlformats.org/officeDocument/2006/relationships/hyperlink" Target="https://www.lloydsbankinggroup.com/assets/pdfs/investors/financial-performance/lloyds-bank-corporate-markets-plc/2023/q3/2023-lbcm-q3-pillar-3.pdf" TargetMode="External" Id="rId41"/><Relationship Type="http://schemas.openxmlformats.org/officeDocument/2006/relationships/hyperlink" Target="https://www.lloydsbankinggroup.com/assets/pdfs/investors/financial-performance/lloyds-bank-corporate-markets-plc/2022/q1/2022-lbcm-q1-pillar-3.pdf" TargetMode="External" Id="rId42"/><Relationship Type="http://schemas.openxmlformats.org/officeDocument/2006/relationships/hyperlink" Target="https://www.lloydsbankinggroup.com/assets/pdfs/investors/financial-performance/lloyds-bank-corporate-markets-plc/2022/half-year/2022-lbcm-hy-pillar-3.pdf" TargetMode="External" Id="rId43"/><Relationship Type="http://schemas.openxmlformats.org/officeDocument/2006/relationships/hyperlink" Target="https://www.lloydsbankinggroup.com/assets/pdfs/investors/financial-performance/lloyds-bank-corporate-markets-plc/2022/q3/2022-lbcm-q3-pillar-3.pdf" TargetMode="External" Id="rId44"/><Relationship Type="http://schemas.openxmlformats.org/officeDocument/2006/relationships/hyperlink" Target="https://www.lloydsbankinggroup.com/assets/pdfs/investors/financial-performance/lloyds-bank-corporate-markets-plc/2025/q2/2025-lbcm-hy-pillar-3.pdf" TargetMode="External" Id="rId45"/><Relationship Type="http://schemas.openxmlformats.org/officeDocument/2006/relationships/hyperlink" Target="https://www.lloydsbankinggroup.com/assets/pdfs/investors/financial-performance/lloyds-bank-corporate-markets-plc/2024/q2/2024-lbcm-hy-pillar-3.pdf" TargetMode="External" Id="rId46"/><Relationship Type="http://schemas.openxmlformats.org/officeDocument/2006/relationships/hyperlink" Target="https://www.lloydsbankinggroup.com/assets/pdfs/investors/financial-performance/lloyds-bank-corporate-markets-plc/2023/q2/2023-lbcm-hy-pillar-3.pdf" TargetMode="External" Id="rId47"/><Relationship Type="http://schemas.openxmlformats.org/officeDocument/2006/relationships/hyperlink" Target="https://www.lloydsbankinggroup.com/assets/pdfs/investors/financial-performance/lloyds-bank-corporate-markets-plc/2022/half-year/2022-lbcm-hy-pillar-3.pdf" TargetMode="External" Id="rId48"/><Relationship Type="http://schemas.openxmlformats.org/officeDocument/2006/relationships/hyperlink" Target="https://www.lloydsbankinggroup.com/assets/pdfs/investors/financial-performance/lloyds-bank-corporate-markets-plc/2025/q2/2025-lbcm-hy-pillar-3.pdf" TargetMode="External" Id="rId49"/><Relationship Type="http://schemas.openxmlformats.org/officeDocument/2006/relationships/hyperlink" Target="https://www.lloydsbankinggroup.com/assets/pdfs/investors/financial-performance/lloyds-bank-corporate-markets-plc/2024/q2/2024-lbcm-hy-pillar-3.pdf" TargetMode="External" Id="rId50"/><Relationship Type="http://schemas.openxmlformats.org/officeDocument/2006/relationships/hyperlink" Target="https://www.lloydsbankinggroup.com/assets/pdfs/investors/financial-performance/lloyds-bank-corporate-markets-plc/2023/q2/2023-lbcm-hy-pillar-3.pdf" TargetMode="External" Id="rId51"/><Relationship Type="http://schemas.openxmlformats.org/officeDocument/2006/relationships/hyperlink" Target="https://www.lloydsbankinggroup.com/assets/pdfs/investors/financial-performance/lloyds-bank-corporate-markets-plc/2022/half-year/2022-lbcm-hy-pillar-3.pdf" TargetMode="External" Id="rId52"/><Relationship Type="http://schemas.openxmlformats.org/officeDocument/2006/relationships/hyperlink" Target="https://www.lloydsbankinggroup.com/assets/pdfs/investors/financial-performance/lloyds-bank-corporate-markets-plc/2025/q2/2025-lbcm-hy-pillar-3.pdf" TargetMode="External" Id="rId53"/><Relationship Type="http://schemas.openxmlformats.org/officeDocument/2006/relationships/hyperlink" Target="https://www.lloydsbankinggroup.com/assets/pdfs/investors/financial-performance/lloyds-bank-corporate-markets-plc/2024/q2/2024-lbcm-hy-pillar-3.pdf" TargetMode="External" Id="rId54"/><Relationship Type="http://schemas.openxmlformats.org/officeDocument/2006/relationships/hyperlink" Target="https://www.lloydsbankinggroup.com/assets/pdfs/investors/financial-performance/lloyds-bank-corporate-markets-plc/2023/q2/2023-lbcm-hy-pillar-3.pdf" TargetMode="External" Id="rId55"/><Relationship Type="http://schemas.openxmlformats.org/officeDocument/2006/relationships/hyperlink" Target="https://www.lloydsbankinggroup.com/assets/pdfs/investors/financial-performance/lloyds-bank-corporate-markets-plc/2022/half-year/2022-lbcm-hy-pillar-3.pdf" TargetMode="External" Id="rId56"/><Relationship Type="http://schemas.openxmlformats.org/officeDocument/2006/relationships/hyperlink" Target="https://www.lloydsbankinggroup.com/assets/pdfs/investors/financial-performance/lloyds-bank-corporate-markets-plc/2025/q2/2025-lbcm-hy-pillar-3.pdf" TargetMode="External" Id="rId57"/><Relationship Type="http://schemas.openxmlformats.org/officeDocument/2006/relationships/hyperlink" Target="https://www.lloydsbankinggroup.com/assets/pdfs/investors/financial-performance/lloyds-bank-corporate-markets-plc/2024/q2/2024-lbcm-hy-pillar-3.pdf" TargetMode="External" Id="rId58"/><Relationship Type="http://schemas.openxmlformats.org/officeDocument/2006/relationships/hyperlink" Target="https://www.lloydsbankinggroup.com/assets/pdfs/investors/financial-performance/lloyds-bank-corporate-markets-plc/2023/q2/2023-lbcm-hy-pillar-3.pdf" TargetMode="External" Id="rId59"/><Relationship Type="http://schemas.openxmlformats.org/officeDocument/2006/relationships/hyperlink" Target="https://www.lloydsbankinggroup.com/assets/pdfs/investors/financial-performance/lloyds-bank-corporate-markets-plc/2022/half-year/2022-lbcm-hy-pillar-3.pdf" TargetMode="External" Id="rId60"/><Relationship Type="http://schemas.openxmlformats.org/officeDocument/2006/relationships/hyperlink" Target="https://www.lloydsbankinggroup.com/assets/pdfs/investors/financial-performance/lloyds-bank-corporate-markets-plc/2025/q2/2025-lbcm-hy-pillar-3.pdf" TargetMode="External" Id="rId61"/><Relationship Type="http://schemas.openxmlformats.org/officeDocument/2006/relationships/hyperlink" Target="https://www.lloydsbankinggroup.com/assets/pdfs/investors/financial-performance/lloyds-bank-corporate-markets-plc/2024/q2/2024-lbcm-hy-pillar-3.pdf" TargetMode="External" Id="rId62"/><Relationship Type="http://schemas.openxmlformats.org/officeDocument/2006/relationships/hyperlink" Target="https://www.lloydsbankinggroup.com/assets/pdfs/investors/financial-performance/lloyds-bank-corporate-markets-plc/2023/q2/2023-lbcm-hy-pillar-3.pdf" TargetMode="External" Id="rId63"/><Relationship Type="http://schemas.openxmlformats.org/officeDocument/2006/relationships/hyperlink" Target="https://www.lloydsbankinggroup.com/assets/pdfs/investors/financial-performance/lloyds-bank-corporate-markets-plc/2022/half-year/2022-lbcm-hy-pillar-3.pdf" TargetMode="External" Id="rId64"/><Relationship Type="http://schemas.openxmlformats.org/officeDocument/2006/relationships/hyperlink" Target="https://www.lloydsbankinggroup.com/assets/pdfs/investors/financial-performance/lloyds-bank-corporate-markets-plc/2025/q2/2025-lbcm-hy-pillar-3.pdf" TargetMode="External" Id="rId65"/><Relationship Type="http://schemas.openxmlformats.org/officeDocument/2006/relationships/hyperlink" Target="https://www.lloydsbankinggroup.com/assets/pdfs/investors/financial-performance/lloyds-bank-corporate-markets-plc/2024/q2/2024-lbcm-hy-pillar-3.pdf" TargetMode="External" Id="rId66"/><Relationship Type="http://schemas.openxmlformats.org/officeDocument/2006/relationships/hyperlink" Target="https://www.lloydsbankinggroup.com/assets/pdfs/investors/financial-performance/lloyds-bank-corporate-markets-plc/2023/q2/2023-lbcm-hy-pillar-3.pdf" TargetMode="External" Id="rId67"/><Relationship Type="http://schemas.openxmlformats.org/officeDocument/2006/relationships/hyperlink" Target="https://www.lloydsbankinggroup.com/assets/pdfs/investors/financial-performance/lloyds-bank-corporate-markets-plc/2022/half-year/2022-lbcm-hy-pillar-3.pdf" TargetMode="External" Id="rId68"/><Relationship Type="http://schemas.openxmlformats.org/officeDocument/2006/relationships/hyperlink" Target="https://www.lloydsbankinggroup.com/assets/pdfs/investors/financial-performance/lloyds-bank-corporate-markets-plc/2025/q2/2025-lbcm-hy-pillar-3.pdf" TargetMode="External" Id="rId69"/><Relationship Type="http://schemas.openxmlformats.org/officeDocument/2006/relationships/hyperlink" Target="https://www.lloydsbankinggroup.com/assets/pdfs/investors/financial-performance/lloyds-bank-corporate-markets-plc/2024/q2/2024-lbcm-hy-pillar-3.pdf" TargetMode="External" Id="rId70"/><Relationship Type="http://schemas.openxmlformats.org/officeDocument/2006/relationships/hyperlink" Target="https://www.lloydsbankinggroup.com/assets/pdfs/investors/financial-performance/lloyds-bank-corporate-markets-plc/2023/q2/2023-lbcm-hy-pillar-3.pdf" TargetMode="External" Id="rId71"/><Relationship Type="http://schemas.openxmlformats.org/officeDocument/2006/relationships/hyperlink" Target="https://www.lloydsbankinggroup.com/assets/pdfs/investors/financial-performance/lloyds-bank-corporate-markets-plc/2025/q1/2025-lbcm-q1-pillar-3.pdf" TargetMode="External" Id="rId72"/><Relationship Type="http://schemas.openxmlformats.org/officeDocument/2006/relationships/hyperlink" Target="https://www.lloydsbankinggroup.com/assets/pdfs/investors/financial-performance/lloyds-bank-corporate-markets-plc/2025/q2/2025-lbcm-hy-pillar-3.pdf" TargetMode="External" Id="rId73"/><Relationship Type="http://schemas.openxmlformats.org/officeDocument/2006/relationships/hyperlink" Target="https://www.lloydsbankinggroup.com/assets/pdfs/investors/financial-performance/lloyds-bank-corporate-markets-plc/2025/q3/2025-lbcm-q3-pillar-3.pdf" TargetMode="External" Id="rId74"/><Relationship Type="http://schemas.openxmlformats.org/officeDocument/2006/relationships/hyperlink" Target="https://www.lloydsbankinggroup.com/assets/pdfs/investors/financial-performance/lloyds-bank-corporate-markets-plc/2024/q1/2024-lbcm-q1-pillar-3.pdf" TargetMode="External" Id="rId75"/><Relationship Type="http://schemas.openxmlformats.org/officeDocument/2006/relationships/hyperlink" Target="https://www.lloydsbankinggroup.com/assets/pdfs/investors/financial-performance/lloyds-bank-corporate-markets-plc/2024/q2/2024-lbcm-hy-pillar-3.pdf" TargetMode="External" Id="rId76"/><Relationship Type="http://schemas.openxmlformats.org/officeDocument/2006/relationships/hyperlink" Target="https://www.lloydsbankinggroup.com/assets/pdfs/investors/financial-performance/lloyds-bank-corporate-markets-plc/2024/q3/2024-lbcm-q3-pillar-3.pdf" TargetMode="External" Id="rId77"/><Relationship Type="http://schemas.openxmlformats.org/officeDocument/2006/relationships/hyperlink" Target="https://www.lloydsbankinggroup.com/assets/pdfs/investors/financial-performance/lloyds-bank-corporate-markets-plc/2023/q1/2023-lbcm-q1-pillar-3.pdf" TargetMode="External" Id="rId78"/><Relationship Type="http://schemas.openxmlformats.org/officeDocument/2006/relationships/hyperlink" Target="https://www.lloydsbankinggroup.com/assets/pdfs/investors/financial-performance/lloyds-bank-corporate-markets-plc/2023/q2/2023-lbcm-hy-pillar-3.pdf" TargetMode="External" Id="rId79"/><Relationship Type="http://schemas.openxmlformats.org/officeDocument/2006/relationships/hyperlink" Target="https://www.lloydsbankinggroup.com/assets/pdfs/investors/financial-performance/lloyds-bank-corporate-markets-plc/2023/q3/2023-lbcm-q3-pillar-3.pdf" TargetMode="External" Id="rId80"/><Relationship Type="http://schemas.openxmlformats.org/officeDocument/2006/relationships/hyperlink" Target="https://www.lloydsbankinggroup.com/assets/pdfs/investors/financial-performance/lloyds-bank-corporate-markets-plc/2022/q1/2022-lbcm-q1-pillar-3.pdf" TargetMode="External" Id="rId81"/><Relationship Type="http://schemas.openxmlformats.org/officeDocument/2006/relationships/hyperlink" Target="https://www.lloydsbankinggroup.com/assets/pdfs/investors/financial-performance/lloyds-bank-corporate-markets-plc/2022/half-year/2022-lbcm-hy-pillar-3.pdf" TargetMode="External" Id="rId82"/><Relationship Type="http://schemas.openxmlformats.org/officeDocument/2006/relationships/hyperlink" Target="https://www.lloydsbankinggroup.com/assets/pdfs/investors/financial-performance/lloyds-bank-corporate-markets-plc/2022/q3/2022-lbcm-q3-pillar-3.pdf" TargetMode="External" Id="rId83"/></Relationships>
</file>

<file path=xl/worksheets/sheet1.xml><?xml version="1.0" encoding="utf-8"?>
<worksheet xmlns="http://schemas.openxmlformats.org/spreadsheetml/2006/main">
  <sheetPr>
    <outlinePr summaryBelow="1" summaryRight="1"/>
    <pageSetUpPr/>
  </sheetPr>
  <dimension ref="A1:BL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s>
  <sheetData>
    <row r="1">
      <c r="A1" s="1" t="inlineStr">
        <is>
          <t>Lloyds Bank Corporate Markets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FY2018</t>
        </is>
      </c>
      <c r="BF5" t="inlineStr">
        <is>
          <t>FY2019</t>
        </is>
      </c>
      <c r="BG5" t="inlineStr">
        <is>
          <t>FY2020</t>
        </is>
      </c>
      <c r="BH5" t="inlineStr">
        <is>
          <t>FY2021</t>
        </is>
      </c>
      <c r="BI5" t="inlineStr">
        <is>
          <t>FY2022</t>
        </is>
      </c>
      <c r="BJ5" t="inlineStr">
        <is>
          <t>FY2023</t>
        </is>
      </c>
      <c r="BK5" t="inlineStr">
        <is>
          <t>FY2024</t>
        </is>
      </c>
      <c r="BL5" t="inlineStr">
        <is>
          <t>FY2025</t>
        </is>
      </c>
    </row>
    <row r="6">
      <c r="A6" s="5" t="inlineStr">
        <is>
          <t>Total assets</t>
        </is>
      </c>
      <c r="B6" s="5" t="n">
        <v>92733</v>
      </c>
      <c r="C6" s="5" t="n">
        <v>95003</v>
      </c>
      <c r="D6" s="5" t="n">
        <v>90375</v>
      </c>
      <c r="E6" s="5" t="n">
        <v>86725</v>
      </c>
      <c r="F6" s="5" t="n">
        <v>88821</v>
      </c>
      <c r="G6" s="5" t="n">
        <v>92408</v>
      </c>
      <c r="H6" s="5" t="n">
        <v>79702</v>
      </c>
      <c r="I6" s="5" t="n">
        <v>70434</v>
      </c>
      <c r="L6" t="inlineStr">
        <is>
          <t>Total assets</t>
        </is>
      </c>
      <c r="M6" t="n">
        <v>70434</v>
      </c>
      <c r="N6" t="n">
        <v>79702</v>
      </c>
      <c r="O6" t="n">
        <v>92408</v>
      </c>
      <c r="P6" t="n">
        <v>88821</v>
      </c>
      <c r="Q6" t="n">
        <v>86725</v>
      </c>
      <c r="R6" t="n">
        <v>90375</v>
      </c>
      <c r="S6" t="n">
        <v>95003</v>
      </c>
      <c r="T6" t="n">
        <v>92733</v>
      </c>
      <c r="BD6" t="inlineStr">
        <is>
          <t>CET1 Ratio</t>
        </is>
      </c>
      <c r="BE6" t="n">
        <v>13.7</v>
      </c>
      <c r="BF6" t="n">
        <v>14</v>
      </c>
      <c r="BG6" t="n">
        <v>14.8</v>
      </c>
      <c r="BH6" t="n">
        <v>13.1</v>
      </c>
      <c r="BI6" t="n">
        <v>14.6</v>
      </c>
      <c r="BJ6" t="n">
        <v>13.3</v>
      </c>
      <c r="BK6" t="n">
        <v>13.6</v>
      </c>
      <c r="BL6" t="n">
        <v>13.7</v>
      </c>
    </row>
    <row r="7">
      <c r="A7" s="5" t="inlineStr">
        <is>
          <t>Loans and advances to customers</t>
        </is>
      </c>
      <c r="B7" s="5" t="n">
        <v>19504</v>
      </c>
      <c r="C7" s="5" t="n">
        <v>17524</v>
      </c>
      <c r="D7" s="5" t="n">
        <v>16167</v>
      </c>
      <c r="E7" s="5" t="n">
        <v>18864</v>
      </c>
      <c r="F7" s="5" t="n">
        <v>17176</v>
      </c>
      <c r="G7" s="5" t="n">
        <v>18189</v>
      </c>
      <c r="H7" s="5" t="n">
        <v>19986</v>
      </c>
      <c r="I7" s="5" t="n">
        <v>17036</v>
      </c>
      <c r="L7" t="inlineStr">
        <is>
          <t>Loans and advances to customers</t>
        </is>
      </c>
      <c r="M7" t="n">
        <v>17036</v>
      </c>
      <c r="N7" t="n">
        <v>19986</v>
      </c>
      <c r="O7" t="n">
        <v>18189</v>
      </c>
      <c r="P7" t="n">
        <v>17176</v>
      </c>
      <c r="Q7" t="n">
        <v>18864</v>
      </c>
      <c r="R7" t="n">
        <v>16167</v>
      </c>
      <c r="S7" t="n">
        <v>17524</v>
      </c>
      <c r="T7" t="n">
        <v>19504</v>
      </c>
      <c r="BD7" t="inlineStr">
        <is>
          <t>Tier 1 Ratio</t>
        </is>
      </c>
      <c r="BE7" t="n">
        <v>17.5</v>
      </c>
      <c r="BF7" t="n">
        <v>18.6</v>
      </c>
      <c r="BG7" t="n">
        <v>19.4</v>
      </c>
      <c r="BH7" t="n">
        <v>17.2</v>
      </c>
      <c r="BI7" t="n">
        <v>18.3</v>
      </c>
      <c r="BJ7" t="n">
        <v>17.1</v>
      </c>
      <c r="BK7" t="n">
        <v>17.4</v>
      </c>
      <c r="BL7" t="n">
        <v>31.8</v>
      </c>
    </row>
    <row r="8">
      <c r="A8" s="5" t="inlineStr">
        <is>
          <t>Customer deposits</t>
        </is>
      </c>
      <c r="B8" s="5" t="n">
        <v>31246</v>
      </c>
      <c r="C8" s="5" t="n">
        <v>30945</v>
      </c>
      <c r="D8" s="5" t="n">
        <v>29439</v>
      </c>
      <c r="E8" s="5" t="n">
        <v>29152</v>
      </c>
      <c r="F8" s="5" t="n">
        <v>26553</v>
      </c>
      <c r="G8" s="5" t="n">
        <v>25061</v>
      </c>
      <c r="H8" s="5" t="n">
        <v>24010</v>
      </c>
      <c r="I8" s="5" t="n">
        <v>14180</v>
      </c>
      <c r="L8" t="inlineStr">
        <is>
          <t>Customer deposits</t>
        </is>
      </c>
      <c r="M8" t="n">
        <v>14180</v>
      </c>
      <c r="N8" t="n">
        <v>24010</v>
      </c>
      <c r="O8" t="n">
        <v>25061</v>
      </c>
      <c r="P8" t="n">
        <v>26553</v>
      </c>
      <c r="Q8" t="n">
        <v>29152</v>
      </c>
      <c r="R8" t="n">
        <v>29439</v>
      </c>
      <c r="S8" t="n">
        <v>30945</v>
      </c>
      <c r="T8" t="n">
        <v>31246</v>
      </c>
      <c r="BD8" t="inlineStr">
        <is>
          <t>Total Capital Ratio</t>
        </is>
      </c>
      <c r="BE8" t="n">
        <v>20.9</v>
      </c>
      <c r="BF8" t="n">
        <v>22.5</v>
      </c>
      <c r="BG8" t="n">
        <v>22.5</v>
      </c>
      <c r="BH8" t="n">
        <v>20.1</v>
      </c>
      <c r="BI8" t="n">
        <v>21.2</v>
      </c>
      <c r="BJ8" t="n">
        <v>20.1</v>
      </c>
      <c r="BK8" t="n">
        <v>20.2</v>
      </c>
      <c r="BL8" t="n">
        <v>31.8</v>
      </c>
    </row>
    <row r="9">
      <c r="A9" s="5" t="inlineStr">
        <is>
          <t>Total equity</t>
        </is>
      </c>
      <c r="B9" s="5" t="n">
        <v>7558</v>
      </c>
      <c r="C9" s="5" t="n">
        <v>3827</v>
      </c>
      <c r="D9" s="5" t="n">
        <v>3899</v>
      </c>
      <c r="E9" s="5" t="n">
        <v>3432</v>
      </c>
      <c r="F9" s="5" t="n">
        <v>3565</v>
      </c>
      <c r="G9" s="5" t="n">
        <v>3696</v>
      </c>
      <c r="H9" s="5" t="n">
        <v>4375</v>
      </c>
      <c r="I9" s="5" t="n">
        <v>3972</v>
      </c>
      <c r="L9" t="inlineStr">
        <is>
          <t>Total equity</t>
        </is>
      </c>
      <c r="M9" t="n">
        <v>3972</v>
      </c>
      <c r="N9" t="n">
        <v>4375</v>
      </c>
      <c r="O9" t="n">
        <v>3696</v>
      </c>
      <c r="P9" t="n">
        <v>3565</v>
      </c>
      <c r="Q9" t="n">
        <v>3432</v>
      </c>
      <c r="R9" t="n">
        <v>3899</v>
      </c>
      <c r="S9" t="n">
        <v>3827</v>
      </c>
      <c r="T9" t="n">
        <v>7558</v>
      </c>
      <c r="BD9" t="inlineStr">
        <is>
          <t>Leverage Ratio</t>
        </is>
      </c>
      <c r="BF9" t="n">
        <v>3.8</v>
      </c>
      <c r="BG9" t="n">
        <v>3.7</v>
      </c>
      <c r="BH9" t="n">
        <v>3.5</v>
      </c>
      <c r="BI9" t="n">
        <v>5.4</v>
      </c>
      <c r="BJ9" t="n">
        <v>4.7</v>
      </c>
      <c r="BK9" t="n">
        <v>4.5</v>
      </c>
      <c r="BL9" t="n">
        <v>8.4</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Total income (Group)</t>
        </is>
      </c>
      <c r="B13" s="5" t="n">
        <v>1147</v>
      </c>
      <c r="C13" s="5" t="n">
        <v>984</v>
      </c>
      <c r="D13" s="5" t="n">
        <v>908</v>
      </c>
      <c r="E13" s="5" t="n">
        <v>967</v>
      </c>
      <c r="F13" s="5" t="n">
        <v>641</v>
      </c>
      <c r="G13" s="5" t="n">
        <v>544</v>
      </c>
      <c r="H13" s="5" t="n">
        <v>819</v>
      </c>
      <c r="I13" s="5" t="n">
        <v>455</v>
      </c>
      <c r="W13" t="inlineStr">
        <is>
          <t>Total income (Group)</t>
        </is>
      </c>
      <c r="X13" t="n">
        <v>455</v>
      </c>
      <c r="Y13" t="n">
        <v>819</v>
      </c>
      <c r="Z13" t="n">
        <v>544</v>
      </c>
      <c r="AA13" t="n">
        <v>641</v>
      </c>
      <c r="AB13" t="n">
        <v>967</v>
      </c>
      <c r="AC13" t="n">
        <v>908</v>
      </c>
      <c r="AD13" t="n">
        <v>984</v>
      </c>
      <c r="AE13" t="n">
        <v>1147</v>
      </c>
    </row>
    <row r="14">
      <c r="A14" s="5" t="inlineStr">
        <is>
          <t>Operating expenses (Group)</t>
        </is>
      </c>
      <c r="B14" s="5" t="n">
        <v>-510</v>
      </c>
      <c r="C14" s="5" t="n">
        <v>-499</v>
      </c>
      <c r="D14" s="5" t="n">
        <v>-509</v>
      </c>
      <c r="E14" s="5" t="n">
        <v>-444</v>
      </c>
      <c r="F14" s="5" t="n">
        <v>-414</v>
      </c>
      <c r="G14" s="5" t="n">
        <v>-428</v>
      </c>
      <c r="H14" s="5" t="n">
        <v>-462</v>
      </c>
      <c r="I14" s="5" t="n">
        <v>-273</v>
      </c>
      <c r="W14" t="inlineStr">
        <is>
          <t>Operating expenses (Group)</t>
        </is>
      </c>
      <c r="X14" t="n">
        <v>-273</v>
      </c>
      <c r="Y14" t="n">
        <v>-462</v>
      </c>
      <c r="Z14" t="n">
        <v>-428</v>
      </c>
      <c r="AA14" t="n">
        <v>-414</v>
      </c>
      <c r="AB14" t="n">
        <v>-444</v>
      </c>
      <c r="AC14" t="n">
        <v>-509</v>
      </c>
      <c r="AD14" t="n">
        <v>-499</v>
      </c>
      <c r="AE14" t="n">
        <v>-510</v>
      </c>
    </row>
    <row r="15">
      <c r="A15" s="5" t="inlineStr">
        <is>
          <t>Profit for the year (Bank)</t>
        </is>
      </c>
      <c r="B15" s="5" t="n">
        <v>495</v>
      </c>
      <c r="C15" s="5" t="n">
        <v>378</v>
      </c>
      <c r="D15" s="5" t="n">
        <v>320</v>
      </c>
      <c r="E15" s="5" t="n">
        <v>348</v>
      </c>
      <c r="F15" s="5" t="n">
        <v>247</v>
      </c>
      <c r="G15" s="5" t="n">
        <v>9</v>
      </c>
      <c r="H15" s="5" t="n">
        <v>397</v>
      </c>
      <c r="I15" s="5" t="n">
        <v>106</v>
      </c>
      <c r="W15" t="inlineStr">
        <is>
          <t>Profit for the year (Bank)</t>
        </is>
      </c>
      <c r="X15" t="n">
        <v>106</v>
      </c>
      <c r="Y15" t="n">
        <v>397</v>
      </c>
      <c r="Z15" t="n">
        <v>9</v>
      </c>
      <c r="AA15" t="n">
        <v>247</v>
      </c>
      <c r="AB15" t="n">
        <v>348</v>
      </c>
      <c r="AC15" t="n">
        <v>320</v>
      </c>
      <c r="AD15" t="n">
        <v>378</v>
      </c>
      <c r="AE15" t="n">
        <v>495</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Opening equity</t>
        </is>
      </c>
      <c r="B19" s="5" t="n">
        <v>3827</v>
      </c>
      <c r="C19" s="5" t="n">
        <v>3899</v>
      </c>
      <c r="D19" s="5" t="n">
        <v>3432</v>
      </c>
      <c r="E19" s="5" t="n">
        <v>3565</v>
      </c>
      <c r="F19" s="5" t="n">
        <v>3696</v>
      </c>
      <c r="G19" s="5" t="n">
        <v>4375</v>
      </c>
      <c r="H19" s="5" t="n">
        <v>3972</v>
      </c>
      <c r="I19" s="5" t="n">
        <v>20</v>
      </c>
      <c r="AH19" t="inlineStr">
        <is>
          <t>Opening equity</t>
        </is>
      </c>
      <c r="AI19" t="n">
        <v>20</v>
      </c>
      <c r="AJ19" t="n">
        <v>3972</v>
      </c>
      <c r="AK19" t="n">
        <v>4375</v>
      </c>
      <c r="AL19" t="n">
        <v>3696</v>
      </c>
      <c r="AM19" t="n">
        <v>3565</v>
      </c>
      <c r="AN19" t="n">
        <v>3432</v>
      </c>
      <c r="AO19" t="n">
        <v>3899</v>
      </c>
      <c r="AP19" t="n">
        <v>3827</v>
      </c>
    </row>
    <row r="20">
      <c r="A20" s="5" t="inlineStr">
        <is>
          <t>Total comprehensive income/(loss) for the year</t>
        </is>
      </c>
      <c r="B20" s="5" t="n">
        <v>600</v>
      </c>
      <c r="C20" s="5" t="n">
        <v>456</v>
      </c>
      <c r="D20" s="5" t="n">
        <v>536</v>
      </c>
      <c r="E20" s="5" t="n">
        <v>-120</v>
      </c>
      <c r="F20" s="5" t="n">
        <v>102</v>
      </c>
      <c r="G20" s="5" t="n">
        <v>61</v>
      </c>
      <c r="H20" s="5" t="n">
        <v>445</v>
      </c>
      <c r="I20" s="5" t="n">
        <v>104</v>
      </c>
      <c r="AH20" t="inlineStr">
        <is>
          <t>Total comprehensive income/(loss) for the year</t>
        </is>
      </c>
      <c r="AI20" t="n">
        <v>104</v>
      </c>
      <c r="AJ20" t="n">
        <v>445</v>
      </c>
      <c r="AK20" t="n">
        <v>61</v>
      </c>
      <c r="AL20" t="n">
        <v>102</v>
      </c>
      <c r="AM20" t="n">
        <v>-120</v>
      </c>
      <c r="AN20" t="n">
        <v>536</v>
      </c>
      <c r="AO20" t="n">
        <v>456</v>
      </c>
      <c r="AP20" t="n">
        <v>600</v>
      </c>
    </row>
    <row r="21">
      <c r="A21" s="5" t="inlineStr">
        <is>
          <t>Other equity movements, net</t>
        </is>
      </c>
      <c r="B21" s="5" t="n">
        <v>3131</v>
      </c>
      <c r="C21" s="5" t="n">
        <v>-528</v>
      </c>
      <c r="D21" s="5" t="n">
        <v>-69</v>
      </c>
      <c r="E21" s="5" t="n">
        <v>-13</v>
      </c>
      <c r="F21" s="5" t="n">
        <v>-233</v>
      </c>
      <c r="G21" s="5" t="n">
        <v>-740</v>
      </c>
      <c r="H21" s="5" t="n">
        <v>-42</v>
      </c>
      <c r="I21" s="5" t="n">
        <v>3848</v>
      </c>
      <c r="AH21" t="inlineStr">
        <is>
          <t>Other equity movements, net</t>
        </is>
      </c>
      <c r="AI21" t="n">
        <v>3848</v>
      </c>
      <c r="AJ21" t="n">
        <v>-42</v>
      </c>
      <c r="AK21" t="n">
        <v>-740</v>
      </c>
      <c r="AL21" t="n">
        <v>-233</v>
      </c>
      <c r="AM21" t="n">
        <v>-13</v>
      </c>
      <c r="AN21" t="n">
        <v>-69</v>
      </c>
      <c r="AO21" t="n">
        <v>-528</v>
      </c>
      <c r="AP21" t="n">
        <v>3131</v>
      </c>
    </row>
    <row r="22">
      <c r="A22" s="5" t="inlineStr">
        <is>
          <t>Closing equity</t>
        </is>
      </c>
      <c r="B22" s="5" t="n">
        <v>7558</v>
      </c>
      <c r="C22" s="5" t="n">
        <v>3827</v>
      </c>
      <c r="D22" s="5" t="n">
        <v>3899</v>
      </c>
      <c r="E22" s="5" t="n">
        <v>3432</v>
      </c>
      <c r="F22" s="5" t="n">
        <v>3565</v>
      </c>
      <c r="G22" s="5" t="n">
        <v>3696</v>
      </c>
      <c r="H22" s="5" t="n">
        <v>4375</v>
      </c>
      <c r="I22" s="5" t="n">
        <v>3972</v>
      </c>
      <c r="AH22" t="inlineStr">
        <is>
          <t>Closing equity</t>
        </is>
      </c>
      <c r="AI22" t="n">
        <v>3972</v>
      </c>
      <c r="AJ22" t="n">
        <v>4375</v>
      </c>
      <c r="AK22" t="n">
        <v>3696</v>
      </c>
      <c r="AL22" t="n">
        <v>3565</v>
      </c>
      <c r="AM22" t="n">
        <v>3432</v>
      </c>
      <c r="AN22" t="n">
        <v>3899</v>
      </c>
      <c r="AO22" t="n">
        <v>3827</v>
      </c>
      <c r="AP22" t="n">
        <v>7558</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T25" t="inlineStr">
        <is>
          <t>FY2018</t>
        </is>
      </c>
      <c r="AU25" t="inlineStr">
        <is>
          <t>FY2019</t>
        </is>
      </c>
      <c r="AV25" t="inlineStr">
        <is>
          <t>FY2020</t>
        </is>
      </c>
      <c r="AW25" t="inlineStr">
        <is>
          <t>FY2021</t>
        </is>
      </c>
      <c r="AX25" t="inlineStr">
        <is>
          <t>FY2022</t>
        </is>
      </c>
      <c r="AY25" t="inlineStr">
        <is>
          <t>FY2023</t>
        </is>
      </c>
      <c r="AZ25" t="inlineStr">
        <is>
          <t>FY2024</t>
        </is>
      </c>
      <c r="BA25" t="inlineStr">
        <is>
          <t>FY2025</t>
        </is>
      </c>
    </row>
    <row r="26">
      <c r="A26" s="5" t="inlineStr">
        <is>
          <t>Net cash provided by/(used in) operating activities</t>
        </is>
      </c>
      <c r="B26" s="5" t="n">
        <v>-2800</v>
      </c>
      <c r="C26" s="5" t="n">
        <v>-635</v>
      </c>
      <c r="D26" s="5" t="n">
        <v>1288</v>
      </c>
      <c r="E26" s="5" t="n">
        <v>-4456</v>
      </c>
      <c r="F26" s="5" t="n">
        <v>-3219</v>
      </c>
      <c r="G26" s="5" t="n">
        <v>8161</v>
      </c>
      <c r="H26" s="5" t="n">
        <v>-3236</v>
      </c>
      <c r="I26" s="5" t="n">
        <v>23923</v>
      </c>
      <c r="AS26" t="inlineStr">
        <is>
          <t>Net cash provided by/(used in) operating activities</t>
        </is>
      </c>
      <c r="AT26" t="n">
        <v>23923</v>
      </c>
      <c r="AU26" t="n">
        <v>-3236</v>
      </c>
      <c r="AV26" t="n">
        <v>8161</v>
      </c>
      <c r="AW26" t="n">
        <v>-3219</v>
      </c>
      <c r="AX26" t="n">
        <v>-4456</v>
      </c>
      <c r="AY26" t="n">
        <v>1288</v>
      </c>
      <c r="AZ26" t="n">
        <v>-635</v>
      </c>
      <c r="BA26" t="n">
        <v>-2800</v>
      </c>
    </row>
    <row r="27">
      <c r="A27" s="5" t="inlineStr">
        <is>
          <t>Net cash provided by/(used in) investing activities</t>
        </is>
      </c>
      <c r="B27" s="5" t="n">
        <v>-3</v>
      </c>
      <c r="C27" s="5" t="n">
        <v>-5</v>
      </c>
      <c r="D27" s="5" t="n">
        <v>5</v>
      </c>
      <c r="E27" s="5" t="n">
        <v>122</v>
      </c>
      <c r="F27" s="5" t="n">
        <v>96</v>
      </c>
      <c r="G27" s="5" t="n">
        <v>37</v>
      </c>
      <c r="H27" s="5" t="n">
        <v>6940</v>
      </c>
      <c r="I27" s="5" t="n">
        <v>-13057</v>
      </c>
      <c r="AS27" t="inlineStr">
        <is>
          <t>Net cash provided by/(used in) investing activities</t>
        </is>
      </c>
      <c r="AT27" t="n">
        <v>-13057</v>
      </c>
      <c r="AU27" t="n">
        <v>6940</v>
      </c>
      <c r="AV27" t="n">
        <v>37</v>
      </c>
      <c r="AW27" t="n">
        <v>96</v>
      </c>
      <c r="AX27" t="n">
        <v>122</v>
      </c>
      <c r="AY27" t="n">
        <v>5</v>
      </c>
      <c r="AZ27" t="n">
        <v>-5</v>
      </c>
      <c r="BA27" t="n">
        <v>-3</v>
      </c>
    </row>
    <row r="28">
      <c r="A28" s="5" t="inlineStr">
        <is>
          <t>Net cash provided by/(used in) financing activities</t>
        </is>
      </c>
      <c r="B28" s="5" t="n">
        <v>2372</v>
      </c>
      <c r="C28" s="5" t="n">
        <v>-586</v>
      </c>
      <c r="D28" s="5" t="n">
        <v>-117</v>
      </c>
      <c r="E28" s="5" t="n">
        <v>-46</v>
      </c>
      <c r="F28" s="5" t="n">
        <v>-249</v>
      </c>
      <c r="G28" s="5" t="n">
        <v>-763</v>
      </c>
      <c r="H28" s="5" t="n">
        <v>-81</v>
      </c>
      <c r="I28" s="5" t="n">
        <v>4564</v>
      </c>
      <c r="AS28" t="inlineStr">
        <is>
          <t>Net cash provided by/(used in) financing activities</t>
        </is>
      </c>
      <c r="AT28" t="n">
        <v>4564</v>
      </c>
      <c r="AU28" t="n">
        <v>-81</v>
      </c>
      <c r="AV28" t="n">
        <v>-763</v>
      </c>
      <c r="AW28" t="n">
        <v>-249</v>
      </c>
      <c r="AX28" t="n">
        <v>-46</v>
      </c>
      <c r="AY28" t="n">
        <v>-117</v>
      </c>
      <c r="AZ28" t="n">
        <v>-586</v>
      </c>
      <c r="BA28" t="n">
        <v>2372</v>
      </c>
    </row>
    <row r="29">
      <c r="A29" s="5" t="inlineStr">
        <is>
          <t>Cash and cash equivalents at end of year</t>
        </is>
      </c>
      <c r="B29" s="5" t="n">
        <v>19681</v>
      </c>
      <c r="C29" s="5" t="n">
        <v>20633</v>
      </c>
      <c r="D29" s="5" t="n">
        <v>20169</v>
      </c>
      <c r="E29" s="5" t="n">
        <v>19396</v>
      </c>
      <c r="F29" s="5" t="n">
        <v>23038</v>
      </c>
      <c r="G29" s="5" t="n">
        <v>26341</v>
      </c>
      <c r="H29" s="5" t="n">
        <v>19073</v>
      </c>
      <c r="I29" s="5" t="n">
        <v>15450</v>
      </c>
      <c r="AS29" t="inlineStr">
        <is>
          <t>Cash and cash equivalents at end of year</t>
        </is>
      </c>
      <c r="AT29" t="n">
        <v>15450</v>
      </c>
      <c r="AU29" t="n">
        <v>19073</v>
      </c>
      <c r="AV29" t="n">
        <v>26341</v>
      </c>
      <c r="AW29" t="n">
        <v>23038</v>
      </c>
      <c r="AX29" t="n">
        <v>19396</v>
      </c>
      <c r="AY29" t="n">
        <v>20169</v>
      </c>
      <c r="AZ29" t="n">
        <v>20633</v>
      </c>
      <c r="BA29" t="n">
        <v>19681</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row>
    <row r="33">
      <c r="A33" s="6" t="inlineStr">
        <is>
          <t>CET1 Ratio</t>
        </is>
      </c>
      <c r="B33" s="6" t="inlineStr">
        <is>
          <t>13.7%</t>
        </is>
      </c>
      <c r="C33" s="6" t="inlineStr">
        <is>
          <t>13.6%</t>
        </is>
      </c>
      <c r="D33" s="6" t="inlineStr">
        <is>
          <t>13.3%</t>
        </is>
      </c>
      <c r="E33" s="6" t="inlineStr">
        <is>
          <t>14.6%</t>
        </is>
      </c>
      <c r="F33" s="6" t="inlineStr">
        <is>
          <t>13.1%</t>
        </is>
      </c>
      <c r="G33" s="6" t="inlineStr">
        <is>
          <t>14.8%</t>
        </is>
      </c>
      <c r="H33" s="6" t="inlineStr">
        <is>
          <t>14.0%</t>
        </is>
      </c>
      <c r="I33" s="6" t="inlineStr">
        <is>
          <t>13.7%</t>
        </is>
      </c>
    </row>
    <row r="34">
      <c r="A34" s="6" t="inlineStr">
        <is>
          <t>Tier 1 Ratio</t>
        </is>
      </c>
      <c r="B34" s="6" t="inlineStr">
        <is>
          <t>31.8%</t>
        </is>
      </c>
      <c r="C34" s="6" t="inlineStr">
        <is>
          <t>17.4%</t>
        </is>
      </c>
      <c r="D34" s="6" t="inlineStr">
        <is>
          <t>17.1%</t>
        </is>
      </c>
      <c r="E34" s="6" t="inlineStr">
        <is>
          <t>18.3%</t>
        </is>
      </c>
      <c r="F34" s="6" t="inlineStr">
        <is>
          <t>17.2%</t>
        </is>
      </c>
      <c r="G34" s="6" t="inlineStr">
        <is>
          <t>19.4%</t>
        </is>
      </c>
      <c r="H34" s="6" t="inlineStr">
        <is>
          <t>18.6%</t>
        </is>
      </c>
      <c r="I34" s="6" t="inlineStr">
        <is>
          <t>17.5%</t>
        </is>
      </c>
    </row>
    <row r="35">
      <c r="A35" s="6" t="inlineStr">
        <is>
          <t>Total Capital Ratio</t>
        </is>
      </c>
      <c r="B35" s="6" t="inlineStr">
        <is>
          <t>31.8%</t>
        </is>
      </c>
      <c r="C35" s="6" t="inlineStr">
        <is>
          <t>20.2%</t>
        </is>
      </c>
      <c r="D35" s="6" t="inlineStr">
        <is>
          <t>20.1%</t>
        </is>
      </c>
      <c r="E35" s="6" t="inlineStr">
        <is>
          <t>21.2%</t>
        </is>
      </c>
      <c r="F35" s="6" t="inlineStr">
        <is>
          <t>20.1%</t>
        </is>
      </c>
      <c r="G35" s="6" t="inlineStr">
        <is>
          <t>22.5%</t>
        </is>
      </c>
      <c r="H35" s="6" t="inlineStr">
        <is>
          <t>22.5%</t>
        </is>
      </c>
      <c r="I35" s="6" t="inlineStr">
        <is>
          <t>20.9%</t>
        </is>
      </c>
    </row>
    <row r="36">
      <c r="A36" s="6" t="inlineStr">
        <is>
          <t>Leverage Ratio</t>
        </is>
      </c>
      <c r="B36" s="6" t="inlineStr">
        <is>
          <t>8.4%</t>
        </is>
      </c>
      <c r="C36" s="6" t="inlineStr">
        <is>
          <t>4.5%</t>
        </is>
      </c>
      <c r="D36" s="6" t="inlineStr">
        <is>
          <t>4.7%</t>
        </is>
      </c>
      <c r="E36" s="6" t="inlineStr">
        <is>
          <t>5.4%</t>
        </is>
      </c>
      <c r="F36" s="6" t="inlineStr">
        <is>
          <t>3.5%</t>
        </is>
      </c>
      <c r="G36" s="6" t="inlineStr">
        <is>
          <t>3.7%</t>
        </is>
      </c>
      <c r="H36" s="6" t="inlineStr">
        <is>
          <t>3.8%</t>
        </is>
      </c>
      <c r="I36" s="6" t="n"/>
    </row>
    <row r="38" ht="39" customHeight="1">
      <c r="A38" s="7" t="inlineStr">
        <is>
          <t>Note: All figures are Lloyds Bank Corporate Markets plc's own Bank (solo) basis, not the wider Lloyds Banking Group (FY2018/FY2019 capital ratios are Group/consolidated basis per that year's own source labeling - see FLOOR NOTE). FY2018 is LBCM's first year of trading (incorporated 28 September 2016 as a dormant shelf company; no genuine trading floor exists earlier than FY2018) - its 'Other equity movements, net' row of £3,848m on the Overview reflects one-off initial capitalisation events (capital contribution from parent, AT1 issuance, share capital issuance) as LBCM went live via the 2018 ring-fencing business transfer, not a recurring pattern.</t>
        </is>
      </c>
    </row>
  </sheetData>
  <mergeCells count="1">
    <mergeCell ref="A38:I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Balance Sheet</t>
        </is>
      </c>
    </row>
    <row r="2">
      <c r="A2" s="2" t="inlineStr">
        <is>
          <t>Bank (solo) basis. £m. FY2021-FY2023 show a standalone 'Property, plant and equipment' line and a 'Financial assets at fair value through other comprehensive income' line, both since folded into 'Other assets' from FY2024 onward (a genuine structural simplification, not a data gap). FY2018-FY2020 have no separate 'Reverse repurchase agreements' or 'Repurchase agreements at amortised cost' or 'Provisions' lines at all (genuinely absent from those years' own balance sheets, not folded in unlabeled - the entity had no repo book or separate provisions line yet), and instead have an 'Items in the course of collection from banks' line (FY2019 only; FY2018/FY2020 Bank column show £0/blank) not carried in any later year.</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Assets</t>
        </is>
      </c>
      <c r="B4" s="6" t="n"/>
      <c r="C4" s="6" t="n"/>
      <c r="D4" s="6" t="n"/>
      <c r="E4" s="6" t="n"/>
      <c r="F4" s="6" t="n"/>
      <c r="G4" s="6" t="n"/>
      <c r="H4" s="6" t="n"/>
      <c r="I4" s="6" t="n"/>
    </row>
    <row r="5">
      <c r="A5" s="6" t="inlineStr">
        <is>
          <t>Cash and balances at central banks</t>
        </is>
      </c>
      <c r="B5" s="6" t="n">
        <v>18941</v>
      </c>
      <c r="C5" s="6" t="n">
        <v>20308</v>
      </c>
      <c r="D5" s="6" t="n">
        <v>20201</v>
      </c>
      <c r="E5" s="6" t="n">
        <v>19382</v>
      </c>
      <c r="F5" s="6" t="n">
        <v>22140</v>
      </c>
      <c r="G5" s="6" t="n">
        <v>23369</v>
      </c>
      <c r="H5" s="6" t="n">
        <v>16250</v>
      </c>
      <c r="I5" s="6" t="n">
        <v>14441</v>
      </c>
    </row>
    <row r="6">
      <c r="A6" s="6" t="inlineStr">
        <is>
          <t>Items in the course of collection from banks</t>
        </is>
      </c>
      <c r="B6" s="6" t="n"/>
      <c r="C6" s="6" t="n"/>
      <c r="D6" s="6" t="n"/>
      <c r="E6" s="6" t="n"/>
      <c r="F6" s="6" t="n"/>
      <c r="G6" s="6" t="n"/>
      <c r="H6" s="6" t="n">
        <v>21</v>
      </c>
      <c r="I6" s="6" t="n"/>
    </row>
    <row r="7">
      <c r="A7" s="6" t="inlineStr">
        <is>
          <t>Financial assets at fair value through profit or loss</t>
        </is>
      </c>
      <c r="B7" s="6" t="n">
        <v>25855</v>
      </c>
      <c r="C7" s="6" t="n">
        <v>25620</v>
      </c>
      <c r="D7" s="6" t="n">
        <v>21847</v>
      </c>
      <c r="E7" s="6" t="n">
        <v>14642</v>
      </c>
      <c r="F7" s="6" t="n">
        <v>22268</v>
      </c>
      <c r="G7" s="6" t="n">
        <v>20841</v>
      </c>
      <c r="H7" s="6" t="n">
        <v>18059</v>
      </c>
      <c r="I7" s="6" t="n">
        <v>17092</v>
      </c>
    </row>
    <row r="8">
      <c r="A8" s="6" t="inlineStr">
        <is>
          <t>Derivative financial instruments</t>
        </is>
      </c>
      <c r="B8" s="6" t="n">
        <v>18314</v>
      </c>
      <c r="C8" s="6" t="n">
        <v>22416</v>
      </c>
      <c r="D8" s="6" t="n">
        <v>22606</v>
      </c>
      <c r="E8" s="6" t="n">
        <v>24647</v>
      </c>
      <c r="F8" s="6" t="n">
        <v>18042</v>
      </c>
      <c r="G8" s="6" t="n">
        <v>21818</v>
      </c>
      <c r="H8" s="6" t="n">
        <v>18892</v>
      </c>
      <c r="I8" s="6" t="n">
        <v>15921</v>
      </c>
    </row>
    <row r="9">
      <c r="A9" s="6" t="inlineStr">
        <is>
          <t>Loans and advances to banks</t>
        </is>
      </c>
      <c r="B9" s="6" t="n">
        <v>1006</v>
      </c>
      <c r="C9" s="6" t="n">
        <v>1224</v>
      </c>
      <c r="D9" s="6" t="n">
        <v>1726</v>
      </c>
      <c r="E9" s="6" t="n">
        <v>2063</v>
      </c>
      <c r="F9" s="6" t="n">
        <v>2333</v>
      </c>
      <c r="G9" s="6" t="n">
        <v>5231</v>
      </c>
      <c r="H9" s="6" t="n">
        <v>4792</v>
      </c>
      <c r="I9" s="6" t="n">
        <v>2561</v>
      </c>
    </row>
    <row r="10">
      <c r="A10" s="6" t="inlineStr">
        <is>
          <t>Loans and advances to customers</t>
        </is>
      </c>
      <c r="B10" s="6" t="n">
        <v>19504</v>
      </c>
      <c r="C10" s="6" t="n">
        <v>17524</v>
      </c>
      <c r="D10" s="6" t="n">
        <v>16167</v>
      </c>
      <c r="E10" s="6" t="n">
        <v>18864</v>
      </c>
      <c r="F10" s="6" t="n">
        <v>17176</v>
      </c>
      <c r="G10" s="6" t="n">
        <v>18189</v>
      </c>
      <c r="H10" s="6" t="n">
        <v>19986</v>
      </c>
      <c r="I10" s="6" t="n">
        <v>17036</v>
      </c>
    </row>
    <row r="11">
      <c r="A11" s="6" t="inlineStr">
        <is>
          <t>Reverse repurchase agreements</t>
        </is>
      </c>
      <c r="B11" s="6" t="n">
        <v>7024</v>
      </c>
      <c r="C11" s="6" t="n">
        <v>5332</v>
      </c>
      <c r="D11" s="6" t="n">
        <v>6020</v>
      </c>
      <c r="E11" s="6" t="n">
        <v>5606</v>
      </c>
      <c r="F11" s="6" t="n">
        <v>5044</v>
      </c>
      <c r="G11" s="6" t="n"/>
      <c r="H11" s="6" t="n"/>
      <c r="I11" s="6" t="n"/>
    </row>
    <row r="12">
      <c r="A12" s="6" t="inlineStr">
        <is>
          <t>Debt securities</t>
        </is>
      </c>
      <c r="B12" s="6" t="n">
        <v>379</v>
      </c>
      <c r="C12" s="6" t="n">
        <v>336</v>
      </c>
      <c r="D12" s="6" t="n">
        <v>374</v>
      </c>
      <c r="E12" s="6" t="n">
        <v>305</v>
      </c>
      <c r="F12" s="6" t="n">
        <v>229</v>
      </c>
      <c r="G12" s="6" t="n">
        <v>257</v>
      </c>
      <c r="H12" s="6" t="n">
        <v>112</v>
      </c>
      <c r="I12" s="6" t="n">
        <v>132</v>
      </c>
    </row>
    <row r="13">
      <c r="A13" s="6" t="inlineStr">
        <is>
          <t>Due from fellow Lloyds Banking Group undertakings</t>
        </is>
      </c>
      <c r="B13" s="6" t="n">
        <v>641</v>
      </c>
      <c r="C13" s="6" t="n">
        <v>642</v>
      </c>
      <c r="D13" s="6" t="n">
        <v>629</v>
      </c>
      <c r="E13" s="6" t="n">
        <v>593</v>
      </c>
      <c r="F13" s="6" t="n">
        <v>862</v>
      </c>
      <c r="G13" s="6" t="n">
        <v>1218</v>
      </c>
      <c r="H13" s="6" t="n">
        <v>819</v>
      </c>
      <c r="I13" s="6" t="n">
        <v>1388</v>
      </c>
    </row>
    <row r="14">
      <c r="A14" s="5" t="inlineStr">
        <is>
          <t>Financial assets at amortised cost</t>
        </is>
      </c>
      <c r="B14" s="5" t="n">
        <v>28554</v>
      </c>
      <c r="C14" s="5" t="n">
        <v>25058</v>
      </c>
      <c r="D14" s="5" t="n">
        <v>24916</v>
      </c>
      <c r="E14" s="5" t="n">
        <v>27431</v>
      </c>
      <c r="F14" s="5" t="n">
        <v>25644</v>
      </c>
      <c r="G14" s="5" t="n">
        <v>24895</v>
      </c>
      <c r="H14" s="5" t="n">
        <v>25709</v>
      </c>
      <c r="I14" s="5" t="n">
        <v>21117</v>
      </c>
    </row>
    <row r="15">
      <c r="A15" s="6" t="inlineStr">
        <is>
          <t>Financial assets at fair value through other comprehensive income</t>
        </is>
      </c>
      <c r="B15" s="6" t="n"/>
      <c r="C15" s="6" t="n"/>
      <c r="D15" s="6" t="n">
        <v>0</v>
      </c>
      <c r="E15" s="6" t="n">
        <v>6</v>
      </c>
      <c r="F15" s="6" t="n">
        <v>100</v>
      </c>
      <c r="G15" s="6" t="n">
        <v>149</v>
      </c>
      <c r="H15" s="6" t="n">
        <v>314</v>
      </c>
      <c r="I15" s="6" t="n">
        <v>412</v>
      </c>
    </row>
    <row r="16">
      <c r="A16" s="6" t="inlineStr">
        <is>
          <t>Property, plant and equipment</t>
        </is>
      </c>
      <c r="B16" s="6" t="n"/>
      <c r="C16" s="6" t="n"/>
      <c r="D16" s="6" t="n">
        <v>38</v>
      </c>
      <c r="E16" s="6" t="n">
        <v>45</v>
      </c>
      <c r="F16" s="6" t="n">
        <v>53</v>
      </c>
      <c r="G16" s="6" t="n">
        <v>61</v>
      </c>
      <c r="H16" s="6" t="n">
        <v>55</v>
      </c>
      <c r="I16" s="6" t="n">
        <v>6</v>
      </c>
    </row>
    <row r="17">
      <c r="A17" s="6" t="inlineStr">
        <is>
          <t>Current tax recoverable</t>
        </is>
      </c>
      <c r="B17" s="6" t="n">
        <v>9</v>
      </c>
      <c r="C17" s="6" t="n">
        <v>4</v>
      </c>
      <c r="D17" s="6" t="n">
        <v>10</v>
      </c>
      <c r="E17" s="6" t="n">
        <v>2</v>
      </c>
      <c r="F17" s="6" t="n">
        <v>14</v>
      </c>
      <c r="G17" s="6" t="n">
        <v>15</v>
      </c>
      <c r="H17" s="6" t="n"/>
      <c r="I17" s="6" t="n"/>
    </row>
    <row r="18">
      <c r="A18" s="6" t="inlineStr">
        <is>
          <t>Deferred tax assets</t>
        </is>
      </c>
      <c r="B18" s="6" t="n">
        <v>51</v>
      </c>
      <c r="C18" s="6" t="n">
        <v>101</v>
      </c>
      <c r="D18" s="6" t="n">
        <v>128</v>
      </c>
      <c r="E18" s="6" t="n">
        <v>226</v>
      </c>
      <c r="F18" s="6" t="n">
        <v>40</v>
      </c>
      <c r="G18" s="6" t="n">
        <v>18</v>
      </c>
      <c r="H18" s="6" t="n">
        <v>2</v>
      </c>
      <c r="I18" s="6" t="n">
        <v>4</v>
      </c>
    </row>
    <row r="19">
      <c r="A19" s="6" t="inlineStr">
        <is>
          <t>Investment in subsidiary undertakings</t>
        </is>
      </c>
      <c r="B19" s="6" t="n">
        <v>143</v>
      </c>
      <c r="C19" s="6" t="n">
        <v>168</v>
      </c>
      <c r="D19" s="6" t="n">
        <v>180</v>
      </c>
      <c r="E19" s="6" t="n">
        <v>180</v>
      </c>
      <c r="F19" s="6" t="n">
        <v>203</v>
      </c>
      <c r="G19" s="6" t="n">
        <v>223</v>
      </c>
      <c r="H19" s="6" t="n">
        <v>295</v>
      </c>
      <c r="I19" s="6" t="n">
        <v>908</v>
      </c>
    </row>
    <row r="20">
      <c r="A20" s="6" t="inlineStr">
        <is>
          <t>Other assets</t>
        </is>
      </c>
      <c r="B20" s="6" t="n">
        <v>866</v>
      </c>
      <c r="C20" s="6" t="n">
        <v>1328</v>
      </c>
      <c r="D20" s="6" t="n">
        <v>449</v>
      </c>
      <c r="E20" s="6" t="n">
        <v>164</v>
      </c>
      <c r="F20" s="6" t="n">
        <v>317</v>
      </c>
      <c r="G20" s="6" t="n">
        <v>1019</v>
      </c>
      <c r="H20" s="6" t="n">
        <v>105</v>
      </c>
      <c r="I20" s="6" t="n">
        <v>533</v>
      </c>
    </row>
    <row r="21">
      <c r="A21" s="5" t="inlineStr">
        <is>
          <t>Total assets</t>
        </is>
      </c>
      <c r="B21" s="5" t="n">
        <v>92733</v>
      </c>
      <c r="C21" s="5" t="n">
        <v>95003</v>
      </c>
      <c r="D21" s="5" t="n">
        <v>90375</v>
      </c>
      <c r="E21" s="5" t="n">
        <v>86725</v>
      </c>
      <c r="F21" s="5" t="n">
        <v>88821</v>
      </c>
      <c r="G21" s="5" t="n">
        <v>92408</v>
      </c>
      <c r="H21" s="5" t="n">
        <v>79702</v>
      </c>
      <c r="I21" s="5" t="n">
        <v>70434</v>
      </c>
    </row>
    <row r="22">
      <c r="A22" s="5" t="inlineStr">
        <is>
          <t>Liabilities</t>
        </is>
      </c>
      <c r="B22" s="6" t="n"/>
      <c r="C22" s="6" t="n"/>
      <c r="D22" s="6" t="n"/>
      <c r="E22" s="6" t="n"/>
      <c r="F22" s="6" t="n"/>
      <c r="G22" s="6" t="n"/>
      <c r="H22" s="6" t="n"/>
      <c r="I22" s="6" t="n"/>
    </row>
    <row r="23">
      <c r="A23" s="6" t="inlineStr">
        <is>
          <t>Deposits from banks</t>
        </is>
      </c>
      <c r="B23" s="6" t="n">
        <v>2214</v>
      </c>
      <c r="C23" s="6" t="n">
        <v>2645</v>
      </c>
      <c r="D23" s="6" t="n">
        <v>2078</v>
      </c>
      <c r="E23" s="6" t="n">
        <v>2456</v>
      </c>
      <c r="F23" s="6" t="n">
        <v>3821</v>
      </c>
      <c r="G23" s="6" t="n">
        <v>5601</v>
      </c>
      <c r="H23" s="6" t="n">
        <v>3970</v>
      </c>
      <c r="I23" s="6" t="n">
        <v>3176</v>
      </c>
    </row>
    <row r="24">
      <c r="A24" s="6" t="inlineStr">
        <is>
          <t>Customer deposits</t>
        </is>
      </c>
      <c r="B24" s="6" t="n">
        <v>31246</v>
      </c>
      <c r="C24" s="6" t="n">
        <v>30945</v>
      </c>
      <c r="D24" s="6" t="n">
        <v>29439</v>
      </c>
      <c r="E24" s="6" t="n">
        <v>29152</v>
      </c>
      <c r="F24" s="6" t="n">
        <v>26553</v>
      </c>
      <c r="G24" s="6" t="n">
        <v>25061</v>
      </c>
      <c r="H24" s="6" t="n">
        <v>24010</v>
      </c>
      <c r="I24" s="6" t="n">
        <v>14180</v>
      </c>
    </row>
    <row r="25">
      <c r="A25" s="6" t="inlineStr">
        <is>
          <t>Repurchase agreements at amortised cost</t>
        </is>
      </c>
      <c r="B25" s="6" t="n">
        <v>1002</v>
      </c>
      <c r="C25" s="6" t="n">
        <v>0</v>
      </c>
      <c r="D25" s="6" t="n">
        <v>1</v>
      </c>
      <c r="E25" s="6" t="n">
        <v>7</v>
      </c>
      <c r="F25" s="6" t="n">
        <v>1019</v>
      </c>
      <c r="G25" s="6" t="n"/>
      <c r="H25" s="6" t="n"/>
      <c r="I25" s="6" t="n"/>
    </row>
    <row r="26">
      <c r="A26" s="6" t="inlineStr">
        <is>
          <t>Due to fellow Lloyds Banking Group undertakings</t>
        </is>
      </c>
      <c r="B26" s="6" t="n">
        <v>603</v>
      </c>
      <c r="C26" s="6" t="n">
        <v>1560</v>
      </c>
      <c r="D26" s="6" t="n">
        <v>1256</v>
      </c>
      <c r="E26" s="6" t="n">
        <v>1526</v>
      </c>
      <c r="F26" s="6" t="n">
        <v>3920</v>
      </c>
      <c r="G26" s="6" t="n">
        <v>3659</v>
      </c>
      <c r="H26" s="6" t="n">
        <v>2084</v>
      </c>
      <c r="I26" s="6" t="n">
        <v>6501</v>
      </c>
    </row>
    <row r="27">
      <c r="A27" s="6" t="inlineStr">
        <is>
          <t>Financial liabilities at fair value through profit or loss</t>
        </is>
      </c>
      <c r="B27" s="6" t="n">
        <v>24182</v>
      </c>
      <c r="C27" s="6" t="n">
        <v>22981</v>
      </c>
      <c r="D27" s="6" t="n">
        <v>19686</v>
      </c>
      <c r="E27" s="6" t="n">
        <v>12578</v>
      </c>
      <c r="F27" s="6" t="n">
        <v>16582</v>
      </c>
      <c r="G27" s="6" t="n">
        <v>15815</v>
      </c>
      <c r="H27" s="6" t="n">
        <v>13784</v>
      </c>
      <c r="I27" s="6" t="n">
        <v>14008</v>
      </c>
    </row>
    <row r="28">
      <c r="A28" s="6" t="inlineStr">
        <is>
          <t>Derivative financial instruments (liability)</t>
        </is>
      </c>
      <c r="B28" s="6" t="n">
        <v>12432</v>
      </c>
      <c r="C28" s="6" t="n">
        <v>16588</v>
      </c>
      <c r="D28" s="6" t="n">
        <v>17576</v>
      </c>
      <c r="E28" s="6" t="n">
        <v>20070</v>
      </c>
      <c r="F28" s="6" t="n">
        <v>15571</v>
      </c>
      <c r="G28" s="6" t="n">
        <v>21233</v>
      </c>
      <c r="H28" s="6" t="n">
        <v>17762</v>
      </c>
      <c r="I28" s="6" t="n">
        <v>14510</v>
      </c>
    </row>
    <row r="29">
      <c r="A29" s="6" t="inlineStr">
        <is>
          <t>Debt securities in issue at amortised cost</t>
        </is>
      </c>
      <c r="B29" s="6" t="n">
        <v>12583</v>
      </c>
      <c r="C29" s="6" t="n">
        <v>15090</v>
      </c>
      <c r="D29" s="6" t="n">
        <v>15378</v>
      </c>
      <c r="E29" s="6" t="n">
        <v>16131</v>
      </c>
      <c r="F29" s="6" t="n">
        <v>16644</v>
      </c>
      <c r="G29" s="6" t="n">
        <v>15602</v>
      </c>
      <c r="H29" s="6" t="n">
        <v>12429</v>
      </c>
      <c r="I29" s="6" t="n">
        <v>12942</v>
      </c>
    </row>
    <row r="30">
      <c r="A30" s="6" t="inlineStr">
        <is>
          <t>Other liabilities</t>
        </is>
      </c>
      <c r="B30" s="6" t="n">
        <v>885</v>
      </c>
      <c r="C30" s="6" t="n">
        <v>600</v>
      </c>
      <c r="D30" s="6" t="n">
        <v>280</v>
      </c>
      <c r="E30" s="6" t="n">
        <v>558</v>
      </c>
      <c r="F30" s="6" t="n">
        <v>444</v>
      </c>
      <c r="G30" s="6" t="n">
        <v>1020</v>
      </c>
      <c r="H30" s="6" t="n">
        <v>550</v>
      </c>
      <c r="I30" s="6" t="n">
        <v>401</v>
      </c>
    </row>
    <row r="31">
      <c r="A31" s="6" t="inlineStr">
        <is>
          <t>Current tax liabilities</t>
        </is>
      </c>
      <c r="B31" s="6" t="n">
        <v>18</v>
      </c>
      <c r="C31" s="6" t="n">
        <v>11</v>
      </c>
      <c r="D31" s="6" t="n">
        <v>12</v>
      </c>
      <c r="E31" s="6" t="n">
        <v>29</v>
      </c>
      <c r="F31" s="6" t="n">
        <v>8</v>
      </c>
      <c r="G31" s="6" t="n"/>
      <c r="H31" s="6" t="n">
        <v>24</v>
      </c>
      <c r="I31" s="6" t="n">
        <v>19</v>
      </c>
    </row>
    <row r="32">
      <c r="A32" s="6" t="inlineStr">
        <is>
          <t>Deferred tax liabilities</t>
        </is>
      </c>
      <c r="B32" s="6" t="n"/>
      <c r="C32" s="6" t="n"/>
      <c r="D32" s="6" t="n"/>
      <c r="E32" s="6" t="n"/>
      <c r="F32" s="6" t="n">
        <v>0</v>
      </c>
      <c r="G32" s="6" t="n">
        <v>35</v>
      </c>
      <c r="H32" s="6" t="n">
        <v>16</v>
      </c>
      <c r="I32" s="6" t="n"/>
    </row>
    <row r="33">
      <c r="A33" s="6" t="inlineStr">
        <is>
          <t>Provisions</t>
        </is>
      </c>
      <c r="B33" s="6" t="n">
        <v>10</v>
      </c>
      <c r="C33" s="6" t="n">
        <v>10</v>
      </c>
      <c r="D33" s="6" t="n">
        <v>15</v>
      </c>
      <c r="E33" s="6" t="n">
        <v>25</v>
      </c>
      <c r="F33" s="6" t="n">
        <v>10</v>
      </c>
      <c r="G33" s="6" t="n"/>
      <c r="H33" s="6" t="n"/>
      <c r="I33" s="6" t="n"/>
    </row>
    <row r="34">
      <c r="A34" s="6" t="inlineStr">
        <is>
          <t>Subordinated liabilities</t>
        </is>
      </c>
      <c r="B34" s="6" t="n">
        <v>0</v>
      </c>
      <c r="C34" s="6" t="n">
        <v>746</v>
      </c>
      <c r="D34" s="6" t="n">
        <v>755</v>
      </c>
      <c r="E34" s="6" t="n">
        <v>761</v>
      </c>
      <c r="F34" s="6" t="n">
        <v>684</v>
      </c>
      <c r="G34" s="6" t="n">
        <v>686</v>
      </c>
      <c r="H34" s="6" t="n">
        <v>698</v>
      </c>
      <c r="I34" s="6" t="n">
        <v>725</v>
      </c>
    </row>
    <row r="35">
      <c r="A35" s="5" t="inlineStr">
        <is>
          <t>Total liabilities</t>
        </is>
      </c>
      <c r="B35" s="5" t="n">
        <v>85175</v>
      </c>
      <c r="C35" s="5" t="n">
        <v>91176</v>
      </c>
      <c r="D35" s="5" t="n">
        <v>86476</v>
      </c>
      <c r="E35" s="5" t="n">
        <v>83293</v>
      </c>
      <c r="F35" s="5" t="n">
        <v>85256</v>
      </c>
      <c r="G35" s="5" t="n">
        <v>88712</v>
      </c>
      <c r="H35" s="5" t="n">
        <v>75327</v>
      </c>
      <c r="I35" s="5" t="n">
        <v>66462</v>
      </c>
    </row>
    <row r="36">
      <c r="A36" s="5" t="inlineStr">
        <is>
          <t>Equity</t>
        </is>
      </c>
      <c r="B36" s="6" t="n"/>
      <c r="C36" s="6" t="n"/>
      <c r="D36" s="6" t="n"/>
      <c r="E36" s="6" t="n"/>
      <c r="F36" s="6" t="n"/>
      <c r="G36" s="6" t="n"/>
      <c r="H36" s="6" t="n"/>
      <c r="I36" s="6" t="n"/>
    </row>
    <row r="37">
      <c r="A37" s="6" t="inlineStr">
        <is>
          <t>Share capital</t>
        </is>
      </c>
      <c r="B37" s="6" t="n">
        <v>370</v>
      </c>
      <c r="C37" s="6" t="n">
        <v>370</v>
      </c>
      <c r="D37" s="6" t="n">
        <v>370</v>
      </c>
      <c r="E37" s="6" t="n">
        <v>370</v>
      </c>
      <c r="F37" s="6" t="n">
        <v>120</v>
      </c>
      <c r="G37" s="6" t="n">
        <v>120</v>
      </c>
      <c r="H37" s="6" t="n">
        <v>120</v>
      </c>
      <c r="I37" s="6" t="n">
        <v>120</v>
      </c>
    </row>
    <row r="38">
      <c r="A38" s="6" t="inlineStr">
        <is>
          <t>Other reserves</t>
        </is>
      </c>
      <c r="B38" s="6" t="n">
        <v>-131</v>
      </c>
      <c r="C38" s="6" t="n">
        <v>-236</v>
      </c>
      <c r="D38" s="6" t="n">
        <v>-314</v>
      </c>
      <c r="E38" s="6" t="n">
        <v>-530</v>
      </c>
      <c r="F38" s="6" t="n">
        <v>-62</v>
      </c>
      <c r="G38" s="6" t="n">
        <v>83</v>
      </c>
      <c r="H38" s="6" t="n">
        <v>31</v>
      </c>
      <c r="I38" s="6" t="n">
        <v>-17</v>
      </c>
    </row>
    <row r="39">
      <c r="A39" s="6" t="inlineStr">
        <is>
          <t>Retained profits</t>
        </is>
      </c>
      <c r="B39" s="6" t="n">
        <v>3174</v>
      </c>
      <c r="C39" s="6" t="n">
        <v>2885</v>
      </c>
      <c r="D39" s="6" t="n">
        <v>3035</v>
      </c>
      <c r="E39" s="6" t="n">
        <v>2810</v>
      </c>
      <c r="F39" s="6" t="n">
        <v>2725</v>
      </c>
      <c r="G39" s="6" t="n">
        <v>2711</v>
      </c>
      <c r="H39" s="6" t="n">
        <v>3442</v>
      </c>
      <c r="I39" s="6" t="n">
        <v>3087</v>
      </c>
    </row>
    <row r="40">
      <c r="A40" s="5" t="inlineStr">
        <is>
          <t>Ordinary shareholders' equity</t>
        </is>
      </c>
      <c r="B40" s="5" t="n">
        <v>3413</v>
      </c>
      <c r="C40" s="5" t="n">
        <v>3019</v>
      </c>
      <c r="D40" s="5" t="n">
        <v>3091</v>
      </c>
      <c r="E40" s="5" t="n">
        <v>2650</v>
      </c>
      <c r="F40" s="5" t="n">
        <v>2783</v>
      </c>
      <c r="G40" s="5" t="n">
        <v>2914</v>
      </c>
      <c r="H40" s="5" t="n">
        <v>3593</v>
      </c>
      <c r="I40" s="5" t="n">
        <v>3190</v>
      </c>
    </row>
    <row r="41">
      <c r="A41" s="6" t="inlineStr">
        <is>
          <t>Other equity instruments</t>
        </is>
      </c>
      <c r="B41" s="6" t="n">
        <v>4145</v>
      </c>
      <c r="C41" s="6" t="n">
        <v>808</v>
      </c>
      <c r="D41" s="6" t="n">
        <v>808</v>
      </c>
      <c r="E41" s="6" t="n">
        <v>782</v>
      </c>
      <c r="F41" s="6" t="n">
        <v>782</v>
      </c>
      <c r="G41" s="6" t="n">
        <v>782</v>
      </c>
      <c r="H41" s="6" t="n">
        <v>782</v>
      </c>
      <c r="I41" s="6" t="n">
        <v>782</v>
      </c>
    </row>
    <row r="42">
      <c r="A42" s="5" t="inlineStr">
        <is>
          <t>Total equity</t>
        </is>
      </c>
      <c r="B42" s="5" t="n">
        <v>7558</v>
      </c>
      <c r="C42" s="5" t="n">
        <v>3827</v>
      </c>
      <c r="D42" s="5" t="n">
        <v>3899</v>
      </c>
      <c r="E42" s="5" t="n">
        <v>3432</v>
      </c>
      <c r="F42" s="5" t="n">
        <v>3565</v>
      </c>
      <c r="G42" s="5" t="n">
        <v>3696</v>
      </c>
      <c r="H42" s="5" t="n">
        <v>4375</v>
      </c>
      <c r="I42" s="5" t="n">
        <v>3972</v>
      </c>
    </row>
    <row r="43">
      <c r="A43" s="5" t="inlineStr">
        <is>
          <t>Total equity and liabilities</t>
        </is>
      </c>
      <c r="B43" s="5" t="n">
        <v>92733</v>
      </c>
      <c r="C43" s="5" t="n">
        <v>95003</v>
      </c>
      <c r="D43" s="5" t="n">
        <v>90375</v>
      </c>
      <c r="E43" s="5" t="n">
        <v>86725</v>
      </c>
      <c r="F43" s="5" t="n">
        <v>88821</v>
      </c>
      <c r="G43" s="5" t="n">
        <v>92408</v>
      </c>
      <c r="H43" s="5" t="n">
        <v>79702</v>
      </c>
      <c r="I43" s="5" t="n">
        <v>70434</v>
      </c>
    </row>
    <row r="45" ht="299" customHeight="1">
      <c r="A45" s="8" t="inlineStr">
        <is>
          <t>Sources - Lloyds Bank Corporate Markets plc Annual Report and Accounts, Bank (solo) column unless noted:
FY2025/FY2024: Annual Report and Accounts 2025, Consolidated income statement p.57, Statements of comprehensive income p.57, Balance sheets p.58, Statements of changes in equity (Bank) p.60 - https://www.lloydsbankinggroup.com/assets/pdfs/investors/financial-performance/lloyds-bank-corporate-markets-plc/2025/q4/2025-lbcm-annual-report.pdf
FY2023/FY2022: Annual Report and Accounts 2023, Consolidated income statement p.63, Statements of comprehensive income p.63, Balance sheets p.64, Statements of changes in equity (Bank) p.66 - https://www.lloydsbankinggroup.com/assets/pdfs/investors/financial-performance/lloyds-bank-corporate-markets-plc/2023/q4/2023-lbcm-annual-report.pdf
FY2021: Annual Report and Accounts 2021 (2020 comparative also shown that year), Consolidated income statement p.30, Statements of comprehensive income p.31, Balance sheets p.32, Statements of changes in equity (Bank) p.34 - https://www.lloydsbankinggroup.com/assets/pdfs/investors/financial-performance/lloyds-bank-corporate-markets-plc/2021/2021-lbcm-annual-report.pdf
FY2020: Annual Report and Accounts 2020, Group consolidated income statement p.27, Statements of comprehensive income p.28, Balance sheets p.29, Statements of changes in equity (Bank) p.30-31 - https://www.lloydsbankinggroup.com/assets/pdfs/investors/financial-performance/lloyds-bank-corporate-markets-plc/2020/2020-lbcm-annual-report.pdf
FY2019: Annual Report and Accounts 2019, Group consolidated income statement p.22, Statements of comprehensive income p.23, Balance sheets p.24, Statements of changes in equity (Bank) p.25-26 - https://www.lloydsbankinggroup.com/assets/pdfs/investors/financial-performance/lloyds-bank-corporate-markets-plc/2019/2019-lbcm-annual-report.pdf
FY2018: Annual Report and Accounts 2018 (LBCM's first year of trading; no FY2017 comparative - the Bank did not trade in 2017), Consolidated income statement p.18, Statements of comprehensive income p.19, Balance sheets p.20, Statements of changes in equity (Bank) p.21-22, Cash flow statements p.23 -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BASIS NOTE: Balance Sheet and Statement of Changes in Equity below use the Bank (solo) column, matching the entity note above. The Profit &amp; Loss sheet is necessarily the Group consolidated income statement - LBCM's own reports present only one consolidated income statement (no separate Bank-solo income statement line items), with the Bank's own profit for the year and OCI given only as aggregate rows within the Statements of comprehensive income (e.g. FY2025: Bank profit for the year £495m vs Group £541m) - these aggregate Bank figures are shown on the P&amp;L sheet's Total rows, not fabricated line-item detail.</t>
        </is>
      </c>
    </row>
  </sheetData>
  <mergeCells count="1">
    <mergeCell ref="A45:I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Profit &amp; Loss</t>
        </is>
      </c>
    </row>
    <row r="2">
      <c r="A2" s="2" t="inlineStr">
        <is>
          <t>Income statement is Group consolidated (LBCM publishes no separate Bank-solo income statement line items - see BASIS NOTE in the source citation). The Bank's own bottom-line 'Profit for the year' and OCI/total comprehensive income rows are the Bank-column aggregate figures, matching the Statement of Changes in Equity. £m. FY2018 is LBCM's first year of trading (see FLOOR NOTE) - its own Annual Report presents no FY2017 comparative at all, stating 'No comparative information is presented as the Group did not trade in the prior period'.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Income</t>
        </is>
      </c>
      <c r="B4" s="6" t="n"/>
      <c r="C4" s="6" t="n"/>
      <c r="D4" s="6" t="n"/>
      <c r="E4" s="6" t="n"/>
      <c r="F4" s="6" t="n"/>
      <c r="G4" s="6" t="n"/>
      <c r="H4" s="6" t="n"/>
      <c r="I4" s="6" t="n"/>
    </row>
    <row r="5">
      <c r="A5" s="6" t="inlineStr">
        <is>
          <t>Interest income</t>
        </is>
      </c>
      <c r="B5" s="6" t="n">
        <v>2424</v>
      </c>
      <c r="C5" s="6" t="n">
        <v>2759</v>
      </c>
      <c r="D5" s="6" t="n">
        <v>2696</v>
      </c>
      <c r="E5" s="6" t="n">
        <v>1087</v>
      </c>
      <c r="F5" s="6" t="n">
        <v>356</v>
      </c>
      <c r="G5" s="6" t="n">
        <v>444</v>
      </c>
      <c r="H5" s="6" t="n">
        <v>813</v>
      </c>
      <c r="I5" s="6" t="n">
        <v>354</v>
      </c>
    </row>
    <row r="6">
      <c r="A6" s="6" t="inlineStr">
        <is>
          <t>Interest expense</t>
        </is>
      </c>
      <c r="B6" s="6" t="n">
        <v>-1981</v>
      </c>
      <c r="C6" s="6" t="n">
        <v>-2593</v>
      </c>
      <c r="D6" s="6" t="n">
        <v>-2498</v>
      </c>
      <c r="E6" s="6" t="n">
        <v>-812</v>
      </c>
      <c r="F6" s="6" t="n">
        <v>-169</v>
      </c>
      <c r="G6" s="6" t="n">
        <v>-370</v>
      </c>
      <c r="H6" s="6" t="n">
        <v>-643</v>
      </c>
      <c r="I6" s="6" t="n">
        <v>-251</v>
      </c>
    </row>
    <row r="7">
      <c r="A7" s="5" t="inlineStr">
        <is>
          <t>Net interest income</t>
        </is>
      </c>
      <c r="B7" s="5" t="n">
        <v>443</v>
      </c>
      <c r="C7" s="5" t="n">
        <v>166</v>
      </c>
      <c r="D7" s="5" t="n">
        <v>198</v>
      </c>
      <c r="E7" s="5" t="n">
        <v>275</v>
      </c>
      <c r="F7" s="5" t="n">
        <v>187</v>
      </c>
      <c r="G7" s="5" t="n">
        <v>74</v>
      </c>
      <c r="H7" s="5" t="n">
        <v>170</v>
      </c>
      <c r="I7" s="5" t="n">
        <v>103</v>
      </c>
    </row>
    <row r="8">
      <c r="A8" s="6" t="inlineStr">
        <is>
          <t>Fee and commission income</t>
        </is>
      </c>
      <c r="B8" s="6" t="n">
        <v>329</v>
      </c>
      <c r="C8" s="6" t="n">
        <v>321</v>
      </c>
      <c r="D8" s="6" t="n">
        <v>303</v>
      </c>
      <c r="E8" s="6" t="n">
        <v>228</v>
      </c>
      <c r="F8" s="6" t="n">
        <v>248</v>
      </c>
      <c r="G8" s="6" t="n">
        <v>218</v>
      </c>
      <c r="H8" s="6" t="n">
        <v>230</v>
      </c>
      <c r="I8" s="6" t="n">
        <v>148</v>
      </c>
    </row>
    <row r="9">
      <c r="A9" s="6" t="inlineStr">
        <is>
          <t>Fee and commission expense</t>
        </is>
      </c>
      <c r="B9" s="6" t="n">
        <v>-58</v>
      </c>
      <c r="C9" s="6" t="n">
        <v>-53</v>
      </c>
      <c r="D9" s="6" t="n">
        <v>-39</v>
      </c>
      <c r="E9" s="6" t="n">
        <v>-36</v>
      </c>
      <c r="F9" s="6" t="n">
        <v>-27</v>
      </c>
      <c r="G9" s="6" t="n">
        <v>-27</v>
      </c>
      <c r="H9" s="6" t="n">
        <v>-42</v>
      </c>
      <c r="I9" s="6" t="n">
        <v>-27</v>
      </c>
    </row>
    <row r="10">
      <c r="A10" s="5" t="inlineStr">
        <is>
          <t>Net fee and commission income</t>
        </is>
      </c>
      <c r="B10" s="5" t="n">
        <v>271</v>
      </c>
      <c r="C10" s="5" t="n">
        <v>268</v>
      </c>
      <c r="D10" s="5" t="n">
        <v>264</v>
      </c>
      <c r="E10" s="5" t="n">
        <v>192</v>
      </c>
      <c r="F10" s="5" t="n">
        <v>221</v>
      </c>
      <c r="G10" s="5" t="n">
        <v>191</v>
      </c>
      <c r="H10" s="5" t="n">
        <v>188</v>
      </c>
      <c r="I10" s="5" t="n">
        <v>121</v>
      </c>
    </row>
    <row r="11">
      <c r="A11" s="6" t="inlineStr">
        <is>
          <t>Net trading income</t>
        </is>
      </c>
      <c r="B11" s="6" t="n">
        <v>472</v>
      </c>
      <c r="C11" s="6" t="n">
        <v>552</v>
      </c>
      <c r="D11" s="6" t="n">
        <v>442</v>
      </c>
      <c r="E11" s="6" t="n">
        <v>495</v>
      </c>
      <c r="F11" s="6" t="n">
        <v>244</v>
      </c>
      <c r="G11" s="6" t="n">
        <v>279</v>
      </c>
      <c r="H11" s="6" t="n">
        <v>461</v>
      </c>
      <c r="I11" s="6" t="n">
        <v>231</v>
      </c>
    </row>
    <row r="12">
      <c r="A12" s="6" t="inlineStr">
        <is>
          <t>Other operating income/(expense)</t>
        </is>
      </c>
      <c r="B12" s="6" t="n">
        <v>-39</v>
      </c>
      <c r="C12" s="6" t="n">
        <v>-2</v>
      </c>
      <c r="D12" s="6" t="n">
        <v>4</v>
      </c>
      <c r="E12" s="6" t="n">
        <v>5</v>
      </c>
      <c r="F12" s="6" t="n">
        <v>-11</v>
      </c>
      <c r="G12" s="6" t="n"/>
      <c r="H12" s="6" t="n"/>
      <c r="I12" s="6" t="n"/>
    </row>
    <row r="13">
      <c r="A13" s="5" t="inlineStr">
        <is>
          <t>Other income</t>
        </is>
      </c>
      <c r="B13" s="5" t="n">
        <v>704</v>
      </c>
      <c r="C13" s="5" t="n">
        <v>818</v>
      </c>
      <c r="D13" s="5" t="n">
        <v>710</v>
      </c>
      <c r="E13" s="5" t="n">
        <v>692</v>
      </c>
      <c r="F13" s="5" t="n">
        <v>454</v>
      </c>
      <c r="G13" s="5" t="n">
        <v>470</v>
      </c>
      <c r="H13" s="5" t="n">
        <v>649</v>
      </c>
      <c r="I13" s="5" t="n">
        <v>352</v>
      </c>
    </row>
    <row r="14">
      <c r="A14" s="5" t="inlineStr">
        <is>
          <t>Total income</t>
        </is>
      </c>
      <c r="B14" s="5" t="n">
        <v>1147</v>
      </c>
      <c r="C14" s="5" t="n">
        <v>984</v>
      </c>
      <c r="D14" s="5" t="n">
        <v>908</v>
      </c>
      <c r="E14" s="5" t="n">
        <v>967</v>
      </c>
      <c r="F14" s="5" t="n">
        <v>641</v>
      </c>
      <c r="G14" s="5" t="n">
        <v>544</v>
      </c>
      <c r="H14" s="5" t="n">
        <v>819</v>
      </c>
      <c r="I14" s="5" t="n">
        <v>455</v>
      </c>
    </row>
    <row r="15">
      <c r="A15" s="5" t="inlineStr">
        <is>
          <t>Operating expenses</t>
        </is>
      </c>
      <c r="B15" s="5" t="n">
        <v>-510</v>
      </c>
      <c r="C15" s="5" t="n">
        <v>-499</v>
      </c>
      <c r="D15" s="5" t="n">
        <v>-509</v>
      </c>
      <c r="E15" s="5" t="n">
        <v>-444</v>
      </c>
      <c r="F15" s="5" t="n">
        <v>-414</v>
      </c>
      <c r="G15" s="5" t="n">
        <v>-428</v>
      </c>
      <c r="H15" s="5" t="n">
        <v>-462</v>
      </c>
      <c r="I15" s="5" t="n">
        <v>-273</v>
      </c>
    </row>
    <row r="16">
      <c r="A16" s="6" t="inlineStr">
        <is>
          <t>Impairment (charge)/credit</t>
        </is>
      </c>
      <c r="B16" s="6" t="n">
        <v>-1</v>
      </c>
      <c r="C16" s="6" t="n">
        <v>16</v>
      </c>
      <c r="D16" s="6" t="n">
        <v>28</v>
      </c>
      <c r="E16" s="6" t="n">
        <v>-46</v>
      </c>
      <c r="F16" s="6" t="n">
        <v>62</v>
      </c>
      <c r="G16" s="6" t="n">
        <v>-71</v>
      </c>
      <c r="H16" s="6" t="n">
        <v>11</v>
      </c>
      <c r="I16" s="6" t="n">
        <v>8</v>
      </c>
    </row>
    <row r="17">
      <c r="A17" s="5" t="inlineStr">
        <is>
          <t>Profit before tax (Group)</t>
        </is>
      </c>
      <c r="B17" s="5" t="n">
        <v>636</v>
      </c>
      <c r="C17" s="5" t="n">
        <v>501</v>
      </c>
      <c r="D17" s="5" t="n">
        <v>427</v>
      </c>
      <c r="E17" s="5" t="n">
        <v>477</v>
      </c>
      <c r="F17" s="5" t="n">
        <v>289</v>
      </c>
      <c r="G17" s="5" t="n">
        <v>45</v>
      </c>
      <c r="H17" s="5" t="n">
        <v>368</v>
      </c>
      <c r="I17" s="5" t="n">
        <v>190</v>
      </c>
    </row>
    <row r="18">
      <c r="A18" s="6" t="inlineStr">
        <is>
          <t>Tax expense (Group)</t>
        </is>
      </c>
      <c r="B18" s="6" t="n">
        <v>-95</v>
      </c>
      <c r="C18" s="6" t="n">
        <v>-97</v>
      </c>
      <c r="D18" s="6" t="n">
        <v>-89</v>
      </c>
      <c r="E18" s="6" t="n">
        <v>-97</v>
      </c>
      <c r="F18" s="6" t="n">
        <v>-51</v>
      </c>
      <c r="G18" s="6" t="n">
        <v>-1</v>
      </c>
      <c r="H18" s="6" t="n">
        <v>-85</v>
      </c>
      <c r="I18" s="6" t="n">
        <v>-37</v>
      </c>
    </row>
    <row r="19">
      <c r="A19" s="5" t="inlineStr">
        <is>
          <t>Profit for the year (Group)</t>
        </is>
      </c>
      <c r="B19" s="5" t="n">
        <v>541</v>
      </c>
      <c r="C19" s="5" t="n">
        <v>404</v>
      </c>
      <c r="D19" s="5" t="n">
        <v>338</v>
      </c>
      <c r="E19" s="5" t="n">
        <v>380</v>
      </c>
      <c r="F19" s="5" t="n">
        <v>238</v>
      </c>
      <c r="G19" s="5" t="n">
        <v>44</v>
      </c>
      <c r="H19" s="5" t="n">
        <v>283</v>
      </c>
      <c r="I19" s="5" t="n">
        <v>153</v>
      </c>
    </row>
    <row r="20">
      <c r="A20" s="5" t="inlineStr">
        <is>
          <t>Profit for the year (Bank)</t>
        </is>
      </c>
      <c r="B20" s="5" t="n">
        <v>495</v>
      </c>
      <c r="C20" s="5" t="n">
        <v>378</v>
      </c>
      <c r="D20" s="5" t="n">
        <v>320</v>
      </c>
      <c r="E20" s="5" t="n">
        <v>348</v>
      </c>
      <c r="F20" s="5" t="n">
        <v>247</v>
      </c>
      <c r="G20" s="5" t="n">
        <v>9</v>
      </c>
      <c r="H20" s="5" t="n">
        <v>397</v>
      </c>
      <c r="I20" s="5" t="n">
        <v>106</v>
      </c>
    </row>
    <row r="21">
      <c r="A21" s="5" t="inlineStr">
        <is>
          <t>Other comprehensive income, net of tax (Bank column, ties to Statement of Changes in Equity)</t>
        </is>
      </c>
      <c r="B21" s="6" t="n"/>
      <c r="C21" s="6" t="n"/>
      <c r="D21" s="6" t="n"/>
      <c r="E21" s="6" t="n"/>
      <c r="F21" s="6" t="n"/>
      <c r="G21" s="6" t="n"/>
      <c r="H21" s="6" t="n"/>
      <c r="I21" s="6" t="n"/>
    </row>
    <row r="22">
      <c r="A22" s="6" t="inlineStr">
        <is>
          <t>Movements in revaluation reserve (FVOCI debt securities), net of tax</t>
        </is>
      </c>
      <c r="B22" s="6" t="n"/>
      <c r="C22" s="6" t="n"/>
      <c r="D22" s="6" t="n">
        <v>2</v>
      </c>
      <c r="E22" s="6" t="n">
        <v>0</v>
      </c>
      <c r="F22" s="6" t="n"/>
      <c r="G22" s="6" t="n">
        <v>-1</v>
      </c>
      <c r="H22" s="6" t="n">
        <v>-2</v>
      </c>
      <c r="I22" s="6" t="n">
        <v>-7</v>
      </c>
    </row>
    <row r="23">
      <c r="A23" s="6" t="inlineStr">
        <is>
          <t>Movements in cash flow hedging reserve, net of tax</t>
        </is>
      </c>
      <c r="B23" s="6" t="n">
        <v>128</v>
      </c>
      <c r="C23" s="6" t="n">
        <v>70</v>
      </c>
      <c r="D23" s="6" t="n">
        <v>230</v>
      </c>
      <c r="E23" s="6" t="n">
        <v>-471</v>
      </c>
      <c r="F23" s="6" t="n">
        <v>-153</v>
      </c>
      <c r="G23" s="6" t="n">
        <v>49</v>
      </c>
      <c r="H23" s="6" t="n">
        <v>51</v>
      </c>
      <c r="I23" s="6" t="n">
        <v>5</v>
      </c>
    </row>
    <row r="24">
      <c r="A24" s="6" t="inlineStr">
        <is>
          <t>Movements in foreign currency translation reserve, net of tax</t>
        </is>
      </c>
      <c r="B24" s="6" t="n">
        <v>-23</v>
      </c>
      <c r="C24" s="6" t="n">
        <v>8</v>
      </c>
      <c r="D24" s="6" t="n">
        <v>-16</v>
      </c>
      <c r="E24" s="6" t="n">
        <v>3</v>
      </c>
      <c r="F24" s="6" t="n">
        <v>4</v>
      </c>
      <c r="G24" s="6" t="n">
        <v>4</v>
      </c>
      <c r="H24" s="6" t="n">
        <v>-1</v>
      </c>
      <c r="I24" s="6" t="n">
        <v>0</v>
      </c>
    </row>
    <row r="25">
      <c r="A25" s="5" t="inlineStr">
        <is>
          <t>Total other comprehensive income/(loss), net of tax (Bank)</t>
        </is>
      </c>
      <c r="B25" s="5" t="n">
        <v>105</v>
      </c>
      <c r="C25" s="5" t="n">
        <v>78</v>
      </c>
      <c r="D25" s="5" t="n">
        <v>216</v>
      </c>
      <c r="E25" s="5" t="n">
        <v>-468</v>
      </c>
      <c r="F25" s="5" t="n">
        <v>-145</v>
      </c>
      <c r="G25" s="5" t="n">
        <v>52</v>
      </c>
      <c r="H25" s="5" t="n">
        <v>48</v>
      </c>
      <c r="I25" s="5" t="n">
        <v>-2</v>
      </c>
    </row>
    <row r="26">
      <c r="A26" s="5" t="inlineStr">
        <is>
          <t>Total comprehensive income/(loss) for the year (Bank)</t>
        </is>
      </c>
      <c r="B26" s="5" t="n">
        <v>600</v>
      </c>
      <c r="C26" s="5" t="n">
        <v>456</v>
      </c>
      <c r="D26" s="5" t="n">
        <v>536</v>
      </c>
      <c r="E26" s="5" t="n">
        <v>-120</v>
      </c>
      <c r="F26" s="5" t="n">
        <v>102</v>
      </c>
      <c r="G26" s="5" t="n">
        <v>61</v>
      </c>
      <c r="H26" s="5" t="n">
        <v>445</v>
      </c>
      <c r="I26" s="5" t="n">
        <v>104</v>
      </c>
    </row>
    <row r="28" ht="299" customHeight="1">
      <c r="A28" s="8" t="inlineStr">
        <is>
          <t>Sources - Lloyds Bank Corporate Markets plc Annual Report and Accounts, Bank (solo) column unless noted:
FY2025/FY2024: Annual Report and Accounts 2025, Consolidated income statement p.57, Statements of comprehensive income p.57, Balance sheets p.58, Statements of changes in equity (Bank) p.60 - https://www.lloydsbankinggroup.com/assets/pdfs/investors/financial-performance/lloyds-bank-corporate-markets-plc/2025/q4/2025-lbcm-annual-report.pdf
FY2023/FY2022: Annual Report and Accounts 2023, Consolidated income statement p.63, Statements of comprehensive income p.63, Balance sheets p.64, Statements of changes in equity (Bank) p.66 - https://www.lloydsbankinggroup.com/assets/pdfs/investors/financial-performance/lloyds-bank-corporate-markets-plc/2023/q4/2023-lbcm-annual-report.pdf
FY2021: Annual Report and Accounts 2021 (2020 comparative also shown that year), Consolidated income statement p.30, Statements of comprehensive income p.31, Balance sheets p.32, Statements of changes in equity (Bank) p.34 - https://www.lloydsbankinggroup.com/assets/pdfs/investors/financial-performance/lloyds-bank-corporate-markets-plc/2021/2021-lbcm-annual-report.pdf
FY2020: Annual Report and Accounts 2020, Group consolidated income statement p.27, Statements of comprehensive income p.28, Balance sheets p.29, Statements of changes in equity (Bank) p.30-31 - https://www.lloydsbankinggroup.com/assets/pdfs/investors/financial-performance/lloyds-bank-corporate-markets-plc/2020/2020-lbcm-annual-report.pdf
FY2019: Annual Report and Accounts 2019, Group consolidated income statement p.22, Statements of comprehensive income p.23, Balance sheets p.24, Statements of changes in equity (Bank) p.25-26 - https://www.lloydsbankinggroup.com/assets/pdfs/investors/financial-performance/lloyds-bank-corporate-markets-plc/2019/2019-lbcm-annual-report.pdf
FY2018: Annual Report and Accounts 2018 (LBCM's first year of trading; no FY2017 comparative - the Bank did not trade in 2017), Consolidated income statement p.18, Statements of comprehensive income p.19, Balance sheets p.20, Statements of changes in equity (Bank) p.21-22, Cash flow statements p.23 -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BASIS NOTE: Balance Sheet and Statement of Changes in Equity below use the Bank (solo) column, matching the entity note above. The Profit &amp; Loss sheet is necessarily the Group consolidated income statement - LBCM's own reports present only one consolidated income statement (no separate Bank-solo income statement line items), with the Bank's own profit for the year and OCI given only as aggregate rows within the Statements of comprehensive income (e.g. FY2025: Bank profit for the year £495m vs Group £541m) - these aggregate Bank figures are shown on the P&amp;L sheet's Total rows, not fabricated line-item detail.</t>
        </is>
      </c>
    </row>
  </sheetData>
  <mergeCells count="1">
    <mergeCell ref="A28:I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Lloyds Bank Corporate Markets plc — Statement of Changes in Equity</t>
        </is>
      </c>
    </row>
    <row r="2">
      <c r="A2" s="2" t="inlineStr">
        <is>
          <t>Chronological roll-forward, oldest to newest, Bank (solo) basis, from incorporation (28 September 2016, dormant until FY2018 - see FLOOR NOTE) through FY2025. £m. Equity reconciliation ladder confirmed: every year's own closing balance ties exactly to both the next year's own opening balance and that year's own Balance Sheet Total equity - zero plug rows needed anywhere across all 8 years, including the FY2018-FY2021 movements newly added here (each hand-verified against that year's own Annual Report's own Bank-column Statement of Changes in Equity, not a later year's restated comparative).</t>
        </is>
      </c>
    </row>
    <row r="3">
      <c r="A3" s="4" t="inlineStr">
        <is>
          <t>Movement</t>
        </is>
      </c>
      <c r="B3" s="4" t="inlineStr">
        <is>
          <t>Share capital</t>
        </is>
      </c>
      <c r="C3" s="4" t="inlineStr">
        <is>
          <t>Other reserves</t>
        </is>
      </c>
      <c r="D3" s="4" t="inlineStr">
        <is>
          <t>Retained profits</t>
        </is>
      </c>
      <c r="E3" s="4" t="inlineStr">
        <is>
          <t>Ordinary shareholders' equity</t>
        </is>
      </c>
      <c r="F3" s="4" t="inlineStr">
        <is>
          <t>Other equity instruments</t>
        </is>
      </c>
      <c r="G3" s="4" t="inlineStr">
        <is>
          <t>Total equity</t>
        </is>
      </c>
    </row>
    <row r="4">
      <c r="A4" s="5" t="inlineStr">
        <is>
          <t>At 1 January 2018 (incorporation, FY2017 closing - dormant shell company)</t>
        </is>
      </c>
      <c r="B4" s="5" t="n">
        <v>20</v>
      </c>
      <c r="C4" s="5" t="n">
        <v>0</v>
      </c>
      <c r="D4" s="5" t="n">
        <v>0</v>
      </c>
      <c r="E4" s="5" t="n">
        <v>20</v>
      </c>
      <c r="F4" s="5" t="n">
        <v>0</v>
      </c>
      <c r="G4" s="5" t="n">
        <v>20</v>
      </c>
    </row>
    <row r="5">
      <c r="A5" s="6" t="inlineStr">
        <is>
          <t>Profit for the year</t>
        </is>
      </c>
      <c r="B5" s="6" t="n"/>
      <c r="C5" s="6" t="n"/>
      <c r="D5" s="6" t="n">
        <v>106</v>
      </c>
      <c r="E5" s="6" t="n">
        <v>106</v>
      </c>
      <c r="F5" s="6" t="n"/>
      <c r="G5" s="6" t="n">
        <v>106</v>
      </c>
    </row>
    <row r="6">
      <c r="A6" s="6" t="inlineStr">
        <is>
          <t>Movements in revaluation reserve (FVOCI debt securities), net of tax</t>
        </is>
      </c>
      <c r="B6" s="6" t="n"/>
      <c r="C6" s="6" t="n">
        <v>-7</v>
      </c>
      <c r="D6" s="6" t="n"/>
      <c r="E6" s="6" t="n">
        <v>-7</v>
      </c>
      <c r="F6" s="6" t="n"/>
      <c r="G6" s="6" t="n">
        <v>-7</v>
      </c>
    </row>
    <row r="7">
      <c r="A7" s="6" t="inlineStr">
        <is>
          <t>Movements in cash flow hedging reserve, net of tax</t>
        </is>
      </c>
      <c r="B7" s="6" t="n"/>
      <c r="C7" s="6" t="n">
        <v>5</v>
      </c>
      <c r="D7" s="6" t="n"/>
      <c r="E7" s="6" t="n">
        <v>5</v>
      </c>
      <c r="F7" s="6" t="n"/>
      <c r="G7" s="6" t="n">
        <v>5</v>
      </c>
    </row>
    <row r="8">
      <c r="A8" s="6" t="inlineStr">
        <is>
          <t>Distributions on other equity instruments</t>
        </is>
      </c>
      <c r="B8" s="6" t="n"/>
      <c r="C8" s="6" t="n"/>
      <c r="D8" s="6" t="n">
        <v>-18</v>
      </c>
      <c r="E8" s="6" t="n">
        <v>-18</v>
      </c>
      <c r="F8" s="6" t="n"/>
      <c r="G8" s="6" t="n">
        <v>-18</v>
      </c>
    </row>
    <row r="9">
      <c r="A9" s="6" t="inlineStr">
        <is>
          <t>Issue of ordinary shares</t>
        </is>
      </c>
      <c r="B9" s="6" t="n">
        <v>100</v>
      </c>
      <c r="C9" s="6" t="n"/>
      <c r="D9" s="6" t="n"/>
      <c r="E9" s="6" t="n">
        <v>100</v>
      </c>
      <c r="F9" s="6" t="n"/>
      <c r="G9" s="6" t="n">
        <v>100</v>
      </c>
    </row>
    <row r="10">
      <c r="A10" s="6" t="inlineStr">
        <is>
          <t>Establishment of foreign currency translation opening reserve</t>
        </is>
      </c>
      <c r="B10" s="6" t="n"/>
      <c r="C10" s="6" t="n">
        <v>-15</v>
      </c>
      <c r="D10" s="6" t="n">
        <v>15</v>
      </c>
      <c r="E10" s="6" t="n">
        <v>0</v>
      </c>
      <c r="F10" s="6" t="n"/>
      <c r="G10" s="6" t="n">
        <v>0</v>
      </c>
    </row>
    <row r="11">
      <c r="A11" s="6" t="inlineStr">
        <is>
          <t>Opening reserves adjustment in respect of other transfers</t>
        </is>
      </c>
      <c r="B11" s="6" t="n"/>
      <c r="C11" s="6" t="n"/>
      <c r="D11" s="6" t="n">
        <v>9</v>
      </c>
      <c r="E11" s="6" t="n">
        <v>9</v>
      </c>
      <c r="F11" s="6" t="n"/>
      <c r="G11" s="6" t="n">
        <v>9</v>
      </c>
    </row>
    <row r="12">
      <c r="A12" s="6" t="inlineStr">
        <is>
          <t>Capital contribution received</t>
        </is>
      </c>
      <c r="B12" s="6" t="n"/>
      <c r="C12" s="6" t="n"/>
      <c r="D12" s="6" t="n">
        <v>2975</v>
      </c>
      <c r="E12" s="6" t="n">
        <v>2975</v>
      </c>
      <c r="F12" s="6" t="n"/>
      <c r="G12" s="6" t="n">
        <v>2975</v>
      </c>
    </row>
    <row r="13">
      <c r="A13" s="6" t="inlineStr">
        <is>
          <t>Issue of other equity instruments (AT1)</t>
        </is>
      </c>
      <c r="B13" s="6" t="n"/>
      <c r="C13" s="6" t="n"/>
      <c r="D13" s="6" t="n"/>
      <c r="E13" s="6" t="n"/>
      <c r="F13" s="6" t="n">
        <v>782</v>
      </c>
      <c r="G13" s="6" t="n">
        <v>782</v>
      </c>
    </row>
    <row r="14">
      <c r="A14" s="5" t="inlineStr">
        <is>
          <t>At 31 December 2018 (FY2018 closing)</t>
        </is>
      </c>
      <c r="B14" s="5" t="n">
        <v>120</v>
      </c>
      <c r="C14" s="5" t="n">
        <v>-17</v>
      </c>
      <c r="D14" s="5" t="n">
        <v>3087</v>
      </c>
      <c r="E14" s="5" t="n">
        <v>3190</v>
      </c>
      <c r="F14" s="5" t="n">
        <v>782</v>
      </c>
      <c r="G14" s="5" t="n">
        <v>3972</v>
      </c>
    </row>
    <row r="15">
      <c r="A15" s="6" t="inlineStr">
        <is>
          <t>Profit for the year</t>
        </is>
      </c>
      <c r="B15" s="6" t="n"/>
      <c r="C15" s="6" t="n"/>
      <c r="D15" s="6" t="n">
        <v>397</v>
      </c>
      <c r="E15" s="6" t="n">
        <v>397</v>
      </c>
      <c r="F15" s="6" t="n"/>
      <c r="G15" s="6" t="n">
        <v>397</v>
      </c>
    </row>
    <row r="16">
      <c r="A16" s="6" t="inlineStr">
        <is>
          <t>Movements in revaluation reserve (FVOCI debt securities), net of tax</t>
        </is>
      </c>
      <c r="B16" s="6" t="n"/>
      <c r="C16" s="6" t="n">
        <v>-2</v>
      </c>
      <c r="D16" s="6" t="n"/>
      <c r="E16" s="6" t="n">
        <v>-2</v>
      </c>
      <c r="F16" s="6" t="n"/>
      <c r="G16" s="6" t="n">
        <v>-2</v>
      </c>
    </row>
    <row r="17">
      <c r="A17" s="6" t="inlineStr">
        <is>
          <t>Movements in cash flow hedging reserve, net of tax</t>
        </is>
      </c>
      <c r="B17" s="6" t="n"/>
      <c r="C17" s="6" t="n">
        <v>51</v>
      </c>
      <c r="D17" s="6" t="n"/>
      <c r="E17" s="6" t="n">
        <v>51</v>
      </c>
      <c r="F17" s="6" t="n"/>
      <c r="G17" s="6" t="n">
        <v>51</v>
      </c>
    </row>
    <row r="18">
      <c r="A18" s="6" t="inlineStr">
        <is>
          <t>Movements in foreign currency translation reserve, net of tax</t>
        </is>
      </c>
      <c r="B18" s="6" t="n"/>
      <c r="C18" s="6" t="n">
        <v>-1</v>
      </c>
      <c r="D18" s="6" t="n"/>
      <c r="E18" s="6" t="n">
        <v>-1</v>
      </c>
      <c r="F18" s="6" t="n"/>
      <c r="G18" s="6" t="n">
        <v>-1</v>
      </c>
    </row>
    <row r="19">
      <c r="A19" s="6" t="inlineStr">
        <is>
          <t>Distributions on other equity instruments</t>
        </is>
      </c>
      <c r="B19" s="6" t="n"/>
      <c r="C19" s="6" t="n"/>
      <c r="D19" s="6" t="n">
        <v>-49</v>
      </c>
      <c r="E19" s="6" t="n">
        <v>-49</v>
      </c>
      <c r="F19" s="6" t="n"/>
      <c r="G19" s="6" t="n">
        <v>-49</v>
      </c>
    </row>
    <row r="20">
      <c r="A20" s="6" t="inlineStr">
        <is>
          <t>Other adjustments</t>
        </is>
      </c>
      <c r="B20" s="6" t="n"/>
      <c r="C20" s="6" t="n"/>
      <c r="D20" s="6" t="n">
        <v>7</v>
      </c>
      <c r="E20" s="6" t="n">
        <v>7</v>
      </c>
      <c r="F20" s="6" t="n"/>
      <c r="G20" s="6" t="n">
        <v>7</v>
      </c>
    </row>
    <row r="21">
      <c r="A21" s="5" t="inlineStr">
        <is>
          <t>At 31 December 2019 (FY2019 closing)</t>
        </is>
      </c>
      <c r="B21" s="5" t="n">
        <v>120</v>
      </c>
      <c r="C21" s="5" t="n">
        <v>31</v>
      </c>
      <c r="D21" s="5" t="n">
        <v>3442</v>
      </c>
      <c r="E21" s="5" t="n">
        <v>3593</v>
      </c>
      <c r="F21" s="5" t="n">
        <v>782</v>
      </c>
      <c r="G21" s="5" t="n">
        <v>4375</v>
      </c>
    </row>
    <row r="22">
      <c r="A22" s="6" t="inlineStr">
        <is>
          <t>Profit for the year</t>
        </is>
      </c>
      <c r="B22" s="6" t="n"/>
      <c r="C22" s="6" t="n"/>
      <c r="D22" s="6" t="n">
        <v>-31</v>
      </c>
      <c r="E22" s="6" t="n">
        <v>-31</v>
      </c>
      <c r="F22" s="6" t="n">
        <v>40</v>
      </c>
      <c r="G22" s="6" t="n">
        <v>9</v>
      </c>
    </row>
    <row r="23">
      <c r="A23" s="6" t="inlineStr">
        <is>
          <t>Movements in revaluation reserve (FVOCI debt securities), net of tax</t>
        </is>
      </c>
      <c r="B23" s="6" t="n"/>
      <c r="C23" s="6" t="n">
        <v>-1</v>
      </c>
      <c r="D23" s="6" t="n"/>
      <c r="E23" s="6" t="n">
        <v>-1</v>
      </c>
      <c r="F23" s="6" t="n"/>
      <c r="G23" s="6" t="n">
        <v>-1</v>
      </c>
    </row>
    <row r="24">
      <c r="A24" s="6" t="inlineStr">
        <is>
          <t>Movements in cash flow hedging reserve, net of tax</t>
        </is>
      </c>
      <c r="B24" s="6" t="n"/>
      <c r="C24" s="6" t="n">
        <v>49</v>
      </c>
      <c r="D24" s="6" t="n"/>
      <c r="E24" s="6" t="n">
        <v>49</v>
      </c>
      <c r="F24" s="6" t="n"/>
      <c r="G24" s="6" t="n">
        <v>49</v>
      </c>
    </row>
    <row r="25">
      <c r="A25" s="6" t="inlineStr">
        <is>
          <t>Movements in foreign currency translation reserve, net of tax</t>
        </is>
      </c>
      <c r="B25" s="6" t="n"/>
      <c r="C25" s="6" t="n">
        <v>4</v>
      </c>
      <c r="D25" s="6" t="n"/>
      <c r="E25" s="6" t="n">
        <v>4</v>
      </c>
      <c r="F25" s="6" t="n"/>
      <c r="G25" s="6" t="n">
        <v>4</v>
      </c>
    </row>
    <row r="26">
      <c r="A26" s="6" t="inlineStr">
        <is>
          <t>Dividends</t>
        </is>
      </c>
      <c r="B26" s="6" t="n"/>
      <c r="C26" s="6" t="n"/>
      <c r="D26" s="6" t="n">
        <v>-700</v>
      </c>
      <c r="E26" s="6" t="n">
        <v>-700</v>
      </c>
      <c r="F26" s="6" t="n"/>
      <c r="G26" s="6" t="n">
        <v>-700</v>
      </c>
    </row>
    <row r="27">
      <c r="A27" s="6" t="inlineStr">
        <is>
          <t>Distributions on other equity instruments</t>
        </is>
      </c>
      <c r="B27" s="6" t="n"/>
      <c r="C27" s="6" t="n"/>
      <c r="D27" s="6" t="n"/>
      <c r="E27" s="6" t="n"/>
      <c r="F27" s="6" t="n">
        <v>-40</v>
      </c>
      <c r="G27" s="6" t="n">
        <v>-40</v>
      </c>
    </row>
    <row r="28">
      <c r="A28" s="5" t="inlineStr">
        <is>
          <t>At 31 December 2020 (FY2020 closing)</t>
        </is>
      </c>
      <c r="B28" s="5" t="n">
        <v>120</v>
      </c>
      <c r="C28" s="5" t="n">
        <v>83</v>
      </c>
      <c r="D28" s="5" t="n">
        <v>2711</v>
      </c>
      <c r="E28" s="5" t="n">
        <v>2914</v>
      </c>
      <c r="F28" s="5" t="n">
        <v>782</v>
      </c>
      <c r="G28" s="5" t="n">
        <v>3696</v>
      </c>
    </row>
    <row r="29">
      <c r="A29" s="6" t="inlineStr">
        <is>
          <t>Profit for the year</t>
        </is>
      </c>
      <c r="B29" s="6" t="n"/>
      <c r="C29" s="6" t="n"/>
      <c r="D29" s="6" t="n">
        <v>214</v>
      </c>
      <c r="E29" s="6" t="n">
        <v>214</v>
      </c>
      <c r="F29" s="6" t="n">
        <v>33</v>
      </c>
      <c r="G29" s="6" t="n">
        <v>247</v>
      </c>
    </row>
    <row r="30">
      <c r="A30" s="6" t="inlineStr">
        <is>
          <t>Movements in revaluation reserve (FVOCI debt securities), net of tax</t>
        </is>
      </c>
      <c r="B30" s="6" t="n"/>
      <c r="C30" s="6" t="n">
        <v>8</v>
      </c>
      <c r="D30" s="6" t="n"/>
      <c r="E30" s="6" t="n">
        <v>8</v>
      </c>
      <c r="F30" s="6" t="n"/>
      <c r="G30" s="6" t="n">
        <v>8</v>
      </c>
    </row>
    <row r="31">
      <c r="A31" s="6" t="inlineStr">
        <is>
          <t>Movements in cash flow hedging reserve, net of tax</t>
        </is>
      </c>
      <c r="B31" s="6" t="n"/>
      <c r="C31" s="6" t="n">
        <v>-153</v>
      </c>
      <c r="D31" s="6" t="n"/>
      <c r="E31" s="6" t="n">
        <v>-153</v>
      </c>
      <c r="F31" s="6" t="n"/>
      <c r="G31" s="6" t="n">
        <v>-153</v>
      </c>
    </row>
    <row r="32">
      <c r="A32" s="6" t="inlineStr">
        <is>
          <t>Dividends</t>
        </is>
      </c>
      <c r="B32" s="6" t="n"/>
      <c r="C32" s="6" t="n"/>
      <c r="D32" s="6" t="n">
        <v>-200</v>
      </c>
      <c r="E32" s="6" t="n">
        <v>-200</v>
      </c>
      <c r="F32" s="6" t="n"/>
      <c r="G32" s="6" t="n">
        <v>-200</v>
      </c>
    </row>
    <row r="33">
      <c r="A33" s="6" t="inlineStr">
        <is>
          <t>Distributions on other equity instruments</t>
        </is>
      </c>
      <c r="B33" s="6" t="n"/>
      <c r="C33" s="6" t="n"/>
      <c r="D33" s="6" t="n"/>
      <c r="E33" s="6" t="n"/>
      <c r="F33" s="6" t="n">
        <v>-33</v>
      </c>
      <c r="G33" s="6" t="n">
        <v>-33</v>
      </c>
    </row>
    <row r="34">
      <c r="A34" s="5" t="inlineStr">
        <is>
          <t>At 1 January 2022 (FY2021 closing)</t>
        </is>
      </c>
      <c r="B34" s="5" t="n">
        <v>120</v>
      </c>
      <c r="C34" s="5" t="n">
        <v>-62</v>
      </c>
      <c r="D34" s="5" t="n">
        <v>2725</v>
      </c>
      <c r="E34" s="5" t="n">
        <v>2783</v>
      </c>
      <c r="F34" s="5" t="n">
        <v>782</v>
      </c>
      <c r="G34" s="5" t="n">
        <v>3565</v>
      </c>
    </row>
    <row r="35">
      <c r="A35" s="6" t="inlineStr">
        <is>
          <t>Profit for the year</t>
        </is>
      </c>
      <c r="B35" s="6" t="n"/>
      <c r="C35" s="6" t="n"/>
      <c r="D35" s="6" t="n">
        <v>305</v>
      </c>
      <c r="E35" s="6" t="n">
        <v>305</v>
      </c>
      <c r="F35" s="6" t="n">
        <v>43</v>
      </c>
      <c r="G35" s="6" t="n">
        <v>348</v>
      </c>
    </row>
    <row r="36">
      <c r="A36" s="6" t="inlineStr">
        <is>
          <t>Movements in cash flow hedging reserve, net of tax</t>
        </is>
      </c>
      <c r="B36" s="6" t="n"/>
      <c r="C36" s="6" t="n">
        <v>-471</v>
      </c>
      <c r="D36" s="6" t="n"/>
      <c r="E36" s="6" t="n">
        <v>-471</v>
      </c>
      <c r="F36" s="6" t="n"/>
      <c r="G36" s="6" t="n">
        <v>-471</v>
      </c>
    </row>
    <row r="37">
      <c r="A37" s="6" t="inlineStr">
        <is>
          <t>Movements in foreign currency translation reserve, net of tax</t>
        </is>
      </c>
      <c r="B37" s="6" t="n"/>
      <c r="C37" s="6" t="n">
        <v>3</v>
      </c>
      <c r="D37" s="6" t="n"/>
      <c r="E37" s="6" t="n">
        <v>3</v>
      </c>
      <c r="F37" s="6" t="n"/>
      <c r="G37" s="6" t="n">
        <v>3</v>
      </c>
    </row>
    <row r="38">
      <c r="A38" s="6" t="inlineStr">
        <is>
          <t>Dividends</t>
        </is>
      </c>
      <c r="B38" s="6" t="n"/>
      <c r="C38" s="6" t="n"/>
      <c r="D38" s="6" t="n">
        <v>-220</v>
      </c>
      <c r="E38" s="6" t="n">
        <v>-220</v>
      </c>
      <c r="F38" s="6" t="n"/>
      <c r="G38" s="6" t="n">
        <v>-220</v>
      </c>
    </row>
    <row r="39">
      <c r="A39" s="6" t="inlineStr">
        <is>
          <t>Distributions on other equity instruments</t>
        </is>
      </c>
      <c r="B39" s="6" t="n"/>
      <c r="C39" s="6" t="n"/>
      <c r="D39" s="6" t="n"/>
      <c r="E39" s="6" t="n"/>
      <c r="F39" s="6" t="n">
        <v>-43</v>
      </c>
      <c r="G39" s="6" t="n">
        <v>-43</v>
      </c>
    </row>
    <row r="40">
      <c r="A40" s="6" t="inlineStr">
        <is>
          <t>Issue of ordinary shares</t>
        </is>
      </c>
      <c r="B40" s="6" t="n">
        <v>250</v>
      </c>
      <c r="C40" s="6" t="n"/>
      <c r="D40" s="6" t="n"/>
      <c r="E40" s="6" t="n">
        <v>250</v>
      </c>
      <c r="F40" s="6" t="n"/>
      <c r="G40" s="6" t="n">
        <v>250</v>
      </c>
    </row>
    <row r="41">
      <c r="A41" s="5" t="inlineStr">
        <is>
          <t>At 31 December 2022 (FY2022 closing)</t>
        </is>
      </c>
      <c r="B41" s="5" t="n">
        <v>370</v>
      </c>
      <c r="C41" s="5" t="n">
        <v>-530</v>
      </c>
      <c r="D41" s="5" t="n">
        <v>2810</v>
      </c>
      <c r="E41" s="5" t="n">
        <v>2650</v>
      </c>
      <c r="F41" s="5" t="n">
        <v>782</v>
      </c>
      <c r="G41" s="5" t="n">
        <v>3432</v>
      </c>
    </row>
    <row r="42">
      <c r="A42" s="6" t="inlineStr">
        <is>
          <t>Profit for the year</t>
        </is>
      </c>
      <c r="B42" s="6" t="n"/>
      <c r="C42" s="6" t="n"/>
      <c r="D42" s="6" t="n">
        <v>240</v>
      </c>
      <c r="E42" s="6" t="n">
        <v>240</v>
      </c>
      <c r="F42" s="6" t="n">
        <v>80</v>
      </c>
      <c r="G42" s="6" t="n">
        <v>320</v>
      </c>
    </row>
    <row r="43">
      <c r="A43" s="6" t="inlineStr">
        <is>
          <t>Movements in revaluation reserve (FVOCI debt securities), net of tax</t>
        </is>
      </c>
      <c r="B43" s="6" t="n"/>
      <c r="C43" s="6" t="n">
        <v>2</v>
      </c>
      <c r="D43" s="6" t="n"/>
      <c r="E43" s="6" t="n">
        <v>2</v>
      </c>
      <c r="F43" s="6" t="n"/>
      <c r="G43" s="6" t="n">
        <v>2</v>
      </c>
    </row>
    <row r="44">
      <c r="A44" s="6" t="inlineStr">
        <is>
          <t>Movements in cash flow hedging reserve, net of tax</t>
        </is>
      </c>
      <c r="B44" s="6" t="n"/>
      <c r="C44" s="6" t="n">
        <v>230</v>
      </c>
      <c r="D44" s="6" t="n"/>
      <c r="E44" s="6" t="n">
        <v>230</v>
      </c>
      <c r="F44" s="6" t="n"/>
      <c r="G44" s="6" t="n">
        <v>230</v>
      </c>
    </row>
    <row r="45">
      <c r="A45" s="6" t="inlineStr">
        <is>
          <t>Movements in foreign currency translation reserve, net of tax</t>
        </is>
      </c>
      <c r="B45" s="6" t="n"/>
      <c r="C45" s="6" t="n">
        <v>-16</v>
      </c>
      <c r="D45" s="6" t="n"/>
      <c r="E45" s="6" t="n">
        <v>-16</v>
      </c>
      <c r="F45" s="6" t="n"/>
      <c r="G45" s="6" t="n">
        <v>-16</v>
      </c>
    </row>
    <row r="46">
      <c r="A46" s="6" t="inlineStr">
        <is>
          <t>Distributions on other equity instruments</t>
        </is>
      </c>
      <c r="B46" s="6" t="n"/>
      <c r="C46" s="6" t="n"/>
      <c r="D46" s="6" t="n"/>
      <c r="E46" s="6" t="n"/>
      <c r="F46" s="6" t="n">
        <v>-80</v>
      </c>
      <c r="G46" s="6" t="n">
        <v>-80</v>
      </c>
    </row>
    <row r="47">
      <c r="A47" s="6" t="inlineStr">
        <is>
          <t>Net issuance of other equity instruments</t>
        </is>
      </c>
      <c r="B47" s="6" t="n"/>
      <c r="C47" s="6" t="n"/>
      <c r="D47" s="6" t="n"/>
      <c r="E47" s="6" t="n"/>
      <c r="F47" s="6" t="n">
        <v>26</v>
      </c>
      <c r="G47" s="6" t="n">
        <v>26</v>
      </c>
    </row>
    <row r="48">
      <c r="A48" s="6" t="inlineStr">
        <is>
          <t>Loss on repayment of other equity instruments</t>
        </is>
      </c>
      <c r="B48" s="6" t="n"/>
      <c r="C48" s="6" t="n"/>
      <c r="D48" s="6" t="n">
        <v>-15</v>
      </c>
      <c r="E48" s="6" t="n">
        <v>-15</v>
      </c>
      <c r="F48" s="6" t="n"/>
      <c r="G48" s="6" t="n">
        <v>-15</v>
      </c>
    </row>
    <row r="49">
      <c r="A49" s="5" t="inlineStr">
        <is>
          <t>At 31 December 2023 (FY2023 closing)</t>
        </is>
      </c>
      <c r="B49" s="5" t="n">
        <v>370</v>
      </c>
      <c r="C49" s="5" t="n">
        <v>-314</v>
      </c>
      <c r="D49" s="5" t="n">
        <v>3035</v>
      </c>
      <c r="E49" s="5" t="n">
        <v>3091</v>
      </c>
      <c r="F49" s="5" t="n">
        <v>808</v>
      </c>
      <c r="G49" s="5" t="n">
        <v>3899</v>
      </c>
    </row>
    <row r="50">
      <c r="A50" s="6" t="inlineStr">
        <is>
          <t>Profit for the year</t>
        </is>
      </c>
      <c r="B50" s="6" t="n"/>
      <c r="C50" s="6" t="n"/>
      <c r="D50" s="6" t="n">
        <v>300</v>
      </c>
      <c r="E50" s="6" t="n">
        <v>300</v>
      </c>
      <c r="F50" s="6" t="n">
        <v>78</v>
      </c>
      <c r="G50" s="6" t="n">
        <v>378</v>
      </c>
    </row>
    <row r="51">
      <c r="A51" s="6" t="inlineStr">
        <is>
          <t>Movements in cash flow hedging reserve, net of tax</t>
        </is>
      </c>
      <c r="B51" s="6" t="n"/>
      <c r="C51" s="6" t="n">
        <v>70</v>
      </c>
      <c r="D51" s="6" t="n"/>
      <c r="E51" s="6" t="n">
        <v>70</v>
      </c>
      <c r="F51" s="6" t="n"/>
      <c r="G51" s="6" t="n">
        <v>70</v>
      </c>
    </row>
    <row r="52">
      <c r="A52" s="6" t="inlineStr">
        <is>
          <t>Movements in foreign currency translation reserve, net of tax</t>
        </is>
      </c>
      <c r="B52" s="6" t="n"/>
      <c r="C52" s="6" t="n">
        <v>8</v>
      </c>
      <c r="D52" s="6" t="n"/>
      <c r="E52" s="6" t="n">
        <v>8</v>
      </c>
      <c r="F52" s="6" t="n"/>
      <c r="G52" s="6" t="n">
        <v>8</v>
      </c>
    </row>
    <row r="53">
      <c r="A53" s="6" t="inlineStr">
        <is>
          <t>Dividends</t>
        </is>
      </c>
      <c r="B53" s="6" t="n"/>
      <c r="C53" s="6" t="n"/>
      <c r="D53" s="6" t="n">
        <v>-450</v>
      </c>
      <c r="E53" s="6" t="n">
        <v>-450</v>
      </c>
      <c r="F53" s="6" t="n"/>
      <c r="G53" s="6" t="n">
        <v>-450</v>
      </c>
    </row>
    <row r="54">
      <c r="A54" s="6" t="inlineStr">
        <is>
          <t>Distributions on other equity instruments</t>
        </is>
      </c>
      <c r="B54" s="6" t="n"/>
      <c r="C54" s="6" t="n"/>
      <c r="D54" s="6" t="n"/>
      <c r="E54" s="6" t="n"/>
      <c r="F54" s="6" t="n">
        <v>-78</v>
      </c>
      <c r="G54" s="6" t="n">
        <v>-78</v>
      </c>
    </row>
    <row r="55">
      <c r="A55" s="5" t="inlineStr">
        <is>
          <t>At 31 December 2024 (FY2024 closing)</t>
        </is>
      </c>
      <c r="B55" s="5" t="n">
        <v>370</v>
      </c>
      <c r="C55" s="5" t="n">
        <v>-236</v>
      </c>
      <c r="D55" s="5" t="n">
        <v>2885</v>
      </c>
      <c r="E55" s="5" t="n">
        <v>3019</v>
      </c>
      <c r="F55" s="5" t="n">
        <v>808</v>
      </c>
      <c r="G55" s="5" t="n">
        <v>3827</v>
      </c>
    </row>
    <row r="56">
      <c r="A56" s="6" t="inlineStr">
        <is>
          <t>Profit for the year</t>
        </is>
      </c>
      <c r="B56" s="6" t="n"/>
      <c r="C56" s="6" t="n"/>
      <c r="D56" s="6" t="n">
        <v>285</v>
      </c>
      <c r="E56" s="6" t="n">
        <v>285</v>
      </c>
      <c r="F56" s="6" t="n">
        <v>210</v>
      </c>
      <c r="G56" s="6" t="n">
        <v>495</v>
      </c>
    </row>
    <row r="57">
      <c r="A57" s="6" t="inlineStr">
        <is>
          <t>Movements in cash flow hedging reserve, net of tax</t>
        </is>
      </c>
      <c r="B57" s="6" t="n"/>
      <c r="C57" s="6" t="n">
        <v>128</v>
      </c>
      <c r="D57" s="6" t="n"/>
      <c r="E57" s="6" t="n">
        <v>128</v>
      </c>
      <c r="F57" s="6" t="n"/>
      <c r="G57" s="6" t="n">
        <v>128</v>
      </c>
    </row>
    <row r="58">
      <c r="A58" s="6" t="inlineStr">
        <is>
          <t>Movements in foreign currency translation reserve, net of tax</t>
        </is>
      </c>
      <c r="B58" s="6" t="n"/>
      <c r="C58" s="6" t="n">
        <v>-23</v>
      </c>
      <c r="D58" s="6" t="n"/>
      <c r="E58" s="6" t="n">
        <v>-23</v>
      </c>
      <c r="F58" s="6" t="n"/>
      <c r="G58" s="6" t="n">
        <v>-23</v>
      </c>
    </row>
    <row r="59">
      <c r="A59" s="6" t="inlineStr">
        <is>
          <t>Distributions on other equity instruments</t>
        </is>
      </c>
      <c r="B59" s="6" t="n"/>
      <c r="C59" s="6" t="n"/>
      <c r="D59" s="6" t="n"/>
      <c r="E59" s="6" t="n"/>
      <c r="F59" s="6" t="n">
        <v>-210</v>
      </c>
      <c r="G59" s="6" t="n">
        <v>-210</v>
      </c>
    </row>
    <row r="60">
      <c r="A60" s="6" t="inlineStr">
        <is>
          <t>Net issuance of other equity instruments</t>
        </is>
      </c>
      <c r="B60" s="6" t="n"/>
      <c r="C60" s="6" t="n"/>
      <c r="D60" s="6" t="n"/>
      <c r="E60" s="6" t="n"/>
      <c r="F60" s="6" t="n">
        <v>3337</v>
      </c>
      <c r="G60" s="6" t="n">
        <v>3337</v>
      </c>
    </row>
    <row r="61">
      <c r="A61" s="6" t="inlineStr">
        <is>
          <t>Gain on other equity instruments</t>
        </is>
      </c>
      <c r="B61" s="6" t="n"/>
      <c r="C61" s="6" t="n"/>
      <c r="D61" s="6" t="n">
        <v>4</v>
      </c>
      <c r="E61" s="6" t="n">
        <v>4</v>
      </c>
      <c r="F61" s="6" t="n"/>
      <c r="G61" s="6" t="n">
        <v>4</v>
      </c>
    </row>
    <row r="62">
      <c r="A62" s="5" t="inlineStr">
        <is>
          <t>At 31 December 2025 (FY2025 closing)</t>
        </is>
      </c>
      <c r="B62" s="5" t="n">
        <v>370</v>
      </c>
      <c r="C62" s="5" t="n">
        <v>-131</v>
      </c>
      <c r="D62" s="5" t="n">
        <v>3174</v>
      </c>
      <c r="E62" s="5" t="n">
        <v>3413</v>
      </c>
      <c r="F62" s="5" t="n">
        <v>4145</v>
      </c>
      <c r="G62" s="5" t="n">
        <v>7558</v>
      </c>
    </row>
    <row r="64" ht="338" customHeight="1">
      <c r="A64" s="8" t="inlineStr">
        <is>
          <t>Sources - Lloyds Bank Corporate Markets plc Annual Report and Accounts, Bank (solo) column unless noted:
FY2025/FY2024: Annual Report and Accounts 2025, Consolidated income statement p.57, Statements of comprehensive income p.57, Balance sheets p.58, Statements of changes in equity (Bank) p.60 - https://www.lloydsbankinggroup.com/assets/pdfs/investors/financial-performance/lloyds-bank-corporate-markets-plc/2025/q4/2025-lbcm-annual-report.pdf
FY2023/FY2022: Annual Report and Accounts 2023, Consolidated income statement p.63, Statements of comprehensive income p.63, Balance sheets p.64, Statements of changes in equity (Bank) p.66 - https://www.lloydsbankinggroup.com/assets/pdfs/investors/financial-performance/lloyds-bank-corporate-markets-plc/2023/q4/2023-lbcm-annual-report.pdf
FY2021: Annual Report and Accounts 2021 (2020 comparative also shown that year), Consolidated income statement p.30, Statements of comprehensive income p.31, Balance sheets p.32, Statements of changes in equity (Bank) p.34 - https://www.lloydsbankinggroup.com/assets/pdfs/investors/financial-performance/lloyds-bank-corporate-markets-plc/2021/2021-lbcm-annual-report.pdf
FY2020: Annual Report and Accounts 2020, Group consolidated income statement p.27, Statements of comprehensive income p.28, Balance sheets p.29, Statements of changes in equity (Bank) p.30-31 - https://www.lloydsbankinggroup.com/assets/pdfs/investors/financial-performance/lloyds-bank-corporate-markets-plc/2020/2020-lbcm-annual-report.pdf
FY2019: Annual Report and Accounts 2019, Group consolidated income statement p.22, Statements of comprehensive income p.23, Balance sheets p.24, Statements of changes in equity (Bank) p.25-26 - https://www.lloydsbankinggroup.com/assets/pdfs/investors/financial-performance/lloyds-bank-corporate-markets-plc/2019/2019-lbcm-annual-report.pdf
FY2018: Annual Report and Accounts 2018 (LBCM's first year of trading; no FY2017 comparative - the Bank did not trade in 2017), Consolidated income statement p.18, Statements of comprehensive income p.19, Balance sheets p.20, Statements of changes in equity (Bank) p.21-22, Cash flow statements p.23 -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BASIS NOTE: Balance Sheet and Statement of Changes in Equity below use the Bank (solo) column, matching the entity note above. The Profit &amp; Loss sheet is necessarily the Group consolidated income statement - LBCM's own reports present only one consolidated income statement (no separate Bank-solo income statement line items), with the Bank's own profit for the year and OCI given only as aggregate rows within the Statements of comprehensive income (e.g. FY2025: Bank profit for the year £495m vs Group £541m) - these aggregate Bank figures are shown on the P&amp;L sheet's Total rows, not fabricated line-item detail.</t>
        </is>
      </c>
    </row>
  </sheetData>
  <mergeCells count="1">
    <mergeCell ref="A64:G6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Cash Flow Statement</t>
        </is>
      </c>
    </row>
    <row r="2">
      <c r="A2" s="2" t="inlineStr">
        <is>
          <t>Lloyds Bank Corporate Markets plc, Bank (solo) basis, £m. Two genuine restatements exist between years' opening/closing cash balances; each year's own originally-published figure is used (not the following year's restated comparative), per this project's standard convention: (1) FY2021's own report shows Bank closing cash of £23,038m, but FY2022's own report's FY2021 comparative shows £23,083m (a £45m gap). (2) FY2023's own report shows Bank closing cash of £20,169m, but FY2024's own report's FY2023 comparative shows £21,743m (a much larger £1,574m gap) — flagged prominently as it is the larger of the two and not further explained in either source document. FY2024→FY2025 and FY2022→FY2023 both tie exactly. FY2018→FY2019→FY2020→FY2021 each tie exactly as well (each year's own closing cash matches the next year's own opening cash, hand-verified against each year's own originally-published report) — no restatement gaps anywhere across the newly added years. FY2018's own cash flow statement discloses no separate 'Tax paid' line (blank here, not a transcription gap — the year's first, partial trading period simply nets tax within the total) and no 'Effect of exchange rate changes' line either (shown as 0, matching the Bank column's own '-' entry); FY2019's Bank column also shows '-' (0) for that line.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Operating activities</t>
        </is>
      </c>
      <c r="B4" s="6" t="n"/>
      <c r="C4" s="6" t="n"/>
      <c r="D4" s="6" t="n"/>
      <c r="E4" s="6" t="n"/>
      <c r="F4" s="6" t="n"/>
      <c r="G4" s="6" t="n"/>
      <c r="H4" s="6" t="n"/>
      <c r="I4" s="6" t="n"/>
    </row>
    <row r="5">
      <c r="A5" s="6" t="inlineStr">
        <is>
          <t>Profit before tax</t>
        </is>
      </c>
      <c r="B5" s="6" t="n">
        <v>583</v>
      </c>
      <c r="C5" s="6" t="n">
        <v>468</v>
      </c>
      <c r="D5" s="6" t="n">
        <v>399</v>
      </c>
      <c r="E5" s="6" t="n">
        <v>436</v>
      </c>
      <c r="F5" s="6" t="n">
        <v>293</v>
      </c>
      <c r="G5" s="6" t="n">
        <v>3</v>
      </c>
      <c r="H5" s="6" t="n">
        <v>473</v>
      </c>
      <c r="I5" s="6" t="n">
        <v>135</v>
      </c>
    </row>
    <row r="6">
      <c r="A6" s="6" t="inlineStr">
        <is>
          <t>Change in operating assets</t>
        </is>
      </c>
      <c r="B6" s="6" t="n">
        <v>863</v>
      </c>
      <c r="C6" s="6" t="n">
        <v>-5920</v>
      </c>
      <c r="D6" s="6" t="n">
        <v>-3331</v>
      </c>
      <c r="E6" s="6" t="n">
        <v>-1657</v>
      </c>
      <c r="F6" s="6" t="n">
        <v>180</v>
      </c>
      <c r="G6" s="6" t="n">
        <v>-5476</v>
      </c>
      <c r="H6" s="6" t="n">
        <v>-1150</v>
      </c>
      <c r="I6" s="6" t="n">
        <v>-18123</v>
      </c>
    </row>
    <row r="7">
      <c r="A7" s="6" t="inlineStr">
        <is>
          <t>Change in operating liabilities</t>
        </is>
      </c>
      <c r="B7" s="6" t="n">
        <v>-4782</v>
      </c>
      <c r="C7" s="6" t="n">
        <v>4619</v>
      </c>
      <c r="D7" s="6" t="n">
        <v>3614</v>
      </c>
      <c r="E7" s="6" t="n">
        <v>-2881</v>
      </c>
      <c r="F7" s="6" t="n">
        <v>-3502</v>
      </c>
      <c r="G7" s="6" t="n">
        <v>13574</v>
      </c>
      <c r="H7" s="6" t="n">
        <v>-2329</v>
      </c>
      <c r="I7" s="6" t="n">
        <v>41916</v>
      </c>
    </row>
    <row r="8">
      <c r="A8" s="6" t="inlineStr">
        <is>
          <t>Non-cash and other items</t>
        </is>
      </c>
      <c r="B8" s="6" t="n">
        <v>623</v>
      </c>
      <c r="C8" s="6" t="n">
        <v>282</v>
      </c>
      <c r="D8" s="6" t="n">
        <v>702</v>
      </c>
      <c r="E8" s="6" t="n">
        <v>-296</v>
      </c>
      <c r="F8" s="6" t="n">
        <v>-152</v>
      </c>
      <c r="G8" s="6" t="n">
        <v>111</v>
      </c>
      <c r="H8" s="6" t="n">
        <v>-158</v>
      </c>
      <c r="I8" s="6" t="n">
        <v>-5</v>
      </c>
    </row>
    <row r="9">
      <c r="A9" s="6" t="inlineStr">
        <is>
          <t>Tax paid, net</t>
        </is>
      </c>
      <c r="B9" s="6" t="n">
        <v>-87</v>
      </c>
      <c r="C9" s="6" t="n">
        <v>-84</v>
      </c>
      <c r="D9" s="6" t="n">
        <v>-96</v>
      </c>
      <c r="E9" s="6" t="n">
        <v>-58</v>
      </c>
      <c r="F9" s="6" t="n">
        <v>-38</v>
      </c>
      <c r="G9" s="6" t="n">
        <v>-51</v>
      </c>
      <c r="H9" s="6" t="n">
        <v>-72</v>
      </c>
      <c r="I9" s="6" t="n"/>
    </row>
    <row r="10">
      <c r="A10" s="5" t="inlineStr">
        <is>
          <t>Net cash provided by/(used in) operating activities</t>
        </is>
      </c>
      <c r="B10" s="5" t="n">
        <v>-2800</v>
      </c>
      <c r="C10" s="5" t="n">
        <v>-635</v>
      </c>
      <c r="D10" s="5" t="n">
        <v>1288</v>
      </c>
      <c r="E10" s="5" t="n">
        <v>-4456</v>
      </c>
      <c r="F10" s="5" t="n">
        <v>-3219</v>
      </c>
      <c r="G10" s="5" t="n">
        <v>8161</v>
      </c>
      <c r="H10" s="5" t="n">
        <v>-3236</v>
      </c>
      <c r="I10" s="5" t="n">
        <v>23923</v>
      </c>
    </row>
    <row r="11">
      <c r="A11" s="5" t="inlineStr">
        <is>
          <t>Investing activities</t>
        </is>
      </c>
      <c r="B11" s="6" t="n"/>
      <c r="C11" s="6" t="n"/>
      <c r="D11" s="6" t="n"/>
      <c r="E11" s="6" t="n"/>
      <c r="F11" s="6" t="n"/>
      <c r="G11" s="6" t="n"/>
      <c r="H11" s="6" t="n"/>
      <c r="I11" s="6" t="n"/>
    </row>
    <row r="12">
      <c r="A12" s="6" t="inlineStr">
        <is>
          <t>Purchase of financial assets</t>
        </is>
      </c>
      <c r="B12" s="6" t="n"/>
      <c r="C12" s="6" t="n">
        <v>0</v>
      </c>
      <c r="D12" s="6" t="n">
        <v>-3</v>
      </c>
      <c r="E12" s="6" t="n">
        <v>-27</v>
      </c>
      <c r="F12" s="6" t="n">
        <v>-85</v>
      </c>
      <c r="G12" s="6" t="n"/>
      <c r="H12" s="6" t="n"/>
      <c r="I12" s="6" t="n"/>
    </row>
    <row r="13">
      <c r="A13" s="6" t="inlineStr">
        <is>
          <t>Proceeds from sale and maturity of financial assets</t>
        </is>
      </c>
      <c r="B13" s="6" t="n"/>
      <c r="C13" s="6" t="n">
        <v>0</v>
      </c>
      <c r="D13" s="6" t="n">
        <v>10</v>
      </c>
      <c r="E13" s="6" t="n">
        <v>132</v>
      </c>
      <c r="F13" s="6" t="n">
        <v>138</v>
      </c>
      <c r="G13" s="6" t="n"/>
      <c r="H13" s="6" t="n"/>
      <c r="I13" s="6" t="n"/>
    </row>
    <row r="14">
      <c r="A14" s="6" t="inlineStr">
        <is>
          <t>Purchase of fixed assets</t>
        </is>
      </c>
      <c r="B14" s="6" t="n">
        <v>-3</v>
      </c>
      <c r="C14" s="6" t="n">
        <v>-2</v>
      </c>
      <c r="D14" s="6" t="n">
        <v>-2</v>
      </c>
      <c r="E14" s="6" t="n">
        <v>-5</v>
      </c>
      <c r="F14" s="6" t="n">
        <v>-1</v>
      </c>
      <c r="G14" s="6" t="n">
        <v>-20</v>
      </c>
      <c r="H14" s="6" t="n">
        <v>-1</v>
      </c>
      <c r="I14" s="6" t="n">
        <v>-8</v>
      </c>
    </row>
    <row r="15">
      <c r="A15" s="6" t="inlineStr">
        <is>
          <t>Purchase of intangible assets</t>
        </is>
      </c>
      <c r="B15" s="6" t="n">
        <v>0</v>
      </c>
      <c r="C15" s="6" t="n">
        <v>-4</v>
      </c>
      <c r="D15" s="6" t="n"/>
      <c r="E15" s="6" t="n"/>
      <c r="F15" s="6" t="n"/>
      <c r="G15" s="6" t="n"/>
      <c r="H15" s="6" t="n"/>
      <c r="I15" s="6" t="n"/>
    </row>
    <row r="16">
      <c r="A16" s="6" t="inlineStr">
        <is>
          <t>Proceeds from sale of fixed assets</t>
        </is>
      </c>
      <c r="B16" s="6" t="n">
        <v>0</v>
      </c>
      <c r="C16" s="6" t="n">
        <v>1</v>
      </c>
      <c r="D16" s="6" t="n"/>
      <c r="E16" s="6" t="n"/>
      <c r="F16" s="6" t="n"/>
      <c r="G16" s="6" t="n"/>
      <c r="H16" s="6" t="n"/>
      <c r="I16" s="6" t="n"/>
    </row>
    <row r="17">
      <c r="A17" s="6" t="inlineStr">
        <is>
          <t>Dividends received from subsidiaries</t>
        </is>
      </c>
      <c r="B17" s="6" t="n"/>
      <c r="C17" s="6" t="n"/>
      <c r="D17" s="6" t="n"/>
      <c r="E17" s="6" t="n">
        <v>22</v>
      </c>
      <c r="F17" s="6" t="n">
        <v>44</v>
      </c>
      <c r="G17" s="6" t="n">
        <v>57</v>
      </c>
      <c r="H17" s="6" t="n">
        <v>811</v>
      </c>
      <c r="I17" s="6" t="n"/>
    </row>
    <row r="18">
      <c r="A18" s="6" t="inlineStr">
        <is>
          <t>Acquisition of businesses</t>
        </is>
      </c>
      <c r="B18" s="6" t="n"/>
      <c r="C18" s="6" t="n"/>
      <c r="D18" s="6" t="n"/>
      <c r="E18" s="6" t="n"/>
      <c r="F18" s="6" t="n"/>
      <c r="G18" s="6" t="n"/>
      <c r="H18" s="6" t="n">
        <v>6130</v>
      </c>
      <c r="I18" s="6" t="n">
        <v>-13049</v>
      </c>
    </row>
    <row r="19">
      <c r="A19" s="5" t="inlineStr">
        <is>
          <t>Net cash provided by/(used in) investing activities</t>
        </is>
      </c>
      <c r="B19" s="5" t="n">
        <v>-3</v>
      </c>
      <c r="C19" s="5" t="n">
        <v>-5</v>
      </c>
      <c r="D19" s="5" t="n">
        <v>5</v>
      </c>
      <c r="E19" s="5" t="n">
        <v>122</v>
      </c>
      <c r="F19" s="5" t="n">
        <v>96</v>
      </c>
      <c r="G19" s="5" t="n">
        <v>37</v>
      </c>
      <c r="H19" s="5" t="n">
        <v>6940</v>
      </c>
      <c r="I19" s="5" t="n">
        <v>-13057</v>
      </c>
    </row>
    <row r="20">
      <c r="A20" s="5" t="inlineStr">
        <is>
          <t>Financing activities</t>
        </is>
      </c>
      <c r="B20" s="6" t="n"/>
      <c r="C20" s="6" t="n"/>
      <c r="D20" s="6" t="n"/>
      <c r="E20" s="6" t="n"/>
      <c r="F20" s="6" t="n"/>
      <c r="G20" s="6" t="n"/>
      <c r="H20" s="6" t="n"/>
      <c r="I20" s="6" t="n"/>
    </row>
    <row r="21">
      <c r="A21" s="6" t="inlineStr">
        <is>
          <t>Dividends paid to ordinary shareholders</t>
        </is>
      </c>
      <c r="B21" s="6" t="n"/>
      <c r="C21" s="6" t="n">
        <v>-450</v>
      </c>
      <c r="D21" s="6" t="n"/>
      <c r="E21" s="6" t="n">
        <v>-220</v>
      </c>
      <c r="F21" s="6" t="n">
        <v>-200</v>
      </c>
      <c r="G21" s="6" t="n">
        <v>-700</v>
      </c>
      <c r="H21" s="6" t="n"/>
      <c r="I21" s="6" t="n"/>
    </row>
    <row r="22">
      <c r="A22" s="6" t="inlineStr">
        <is>
          <t>Distributions on other equity instruments</t>
        </is>
      </c>
      <c r="B22" s="6" t="n">
        <v>-210</v>
      </c>
      <c r="C22" s="6" t="n">
        <v>-78</v>
      </c>
      <c r="D22" s="6" t="n">
        <v>-80</v>
      </c>
      <c r="E22" s="6" t="n">
        <v>-43</v>
      </c>
      <c r="F22" s="6" t="n">
        <v>-33</v>
      </c>
      <c r="G22" s="6" t="n">
        <v>-40</v>
      </c>
      <c r="H22" s="6" t="n">
        <v>-49</v>
      </c>
      <c r="I22" s="6" t="n">
        <v>-18</v>
      </c>
    </row>
    <row r="23">
      <c r="A23" s="6" t="inlineStr">
        <is>
          <t>Issue of ordinary shares</t>
        </is>
      </c>
      <c r="B23" s="6" t="n"/>
      <c r="C23" s="6" t="n"/>
      <c r="D23" s="6" t="n"/>
      <c r="E23" s="6" t="n">
        <v>250</v>
      </c>
      <c r="F23" s="6" t="n"/>
      <c r="G23" s="6" t="n"/>
      <c r="H23" s="6" t="n"/>
      <c r="I23" s="6" t="n">
        <v>100</v>
      </c>
    </row>
    <row r="24">
      <c r="A24" s="6" t="inlineStr">
        <is>
          <t>Interest paid on subordinated liabilities</t>
        </is>
      </c>
      <c r="B24" s="6" t="n">
        <v>-24</v>
      </c>
      <c r="C24" s="6" t="n">
        <v>-54</v>
      </c>
      <c r="D24" s="6" t="n">
        <v>-58</v>
      </c>
      <c r="E24" s="6" t="n">
        <v>-25</v>
      </c>
      <c r="F24" s="6" t="n">
        <v>-16</v>
      </c>
      <c r="G24" s="6" t="n">
        <v>-23</v>
      </c>
      <c r="H24" s="6" t="n">
        <v>-32</v>
      </c>
      <c r="I24" s="6" t="n"/>
    </row>
    <row r="25">
      <c r="A25" s="6" t="inlineStr">
        <is>
          <t>Finance leases</t>
        </is>
      </c>
      <c r="B25" s="6" t="n">
        <v>-5</v>
      </c>
      <c r="C25" s="6" t="n">
        <v>-4</v>
      </c>
      <c r="D25" s="6" t="n">
        <v>-5</v>
      </c>
      <c r="E25" s="6" t="n">
        <v>-8</v>
      </c>
      <c r="F25" s="6" t="n"/>
      <c r="G25" s="6" t="n"/>
      <c r="H25" s="6" t="n"/>
      <c r="I25" s="6" t="n"/>
    </row>
    <row r="26">
      <c r="A26" s="6" t="inlineStr">
        <is>
          <t>Proceeds from issue of subordinated liabilities</t>
        </is>
      </c>
      <c r="B26" s="6" t="n"/>
      <c r="C26" s="6" t="n"/>
      <c r="D26" s="6" t="n">
        <v>299</v>
      </c>
      <c r="E26" s="6" t="n"/>
      <c r="F26" s="6" t="n"/>
      <c r="G26" s="6" t="n"/>
      <c r="H26" s="6" t="n"/>
      <c r="I26" s="6" t="n">
        <v>725</v>
      </c>
    </row>
    <row r="27">
      <c r="A27" s="6" t="inlineStr">
        <is>
          <t>Repayment of subordinated liabilities</t>
        </is>
      </c>
      <c r="B27" s="6" t="n">
        <v>-730</v>
      </c>
      <c r="C27" s="6" t="n"/>
      <c r="D27" s="6" t="n">
        <v>-284</v>
      </c>
      <c r="E27" s="6" t="n"/>
      <c r="F27" s="6" t="n"/>
      <c r="G27" s="6" t="n"/>
      <c r="H27" s="6" t="n"/>
      <c r="I27" s="6" t="n"/>
    </row>
    <row r="28">
      <c r="A28" s="6" t="inlineStr">
        <is>
          <t>Loss on repayment of other equity instruments</t>
        </is>
      </c>
      <c r="B28" s="6" t="n"/>
      <c r="C28" s="6" t="n"/>
      <c r="D28" s="6" t="n">
        <v>-15</v>
      </c>
      <c r="E28" s="6" t="n"/>
      <c r="F28" s="6" t="n"/>
      <c r="G28" s="6" t="n"/>
      <c r="H28" s="6" t="n"/>
      <c r="I28" s="6" t="n"/>
    </row>
    <row r="29">
      <c r="A29" s="6" t="inlineStr">
        <is>
          <t>Proceeds from issue of other equity instruments</t>
        </is>
      </c>
      <c r="B29" s="6" t="n">
        <v>3637</v>
      </c>
      <c r="C29" s="6" t="n"/>
      <c r="D29" s="6" t="n">
        <v>289</v>
      </c>
      <c r="E29" s="6" t="n"/>
      <c r="F29" s="6" t="n"/>
      <c r="G29" s="6" t="n"/>
      <c r="H29" s="6" t="n"/>
      <c r="I29" s="6" t="n">
        <v>782</v>
      </c>
    </row>
    <row r="30">
      <c r="A30" s="6" t="inlineStr">
        <is>
          <t>Repurchases and redemptions of other equity instruments</t>
        </is>
      </c>
      <c r="B30" s="6" t="n">
        <v>-296</v>
      </c>
      <c r="C30" s="6" t="n"/>
      <c r="D30" s="6" t="n">
        <v>-263</v>
      </c>
      <c r="E30" s="6" t="n"/>
      <c r="F30" s="6" t="n"/>
      <c r="G30" s="6" t="n"/>
      <c r="H30" s="6" t="n"/>
      <c r="I30" s="6" t="n"/>
    </row>
    <row r="31">
      <c r="A31" s="6" t="inlineStr">
        <is>
          <t>Receipt of capital contribution from parent company</t>
        </is>
      </c>
      <c r="B31" s="6" t="n"/>
      <c r="C31" s="6" t="n"/>
      <c r="D31" s="6" t="n"/>
      <c r="E31" s="6" t="n"/>
      <c r="F31" s="6" t="n"/>
      <c r="G31" s="6" t="n"/>
      <c r="H31" s="6" t="n"/>
      <c r="I31" s="6" t="n">
        <v>2975</v>
      </c>
    </row>
    <row r="32">
      <c r="A32" s="5" t="inlineStr">
        <is>
          <t>Net cash provided by/(used in) financing activities</t>
        </is>
      </c>
      <c r="B32" s="5" t="n">
        <v>2372</v>
      </c>
      <c r="C32" s="5" t="n">
        <v>-586</v>
      </c>
      <c r="D32" s="5" t="n">
        <v>-117</v>
      </c>
      <c r="E32" s="5" t="n">
        <v>-46</v>
      </c>
      <c r="F32" s="5" t="n">
        <v>-249</v>
      </c>
      <c r="G32" s="5" t="n">
        <v>-763</v>
      </c>
      <c r="H32" s="5" t="n">
        <v>-81</v>
      </c>
      <c r="I32" s="5" t="n">
        <v>4564</v>
      </c>
    </row>
    <row r="33">
      <c r="A33" s="6" t="inlineStr">
        <is>
          <t>Effect of exchange rate changes on cash and cash equivalents</t>
        </is>
      </c>
      <c r="B33" s="6" t="n">
        <v>-521</v>
      </c>
      <c r="C33" s="6" t="n">
        <v>116</v>
      </c>
      <c r="D33" s="6" t="n">
        <v>-403</v>
      </c>
      <c r="E33" s="6" t="n">
        <v>693</v>
      </c>
      <c r="F33" s="6" t="n">
        <v>69</v>
      </c>
      <c r="G33" s="6" t="n">
        <v>-167</v>
      </c>
      <c r="H33" s="6" t="n">
        <v>0</v>
      </c>
      <c r="I33" s="6" t="n">
        <v>0</v>
      </c>
    </row>
    <row r="34">
      <c r="A34" s="5" t="inlineStr">
        <is>
          <t>Change in cash and cash equivalents</t>
        </is>
      </c>
      <c r="B34" s="5" t="n">
        <v>-952</v>
      </c>
      <c r="C34" s="5" t="n">
        <v>-1110</v>
      </c>
      <c r="D34" s="5" t="n">
        <v>773</v>
      </c>
      <c r="E34" s="5" t="n">
        <v>-3687</v>
      </c>
      <c r="F34" s="5" t="n">
        <v>-3303</v>
      </c>
      <c r="G34" s="5" t="n">
        <v>7268</v>
      </c>
      <c r="H34" s="5" t="n">
        <v>3623</v>
      </c>
      <c r="I34" s="5" t="n">
        <v>15430</v>
      </c>
    </row>
    <row r="35">
      <c r="A35" s="6" t="inlineStr">
        <is>
          <t>Cash and cash equivalents at beginning of year</t>
        </is>
      </c>
      <c r="B35" s="6" t="n">
        <v>20633</v>
      </c>
      <c r="C35" s="6" t="n">
        <v>21743</v>
      </c>
      <c r="D35" s="6" t="n">
        <v>19396</v>
      </c>
      <c r="E35" s="6" t="n">
        <v>23083</v>
      </c>
      <c r="F35" s="6" t="n">
        <v>26341</v>
      </c>
      <c r="G35" s="6" t="n">
        <v>19073</v>
      </c>
      <c r="H35" s="6" t="n">
        <v>15450</v>
      </c>
      <c r="I35" s="6" t="n">
        <v>20</v>
      </c>
    </row>
    <row r="36">
      <c r="A36" s="5" t="inlineStr">
        <is>
          <t>Cash and cash equivalents at end of year</t>
        </is>
      </c>
      <c r="B36" s="5" t="n">
        <v>19681</v>
      </c>
      <c r="C36" s="5" t="n">
        <v>20633</v>
      </c>
      <c r="D36" s="5" t="n">
        <v>20169</v>
      </c>
      <c r="E36" s="5" t="n">
        <v>19396</v>
      </c>
      <c r="F36" s="5" t="n">
        <v>23038</v>
      </c>
      <c r="G36" s="5" t="n">
        <v>26341</v>
      </c>
      <c r="H36" s="5" t="n">
        <v>19073</v>
      </c>
      <c r="I36" s="5" t="n">
        <v>15450</v>
      </c>
    </row>
    <row r="38" ht="247" customHeight="1">
      <c r="A38" s="8" t="inlineStr">
        <is>
          <t>FY2025: Lloyds Bank Corporate Markets plc Annual Report and Accounts, Cash flow statements (Bank column), p.61 — https://www.lloydsbankinggroup.com/assets/pdfs/investors/financial-performance/lloyds-bank-corporate-markets-plc/2025/q4/2025-lbcm-annual-report.pdf
FY2024: Lloyds Bank Corporate Markets plc Annual Report and Accounts, Cash flow statements (Bank column), p.68 — https://www.lloydsbankinggroup.com/assets/pdfs/investors/financial-performance/lloyds-bank-corporate-markets-plc/2024/q4/2024-lbcm-annual-report.pdf
FY2023: Lloyds Bank Corporate Markets plc Annual Report and Accounts, Cash flow statements (Bank column), p.67 — https://www.lloydsbankinggroup.com/assets/pdfs/investors/financial-performance/lloyds-bank-corporate-markets-plc/2023/q4/2023-lbcm-annual-report.pdf
FY2022: Lloyds Bank Corporate Markets plc Annual Report and Accounts, Cash flow statements (Bank column), p.63 — https://www.lloydsbankinggroup.com/assets/pdfs/investors/financial-performance/lloyds-bank-corporate-markets-plc/2022/q4/2022-lbcm-annual-report.pdf
FY2021: Lloyds Bank Corporate Markets plc Annual Report and Accounts, Cash flow statements (Bank column), p.36 — https://www.lloydsbankinggroup.com/assets/pdfs/investors/financial-performance/lloyds-bank-corporate-markets-plc/2021/2021-lbcm-annual-report.pdf
FY2020: Lloyds Bank Corporate Markets plc Annual Report and Accounts, Cash flow statements (Bank column), p.32 — https://www.lloydsbankinggroup.com/assets/pdfs/investors/financial-performance/lloyds-bank-corporate-markets-plc/2020/2020-lbcm-annual-report.pdf
FY2019: Lloyds Bank Corporate Markets plc Annual Report and Accounts, Cash flow statements (Bank column), p.30 — https://www.lloydsbankinggroup.com/assets/pdfs/investors/financial-performance/lloyds-bank-corporate-markets-plc/2019/2019-lbcm-annual-report.pdf
FY2018: Lloyds Bank Corporate Markets plc Annual Report and Accounts, Cash flow statements (Bank column), p.26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38:I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Asset Quality</t>
        </is>
      </c>
    </row>
    <row r="2">
      <c r="A2" s="2" t="inlineStr">
        <is>
          <t>Loans and advances to customers, IFRS 9 stage 1/2/3 split.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Loans and advances to customers, by IFRS 9 stage (Bank, FY2018-FY2020 and FY2022-FY2025; Group combined with reverse repos, FY2021)</t>
        </is>
      </c>
      <c r="B4" s="6" t="n"/>
      <c r="C4" s="6" t="n"/>
      <c r="D4" s="6" t="n"/>
      <c r="E4" s="6" t="n"/>
      <c r="F4" s="6" t="n"/>
      <c r="G4" s="6" t="n"/>
      <c r="H4" s="6" t="n"/>
      <c r="I4" s="6" t="n"/>
    </row>
    <row r="5">
      <c r="A5" s="6" t="inlineStr">
        <is>
          <t>Stage 1 (gross)</t>
        </is>
      </c>
      <c r="B5" s="6" t="n">
        <v>19322</v>
      </c>
      <c r="C5" s="6" t="n">
        <v>17428</v>
      </c>
      <c r="D5" s="6" t="n">
        <v>15996</v>
      </c>
      <c r="E5" s="6" t="n">
        <v>17851</v>
      </c>
      <c r="F5" s="6" t="n">
        <v>21874</v>
      </c>
      <c r="G5" s="6" t="n">
        <v>17833</v>
      </c>
      <c r="H5" s="6" t="n">
        <v>19759</v>
      </c>
      <c r="I5" s="6" t="n">
        <v>16849</v>
      </c>
    </row>
    <row r="6">
      <c r="A6" s="6" t="inlineStr">
        <is>
          <t>Stage 2 (gross)</t>
        </is>
      </c>
      <c r="B6" s="6" t="n">
        <v>184</v>
      </c>
      <c r="C6" s="6" t="n">
        <v>96</v>
      </c>
      <c r="D6" s="6" t="n">
        <v>180</v>
      </c>
      <c r="E6" s="6" t="n">
        <v>1029</v>
      </c>
      <c r="F6" s="6" t="n">
        <v>47</v>
      </c>
      <c r="G6" s="6" t="n">
        <v>364</v>
      </c>
      <c r="H6" s="6" t="n">
        <v>19</v>
      </c>
      <c r="I6" s="6" t="n">
        <v>0</v>
      </c>
    </row>
    <row r="7">
      <c r="A7" s="6" t="inlineStr">
        <is>
          <t>Stage 3 (gross)</t>
        </is>
      </c>
      <c r="B7" s="6" t="n">
        <v>6</v>
      </c>
      <c r="C7" s="6" t="n">
        <v>7</v>
      </c>
      <c r="D7" s="6" t="n">
        <v>9</v>
      </c>
      <c r="E7" s="6" t="n">
        <v>22</v>
      </c>
      <c r="F7" s="6" t="n">
        <v>29</v>
      </c>
      <c r="G7" s="6" t="n">
        <v>39</v>
      </c>
      <c r="H7" s="6" t="n">
        <v>293</v>
      </c>
      <c r="I7" s="6" t="n">
        <v>277</v>
      </c>
    </row>
    <row r="8">
      <c r="A8" s="5" t="inlineStr">
        <is>
          <t>Total gross carrying amount</t>
        </is>
      </c>
      <c r="B8" s="5" t="n">
        <v>19512</v>
      </c>
      <c r="C8" s="5" t="n">
        <v>17531</v>
      </c>
      <c r="D8" s="5" t="n">
        <v>16185</v>
      </c>
      <c r="E8" s="5" t="n">
        <v>18902</v>
      </c>
      <c r="F8" s="5" t="n">
        <v>21950</v>
      </c>
      <c r="G8" s="5" t="n">
        <v>18236</v>
      </c>
      <c r="H8" s="5" t="n">
        <v>20071</v>
      </c>
      <c r="I8" s="5" t="n">
        <v>17126</v>
      </c>
    </row>
    <row r="9">
      <c r="A9" s="6" t="inlineStr">
        <is>
          <t>Allowance for expected credit losses</t>
        </is>
      </c>
      <c r="B9" s="6" t="n">
        <v>-8</v>
      </c>
      <c r="C9" s="6" t="n">
        <v>-7</v>
      </c>
      <c r="D9" s="6" t="n">
        <v>-18</v>
      </c>
      <c r="E9" s="6" t="n">
        <v>-38</v>
      </c>
      <c r="F9" s="6" t="n">
        <v>-10</v>
      </c>
      <c r="G9" s="6" t="n">
        <v>-47</v>
      </c>
      <c r="H9" s="6" t="n">
        <v>-85</v>
      </c>
      <c r="I9" s="6" t="n">
        <v>-90</v>
      </c>
    </row>
    <row r="10">
      <c r="A10" s="5" t="inlineStr">
        <is>
          <t>Net carrying amount</t>
        </is>
      </c>
      <c r="B10" s="5" t="n">
        <v>19504</v>
      </c>
      <c r="C10" s="5" t="n">
        <v>17524</v>
      </c>
      <c r="D10" s="5" t="n">
        <v>16167</v>
      </c>
      <c r="E10" s="5" t="n">
        <v>18864</v>
      </c>
      <c r="F10" s="5" t="n">
        <v>21940</v>
      </c>
      <c r="G10" s="5" t="n">
        <v>18189</v>
      </c>
      <c r="H10" s="5" t="n">
        <v>19986</v>
      </c>
      <c r="I10" s="5" t="n">
        <v>17036</v>
      </c>
    </row>
    <row r="11">
      <c r="A11" s="6" t="inlineStr">
        <is>
          <t>Stage 3 as % of total gross carrying amount (NPL ratio)</t>
        </is>
      </c>
      <c r="B11" s="6" t="inlineStr">
        <is>
          <t>0.03%</t>
        </is>
      </c>
      <c r="C11" s="6" t="inlineStr">
        <is>
          <t>0.04%</t>
        </is>
      </c>
      <c r="D11" s="6" t="inlineStr">
        <is>
          <t>0.06%</t>
        </is>
      </c>
      <c r="E11" s="6" t="inlineStr">
        <is>
          <t>0.12%</t>
        </is>
      </c>
      <c r="F11" s="6" t="inlineStr">
        <is>
          <t>0.13%</t>
        </is>
      </c>
      <c r="G11" s="6" t="inlineStr">
        <is>
          <t>0.21%</t>
        </is>
      </c>
      <c r="H11" s="6" t="inlineStr">
        <is>
          <t>1.46%</t>
        </is>
      </c>
      <c r="I11" s="6" t="inlineStr">
        <is>
          <t>1.62%</t>
        </is>
      </c>
    </row>
    <row r="12">
      <c r="A12" s="6" t="inlineStr">
        <is>
          <t>ECL allowance as % of total gross carrying amount (coverage)</t>
        </is>
      </c>
      <c r="B12" s="6" t="inlineStr">
        <is>
          <t>0.04%</t>
        </is>
      </c>
      <c r="C12" s="6" t="inlineStr">
        <is>
          <t>0.04%</t>
        </is>
      </c>
      <c r="D12" s="6" t="inlineStr">
        <is>
          <t>0.11%</t>
        </is>
      </c>
      <c r="E12" s="6" t="inlineStr">
        <is>
          <t>0.20%</t>
        </is>
      </c>
      <c r="F12" s="6" t="inlineStr">
        <is>
          <t>0.05%</t>
        </is>
      </c>
      <c r="G12" s="6" t="inlineStr">
        <is>
          <t>0.26%</t>
        </is>
      </c>
      <c r="H12" s="6" t="inlineStr">
        <is>
          <t>0.42%</t>
        </is>
      </c>
      <c r="I12" s="6" t="inlineStr">
        <is>
          <t>0.53%</t>
        </is>
      </c>
    </row>
    <row r="14" ht="377" customHeight="1">
      <c r="A14" s="8" t="inlineStr">
        <is>
          <t>Sources - Lloyds Bank Corporate Markets plc Annual Report and Accounts, Bank (solo) column unless noted:
FY2025/FY2024: Annual Report and Accounts 2025, Consolidated income statement p.57, Statements of comprehensive income p.57, Balance sheets p.58, Statements of changes in equity (Bank) p.60 - https://www.lloydsbankinggroup.com/assets/pdfs/investors/financial-performance/lloyds-bank-corporate-markets-plc/2025/q4/2025-lbcm-annual-report.pdf
FY2023/FY2022: Annual Report and Accounts 2023, Consolidated income statement p.63, Statements of comprehensive income p.63, Balance sheets p.64, Statements of changes in equity (Bank) p.66 - https://www.lloydsbankinggroup.com/assets/pdfs/investors/financial-performance/lloyds-bank-corporate-markets-plc/2023/q4/2023-lbcm-annual-report.pdf
FY2021: Annual Report and Accounts 2021 (2020 comparative also shown that year), Consolidated income statement p.30, Statements of comprehensive income p.31, Balance sheets p.32, Statements of changes in equity (Bank) p.34 - https://www.lloydsbankinggroup.com/assets/pdfs/investors/financial-performance/lloyds-bank-corporate-markets-plc/2021/2021-lbcm-annual-report.pdf
FY2020: Annual Report and Accounts 2020, Group consolidated income statement p.27, Statements of comprehensive income p.28, Balance sheets p.29, Statements of changes in equity (Bank) p.30-31 - https://www.lloydsbankinggroup.com/assets/pdfs/investors/financial-performance/lloyds-bank-corporate-markets-plc/2020/2020-lbcm-annual-report.pdf
FY2019: Annual Report and Accounts 2019, Group consolidated income statement p.22, Statements of comprehensive income p.23, Balance sheets p.24, Statements of changes in equity (Bank) p.25-26 - https://www.lloydsbankinggroup.com/assets/pdfs/investors/financial-performance/lloyds-bank-corporate-markets-plc/2019/2019-lbcm-annual-report.pdf
FY2018: Annual Report and Accounts 2018 (LBCM's first year of trading; no FY2017 comparative - the Bank did not trade in 2017), Consolidated income statement p.18, Statements of comprehensive income p.19, Balance sheets p.20, Statements of changes in equity (Bank) p.21-22, Cash flow statements p.23 -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BASIS NOTE: Balance Sheet and Statement of Changes in Equity below use the Bank (solo) column, matching the entity note above. The Profit &amp; Loss sheet is necessarily the Group consolidated income statement - LBCM's own reports present only one consolidated income statement (no separate Bank-solo income statement line items), with the Bank's own profit for the year and OCI given only as aggregate rows within the Statements of comprehensive income (e.g. FY2025: Bank profit for the year £495m vs Group £541m) - these aggregate Bank figures are shown on the P&amp;L sheet's Total rows, not fabricated line-item detail.
FY2025/FY2024: Annual Report and Accounts 2025, Note 14 'Loans and advances to customers' (Bank table), p.87. FY2023/FY2022: Annual Report and Accounts 2023, Note 12 'Loans and advances to customers' (Bank table), p.83. FY2021: Annual Report and Accounts 2021, Note 13 'Financial assets at amortised cost', 'Loans and advances to customers and reverse repurchase agreements' table, p.59-60. FY2020: Annual Report and Accounts 2020, Note 13 'Financial assets at amortised cost' (2) The Bank, 'Year ended 31 December 2020' table, p.56 — https://www.lloydsbankinggroup.com/assets/pdfs/investors/financial-performance/lloyds-bank-corporate-markets-plc/2020/2020-lbcm-annual-report.pdf. FY2019: Annual Report and Accounts 2019, Note 14 'Financial assets at amortised cost' (2) The Bank, 'Year ended 31 December 2019' table, p.48 — https://www.lloydsbankinggroup.com/assets/pdfs/investors/financial-performance/lloyds-bank-corporate-markets-plc/2019/2019-lbcm-annual-report.pdf. FY2018: Annual Report and Accounts 2018, Note 14 'Financial assets at amortised cost' 2) The Bank, p.43 — https://www.lloydsbankinggroup.com/assets/pdfs/investors/financial-performance/lloyds-bank-corporate-markets-plc/2018/2018-lbcm-annual-report-v2.pdf.</t>
        </is>
      </c>
    </row>
    <row r="16" ht="340" customHeight="1">
      <c r="A16" s="8" t="inlineStr">
        <is>
          <t>(continued)
DATA QUALITY FLAG: FY2021's own report discloses this stage split only at Group level, and only as a combined 'Loans and advances to customers and reverse repurchase agreements' category (Total gross carrying amount 21,950; Net carrying amount 21,940), unlike FY2022-FY2025's Bank-level tables which cover loans and advances to customers ALONE - a genuine structural/disclosure difference, not a transcription error. FY2021's Net carrying amount therefore does NOT tie to FY2021's Bank Balance Sheet 'Loans and advances to customers' line (17,176) the way FY2022-FY2025 do - shown as originally disclosed rather than adjusted to force a tie. FY2018-FY2020's Bank-level tables DO tie exactly to those years' own Balance Sheet 'Loans and advances to customers' line (17,036 / 19,986 / 18,189 respectively).</t>
        </is>
      </c>
    </row>
  </sheetData>
  <mergeCells count="2">
    <mergeCell ref="A14:I14"/>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Lloyds Bank Corporate Markets plc — KM1 Key Metrics</t>
        </is>
      </c>
    </row>
    <row r="2">
      <c r="A2" s="2" t="inlineStr">
        <is>
          <t>The Bank's own published 'KM1: Key Metrics' template, from its Year-End Pillar 3 Disclosures, reproduced in its row order with its own row numbers, LR2 cross-references and printed precision. Amounts in £m, ratios as printed. FY2021's leverage figures are on the original CRR basis (inclusive of claims on central banks) and are shown as a separate block. FY2020-FY2018 are blank: those years' own sources print the IFRS9-FL comparison template or no Pillar 3 at all, never the UK KM1.</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3085</v>
      </c>
      <c r="C5" s="6" t="n">
        <v>2797</v>
      </c>
      <c r="D5" s="6" t="n">
        <v>2725</v>
      </c>
      <c r="E5" s="6" t="n">
        <v>2948</v>
      </c>
      <c r="F5" s="6" t="n">
        <v>2423</v>
      </c>
    </row>
    <row r="6">
      <c r="A6" s="6" t="inlineStr">
        <is>
          <t>2    Tier 1 capital (£m)</t>
        </is>
      </c>
      <c r="B6" s="6" t="n">
        <v>7137</v>
      </c>
      <c r="C6" s="6" t="n">
        <v>3580</v>
      </c>
      <c r="D6" s="6" t="n">
        <v>3508</v>
      </c>
      <c r="E6" s="6" t="n">
        <v>3705</v>
      </c>
      <c r="F6" s="6" t="n">
        <v>3180</v>
      </c>
    </row>
    <row r="7">
      <c r="A7" s="6" t="inlineStr">
        <is>
          <t>3    Total capital (£m)</t>
        </is>
      </c>
      <c r="B7" s="6" t="n">
        <v>7137</v>
      </c>
      <c r="C7" s="6" t="n">
        <v>4171</v>
      </c>
      <c r="D7" s="6" t="n">
        <v>4109</v>
      </c>
      <c r="E7" s="6" t="n">
        <v>4285</v>
      </c>
      <c r="F7" s="6" t="n">
        <v>3709</v>
      </c>
    </row>
    <row r="8">
      <c r="A8" s="5" t="inlineStr">
        <is>
          <t>Risk-weighted exposure amounts</t>
        </is>
      </c>
      <c r="B8" s="6" t="n"/>
      <c r="C8" s="6" t="n"/>
      <c r="D8" s="6" t="n"/>
      <c r="E8" s="6" t="n"/>
      <c r="F8" s="6" t="n"/>
    </row>
    <row r="9">
      <c r="A9" s="6" t="inlineStr">
        <is>
          <t>4    Total risk-weighted exposure amount (£m)</t>
        </is>
      </c>
      <c r="B9" s="6" t="n">
        <v>22442</v>
      </c>
      <c r="C9" s="6" t="n">
        <v>20605</v>
      </c>
      <c r="D9" s="6" t="n">
        <v>20492</v>
      </c>
      <c r="E9" s="6" t="n">
        <v>20195</v>
      </c>
      <c r="F9" s="6" t="n">
        <v>18436</v>
      </c>
    </row>
    <row r="10">
      <c r="A10" s="5" t="inlineStr">
        <is>
          <t>Capital ratios (as a percentage of risk-weighted exposure amount)</t>
        </is>
      </c>
      <c r="B10" s="6" t="n"/>
      <c r="C10" s="6" t="n"/>
      <c r="D10" s="6" t="n"/>
      <c r="E10" s="6" t="n"/>
      <c r="F10" s="6" t="n"/>
    </row>
    <row r="11">
      <c r="A11" s="6" t="inlineStr">
        <is>
          <t>5    Common Equity Tier 1 ratio (%)</t>
        </is>
      </c>
      <c r="B11" s="6" t="inlineStr">
        <is>
          <t>13.7%</t>
        </is>
      </c>
      <c r="C11" s="6" t="inlineStr">
        <is>
          <t>13.6%</t>
        </is>
      </c>
      <c r="D11" s="6" t="inlineStr">
        <is>
          <t>13.3%</t>
        </is>
      </c>
      <c r="E11" s="6" t="inlineStr">
        <is>
          <t>14.6%</t>
        </is>
      </c>
      <c r="F11" s="6" t="inlineStr">
        <is>
          <t>13.1%</t>
        </is>
      </c>
    </row>
    <row r="12">
      <c r="A12" s="6" t="inlineStr">
        <is>
          <t>6    Tier 1 ratio (%)</t>
        </is>
      </c>
      <c r="B12" s="6" t="inlineStr">
        <is>
          <t>31.8%</t>
        </is>
      </c>
      <c r="C12" s="6" t="inlineStr">
        <is>
          <t>17.4%</t>
        </is>
      </c>
      <c r="D12" s="6" t="inlineStr">
        <is>
          <t>17.1%</t>
        </is>
      </c>
      <c r="E12" s="6" t="inlineStr">
        <is>
          <t>18.3%</t>
        </is>
      </c>
      <c r="F12" s="6" t="inlineStr">
        <is>
          <t>17.2%</t>
        </is>
      </c>
    </row>
    <row r="13">
      <c r="A13" s="6" t="inlineStr">
        <is>
          <t>7    Total capital ratio (%)</t>
        </is>
      </c>
      <c r="B13" s="6" t="inlineStr">
        <is>
          <t>31.8%</t>
        </is>
      </c>
      <c r="C13" s="6" t="inlineStr">
        <is>
          <t>20.2%</t>
        </is>
      </c>
      <c r="D13" s="6" t="inlineStr">
        <is>
          <t>20.1%</t>
        </is>
      </c>
      <c r="E13" s="6" t="inlineStr">
        <is>
          <t>21.2%</t>
        </is>
      </c>
      <c r="F13" s="6" t="inlineStr">
        <is>
          <t>20.1%</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2.3%</t>
        </is>
      </c>
      <c r="C15" s="6" t="inlineStr">
        <is>
          <t>2.4%</t>
        </is>
      </c>
      <c r="D15" s="6" t="inlineStr">
        <is>
          <t>2.7%</t>
        </is>
      </c>
      <c r="E15" s="6" t="inlineStr">
        <is>
          <t>2.6%</t>
        </is>
      </c>
      <c r="F15" s="6" t="inlineStr">
        <is>
          <t>2.6%</t>
        </is>
      </c>
    </row>
    <row r="16">
      <c r="A16" s="6" t="inlineStr">
        <is>
          <t>UK 7b    Additional AT1 SREP requirements (%)</t>
        </is>
      </c>
      <c r="B16" s="6" t="inlineStr">
        <is>
          <t>0.7%</t>
        </is>
      </c>
      <c r="C16" s="6" t="inlineStr">
        <is>
          <t>0.8%</t>
        </is>
      </c>
      <c r="D16" s="6" t="inlineStr">
        <is>
          <t>0.9%</t>
        </is>
      </c>
      <c r="E16" s="6" t="inlineStr">
        <is>
          <t>0.9%</t>
        </is>
      </c>
      <c r="F16" s="6" t="inlineStr">
        <is>
          <t>0.9%</t>
        </is>
      </c>
    </row>
    <row r="17">
      <c r="A17" s="6" t="inlineStr">
        <is>
          <t>UK 7c    Additional T2 SREP requirements (%)</t>
        </is>
      </c>
      <c r="B17" s="6" t="inlineStr">
        <is>
          <t>1.0%</t>
        </is>
      </c>
      <c r="C17" s="6" t="inlineStr">
        <is>
          <t>1.0%</t>
        </is>
      </c>
      <c r="D17" s="6" t="inlineStr">
        <is>
          <t>1.2%</t>
        </is>
      </c>
      <c r="E17" s="6" t="inlineStr">
        <is>
          <t>1.1%</t>
        </is>
      </c>
      <c r="F17" s="6" t="inlineStr">
        <is>
          <t>1.1%</t>
        </is>
      </c>
    </row>
    <row r="18">
      <c r="A18" s="6" t="inlineStr">
        <is>
          <t>UK 7d    Total SREP own funds requirements (%)</t>
        </is>
      </c>
      <c r="B18" s="6" t="inlineStr">
        <is>
          <t>12.0%</t>
        </is>
      </c>
      <c r="C18" s="6" t="inlineStr">
        <is>
          <t>12.2%</t>
        </is>
      </c>
      <c r="D18" s="6" t="inlineStr">
        <is>
          <t>12.9%</t>
        </is>
      </c>
      <c r="E18" s="6" t="inlineStr">
        <is>
          <t>12.6%</t>
        </is>
      </c>
      <c r="F18" s="6" t="inlineStr">
        <is>
          <t>12.6%</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2.500%</t>
        </is>
      </c>
      <c r="E20" s="6" t="inlineStr">
        <is>
          <t>2.500%</t>
        </is>
      </c>
      <c r="F20" s="6" t="inlineStr">
        <is>
          <t>2.500%</t>
        </is>
      </c>
    </row>
    <row r="21">
      <c r="A21" s="6" t="inlineStr">
        <is>
          <t>9    Institution specific countercyclical capital buffer (%)</t>
        </is>
      </c>
      <c r="B21" s="6" t="inlineStr">
        <is>
          <t>0.8%</t>
        </is>
      </c>
      <c r="C21" s="6" t="inlineStr">
        <is>
          <t>1.0%</t>
        </is>
      </c>
      <c r="D21" s="6" t="inlineStr">
        <is>
          <t>0.960%</t>
        </is>
      </c>
      <c r="E21" s="6" t="inlineStr">
        <is>
          <t>0.506%</t>
        </is>
      </c>
      <c r="F21" s="6" t="inlineStr">
        <is>
          <t>0.029%</t>
        </is>
      </c>
    </row>
    <row r="22">
      <c r="A22" s="6" t="inlineStr">
        <is>
          <t>10a    Other Systemically Important Institution buffer (%)  — printed only in the FY2022 edition, and printed there as an em dash in every column</t>
        </is>
      </c>
      <c r="B22" s="6" t="n"/>
      <c r="C22" s="6" t="n"/>
      <c r="D22" s="6" t="n"/>
      <c r="E22" s="6" t="n"/>
      <c r="F22" s="6" t="n"/>
    </row>
    <row r="23">
      <c r="A23" s="6" t="inlineStr">
        <is>
          <t>11    Combined buffer requirement (%)</t>
        </is>
      </c>
      <c r="B23" s="6" t="inlineStr">
        <is>
          <t>3.3%</t>
        </is>
      </c>
      <c r="C23" s="6" t="inlineStr">
        <is>
          <t>3.5%</t>
        </is>
      </c>
      <c r="D23" s="6" t="inlineStr">
        <is>
          <t>3.460%</t>
        </is>
      </c>
      <c r="E23" s="6" t="inlineStr">
        <is>
          <t>3.006%</t>
        </is>
      </c>
      <c r="F23" s="6" t="inlineStr">
        <is>
          <t>2.529%</t>
        </is>
      </c>
    </row>
    <row r="24">
      <c r="A24" s="6" t="inlineStr">
        <is>
          <t>UK 11a    Overall capital requirements (%)</t>
        </is>
      </c>
      <c r="B24" s="6" t="inlineStr">
        <is>
          <t>15.3%</t>
        </is>
      </c>
      <c r="C24" s="6" t="inlineStr">
        <is>
          <t>15.7%</t>
        </is>
      </c>
      <c r="D24" s="6" t="inlineStr">
        <is>
          <t>16.3%</t>
        </is>
      </c>
      <c r="E24" s="6" t="inlineStr">
        <is>
          <t>15.6%</t>
        </is>
      </c>
      <c r="F24" s="6" t="inlineStr">
        <is>
          <t>15.1%</t>
        </is>
      </c>
    </row>
    <row r="25">
      <c r="A25" s="6" t="inlineStr">
        <is>
          <t>12    CET1 available after meeting minimum SREP own funds requirements (%)</t>
        </is>
      </c>
      <c r="B25" s="6" t="inlineStr">
        <is>
          <t>7.0%</t>
        </is>
      </c>
      <c r="C25" s="6" t="inlineStr">
        <is>
          <t>6.7%</t>
        </is>
      </c>
      <c r="D25" s="6" t="inlineStr">
        <is>
          <t>6.1%</t>
        </is>
      </c>
      <c r="E25" s="6" t="inlineStr">
        <is>
          <t>7.5%</t>
        </is>
      </c>
      <c r="F25" s="6" t="inlineStr">
        <is>
          <t>6.0%</t>
        </is>
      </c>
    </row>
    <row r="26">
      <c r="A26" s="5" t="inlineStr">
        <is>
          <t>Leverage ratio — UK basis, excluding claims on central banks (from 1 January 2022)</t>
        </is>
      </c>
      <c r="B26" s="6" t="n"/>
      <c r="C26" s="6" t="n"/>
      <c r="D26" s="6" t="n"/>
      <c r="E26" s="6" t="n"/>
      <c r="F26" s="6" t="n"/>
    </row>
    <row r="27">
      <c r="A27" s="6" t="inlineStr">
        <is>
          <t>13  (LR2 UK-24b)    Total exposure measure excluding claims on central banks (£m)</t>
        </is>
      </c>
      <c r="B27" s="6" t="n">
        <v>84702</v>
      </c>
      <c r="C27" s="6" t="n">
        <v>79612</v>
      </c>
      <c r="D27" s="6" t="n">
        <v>74378</v>
      </c>
      <c r="E27" s="6" t="n">
        <v>69175</v>
      </c>
      <c r="F27" s="6" t="n"/>
    </row>
    <row r="28">
      <c r="A28" s="6" t="inlineStr">
        <is>
          <t>14  (LR2 25)    Leverage ratio excluding claims on central banks (%)</t>
        </is>
      </c>
      <c r="B28" s="6" t="inlineStr">
        <is>
          <t>8.4%</t>
        </is>
      </c>
      <c r="C28" s="6" t="inlineStr">
        <is>
          <t>4.5%</t>
        </is>
      </c>
      <c r="D28" s="6" t="inlineStr">
        <is>
          <t>4.7%</t>
        </is>
      </c>
      <c r="E28" s="6" t="inlineStr">
        <is>
          <t>5.4%</t>
        </is>
      </c>
      <c r="F28" s="6" t="n"/>
    </row>
    <row r="29">
      <c r="A29" s="5" t="inlineStr">
        <is>
          <t>Leverage ratio — original CRR basis, including claims on central banks (to 31 December 2021)</t>
        </is>
      </c>
      <c r="B29" s="6" t="n"/>
      <c r="C29" s="6" t="n"/>
      <c r="D29" s="6" t="n"/>
      <c r="E29" s="6" t="n"/>
      <c r="F29" s="6" t="n"/>
    </row>
    <row r="30">
      <c r="A30" s="6" t="inlineStr">
        <is>
          <t>13  (as footnoted in the FY2022 edition)    Total exposure measure, original CRR rules inclusive of claims on central banks (£m)</t>
        </is>
      </c>
      <c r="B30" s="6" t="n"/>
      <c r="C30" s="6" t="n"/>
      <c r="D30" s="6" t="n"/>
      <c r="E30" s="6" t="n"/>
      <c r="F30" s="6" t="n">
        <v>92034</v>
      </c>
    </row>
    <row r="31">
      <c r="A31" s="6" t="inlineStr">
        <is>
          <t>14  (as footnoted in the FY2022 edition)    Leverage ratio, original CRR rules inclusive of claims on central banks (%)</t>
        </is>
      </c>
      <c r="B31" s="6" t="n"/>
      <c r="C31" s="6" t="n"/>
      <c r="D31" s="6" t="n"/>
      <c r="E31" s="6" t="n"/>
      <c r="F31" s="6" t="inlineStr">
        <is>
          <t>3.5%</t>
        </is>
      </c>
    </row>
    <row r="32">
      <c r="A32" s="5" t="inlineStr">
        <is>
          <t>Additional leverage ratio disclosure requirements</t>
        </is>
      </c>
      <c r="B32" s="6" t="n"/>
      <c r="C32" s="6" t="n"/>
      <c r="D32" s="6" t="n"/>
      <c r="E32" s="6" t="n"/>
      <c r="F32" s="6" t="n"/>
    </row>
    <row r="33">
      <c r="A33" s="6" t="inlineStr">
        <is>
          <t>UK 14a  (LR2 UK-25a)    Fully loaded ECL accounting model leverage ratio excluding claims on central banks (%)</t>
        </is>
      </c>
      <c r="B33" s="6" t="inlineStr">
        <is>
          <t>8.4%</t>
        </is>
      </c>
      <c r="C33" s="6" t="inlineStr">
        <is>
          <t>4.5%</t>
        </is>
      </c>
      <c r="D33" s="6" t="inlineStr">
        <is>
          <t>4.7%</t>
        </is>
      </c>
      <c r="E33" s="6" t="n"/>
      <c r="F33" s="6" t="n"/>
    </row>
    <row r="34">
      <c r="A34" s="6" t="inlineStr">
        <is>
          <t>UK 14b  (LR2 UK-25c)    Leverage ratio including claims on central banks (%)</t>
        </is>
      </c>
      <c r="B34" s="6" t="inlineStr">
        <is>
          <t>6.9%</t>
        </is>
      </c>
      <c r="C34" s="6" t="inlineStr">
        <is>
          <t>3.6%</t>
        </is>
      </c>
      <c r="D34" s="6" t="inlineStr">
        <is>
          <t>3.7%</t>
        </is>
      </c>
      <c r="E34" s="6" t="n"/>
      <c r="F34" s="6" t="n"/>
    </row>
    <row r="35">
      <c r="A35" s="6" t="inlineStr">
        <is>
          <t>UK 14c  (LR2 UK-34)    Average leverage ratio excluding claims on central banks (%)</t>
        </is>
      </c>
      <c r="B35" s="6" t="inlineStr">
        <is>
          <t>8.1%</t>
        </is>
      </c>
      <c r="C35" s="6" t="inlineStr">
        <is>
          <t>4.4%</t>
        </is>
      </c>
      <c r="D35" s="6" t="inlineStr">
        <is>
          <t>4.9%</t>
        </is>
      </c>
      <c r="E35" s="6" t="n"/>
      <c r="F35" s="6" t="n"/>
    </row>
    <row r="36">
      <c r="A36" s="6" t="inlineStr">
        <is>
          <t>UK 14d  (LR2 UK-33)    Average leverage ratio including claims on central banks (%)</t>
        </is>
      </c>
      <c r="B36" s="6" t="inlineStr">
        <is>
          <t>6.6%</t>
        </is>
      </c>
      <c r="C36" s="6" t="inlineStr">
        <is>
          <t>3.5%</t>
        </is>
      </c>
      <c r="D36" s="6" t="inlineStr">
        <is>
          <t>3.9%</t>
        </is>
      </c>
      <c r="E36" s="6" t="n"/>
      <c r="F36" s="6" t="n"/>
    </row>
    <row r="37">
      <c r="A37" s="6" t="inlineStr">
        <is>
          <t>(LR2 UK-31)    Average total exposure measure including claims on central banks (£m)</t>
        </is>
      </c>
      <c r="B37" s="6" t="n">
        <v>108537</v>
      </c>
      <c r="C37" s="6" t="n">
        <v>101559</v>
      </c>
      <c r="D37" s="6" t="n"/>
      <c r="E37" s="6" t="n"/>
      <c r="F37" s="6" t="n"/>
    </row>
    <row r="38">
      <c r="A38" s="6" t="inlineStr">
        <is>
          <t>(LR2 UK-32)    Average total exposure measure excluding claims on central banks (£m)</t>
        </is>
      </c>
      <c r="B38" s="6" t="n">
        <v>88057</v>
      </c>
      <c r="C38" s="6" t="n">
        <v>81359</v>
      </c>
      <c r="D38" s="6" t="n"/>
      <c r="E38" s="6" t="n"/>
      <c r="F38" s="6" t="n"/>
    </row>
    <row r="39">
      <c r="A39" s="6" t="inlineStr">
        <is>
          <t>(LR2 27)    Leverage ratio buffer (%)</t>
        </is>
      </c>
      <c r="B39" s="6" t="inlineStr">
        <is>
          <t>0.3%</t>
        </is>
      </c>
      <c r="C39" s="6" t="inlineStr">
        <is>
          <t>0.3%</t>
        </is>
      </c>
      <c r="D39" s="6" t="n"/>
      <c r="E39" s="6" t="n"/>
      <c r="F39" s="6" t="n"/>
    </row>
    <row r="40">
      <c r="A40" s="6" t="inlineStr">
        <is>
          <t>UK 14e  (LR2 UK-27b)    Of which: countercyclical leverage ratio buffer (%)</t>
        </is>
      </c>
      <c r="B40" s="6" t="inlineStr">
        <is>
          <t>0.3%</t>
        </is>
      </c>
      <c r="C40" s="6" t="inlineStr">
        <is>
          <t>0.3%</t>
        </is>
      </c>
      <c r="D40" s="6" t="inlineStr">
        <is>
          <t>0.3%</t>
        </is>
      </c>
      <c r="E40" s="6" t="n"/>
      <c r="F40" s="6" t="n"/>
    </row>
    <row r="41">
      <c r="A41" s="5" t="inlineStr">
        <is>
          <t>Average Liquidity Coverage Ratio (weighted) (LCR)</t>
        </is>
      </c>
      <c r="B41" s="6" t="n"/>
      <c r="C41" s="6" t="n"/>
      <c r="D41" s="6" t="n"/>
      <c r="E41" s="6" t="n"/>
      <c r="F41" s="6" t="n"/>
    </row>
    <row r="42">
      <c r="A42" s="6" t="inlineStr">
        <is>
          <t>15    Total high-quality liquid assets (HQLA) (Weighted value - average) (£m)</t>
        </is>
      </c>
      <c r="B42" s="6" t="n">
        <v>26830</v>
      </c>
      <c r="C42" s="6" t="n">
        <v>26839</v>
      </c>
      <c r="D42" s="6" t="n">
        <v>27207</v>
      </c>
      <c r="E42" s="6" t="n">
        <v>23858</v>
      </c>
      <c r="F42" s="6" t="n"/>
    </row>
    <row r="43">
      <c r="A43" s="6" t="inlineStr">
        <is>
          <t>UK 16a    Cash outflows - Total weighted value - average (£m)</t>
        </is>
      </c>
      <c r="B43" s="6" t="n">
        <v>24667</v>
      </c>
      <c r="C43" s="6" t="n">
        <v>26051</v>
      </c>
      <c r="D43" s="6" t="n">
        <v>26741</v>
      </c>
      <c r="E43" s="6" t="n">
        <v>24799</v>
      </c>
      <c r="F43" s="6" t="n"/>
    </row>
    <row r="44">
      <c r="A44" s="6" t="inlineStr">
        <is>
          <t>UK 16b    Cash inflows - Total weighted value - average (£m)</t>
        </is>
      </c>
      <c r="B44" s="6" t="n">
        <v>8734</v>
      </c>
      <c r="C44" s="6" t="n">
        <v>10042</v>
      </c>
      <c r="D44" s="6" t="n">
        <v>10289</v>
      </c>
      <c r="E44" s="6" t="n">
        <v>10692</v>
      </c>
      <c r="F44" s="6" t="n"/>
    </row>
    <row r="45">
      <c r="A45" s="6" t="inlineStr">
        <is>
          <t>16    Total net cash outflows (adjusted value - average) (£m)</t>
        </is>
      </c>
      <c r="B45" s="6" t="n">
        <v>15933</v>
      </c>
      <c r="C45" s="6" t="n">
        <v>16009</v>
      </c>
      <c r="D45" s="6" t="n">
        <v>16452</v>
      </c>
      <c r="E45" s="6" t="n">
        <v>14107</v>
      </c>
      <c r="F45" s="6" t="n"/>
    </row>
    <row r="46">
      <c r="A46" s="6" t="inlineStr">
        <is>
          <t>17    Average liquidity coverage ratio (%)</t>
        </is>
      </c>
      <c r="B46" s="6" t="inlineStr">
        <is>
          <t>169%</t>
        </is>
      </c>
      <c r="C46" s="6" t="inlineStr">
        <is>
          <t>168%</t>
        </is>
      </c>
      <c r="D46" s="6" t="inlineStr">
        <is>
          <t>166%</t>
        </is>
      </c>
      <c r="E46" s="6" t="inlineStr">
        <is>
          <t>170%</t>
        </is>
      </c>
      <c r="F46" s="6" t="n"/>
    </row>
    <row r="47">
      <c r="A47" s="5" t="inlineStr">
        <is>
          <t>Average Net Stable Funding Ratio</t>
        </is>
      </c>
      <c r="B47" s="6" t="n"/>
      <c r="C47" s="6" t="n"/>
      <c r="D47" s="6" t="n"/>
      <c r="E47" s="6" t="n"/>
      <c r="F47" s="6" t="n"/>
    </row>
    <row r="48">
      <c r="A48" s="6" t="inlineStr">
        <is>
          <t>18    Total available stable funding (Weighted value - average) (£m)</t>
        </is>
      </c>
      <c r="B48" s="6" t="n">
        <v>31298</v>
      </c>
      <c r="C48" s="6" t="n">
        <v>26344</v>
      </c>
      <c r="D48" s="6" t="n">
        <v>28855</v>
      </c>
      <c r="E48" s="6" t="n"/>
      <c r="F48" s="6" t="n"/>
    </row>
    <row r="49">
      <c r="A49" s="6" t="inlineStr">
        <is>
          <t>19    Total required stable funding (Weighted value - average) (£m)</t>
        </is>
      </c>
      <c r="B49" s="6" t="n">
        <v>23500</v>
      </c>
      <c r="C49" s="6" t="n">
        <v>19111</v>
      </c>
      <c r="D49" s="6" t="n">
        <v>19891</v>
      </c>
      <c r="E49" s="6" t="n"/>
      <c r="F49" s="6" t="n"/>
    </row>
    <row r="50">
      <c r="A50" s="6" t="inlineStr">
        <is>
          <t>20    Average NSFR ratio (%)</t>
        </is>
      </c>
      <c r="B50" s="6" t="inlineStr">
        <is>
          <t>133%</t>
        </is>
      </c>
      <c r="C50" s="6" t="inlineStr">
        <is>
          <t>138%</t>
        </is>
      </c>
      <c r="D50" s="6" t="inlineStr">
        <is>
          <t>145%</t>
        </is>
      </c>
      <c r="E50" s="6" t="n"/>
      <c r="F50" s="6" t="n"/>
    </row>
    <row r="52" ht="409" customHeight="1">
      <c r="A52" s="8" t="inlineStr">
        <is>
          <t>Sources - Lloyds Bank Corporate Markets plc's own Year-End Pillar 3 Disclosures, 'KM1: Key Metrics' template, £m and % exactly as printed. Each year is taken from the edition in which it is the reporting year, never from a later edition's comparative, except FY2021 as explained below:
FY2025: 2025 Year-End Pillar 3 Disclosures, KM1, p.4 (column '31 Dec 2025') - https://www.lloydsbankinggroup.com/assets/pdfs/investors/financial-performance/lloyds-bank-corporate-markets-plc/2025/q4/2025-lbcm-fy-pillar-3.pdf
FY2024: 2024 Year-End Pillar 3 Disclosures, KM1, p.4 (column '31 Dec 2024') - https://www.lloydsbankinggroup.com/assets/pdfs/investors/financial-performance/lloyds-bank-corporate-markets-plc/2024/q4/2024-lbcm-fy-pillar-3.pdf
FY2023: 2023 Year-End Pillar 3 Disclosures, KM1, p.4 (column '31 Dec 2023') - https://www.lloydsbankinggroup.com/assets/pdfs/investors/financial-performance/lloyds-bank-corporate-markets-plc/2023/q4/2023-lbcm-fy-pillar-3.pdf
FY2022: 2022 Year-End Pillar 3 Disclosures, KM1, p.5 (column '31 Dec 2022') - https://www.lloydsbankinggroup.com/assets/pdfs/investors/financial-performance/lloyds-bank-corporate-markets-plc/2022/q4/2022-lbcm-fy-pillar-3.pdf
FY2021: the '31 Dec 2021' comparative column of the FY2022 edition above. The FY2021 edition's own key-metrics table is a DIFFERENT template - 'KM1: Comparison of institution's own funds and capital and leverage ratios with and without the application of transitional arrangements for IFRS 9 or analogous ECLs (IFRS9 - FL)', a 17-row IFRS9-FL table whose rows are CET1/Tier 1/Total capital and RWA with and without transitional relief plus three CRD IV leverage rows. It carries none of the SREP, buffer, LCR or NSFR rows of the UK template, so it cannot supply UK KM1 rows and is not treated as an unnumbered KM1: https://www.lloydsbankinggroup.com/assets/pdfs/investors/financial-performance/lloyds-bank-corporate-markets-plc/2021/2021-lbcm-fy-pillar3.pdf
  (Checked against images as well as text, because a KM1 table can be published as a bitmap inside an otherwise text-native PDF and then extract as nothing at all. `pdfimages -list` returns ZERO embedded images for all six LBCM year-end editions, FY2020 through FY2025, so no table in any of them can be hidden from text extraction, and the IFRS9-FL tables in the FY2020 and FY2021 editions do extract in full - 17 numbered rows and three columns each.)
FY2020: the FY2020 edition likewise prints only the IFRS9-FL template, so FY2020 has no UK KM1 source and its column is blank here - https://www.lloydsbankinggroup.com/assets/pdfs/investors/financial-performance/lloyds-bank-corporate-markets-plc/2020/2020-lbcm-fy-pillar-3.pdf
FY2019 and FY2018: blank. FY2019's Pillar 3 is an xlsx with 'Key Ratios'/'OV1' tabs rather than the UK KM1 template, and no standalone Pillar 3 report exists for FY2018 (LBCM's first year of trading) - verified against the Lloyds Banking Group Financial Downloads index below, whose LBCM 2018 folder contains an annual report, carve-out financial statements and a fixed-income presentation and no Pillar 3 document.
Index (live, re-checked 2026-09-16): https://www.lloydsbankinggroup.com/investors/financial-downloads.html
SOURCING NOTE, recorded because the underlying mistake generalises (see KM1-032). The Lloyds Banking Group Financial Downloads page returns a Cloudflare block (error 1007) to a plain automated fetch, and on an earlier build of a sibling workbook in this project that block was written down as a fact about the BANK - producing a false 'no standalone Pillar 3 document is published for this entity' claim. A block is a fact about our reach, not about the bank. Re-fetched 2026-09-16 with an ordinary browser User-Agent, the page loads normally and carries 129 Pillar 3 PDFs, 41 of them LBCM's own (full-year, half-year and quarterly, 2019 through 2026). No such false claim was present in this LBCM script - its URLs were already correct - and every one of the six full-year Pillar 3 PDFs was re-downloaded and verified on 2026-09-16 (HTTP 200, Content-Type application/pdf, %PDF magic bytes).
KM1 presentation notes:
• THREE COLUMNS PER EDITION (31 Dec, 30 Jun, 31 Dec prior). Only the year-end columns are carried here; the 30-Jun half-year columns are half-year positions and appear on the Interim Pillar 3 sheet instead.
• A DOUBLE REFERENCE COLUMN. Each row carries both a 'KM1 Ref' and an 'LR2 Ref', because the table embeds extracts of LR2 (Leverage ratio common disclosure) required to be disclosed quarterly. Rows UK-31, UK-32 and 27 have an LR2 reference and no KM1 number at all; they are kept and labelled by their LR2 reference because the Bank prints them inside its KM1.
• THE 1 JANUARY 2022 LEVERAGE BASIS BREAK is stated by the Bank itself. The FY2022 edition footnotes rows 13/14: 'The leverage exposure measure and ratios reported for 31 December 2021 have been calculated under the original CRR leverage rules, inclusive of claims on central banks.' The two bases are shown as two separate blocks above and are never merged into one series.</t>
        </is>
      </c>
    </row>
    <row r="54" ht="409" customHeight="1">
      <c r="A54" s="8" t="inlineStr">
        <is>
          <t>(continued)
• PRECISION DRIFT ALONG ROWS 8, 9 AND 11. The FY2022 and FY2023 editions print three decimals ('2.500%', '0.506%', '3.006%'); the FY2024 and FY2025 editions print one ('2.5%', '1.0%', '3.5%'). Each cell is from its own year's edition, so the precision varies along the row. The FY2022 edition additionally prints its countercyclical buffer figures with a space before the per-cent sign ('0.046 %', '0.029 %'); that spacing is not reproducible in a spreadsheet cell and is recorded here instead.
• ROW 10a (Other Systemically Important Institution buffer) IS PRINTED ONLY IN THE FY2022 EDITION, and printed there as an em dash in all three of its columns. A dash is not a zero, so the row is kept and left blank.
• ROW SETS DRIFT. The FY2022 edition's KM1 stops at row 17 - it has no 14a-14e leverage block and no NSFR block at all - and its 31 Dec 2021 column is empty for the whole LCR block. The FY2023 edition adds 14a-14e but has no UK-31/UK-32/27 rows and captions UK 14e 'Countercyclical leverage ratio buffer (%)' where the FY2024 and FY2025 editions caption it 'Of which: countercyclical leverage ratio buffer (%)'. Every blank above is a row-and-column the Bank did not print, not a row this project failed to find.
• KNOWN DIVERGENCE FROM THE NSFR METRIC SHEET, kept deliberately. Row 20 is blank for FY2022 here because the FY2022 edition prints no NSFR block, while the NSFR metric sheet carries 137% for FY2022 recovered from the FY2023 edition's comparative column. KM1 reproduces one edition's printed table; the metric sheet is a best-available time series. Neither figure is wrong and neither has been adjusted to match the other.
• NO ARTICLE 432 LIQUIDITY EXCLUSION HERE. Unlike its sister entity Bank of Scotland plc, whose Appendix 1 excludes LIQ1/LIQ2/LIQA/LIQB because 'Liquidity is managed at a Lloyds Bank Liquidity Sub-Group level', LBCM's own 'Appendix 1: Excluded templates' lists only INS1, INS2, CR2a, CQ2, CQ6, CQ7, CQ8, CR7, CR10.3, CR10.4, CR10.5 and CCR7 - no liquidity template - and LBCM prints rows 15-20 itself.
• DASHES: the Bank states in its basis of preparation that 'de minimis monetary amounts (&lt;£0.5 million) are rounded down for reporting purposes and disclosed as a dash', so a dash in these documents is a rounded-down small amount rather than an inapplicable requirement. Row 10a's em dashes are the only dashes falling in the rows above.
• ENTITY AND BASIS: every edition prints the template exactly once, headed 'This document presents the Pillar 3 disclosures of Lloyds Bank Corporate Markets plc ("the Bank")'. There is no second solo-beside-consolidated printing to confuse it with, and the figures tie exactly to the 'Capital resources of the Bank' table in the matching Annual Report (FY2025: CET1 £3,085m, RWAs £22,442m in both).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t>
        </is>
      </c>
    </row>
  </sheetData>
  <mergeCells count="2">
    <mergeCell ref="A54:F54"/>
    <mergeCell ref="A52:F5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CET1 Capital</t>
        </is>
      </c>
      <c r="B4" s="6" t="n">
        <v>3085</v>
      </c>
      <c r="C4" s="6" t="n">
        <v>2797</v>
      </c>
      <c r="D4" s="6" t="n">
        <v>2725</v>
      </c>
      <c r="E4" s="6" t="n">
        <v>2948</v>
      </c>
      <c r="F4" s="6" t="n">
        <v>2423</v>
      </c>
      <c r="G4" s="6" t="n">
        <v>2462</v>
      </c>
      <c r="H4" s="6" t="n">
        <v>2331</v>
      </c>
      <c r="I4" s="6" t="n">
        <v>2723</v>
      </c>
    </row>
    <row r="6" ht="299" customHeight="1">
      <c r="A6"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6:I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CET1 Ratio</t>
        </is>
      </c>
      <c r="B4" s="6" t="inlineStr">
        <is>
          <t>13.7%</t>
        </is>
      </c>
      <c r="C4" s="6" t="inlineStr">
        <is>
          <t>13.6%</t>
        </is>
      </c>
      <c r="D4" s="6" t="inlineStr">
        <is>
          <t>13.3%</t>
        </is>
      </c>
      <c r="E4" s="6" t="inlineStr">
        <is>
          <t>14.6%</t>
        </is>
      </c>
      <c r="F4" s="6" t="inlineStr">
        <is>
          <t>13.1%</t>
        </is>
      </c>
      <c r="G4" s="6" t="inlineStr">
        <is>
          <t>14.8%</t>
        </is>
      </c>
      <c r="H4" s="6" t="inlineStr">
        <is>
          <t>14.0%</t>
        </is>
      </c>
      <c r="I4" s="6" t="inlineStr">
        <is>
          <t>13.7%</t>
        </is>
      </c>
    </row>
    <row r="6" ht="299" customHeight="1">
      <c r="A6"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7137</v>
      </c>
      <c r="C4" s="6" t="n">
        <v>3580</v>
      </c>
      <c r="D4" s="6" t="n">
        <v>3508</v>
      </c>
      <c r="E4" s="6" t="n">
        <v>3705</v>
      </c>
      <c r="F4" s="6" t="n">
        <v>3180</v>
      </c>
      <c r="G4" s="6" t="n">
        <v>3219</v>
      </c>
      <c r="H4" s="6" t="n">
        <v>3088</v>
      </c>
      <c r="I4" s="6" t="n">
        <v>3480</v>
      </c>
    </row>
    <row r="6" ht="299" customHeight="1">
      <c r="A6"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6:I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31.8%</t>
        </is>
      </c>
      <c r="C4" s="6" t="inlineStr">
        <is>
          <t>17.4%</t>
        </is>
      </c>
      <c r="D4" s="6" t="inlineStr">
        <is>
          <t>17.1%</t>
        </is>
      </c>
      <c r="E4" s="6" t="inlineStr">
        <is>
          <t>18.3%</t>
        </is>
      </c>
      <c r="F4" s="6" t="inlineStr">
        <is>
          <t>17.2%</t>
        </is>
      </c>
      <c r="G4" s="6" t="inlineStr">
        <is>
          <t>19.4%</t>
        </is>
      </c>
      <c r="H4" s="6" t="inlineStr">
        <is>
          <t>18.6%</t>
        </is>
      </c>
      <c r="I4" s="6" t="inlineStr">
        <is>
          <t>17.5%</t>
        </is>
      </c>
    </row>
    <row r="6" ht="299" customHeight="1">
      <c r="A6"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6:I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7137</v>
      </c>
      <c r="C4" s="6" t="n">
        <v>4171</v>
      </c>
      <c r="D4" s="6" t="n">
        <v>4109</v>
      </c>
      <c r="E4" s="6" t="n">
        <v>4285</v>
      </c>
      <c r="F4" s="6" t="n">
        <v>3709</v>
      </c>
      <c r="G4" s="6" t="n">
        <v>3745</v>
      </c>
      <c r="H4" s="6" t="n">
        <v>3733</v>
      </c>
      <c r="I4" s="6" t="n">
        <v>4152</v>
      </c>
    </row>
    <row r="6" ht="299" customHeight="1">
      <c r="A6"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6:I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31.8%</t>
        </is>
      </c>
      <c r="C4" s="6" t="inlineStr">
        <is>
          <t>20.2%</t>
        </is>
      </c>
      <c r="D4" s="6" t="inlineStr">
        <is>
          <t>20.1%</t>
        </is>
      </c>
      <c r="E4" s="6" t="inlineStr">
        <is>
          <t>21.2%</t>
        </is>
      </c>
      <c r="F4" s="6" t="inlineStr">
        <is>
          <t>20.1%</t>
        </is>
      </c>
      <c r="G4" s="6" t="inlineStr">
        <is>
          <t>22.5%</t>
        </is>
      </c>
      <c r="H4" s="6" t="inlineStr">
        <is>
          <t>22.5%</t>
        </is>
      </c>
      <c r="I4" s="6" t="inlineStr">
        <is>
          <t>20.9%</t>
        </is>
      </c>
    </row>
    <row r="5" ht="30" customHeight="1">
      <c r="A5" s="7" t="inlineStr">
        <is>
          <t>Note: FY2019 and FY2020 both round to 22.5% (FY2019: 22.47%; FY2020: 22.53%) on each year's own-report figures — a genuine coincidence, not a transcription error.</t>
        </is>
      </c>
    </row>
    <row r="7" ht="299" customHeight="1">
      <c r="A7"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2">
    <mergeCell ref="A5:I5"/>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RWAs</t>
        </is>
      </c>
      <c r="B4" s="6" t="n">
        <v>22442</v>
      </c>
      <c r="C4" s="6" t="n">
        <v>20605</v>
      </c>
      <c r="D4" s="6" t="n">
        <v>20492</v>
      </c>
      <c r="E4" s="6" t="n">
        <v>20195</v>
      </c>
      <c r="F4" s="6" t="n">
        <v>18436</v>
      </c>
      <c r="G4" s="6" t="n">
        <v>16610</v>
      </c>
      <c r="H4" s="6" t="n">
        <v>16620</v>
      </c>
      <c r="I4" s="6" t="n">
        <v>19868</v>
      </c>
    </row>
    <row r="6" ht="299" customHeight="1">
      <c r="A6"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RWA Breakdown</t>
        </is>
      </c>
    </row>
    <row r="2">
      <c r="A2" s="2" t="inlineStr">
        <is>
          <t>Bank (solo) basis for FY2020-FY2025 (Pillar 3 OV1 template, top-level risk-type categories). FY2019 is Group/consolidated basis (own document's own terminology - see FLOOR NOTE / P3 source labels), same OV1 template. FY2018 is Group basis, mapped from the Annual Report's own Strategic Report Table 2 (a differently-structured, pre-OV1-template RWA table): its 'Counterparty credit risk' row here combines that table's three separate rows 'Counterparty credit risk' (£3,389m) + 'Contributions to the default fund of a central counterparty' (£193m) + 'Credit valuation adjustment risk' (£397m) = £3,979m, matching how those three components are nested inside the single 'Counterparty credit risk' OV1 row in FY2019 onward. FY2018 had no disclosed securitisation RWA category at all (blank, not zero) - all 6 rows shown (excluding securitisation) sum exactly to FY2018's own disclosed Total RWA of £19,868m.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6" t="inlineStr">
        <is>
          <t>Credit risk (excluding CCR)</t>
        </is>
      </c>
      <c r="B4" s="6" t="n">
        <v>11261</v>
      </c>
      <c r="C4" s="6" t="n">
        <v>9582</v>
      </c>
      <c r="D4" s="6" t="n">
        <v>9483</v>
      </c>
      <c r="E4" s="6" t="n">
        <v>10119</v>
      </c>
      <c r="F4" s="6" t="n">
        <v>9026</v>
      </c>
      <c r="G4" s="6" t="n">
        <v>8236</v>
      </c>
      <c r="H4" s="6" t="n">
        <v>9544</v>
      </c>
      <c r="I4" s="6" t="n">
        <v>12890</v>
      </c>
    </row>
    <row r="5">
      <c r="A5" s="6" t="inlineStr">
        <is>
          <t>Counterparty credit risk (CCR)</t>
        </is>
      </c>
      <c r="B5" s="6" t="n">
        <v>5675</v>
      </c>
      <c r="C5" s="6" t="n">
        <v>5828</v>
      </c>
      <c r="D5" s="6" t="n">
        <v>5380</v>
      </c>
      <c r="E5" s="6" t="n">
        <v>5515</v>
      </c>
      <c r="F5" s="6" t="n">
        <v>4621</v>
      </c>
      <c r="G5" s="6" t="n">
        <v>4272</v>
      </c>
      <c r="H5" s="6" t="n">
        <v>3779</v>
      </c>
      <c r="I5" s="6" t="n">
        <v>3979</v>
      </c>
    </row>
    <row r="6">
      <c r="A6" s="6" t="inlineStr">
        <is>
          <t>Securitisation exposures in the non-trading/banking book (after the cap)</t>
        </is>
      </c>
      <c r="B6" s="6" t="n">
        <v>541</v>
      </c>
      <c r="C6" s="6" t="n">
        <v>531</v>
      </c>
      <c r="D6" s="6" t="n">
        <v>544</v>
      </c>
      <c r="E6" s="6" t="n">
        <v>498</v>
      </c>
      <c r="F6" s="6" t="n">
        <v>446</v>
      </c>
      <c r="G6" s="6" t="n">
        <v>558</v>
      </c>
      <c r="H6" s="6" t="n">
        <v>504</v>
      </c>
      <c r="I6" s="6" t="n"/>
    </row>
    <row r="7">
      <c r="A7" s="6" t="inlineStr">
        <is>
          <t>Position, foreign exchange and commodities risks (Market risk)</t>
        </is>
      </c>
      <c r="B7" s="6" t="n">
        <v>3667</v>
      </c>
      <c r="C7" s="6" t="n">
        <v>3422</v>
      </c>
      <c r="D7" s="6" t="n">
        <v>3923</v>
      </c>
      <c r="E7" s="6" t="n">
        <v>3133</v>
      </c>
      <c r="F7" s="6" t="n">
        <v>2933</v>
      </c>
      <c r="G7" s="6" t="n">
        <v>1982</v>
      </c>
      <c r="H7" s="6" t="n">
        <v>1588</v>
      </c>
      <c r="I7" s="6" t="n">
        <v>1607</v>
      </c>
    </row>
    <row r="8">
      <c r="A8" s="6" t="inlineStr">
        <is>
          <t>Operational risk</t>
        </is>
      </c>
      <c r="B8" s="6" t="n">
        <v>1298</v>
      </c>
      <c r="C8" s="6" t="n">
        <v>1242</v>
      </c>
      <c r="D8" s="6" t="n">
        <v>1162</v>
      </c>
      <c r="E8" s="6" t="n">
        <v>930</v>
      </c>
      <c r="F8" s="6" t="n">
        <v>855</v>
      </c>
      <c r="G8" s="6" t="n">
        <v>952</v>
      </c>
      <c r="H8" s="6" t="n">
        <v>1189</v>
      </c>
      <c r="I8" s="6" t="n">
        <v>1378</v>
      </c>
    </row>
    <row r="9">
      <c r="A9" s="6" t="inlineStr">
        <is>
          <t>Memo: Amounts below the thresholds for deduction (subject to 250% risk weight)</t>
        </is>
      </c>
      <c r="B9" s="6" t="n">
        <v>398</v>
      </c>
      <c r="C9" s="6" t="n">
        <v>458</v>
      </c>
      <c r="D9" s="6" t="n">
        <v>490</v>
      </c>
      <c r="E9" s="6" t="n">
        <v>509</v>
      </c>
      <c r="F9" s="6" t="n">
        <v>555</v>
      </c>
      <c r="G9" s="6" t="n">
        <v>610</v>
      </c>
      <c r="H9" s="6" t="n">
        <v>16</v>
      </c>
      <c r="I9" s="6" t="n">
        <v>14</v>
      </c>
    </row>
    <row r="10">
      <c r="A10" s="5" t="inlineStr">
        <is>
          <t>Total</t>
        </is>
      </c>
      <c r="B10" s="5" t="n">
        <v>22442</v>
      </c>
      <c r="C10" s="5" t="n">
        <v>20605</v>
      </c>
      <c r="D10" s="5" t="n">
        <v>20492</v>
      </c>
      <c r="E10" s="5" t="n">
        <v>20195</v>
      </c>
      <c r="F10" s="5" t="n">
        <v>18436</v>
      </c>
      <c r="G10" s="5" t="n">
        <v>16610</v>
      </c>
      <c r="H10" s="5" t="n">
        <v>16620</v>
      </c>
      <c r="I10" s="5" t="n">
        <v>19868</v>
      </c>
    </row>
    <row r="12" ht="220" customHeight="1">
      <c r="A12"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1">
    <mergeCell ref="A12:I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Corporate Markets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 - FY2022 onward excluding claims on central banks; FY2019-FY2021 original CRR basis, inclusive of them; see note</t>
        </is>
      </c>
      <c r="B4" s="6" t="inlineStr">
        <is>
          <t>8.4%</t>
        </is>
      </c>
      <c r="C4" s="6" t="inlineStr">
        <is>
          <t>4.5%</t>
        </is>
      </c>
      <c r="D4" s="6" t="inlineStr">
        <is>
          <t>4.7%</t>
        </is>
      </c>
      <c r="E4" s="6" t="inlineStr">
        <is>
          <t>5.4%</t>
        </is>
      </c>
      <c r="F4" s="6" t="inlineStr">
        <is>
          <t>3.5%</t>
        </is>
      </c>
      <c r="G4" s="6" t="inlineStr">
        <is>
          <t>3.7%</t>
        </is>
      </c>
      <c r="H4" s="6" t="inlineStr">
        <is>
          <t>3.8%</t>
        </is>
      </c>
    </row>
    <row r="5" ht="39" customHeight="1">
      <c r="A5" s="7" t="inlineStr">
        <is>
          <t>Note: FY2021's 3.5% is on the original CRR basis (inclusive of claims on central banks), explicitly confirmed by a footnote in the FY2022 Pillar 3 report. FY2022 onward are 'excluding claims on central banks' under the revised basis — a genuine methodology break, not a data error. FY2020's 3.7% and FY2019's 3.8% are each year's own-report figure (CRD IV leverage ratio, on the same inclusive-of-central-banks basis as FY2021). FY2018 disclosed no leverage ratio at all — genuinely absent from that year's Annual Report Strategic Report (its Table 1/Table 2 capital disclosure covers CET1/Tier 1/Total capital and RWAs only, not leverage).</t>
        </is>
      </c>
    </row>
    <row r="7" ht="312" customHeight="1">
      <c r="A7"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2">
    <mergeCell ref="A7:H7"/>
    <mergeCell ref="A5:H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s>
  <sheetData>
    <row r="1">
      <c r="A1" s="1" t="inlineStr">
        <is>
          <t>Lloyds Bank Corporate Markets plc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LCR</t>
        </is>
      </c>
      <c r="B4" s="6" t="inlineStr">
        <is>
          <t>169%</t>
        </is>
      </c>
      <c r="C4" s="6" t="inlineStr">
        <is>
          <t>168%</t>
        </is>
      </c>
      <c r="D4" s="6" t="inlineStr">
        <is>
          <t>166%</t>
        </is>
      </c>
      <c r="E4" s="6" t="inlineStr">
        <is>
          <t>170%</t>
        </is>
      </c>
    </row>
    <row r="5" ht="30" customHeight="1">
      <c r="A5" s="7" t="inlineStr">
        <is>
          <t>Note: FY2021 LCR was not disclosed at all in that year's Pillar 3 report — genuinely absent, not an access gap. FY2018-FY2020 likewise disclose no LCR at all — confirmed absent from each year's own source.</t>
        </is>
      </c>
    </row>
    <row r="7" ht="364" customHeight="1">
      <c r="A7"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2">
    <mergeCell ref="A5:E5"/>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s>
  <sheetData>
    <row r="1">
      <c r="A1" s="1" t="inlineStr">
        <is>
          <t>Lloyds Bank Corporate Markets plc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NSFR</t>
        </is>
      </c>
      <c r="B4" s="6" t="inlineStr">
        <is>
          <t>133%</t>
        </is>
      </c>
      <c r="C4" s="6" t="inlineStr">
        <is>
          <t>138%</t>
        </is>
      </c>
      <c r="D4" s="6" t="inlineStr">
        <is>
          <t>145%</t>
        </is>
      </c>
      <c r="E4" s="6" t="inlineStr">
        <is>
          <t>137%</t>
        </is>
      </c>
    </row>
    <row r="5" ht="52" customHeight="1">
      <c r="A5" s="7" t="inlineStr">
        <is>
          <t>Note: FY2021 NSFR was not disclosed at all in that year's Pillar 3 report (the metric predates this entity's KM1 template). FY2022's 137% was not shown in FY2022's own report either — recovered from FY2023's own report's FY2022 comparative column, per this project's standard convention for a metric a bank starts disclosing only in a later year. FY2018-FY2020 likewise disclose no NSFR at all — confirmed absent from each year's own Pillar 3 report/xlsx (or, for FY2018, the Annual Report's own capital disclosure).</t>
        </is>
      </c>
    </row>
    <row r="7" ht="364" customHeight="1">
      <c r="A7"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2">
    <mergeCell ref="A5:E5"/>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Corporate Markets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Ratio</t>
        </is>
      </c>
      <c r="B4" s="6" t="inlineStr">
        <is>
          <t>Not published – no LBCM MREL ratio in its own Pillar 3/annual report or in LBG plc's Pillar 3, which prints at most TLAC2 creditor-ranking amounts for LBCM (FY2019 on) and a Group MREL ratio (searched 2026-09-19)</t>
        </is>
      </c>
      <c r="C4" s="6" t="inlineStr">
        <is>
          <t>Not published – no LBCM MREL ratio in its own Pillar 3/annual report or in LBG plc's Pillar 3, which prints at most TLAC2 creditor-ranking amounts for LBCM (FY2019 on) and a Group MREL ratio (searched 2026-09-19)</t>
        </is>
      </c>
      <c r="D4" s="6" t="inlineStr">
        <is>
          <t>Not published – no LBCM MREL ratio in its own Pillar 3/annual report or in LBG plc's Pillar 3, which prints at most TLAC2 creditor-ranking amounts for LBCM (FY2019 on) and a Group MREL ratio (searched 2026-09-19)</t>
        </is>
      </c>
      <c r="E4" s="6" t="inlineStr">
        <is>
          <t>Not published – no LBCM MREL ratio in its own Pillar 3/annual report or in LBG plc's Pillar 3, which prints at most TLAC2 creditor-ranking amounts for LBCM (FY2019 on) and a Group MREL ratio (searched 2026-09-19)</t>
        </is>
      </c>
      <c r="F4" s="6" t="inlineStr">
        <is>
          <t>Not published – no LBCM MREL ratio in its own Pillar 3/annual report or in LBG plc's Pillar 3, which prints at most TLAC2 creditor-ranking amounts for LBCM (FY2019 on) and a Group MREL ratio (searched 2026-09-19)</t>
        </is>
      </c>
      <c r="G4" s="6" t="inlineStr">
        <is>
          <t>Not published – no LBCM MREL ratio in its own Pillar 3/annual report or in LBG plc's Pillar 3, which prints at most TLAC2 creditor-ranking amounts for LBCM (FY2019 on) and a Group MREL ratio (searched 2026-09-19)</t>
        </is>
      </c>
      <c r="H4" s="6" t="inlineStr">
        <is>
          <t>Not published – no LBCM MREL ratio in its own Pillar 3/annual report or in LBG plc's Pillar 3, which prints at most TLAC2 creditor-ranking amounts for LBCM (FY2019 on) and a Group MREL ratio (searched 2026-09-19)</t>
        </is>
      </c>
      <c r="I4" s="6" t="inlineStr">
        <is>
          <t>Not published – no LBCM MREL ratio in its own Pillar 3/annual report or in LBG plc's Pillar 3, which prints at most TLAC2 creditor-ranking amounts for LBCM (FY2019 on) and a Group MREL ratio (searched 2026-09-19)</t>
        </is>
      </c>
    </row>
    <row r="5" ht="30" customHeight="1">
      <c r="A5" s="7" t="inlineStr">
        <is>
          <t>Note: Each year's own Pillar 3 report explicitly states MREL disclosures for this entity are made via Template TLAC 2 within Lloyds Banking Group plc's own consolidated Pillar 3 disclosures, not at this solo entity level — the same not-a-resolution-entity pattern seen at RBS plc/Coutts &amp; Company/several HSBC ring-fenced subsidiaries in this project. Group-level MREL figures are not substituted here.</t>
        </is>
      </c>
    </row>
    <row r="7" ht="299" customHeight="1">
      <c r="A7" s="8" t="inlineStr">
        <is>
          <t>FY2025: Lloyds Bank Corporate Markets plc Year-End Pillar 3 disclosure, KM1 Key Metrics (Bank-level), p.4 — https://www.lloydsbankinggroup.com/assets/pdfs/investors/financial-performance/lloyds-bank-corporate-markets-plc/2025/q4/2025-lbcm-fy-pillar-3.pdf
FY2024: Lloyds Bank Corporate Markets plc Year-End Pillar 3 disclosure, KM1 Key Metrics (Bank-level), p.4 — https://www.lloydsbankinggroup.com/assets/pdfs/investors/financial-performance/lloyds-bank-corporate-markets-plc/2024/q4/2024-lbcm-fy-pillar-3.pdf
FY2023: Lloyds Bank Corporate Markets plc Year-End Pillar 3 disclosure, KM1 Key Metrics (Bank-level), p.4 — https://www.lloydsbankinggroup.com/assets/pdfs/investors/financial-performance/lloyds-bank-corporate-markets-plc/2023/q4/2023-lbcm-fy-pillar-3.pdf
FY2022: Lloyds Bank Corporate Markets plc Year-End Pillar 3 disclosure, KM1 Key Metrics (Bank-level), p.5 — https://www.lloydsbankinggroup.com/assets/pdfs/investors/financial-performance/lloyds-bank-corporate-markets-plc/2022/q4/2022-lbcm-fy-pillar-3.pdf
FY2021: Lloyds Bank Corporate Markets plc Year-End Pillar 3 disclosure, KM1 Key Metrics (Bank-level), p.5 — https://www.lloydsbankinggroup.com/assets/pdfs/investors/financial-performance/lloyds-bank-corporate-markets-plc/2021/2021-lbcm-fy-pillar3.pdf
FY2020: Lloyds Bank Corporate Markets plc Year-End Pillar 3 disclosure, KM1 Key Metrics (Bank-level), p.5 — https://www.lloydsbankinggroup.com/assets/pdfs/investors/financial-performance/lloyds-bank-corporate-markets-plc/2020/2020-lbcm-fy-pillar-3.pdf
FY2019: Lloyds Bank Corporate Markets plc Year-End Pillar 3 disclosure (xlsx), 'Key Ratios'/'OV1' tabs — KM1 Key Metrics, disclosed on a Group/consolidated basis (own document labels the entity 'the Group', unlike FY2020 onward's 'the Bank'), 'Key Ratios'/'OV1' tabs — https://www.lloydsbankinggroup.com/assets/pdfs/investors/financial-performance/lloyds-bank-corporate-markets-plc/2019/2019-lbcm-pillar-3-report-v2.xlsx
FY2018: Lloyds Bank Corporate Markets plc Annual Report and Accounts, Strategic Report Table 1 (Capital resources)/Table 2 (Risk-weighted assets) — Group basis; no standalone Pillar 3 report was published for FY2018, LBCM's first year of trading, p.4 — https://www.lloydsbankinggroup.com/assets/pdfs/investors/financial-performance/lloyds-bank-corporate-markets-plc/2018/2018-lbcm-annual-report-v2.pdf
Entity: Lloyds Bank Corporate Markets plc, company number 10399850, FRN 763256, LEI 213800MBWEIJDM5CU638. Companies House confirms the active bank company. This is the non-ring-fenced wholesale/markets entity created as part of Lloyds Banking Group's 2018 ring-fencing restructuring, DISTINCT from the ring-fenced Lloyds Bank plc (FRN 119278, built separately as 'LLOYDS BANK FINANCIALS.xlsx'). All figures below are the Bank (solo) column, not the Group consolidated column also shown in each source document.
FLOOR NOTE: FY2018 is the entity's genuine floor, not FY2016. Companies House confirms incorporation on 28 September 2016 as a dormant shelf company ('25 Gresham Finance Limited', renamed Lloyds Bank Corporate Markets plc 21 April 2017), which did not trade in 2016 or 2017 - the Bank's own FY2018 Annual Report states explicitly 'No comparative information is presented as the Group did not trade in the prior period' and its own FY2017 balance sheet shows only £20m of share capital and £20m cash, nothing else. Substantive trading began only when LBCM went live as the non-ring-fenced bank of Lloyds Banking Group via a staggered business transfer between May and December 2018.
Companies House — https://find-and-update.company-information.service.gov.uk/company/10399850</t>
        </is>
      </c>
    </row>
  </sheetData>
  <mergeCells count="2">
    <mergeCell ref="A5:I5"/>
    <mergeCell ref="A7:I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3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Lloyds Bank Corporate Markets plc — Interim Pillar 3</t>
        </is>
      </c>
    </row>
    <row r="2">
      <c r="A2" s="2" t="inlineStr">
        <is>
          <t>Quarterly and half-year disclosures, 2022–2025 (Bank solo basis)</t>
        </is>
      </c>
    </row>
    <row r="3"/>
    <row r="4">
      <c r="A4" s="4" t="inlineStr">
        <is>
          <t>Metric</t>
        </is>
      </c>
      <c r="B4" s="4" t="inlineStr">
        <is>
          <t>Unit</t>
        </is>
      </c>
      <c r="C4" s="4" t="inlineStr">
        <is>
          <t>Basis</t>
        </is>
      </c>
      <c r="D4" s="4" t="inlineStr">
        <is>
          <t>2025-Q1</t>
        </is>
      </c>
      <c r="E4" s="4" t="inlineStr">
        <is>
          <t>2025-H1</t>
        </is>
      </c>
      <c r="F4" s="4" t="inlineStr">
        <is>
          <t>2025-Q3</t>
        </is>
      </c>
      <c r="G4" s="4" t="inlineStr">
        <is>
          <t>2024-Q1</t>
        </is>
      </c>
      <c r="H4" s="4" t="inlineStr">
        <is>
          <t>2024-H1</t>
        </is>
      </c>
      <c r="I4" s="4" t="inlineStr">
        <is>
          <t>2024-Q3</t>
        </is>
      </c>
      <c r="J4" s="4" t="inlineStr">
        <is>
          <t>2023-Q1</t>
        </is>
      </c>
      <c r="K4" s="4" t="inlineStr">
        <is>
          <t>2023-H1</t>
        </is>
      </c>
      <c r="L4" s="4" t="inlineStr">
        <is>
          <t>2023-Q3</t>
        </is>
      </c>
      <c r="M4" s="4" t="inlineStr">
        <is>
          <t>2022-Q1</t>
        </is>
      </c>
      <c r="N4" s="4" t="inlineStr">
        <is>
          <t>2022-H1</t>
        </is>
      </c>
      <c r="O4" s="4" t="inlineStr">
        <is>
          <t>2022-Q3</t>
        </is>
      </c>
    </row>
    <row r="5">
      <c r="A5" s="6" t="inlineStr">
        <is>
          <t>Total risk-weighted exposure amount</t>
        </is>
      </c>
      <c r="B5" s="6" t="inlineStr">
        <is>
          <t>£m</t>
        </is>
      </c>
      <c r="C5" s="6" t="inlineStr">
        <is>
          <t>Lloyds Bank Corporate Markets plc Bank (solo) basis</t>
        </is>
      </c>
      <c r="D5" s="9" t="n">
        <v>21775</v>
      </c>
      <c r="E5" s="9" t="n">
        <v>22419</v>
      </c>
      <c r="F5" s="9" t="n">
        <v>23391</v>
      </c>
      <c r="G5" s="9" t="n">
        <v>20805</v>
      </c>
      <c r="H5" s="9" t="n">
        <v>21204</v>
      </c>
      <c r="I5" s="9" t="n">
        <v>21229</v>
      </c>
      <c r="J5" s="9" t="n">
        <v>20597</v>
      </c>
      <c r="K5" s="9" t="n">
        <v>21079</v>
      </c>
      <c r="L5" s="9" t="n">
        <v>21460</v>
      </c>
      <c r="M5" s="9" t="n">
        <v>20326</v>
      </c>
      <c r="N5" s="9" t="n">
        <v>20572</v>
      </c>
      <c r="O5" s="9" t="n">
        <v>22093</v>
      </c>
    </row>
    <row r="6">
      <c r="A6" s="6" t="inlineStr">
        <is>
          <t>Total exposure measure excluding claims on central banks</t>
        </is>
      </c>
      <c r="B6" s="6" t="inlineStr">
        <is>
          <t>£m</t>
        </is>
      </c>
      <c r="C6" s="6" t="inlineStr">
        <is>
          <t>Lloyds Bank Corporate Markets plc Bank (solo) basis</t>
        </is>
      </c>
      <c r="D6" s="9" t="n">
        <v>81263</v>
      </c>
      <c r="E6" s="9" t="n">
        <v>84779</v>
      </c>
      <c r="F6" s="9" t="n">
        <v>86981</v>
      </c>
      <c r="G6" s="9" t="n">
        <v>76908</v>
      </c>
      <c r="H6" s="9" t="n">
        <v>78930</v>
      </c>
      <c r="I6" s="9" t="n">
        <v>79004</v>
      </c>
      <c r="J6" s="9" t="n">
        <v>75981</v>
      </c>
      <c r="K6" s="9" t="n">
        <v>76243</v>
      </c>
      <c r="L6" s="9" t="n">
        <v>80485</v>
      </c>
      <c r="M6" s="6" t="n"/>
      <c r="N6" s="9" t="n">
        <v>74898</v>
      </c>
      <c r="O6" s="6" t="n"/>
    </row>
    <row r="7">
      <c r="A7" s="6" t="inlineStr">
        <is>
          <t>Leverage ratio excluding claims on central banks</t>
        </is>
      </c>
      <c r="B7" s="6" t="inlineStr">
        <is>
          <t>%</t>
        </is>
      </c>
      <c r="C7" s="6" t="inlineStr">
        <is>
          <t>Lloyds Bank Corporate Markets plc Bank (solo) basis</t>
        </is>
      </c>
      <c r="D7" s="9" t="inlineStr">
        <is>
          <t>4.4%</t>
        </is>
      </c>
      <c r="E7" s="9" t="inlineStr">
        <is>
          <t>8.2%</t>
        </is>
      </c>
      <c r="F7" s="9" t="inlineStr">
        <is>
          <t>8.0%</t>
        </is>
      </c>
      <c r="G7" s="9" t="inlineStr">
        <is>
          <t>4.6%</t>
        </is>
      </c>
      <c r="H7" s="9" t="inlineStr">
        <is>
          <t>4.7%</t>
        </is>
      </c>
      <c r="I7" s="9" t="inlineStr">
        <is>
          <t>4.4%</t>
        </is>
      </c>
      <c r="J7" s="9" t="inlineStr">
        <is>
          <t>4.9%</t>
        </is>
      </c>
      <c r="K7" s="9" t="inlineStr">
        <is>
          <t>5.0%</t>
        </is>
      </c>
      <c r="L7" s="9" t="inlineStr">
        <is>
          <t>4.7%</t>
        </is>
      </c>
      <c r="M7" s="6" t="n"/>
      <c r="N7" s="9" t="inlineStr">
        <is>
          <t>4.5%</t>
        </is>
      </c>
      <c r="O7" s="6" t="n"/>
    </row>
    <row r="8">
      <c r="A8" s="6" t="inlineStr">
        <is>
          <t>Average liquidity coverage ratio</t>
        </is>
      </c>
      <c r="B8" s="6" t="inlineStr">
        <is>
          <t>%</t>
        </is>
      </c>
      <c r="C8" s="6" t="inlineStr">
        <is>
          <t>Lloyds Bank Corporate Markets plc Bank (solo) basis</t>
        </is>
      </c>
      <c r="D8" s="9" t="inlineStr">
        <is>
          <t>166%</t>
        </is>
      </c>
      <c r="E8" s="9" t="inlineStr">
        <is>
          <t>167%</t>
        </is>
      </c>
      <c r="F8" s="9" t="inlineStr">
        <is>
          <t>168%</t>
        </is>
      </c>
      <c r="G8" s="9" t="inlineStr">
        <is>
          <t>167%</t>
        </is>
      </c>
      <c r="H8" s="9" t="inlineStr">
        <is>
          <t>168%</t>
        </is>
      </c>
      <c r="I8" s="9" t="inlineStr">
        <is>
          <t>165%</t>
        </is>
      </c>
      <c r="J8" s="9" t="inlineStr">
        <is>
          <t>171%</t>
        </is>
      </c>
      <c r="K8" s="9" t="inlineStr">
        <is>
          <t>167%</t>
        </is>
      </c>
      <c r="L8" s="9" t="inlineStr">
        <is>
          <t>165%</t>
        </is>
      </c>
      <c r="M8" s="9" t="inlineStr">
        <is>
          <t>166%</t>
        </is>
      </c>
      <c r="N8" s="9" t="inlineStr">
        <is>
          <t>168%</t>
        </is>
      </c>
      <c r="O8" s="9" t="inlineStr">
        <is>
          <t>169%</t>
        </is>
      </c>
    </row>
    <row r="9">
      <c r="A9" s="6" t="inlineStr">
        <is>
          <t>CET1 capital</t>
        </is>
      </c>
      <c r="B9" s="6" t="inlineStr">
        <is>
          <t>£m</t>
        </is>
      </c>
      <c r="C9" s="6" t="inlineStr">
        <is>
          <t>Lloyds Bank Corporate Markets plc Bank (solo) basis</t>
        </is>
      </c>
      <c r="D9" s="6" t="n"/>
      <c r="E9" s="9" t="n">
        <v>2971</v>
      </c>
      <c r="F9" s="6" t="n"/>
      <c r="G9" s="6" t="n"/>
      <c r="H9" s="9" t="n">
        <v>2908</v>
      </c>
      <c r="I9" s="6" t="n"/>
      <c r="J9" s="6" t="n"/>
      <c r="K9" s="9" t="n">
        <v>3055</v>
      </c>
      <c r="L9" s="6" t="n"/>
      <c r="M9" s="6" t="n"/>
      <c r="N9" s="9" t="n">
        <v>2588</v>
      </c>
      <c r="O9" s="6" t="n"/>
    </row>
    <row r="10">
      <c r="A10" s="6" t="inlineStr">
        <is>
          <t>Tier 1 capital</t>
        </is>
      </c>
      <c r="B10" s="6" t="inlineStr">
        <is>
          <t>£m</t>
        </is>
      </c>
      <c r="C10" s="6" t="inlineStr">
        <is>
          <t>Lloyds Bank Corporate Markets plc Bank (solo) basis</t>
        </is>
      </c>
      <c r="D10" s="6" t="n"/>
      <c r="E10" s="9" t="n">
        <v>6950</v>
      </c>
      <c r="F10" s="6" t="n"/>
      <c r="G10" s="6" t="n"/>
      <c r="H10" s="9" t="n">
        <v>3691</v>
      </c>
      <c r="I10" s="6" t="n"/>
      <c r="J10" s="6" t="n"/>
      <c r="K10" s="9" t="n">
        <v>3812</v>
      </c>
      <c r="L10" s="6" t="n"/>
      <c r="M10" s="6" t="n"/>
      <c r="N10" s="9" t="n">
        <v>3345</v>
      </c>
      <c r="O10" s="6" t="n"/>
    </row>
    <row r="11">
      <c r="A11" s="6" t="inlineStr">
        <is>
          <t>Total capital</t>
        </is>
      </c>
      <c r="B11" s="6" t="inlineStr">
        <is>
          <t>£m</t>
        </is>
      </c>
      <c r="C11" s="6" t="inlineStr">
        <is>
          <t>Lloyds Bank Corporate Markets plc Bank (solo) basis</t>
        </is>
      </c>
      <c r="D11" s="6" t="n"/>
      <c r="E11" s="9" t="n">
        <v>6950</v>
      </c>
      <c r="F11" s="6" t="n"/>
      <c r="G11" s="6" t="n"/>
      <c r="H11" s="9" t="n">
        <v>4283</v>
      </c>
      <c r="I11" s="6" t="n"/>
      <c r="J11" s="6" t="n"/>
      <c r="K11" s="9" t="n">
        <v>4380</v>
      </c>
      <c r="L11" s="6" t="n"/>
      <c r="M11" s="6" t="n"/>
      <c r="N11" s="9" t="n">
        <v>3941</v>
      </c>
      <c r="O11" s="6" t="n"/>
    </row>
    <row r="12">
      <c r="A12" s="6" t="inlineStr">
        <is>
          <t>CET1 ratio</t>
        </is>
      </c>
      <c r="B12" s="6" t="inlineStr">
        <is>
          <t>%</t>
        </is>
      </c>
      <c r="C12" s="6" t="inlineStr">
        <is>
          <t>Lloyds Bank Corporate Markets plc Bank (solo) basis</t>
        </is>
      </c>
      <c r="D12" s="6" t="n"/>
      <c r="E12" s="9" t="inlineStr">
        <is>
          <t>13.3%</t>
        </is>
      </c>
      <c r="F12" s="6" t="n"/>
      <c r="G12" s="6" t="n"/>
      <c r="H12" s="9" t="inlineStr">
        <is>
          <t>13.7%</t>
        </is>
      </c>
      <c r="I12" s="6" t="n"/>
      <c r="J12" s="6" t="n"/>
      <c r="K12" s="9" t="inlineStr">
        <is>
          <t>14.5%</t>
        </is>
      </c>
      <c r="L12" s="6" t="n"/>
      <c r="M12" s="6" t="n"/>
      <c r="N12" s="9" t="inlineStr">
        <is>
          <t>12.6%</t>
        </is>
      </c>
      <c r="O12" s="6" t="n"/>
    </row>
    <row r="13">
      <c r="A13" s="6" t="inlineStr">
        <is>
          <t>Tier 1 ratio</t>
        </is>
      </c>
      <c r="B13" s="6" t="inlineStr">
        <is>
          <t>%</t>
        </is>
      </c>
      <c r="C13" s="6" t="inlineStr">
        <is>
          <t>Lloyds Bank Corporate Markets plc Bank (solo) basis</t>
        </is>
      </c>
      <c r="D13" s="6" t="n"/>
      <c r="E13" s="9" t="inlineStr">
        <is>
          <t>31.0%</t>
        </is>
      </c>
      <c r="F13" s="6" t="n"/>
      <c r="G13" s="6" t="n"/>
      <c r="H13" s="9" t="inlineStr">
        <is>
          <t>17.4%</t>
        </is>
      </c>
      <c r="I13" s="6" t="n"/>
      <c r="J13" s="6" t="n"/>
      <c r="K13" s="9" t="inlineStr">
        <is>
          <t>18.1%</t>
        </is>
      </c>
      <c r="L13" s="6" t="n"/>
      <c r="M13" s="6" t="n"/>
      <c r="N13" s="9" t="inlineStr">
        <is>
          <t>16.3%</t>
        </is>
      </c>
      <c r="O13" s="6" t="n"/>
    </row>
    <row r="14">
      <c r="A14" s="6" t="inlineStr">
        <is>
          <t>Total capital ratio</t>
        </is>
      </c>
      <c r="B14" s="6" t="inlineStr">
        <is>
          <t>%</t>
        </is>
      </c>
      <c r="C14" s="6" t="inlineStr">
        <is>
          <t>Lloyds Bank Corporate Markets plc Bank (solo) basis</t>
        </is>
      </c>
      <c r="D14" s="6" t="n"/>
      <c r="E14" s="9" t="inlineStr">
        <is>
          <t>31.0%</t>
        </is>
      </c>
      <c r="F14" s="6" t="n"/>
      <c r="G14" s="6" t="n"/>
      <c r="H14" s="9" t="inlineStr">
        <is>
          <t>20.2%</t>
        </is>
      </c>
      <c r="I14" s="6" t="n"/>
      <c r="J14" s="6" t="n"/>
      <c r="K14" s="9" t="inlineStr">
        <is>
          <t>20.8%</t>
        </is>
      </c>
      <c r="L14" s="6" t="n"/>
      <c r="M14" s="6" t="n"/>
      <c r="N14" s="9" t="inlineStr">
        <is>
          <t>19.2%</t>
        </is>
      </c>
      <c r="O14" s="6" t="n"/>
    </row>
    <row r="15">
      <c r="A15" s="6" t="inlineStr">
        <is>
          <t>Average net stable funding ratio</t>
        </is>
      </c>
      <c r="B15" s="6" t="inlineStr">
        <is>
          <t>%</t>
        </is>
      </c>
      <c r="C15" s="6" t="inlineStr">
        <is>
          <t>Lloyds Bank Corporate Markets plc Bank (solo) basis</t>
        </is>
      </c>
      <c r="D15" s="6" t="n"/>
      <c r="E15" s="9" t="inlineStr">
        <is>
          <t>132%</t>
        </is>
      </c>
      <c r="F15" s="6" t="n"/>
      <c r="G15" s="6" t="n"/>
      <c r="H15" s="9" t="inlineStr">
        <is>
          <t>145%</t>
        </is>
      </c>
      <c r="I15" s="6" t="n"/>
      <c r="J15" s="6" t="n"/>
      <c r="K15" s="9" t="inlineStr">
        <is>
          <t>139%</t>
        </is>
      </c>
      <c r="L15" s="6" t="n"/>
      <c r="M15" s="6" t="n"/>
      <c r="N15" s="6" t="n"/>
      <c r="O15" s="6" t="n"/>
    </row>
    <row r="18">
      <c r="A18" s="2" t="inlineStr">
        <is>
          <t>Source register</t>
        </is>
      </c>
    </row>
    <row r="19">
      <c r="A19" s="4" t="inlineStr">
        <is>
          <t>Period</t>
        </is>
      </c>
      <c r="B19" s="4" t="inlineStr">
        <is>
          <t>Disclosure type</t>
        </is>
      </c>
      <c r="C19" s="4" t="inlineStr">
        <is>
          <t>Source document</t>
        </is>
      </c>
      <c r="D19" s="4" t="inlineStr">
        <is>
          <t>Page / table</t>
        </is>
      </c>
    </row>
    <row r="20">
      <c r="A20" s="6" t="inlineStr">
        <is>
          <t>2025-Q1</t>
        </is>
      </c>
      <c r="B20" s="6" t="inlineStr">
        <is>
          <t>Quarterly/interim Pillar 3 disclosure</t>
        </is>
      </c>
      <c r="C20" s="9" t="inlineStr">
        <is>
          <t>https://www.lloydsbankinggroup.com/assets/pdfs/investors/financial-performance/lloyds-bank-corporate-markets-plc/2025/q1/2025-lbcm-q1-pillar-3.pdf</t>
        </is>
      </c>
      <c r="D20" s="6" t="inlineStr">
        <is>
          <t>KM1/LR2/OV1/LIQ1</t>
        </is>
      </c>
    </row>
    <row r="21">
      <c r="A21" s="6" t="inlineStr">
        <is>
          <t>2025-H1</t>
        </is>
      </c>
      <c r="B21" s="6" t="inlineStr">
        <is>
          <t>Quarterly/interim Pillar 3 disclosure</t>
        </is>
      </c>
      <c r="C21" s="9" t="inlineStr">
        <is>
          <t>https://www.lloydsbankinggroup.com/assets/pdfs/investors/financial-performance/lloyds-bank-corporate-markets-plc/2025/q2/2025-lbcm-hy-pillar-3.pdf</t>
        </is>
      </c>
      <c r="D21" s="6" t="inlineStr">
        <is>
          <t>KM1/LR2/OV1/LIQ1</t>
        </is>
      </c>
    </row>
    <row r="22">
      <c r="A22" s="6" t="inlineStr">
        <is>
          <t>2025-Q3</t>
        </is>
      </c>
      <c r="B22" s="6" t="inlineStr">
        <is>
          <t>Quarterly/interim Pillar 3 disclosure</t>
        </is>
      </c>
      <c r="C22" s="9" t="inlineStr">
        <is>
          <t>https://www.lloydsbankinggroup.com/assets/pdfs/investors/financial-performance/lloyds-bank-corporate-markets-plc/2025/q3/2025-lbcm-q3-pillar-3.pdf</t>
        </is>
      </c>
      <c r="D22" s="6" t="inlineStr">
        <is>
          <t>KM1/LR2/OV1/LIQ1</t>
        </is>
      </c>
    </row>
    <row r="23">
      <c r="A23" s="6" t="inlineStr">
        <is>
          <t>2024-Q1</t>
        </is>
      </c>
      <c r="B23" s="6" t="inlineStr">
        <is>
          <t>Quarterly/interim Pillar 3 disclosure</t>
        </is>
      </c>
      <c r="C23" s="9" t="inlineStr">
        <is>
          <t>https://www.lloydsbankinggroup.com/assets/pdfs/investors/financial-performance/lloyds-bank-corporate-markets-plc/2024/q1/2024-lbcm-q1-pillar-3.pdf</t>
        </is>
      </c>
      <c r="D23" s="6" t="inlineStr">
        <is>
          <t>KM1/LR2/OV1/LIQ1</t>
        </is>
      </c>
    </row>
    <row r="24">
      <c r="A24" s="6" t="inlineStr">
        <is>
          <t>2024-H1</t>
        </is>
      </c>
      <c r="B24" s="6" t="inlineStr">
        <is>
          <t>Quarterly/interim Pillar 3 disclosure</t>
        </is>
      </c>
      <c r="C24" s="9" t="inlineStr">
        <is>
          <t>https://www.lloydsbankinggroup.com/assets/pdfs/investors/financial-performance/lloyds-bank-corporate-markets-plc/2024/q2/2024-lbcm-hy-pillar-3.pdf</t>
        </is>
      </c>
      <c r="D24" s="6" t="inlineStr">
        <is>
          <t>KM1/LR2/OV1/LIQ1</t>
        </is>
      </c>
    </row>
    <row r="25">
      <c r="A25" s="6" t="inlineStr">
        <is>
          <t>2024-Q3</t>
        </is>
      </c>
      <c r="B25" s="6" t="inlineStr">
        <is>
          <t>Quarterly/interim Pillar 3 disclosure</t>
        </is>
      </c>
      <c r="C25" s="9" t="inlineStr">
        <is>
          <t>https://www.lloydsbankinggroup.com/assets/pdfs/investors/financial-performance/lloyds-bank-corporate-markets-plc/2024/q3/2024-lbcm-q3-pillar-3.pdf</t>
        </is>
      </c>
      <c r="D25" s="6" t="inlineStr">
        <is>
          <t>KM1/LR2/OV1/LIQ1</t>
        </is>
      </c>
    </row>
    <row r="26">
      <c r="A26" s="6" t="inlineStr">
        <is>
          <t>2023-Q1</t>
        </is>
      </c>
      <c r="B26" s="6" t="inlineStr">
        <is>
          <t>Quarterly/interim Pillar 3 disclosure</t>
        </is>
      </c>
      <c r="C26" s="9" t="inlineStr">
        <is>
          <t>https://www.lloydsbankinggroup.com/assets/pdfs/investors/financial-performance/lloyds-bank-corporate-markets-plc/2023/q1/2023-lbcm-q1-pillar-3.pdf</t>
        </is>
      </c>
      <c r="D26" s="6" t="inlineStr">
        <is>
          <t>KM1/LR2/OV1/LIQ1</t>
        </is>
      </c>
    </row>
    <row r="27">
      <c r="A27" s="6" t="inlineStr">
        <is>
          <t>2023-H1</t>
        </is>
      </c>
      <c r="B27" s="6" t="inlineStr">
        <is>
          <t>Quarterly/interim Pillar 3 disclosure</t>
        </is>
      </c>
      <c r="C27" s="9" t="inlineStr">
        <is>
          <t>https://www.lloydsbankinggroup.com/assets/pdfs/investors/financial-performance/lloyds-bank-corporate-markets-plc/2023/q2/2023-lbcm-hy-pillar-3.pdf</t>
        </is>
      </c>
      <c r="D27" s="6" t="inlineStr">
        <is>
          <t>KM1/LR2/OV1/LIQ1</t>
        </is>
      </c>
    </row>
    <row r="28">
      <c r="A28" s="6" t="inlineStr">
        <is>
          <t>2023-Q3</t>
        </is>
      </c>
      <c r="B28" s="6" t="inlineStr">
        <is>
          <t>Quarterly/interim Pillar 3 disclosure</t>
        </is>
      </c>
      <c r="C28" s="9" t="inlineStr">
        <is>
          <t>https://www.lloydsbankinggroup.com/assets/pdfs/investors/financial-performance/lloyds-bank-corporate-markets-plc/2023/q3/2023-lbcm-q3-pillar-3.pdf</t>
        </is>
      </c>
      <c r="D28" s="6" t="inlineStr">
        <is>
          <t>KM1/LR2/OV1/LIQ1</t>
        </is>
      </c>
    </row>
    <row r="29">
      <c r="A29" s="6" t="inlineStr">
        <is>
          <t>2022-Q1</t>
        </is>
      </c>
      <c r="B29" s="6" t="inlineStr">
        <is>
          <t>Quarterly/interim Pillar 3 disclosure</t>
        </is>
      </c>
      <c r="C29" s="9" t="inlineStr">
        <is>
          <t>https://www.lloydsbankinggroup.com/assets/pdfs/investors/financial-performance/lloyds-bank-corporate-markets-plc/2022/q1/2022-lbcm-q1-pillar-3.pdf</t>
        </is>
      </c>
      <c r="D29" s="6" t="inlineStr">
        <is>
          <t>KM1/LR2/OV1/LIQ1</t>
        </is>
      </c>
    </row>
    <row r="30">
      <c r="A30" s="6" t="inlineStr">
        <is>
          <t>2022-H1</t>
        </is>
      </c>
      <c r="B30" s="6" t="inlineStr">
        <is>
          <t>Quarterly/interim Pillar 3 disclosure</t>
        </is>
      </c>
      <c r="C30" s="9" t="inlineStr">
        <is>
          <t>https://www.lloydsbankinggroup.com/assets/pdfs/investors/financial-performance/lloyds-bank-corporate-markets-plc/2022/half-year/2022-lbcm-hy-pillar-3.pdf</t>
        </is>
      </c>
      <c r="D30" s="6" t="inlineStr">
        <is>
          <t>KM1/LR2/OV1/LIQ1</t>
        </is>
      </c>
    </row>
    <row r="31">
      <c r="A31" s="6" t="inlineStr">
        <is>
          <t>2022-Q3</t>
        </is>
      </c>
      <c r="B31" s="6" t="inlineStr">
        <is>
          <t>Quarterly/interim Pillar 3 disclosure</t>
        </is>
      </c>
      <c r="C31" s="9" t="inlineStr">
        <is>
          <t>https://www.lloydsbankinggroup.com/assets/pdfs/investors/financial-performance/lloyds-bank-corporate-markets-plc/2022/q3/2022-lbcm-q3-pillar-3.pdf</t>
        </is>
      </c>
      <c r="D31" s="6" t="inlineStr">
        <is>
          <t>KM1/LR2/OV1/LIQ1</t>
        </is>
      </c>
    </row>
    <row r="33" ht="169" customHeight="1">
      <c r="A33" s="8" t="inlineStr">
        <is>
          <t>Note: Official LBCM reports publish limited Pillar 3 disclosures at interim quarter ends and half-year, on the Bank's own (solo) basis. Only the half-year (H1) reports include the full KM1 table (CET1/Tier 1/Total Capital and their ratios, plus NSFR); Q1/Q3 reports disclose only LR2 (leverage), OV1 (total RWA) and LIQ1 (LCR) — confirmed by direct inspection of each report's table of contents, not an extraction gap. No leverage template was published in the Q1/Q3 2022 reports (first appears from the 2022 half-year report onward). NSFR was not disclosed before the 31 December 2022 comparative shown in the 2023 half-year report.
2021 CORRECTED 18 September 2026 (KM1-032). This note previously said "No interim (non-year-end) Pillar 3 disclosures exist for LBCM for 2021 — confirmed via direct URL-pattern checks against the same archive structure used for 2022–2025, all of which 404." THAT WAS FALSE. LBCM published a half-year Pillar 3 in 2021, and in 2020 as well. The URL patterns 404'd because they were the wrong patterns: the 2020 and 2021 editions sit under a flat year folder, not the .../&lt;year&gt;/&lt;quarter&gt;/ structure the 2022–2025 editions use, and the whole tree is under /assets/pdfs/investors/financial-performance/, not the financial-downloads path the page itself is served from. Guessing a filename tests our guess, not the bank; the index had to be read, and it lists every edition:
  2021 half-year: .../lloyds-bank-corporate-markets-plc/2021/2021-lbcm-hy-pillar-3.pdf (re-verified 2026-09-18: HTTP 200, application/pdf, %PDF-, 207,996 bytes)
  2020 half-year: .../2020/2020-lbcm-hy-pillar-3-v2.pdf (HTTP 200, application/pdf, %PDF-, 129,099 bytes)
A negative control run in the same pass (an invented filename in the 2021 folder) returned HTTP 404 with a 274,912-byte text/html body, so a hit and a miss are cleanly distinguishable on this host and the 200s above are real.
WHAT THE 2021 AND 2020 HALF-YEAR EDITIONS ACTUALLY CONTAIN, which is why the rows above are still empty for those periods: NEITHER USES THE UK KM1 TEMPLATE. The 2021 half-year report contains zero occurrences of the string "KM1". Its quantitative content is Table 1, the IFRS9-FL own-funds and leverage comparison (columns 30 Jun 2021 / 31 Dec 2020 / 30 Jun 2020), plus Table 2 (OV1) and credit-risk tables — no LCR, NSFR, SREP or buffer rows. So the sheet's CONTENT is barely affected, but the REASON changes completely: from "no such document exists" to "the documents exist and print a different table". That distinction is the whole point of the correction — an empty cell justified by a false premise is not the same artifact as an empty cell justified by the document's own scope.
ALSO NOT YET CARRIED HERE, found on the same index: 2026-Q1 and 2026-H1 LBCM Pillar 3 editions are live (2026-lbcm-q1-pillar-3.pdf; 2026-lbcm-hy-pillar-3.pdf, HTTP 200, application/pdf, %PDF-, 402,445 bytes), and a 2019 half-year Pillar 3 exists as .xlsx. This sheet stops at 2025-Q3.</t>
        </is>
      </c>
    </row>
  </sheetData>
  <mergeCells count="1">
    <mergeCell ref="A33:O33"/>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N5" r:id="rId11"/>
    <hyperlink xmlns:r="http://schemas.openxmlformats.org/officeDocument/2006/relationships" ref="O5" r:id="rId12"/>
    <hyperlink xmlns:r="http://schemas.openxmlformats.org/officeDocument/2006/relationships" ref="D6" r:id="rId13"/>
    <hyperlink xmlns:r="http://schemas.openxmlformats.org/officeDocument/2006/relationships" ref="E6" r:id="rId14"/>
    <hyperlink xmlns:r="http://schemas.openxmlformats.org/officeDocument/2006/relationships" ref="F6" r:id="rId15"/>
    <hyperlink xmlns:r="http://schemas.openxmlformats.org/officeDocument/2006/relationships" ref="G6" r:id="rId16"/>
    <hyperlink xmlns:r="http://schemas.openxmlformats.org/officeDocument/2006/relationships" ref="H6" r:id="rId17"/>
    <hyperlink xmlns:r="http://schemas.openxmlformats.org/officeDocument/2006/relationships" ref="I6" r:id="rId18"/>
    <hyperlink xmlns:r="http://schemas.openxmlformats.org/officeDocument/2006/relationships" ref="J6" r:id="rId19"/>
    <hyperlink xmlns:r="http://schemas.openxmlformats.org/officeDocument/2006/relationships" ref="K6" r:id="rId20"/>
    <hyperlink xmlns:r="http://schemas.openxmlformats.org/officeDocument/2006/relationships" ref="L6" r:id="rId21"/>
    <hyperlink xmlns:r="http://schemas.openxmlformats.org/officeDocument/2006/relationships" ref="N6" r:id="rId22"/>
    <hyperlink xmlns:r="http://schemas.openxmlformats.org/officeDocument/2006/relationships" ref="D7" r:id="rId23"/>
    <hyperlink xmlns:r="http://schemas.openxmlformats.org/officeDocument/2006/relationships" ref="E7" r:id="rId24"/>
    <hyperlink xmlns:r="http://schemas.openxmlformats.org/officeDocument/2006/relationships" ref="F7" r:id="rId25"/>
    <hyperlink xmlns:r="http://schemas.openxmlformats.org/officeDocument/2006/relationships" ref="G7" r:id="rId26"/>
    <hyperlink xmlns:r="http://schemas.openxmlformats.org/officeDocument/2006/relationships" ref="H7" r:id="rId27"/>
    <hyperlink xmlns:r="http://schemas.openxmlformats.org/officeDocument/2006/relationships" ref="I7" r:id="rId28"/>
    <hyperlink xmlns:r="http://schemas.openxmlformats.org/officeDocument/2006/relationships" ref="J7" r:id="rId29"/>
    <hyperlink xmlns:r="http://schemas.openxmlformats.org/officeDocument/2006/relationships" ref="K7" r:id="rId30"/>
    <hyperlink xmlns:r="http://schemas.openxmlformats.org/officeDocument/2006/relationships" ref="L7" r:id="rId31"/>
    <hyperlink xmlns:r="http://schemas.openxmlformats.org/officeDocument/2006/relationships" ref="N7" r:id="rId32"/>
    <hyperlink xmlns:r="http://schemas.openxmlformats.org/officeDocument/2006/relationships" ref="D8" r:id="rId33"/>
    <hyperlink xmlns:r="http://schemas.openxmlformats.org/officeDocument/2006/relationships" ref="E8" r:id="rId34"/>
    <hyperlink xmlns:r="http://schemas.openxmlformats.org/officeDocument/2006/relationships" ref="F8" r:id="rId35"/>
    <hyperlink xmlns:r="http://schemas.openxmlformats.org/officeDocument/2006/relationships" ref="G8" r:id="rId36"/>
    <hyperlink xmlns:r="http://schemas.openxmlformats.org/officeDocument/2006/relationships" ref="H8" r:id="rId37"/>
    <hyperlink xmlns:r="http://schemas.openxmlformats.org/officeDocument/2006/relationships" ref="I8" r:id="rId38"/>
    <hyperlink xmlns:r="http://schemas.openxmlformats.org/officeDocument/2006/relationships" ref="J8" r:id="rId39"/>
    <hyperlink xmlns:r="http://schemas.openxmlformats.org/officeDocument/2006/relationships" ref="K8" r:id="rId40"/>
    <hyperlink xmlns:r="http://schemas.openxmlformats.org/officeDocument/2006/relationships" ref="L8" r:id="rId41"/>
    <hyperlink xmlns:r="http://schemas.openxmlformats.org/officeDocument/2006/relationships" ref="M8" r:id="rId42"/>
    <hyperlink xmlns:r="http://schemas.openxmlformats.org/officeDocument/2006/relationships" ref="N8" r:id="rId43"/>
    <hyperlink xmlns:r="http://schemas.openxmlformats.org/officeDocument/2006/relationships" ref="O8" r:id="rId44"/>
    <hyperlink xmlns:r="http://schemas.openxmlformats.org/officeDocument/2006/relationships" ref="E9" r:id="rId45"/>
    <hyperlink xmlns:r="http://schemas.openxmlformats.org/officeDocument/2006/relationships" ref="H9" r:id="rId46"/>
    <hyperlink xmlns:r="http://schemas.openxmlformats.org/officeDocument/2006/relationships" ref="K9" r:id="rId47"/>
    <hyperlink xmlns:r="http://schemas.openxmlformats.org/officeDocument/2006/relationships" ref="N9" r:id="rId48"/>
    <hyperlink xmlns:r="http://schemas.openxmlformats.org/officeDocument/2006/relationships" ref="E10" r:id="rId49"/>
    <hyperlink xmlns:r="http://schemas.openxmlformats.org/officeDocument/2006/relationships" ref="H10" r:id="rId50"/>
    <hyperlink xmlns:r="http://schemas.openxmlformats.org/officeDocument/2006/relationships" ref="K10" r:id="rId51"/>
    <hyperlink xmlns:r="http://schemas.openxmlformats.org/officeDocument/2006/relationships" ref="N10" r:id="rId52"/>
    <hyperlink xmlns:r="http://schemas.openxmlformats.org/officeDocument/2006/relationships" ref="E11" r:id="rId53"/>
    <hyperlink xmlns:r="http://schemas.openxmlformats.org/officeDocument/2006/relationships" ref="H11" r:id="rId54"/>
    <hyperlink xmlns:r="http://schemas.openxmlformats.org/officeDocument/2006/relationships" ref="K11" r:id="rId55"/>
    <hyperlink xmlns:r="http://schemas.openxmlformats.org/officeDocument/2006/relationships" ref="N11" r:id="rId56"/>
    <hyperlink xmlns:r="http://schemas.openxmlformats.org/officeDocument/2006/relationships" ref="E12" r:id="rId57"/>
    <hyperlink xmlns:r="http://schemas.openxmlformats.org/officeDocument/2006/relationships" ref="H12" r:id="rId58"/>
    <hyperlink xmlns:r="http://schemas.openxmlformats.org/officeDocument/2006/relationships" ref="K12" r:id="rId59"/>
    <hyperlink xmlns:r="http://schemas.openxmlformats.org/officeDocument/2006/relationships" ref="N12" r:id="rId60"/>
    <hyperlink xmlns:r="http://schemas.openxmlformats.org/officeDocument/2006/relationships" ref="E13" r:id="rId61"/>
    <hyperlink xmlns:r="http://schemas.openxmlformats.org/officeDocument/2006/relationships" ref="H13" r:id="rId62"/>
    <hyperlink xmlns:r="http://schemas.openxmlformats.org/officeDocument/2006/relationships" ref="K13" r:id="rId63"/>
    <hyperlink xmlns:r="http://schemas.openxmlformats.org/officeDocument/2006/relationships" ref="N13" r:id="rId64"/>
    <hyperlink xmlns:r="http://schemas.openxmlformats.org/officeDocument/2006/relationships" ref="E14" r:id="rId65"/>
    <hyperlink xmlns:r="http://schemas.openxmlformats.org/officeDocument/2006/relationships" ref="H14" r:id="rId66"/>
    <hyperlink xmlns:r="http://schemas.openxmlformats.org/officeDocument/2006/relationships" ref="K14" r:id="rId67"/>
    <hyperlink xmlns:r="http://schemas.openxmlformats.org/officeDocument/2006/relationships" ref="N14" r:id="rId68"/>
    <hyperlink xmlns:r="http://schemas.openxmlformats.org/officeDocument/2006/relationships" ref="E15" r:id="rId69"/>
    <hyperlink xmlns:r="http://schemas.openxmlformats.org/officeDocument/2006/relationships" ref="H15" r:id="rId70"/>
    <hyperlink xmlns:r="http://schemas.openxmlformats.org/officeDocument/2006/relationships" ref="K15" r:id="rId71"/>
    <hyperlink xmlns:r="http://schemas.openxmlformats.org/officeDocument/2006/relationships" ref="C20" r:id="rId72"/>
    <hyperlink xmlns:r="http://schemas.openxmlformats.org/officeDocument/2006/relationships" ref="C21" r:id="rId73"/>
    <hyperlink xmlns:r="http://schemas.openxmlformats.org/officeDocument/2006/relationships" ref="C22" r:id="rId74"/>
    <hyperlink xmlns:r="http://schemas.openxmlformats.org/officeDocument/2006/relationships" ref="C23" r:id="rId75"/>
    <hyperlink xmlns:r="http://schemas.openxmlformats.org/officeDocument/2006/relationships" ref="C24" r:id="rId76"/>
    <hyperlink xmlns:r="http://schemas.openxmlformats.org/officeDocument/2006/relationships" ref="C25" r:id="rId77"/>
    <hyperlink xmlns:r="http://schemas.openxmlformats.org/officeDocument/2006/relationships" ref="C26" r:id="rId78"/>
    <hyperlink xmlns:r="http://schemas.openxmlformats.org/officeDocument/2006/relationships" ref="C27" r:id="rId79"/>
    <hyperlink xmlns:r="http://schemas.openxmlformats.org/officeDocument/2006/relationships" ref="C28" r:id="rId80"/>
    <hyperlink xmlns:r="http://schemas.openxmlformats.org/officeDocument/2006/relationships" ref="C29" r:id="rId81"/>
    <hyperlink xmlns:r="http://schemas.openxmlformats.org/officeDocument/2006/relationships" ref="C30" r:id="rId82"/>
    <hyperlink xmlns:r="http://schemas.openxmlformats.org/officeDocument/2006/relationships" ref="C31" r:id="rId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2026-10-10T15:08:33Z</dcterms:created>
  <dcterms:modified xmlns:dcterms="http://purl.org/dc/terms/" xmlns:xsi="http://www.w3.org/2001/XMLSchema-instance" xsi:type="dcterms:W3CDTF">2026-10-10T15:08:34Z</dcterms:modified>
</cp:coreProperties>
</file>