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v>9284526</v>
      </c>
      <c r="C6" s="5" t="n">
        <v>7722511</v>
      </c>
      <c r="D6" s="5" t="n">
        <v>6422803</v>
      </c>
      <c r="E6" s="5" t="n">
        <v>5845949</v>
      </c>
      <c r="F6" s="5" t="n">
        <v>5873933</v>
      </c>
      <c r="G6" s="5" t="n">
        <v>6608950</v>
      </c>
      <c r="J6" t="inlineStr">
        <is>
          <t>Total Assets</t>
        </is>
      </c>
      <c r="K6" t="n">
        <v>6608950</v>
      </c>
      <c r="L6" t="n">
        <v>5873933</v>
      </c>
      <c r="M6" t="n">
        <v>5845949</v>
      </c>
      <c r="N6" t="n">
        <v>6422803</v>
      </c>
      <c r="O6" t="n">
        <v>7722511</v>
      </c>
      <c r="P6" t="n">
        <v>9284526</v>
      </c>
    </row>
    <row r="7">
      <c r="A7" s="5" t="inlineStr">
        <is>
          <t>Loans and advances to affiliates</t>
        </is>
      </c>
      <c r="B7" s="5" t="n">
        <v>6428499</v>
      </c>
      <c r="C7" s="5" t="n">
        <v>4956351</v>
      </c>
      <c r="D7" s="5" t="n">
        <v>3650595</v>
      </c>
      <c r="E7" s="5" t="n">
        <v>3228350</v>
      </c>
      <c r="F7" s="5" t="n">
        <v>2620602</v>
      </c>
      <c r="G7" s="5" t="n">
        <v>1608289</v>
      </c>
      <c r="J7" t="inlineStr">
        <is>
          <t>Loans and advances to affiliates</t>
        </is>
      </c>
      <c r="K7" t="n">
        <v>1608289</v>
      </c>
      <c r="L7" t="n">
        <v>2620602</v>
      </c>
      <c r="M7" t="n">
        <v>3228350</v>
      </c>
      <c r="N7" t="n">
        <v>3650595</v>
      </c>
      <c r="O7" t="n">
        <v>4956351</v>
      </c>
      <c r="P7" t="n">
        <v>6428499</v>
      </c>
    </row>
    <row r="8">
      <c r="A8" s="5" t="inlineStr">
        <is>
          <t>Total Liabilities</t>
        </is>
      </c>
      <c r="B8" s="5" t="n">
        <v>9112270</v>
      </c>
      <c r="C8" s="5" t="n">
        <v>7459750</v>
      </c>
      <c r="D8" s="5" t="n">
        <v>6170135</v>
      </c>
      <c r="E8" s="5" t="n">
        <v>5458781</v>
      </c>
      <c r="F8" s="5" t="n">
        <v>5610516</v>
      </c>
      <c r="G8" s="5" t="n">
        <v>6440731</v>
      </c>
      <c r="J8" t="inlineStr">
        <is>
          <t>Total Liabilities</t>
        </is>
      </c>
      <c r="K8" t="n">
        <v>6440731</v>
      </c>
      <c r="L8" t="n">
        <v>5610516</v>
      </c>
      <c r="M8" t="n">
        <v>5458781</v>
      </c>
      <c r="N8" t="n">
        <v>6170135</v>
      </c>
      <c r="O8" t="n">
        <v>7459750</v>
      </c>
      <c r="P8" t="n">
        <v>9112270</v>
      </c>
    </row>
    <row r="9">
      <c r="A9" s="5" t="inlineStr">
        <is>
          <t>Total Equity</t>
        </is>
      </c>
      <c r="B9" s="5" t="n">
        <v>172256</v>
      </c>
      <c r="C9" s="5" t="n">
        <v>262761</v>
      </c>
      <c r="D9" s="5" t="n">
        <v>252668</v>
      </c>
      <c r="E9" s="5" t="n">
        <v>387168</v>
      </c>
      <c r="F9" s="5" t="n">
        <v>263417</v>
      </c>
      <c r="G9" s="5" t="n">
        <v>168219</v>
      </c>
      <c r="J9" t="inlineStr">
        <is>
          <t>Total Equity</t>
        </is>
      </c>
      <c r="K9" t="n">
        <v>168219</v>
      </c>
      <c r="L9" t="n">
        <v>263417</v>
      </c>
      <c r="M9" t="n">
        <v>387168</v>
      </c>
      <c r="N9" t="n">
        <v>252668</v>
      </c>
      <c r="O9" t="n">
        <v>262761</v>
      </c>
      <c r="P9" t="n">
        <v>172256</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318967</v>
      </c>
      <c r="C13" s="5" t="n">
        <v>299129</v>
      </c>
      <c r="D13" s="5" t="n">
        <v>259304</v>
      </c>
      <c r="E13" s="5" t="n">
        <v>106354</v>
      </c>
      <c r="F13" s="5" t="n">
        <v>19795</v>
      </c>
      <c r="G13" s="5" t="n">
        <v>26675</v>
      </c>
      <c r="S13" t="inlineStr">
        <is>
          <t>Net interest income</t>
        </is>
      </c>
      <c r="T13" t="n">
        <v>26675</v>
      </c>
      <c r="U13" t="n">
        <v>19795</v>
      </c>
      <c r="V13" t="n">
        <v>106354</v>
      </c>
      <c r="W13" t="n">
        <v>259304</v>
      </c>
      <c r="X13" t="n">
        <v>299129</v>
      </c>
      <c r="Y13" t="n">
        <v>318967</v>
      </c>
    </row>
    <row r="14">
      <c r="A14" s="5" t="inlineStr">
        <is>
          <t>Total operating income</t>
        </is>
      </c>
      <c r="B14" s="5" t="n">
        <v>23146</v>
      </c>
      <c r="C14" s="5" t="n">
        <v>21490</v>
      </c>
      <c r="D14" s="5" t="n">
        <v>17970</v>
      </c>
      <c r="E14" s="5" t="n">
        <v>44271</v>
      </c>
      <c r="F14" s="5" t="n">
        <v>31398</v>
      </c>
      <c r="G14" s="5" t="n">
        <v>28507</v>
      </c>
      <c r="S14" t="inlineStr">
        <is>
          <t>Total operating income</t>
        </is>
      </c>
      <c r="T14" t="n">
        <v>28507</v>
      </c>
      <c r="U14" t="n">
        <v>31398</v>
      </c>
      <c r="V14" t="n">
        <v>44271</v>
      </c>
      <c r="W14" t="n">
        <v>17970</v>
      </c>
      <c r="X14" t="n">
        <v>21490</v>
      </c>
      <c r="Y14" t="n">
        <v>23146</v>
      </c>
    </row>
    <row r="15">
      <c r="A15" s="5" t="inlineStr">
        <is>
          <t>General and administrative expenses</t>
        </is>
      </c>
      <c r="B15" s="5" t="n">
        <v>-8616</v>
      </c>
      <c r="C15" s="5" t="n">
        <v>-9035</v>
      </c>
      <c r="D15" s="5" t="n">
        <v>-8391</v>
      </c>
      <c r="E15" s="5" t="n">
        <v>-35479</v>
      </c>
      <c r="F15" s="5" t="n">
        <v>-11655</v>
      </c>
      <c r="G15" s="5" t="n">
        <v>-14680</v>
      </c>
      <c r="S15" t="inlineStr">
        <is>
          <t>General and administrative expenses</t>
        </is>
      </c>
      <c r="T15" t="n">
        <v>-14680</v>
      </c>
      <c r="U15" t="n">
        <v>-11655</v>
      </c>
      <c r="V15" t="n">
        <v>-35479</v>
      </c>
      <c r="W15" t="n">
        <v>-8391</v>
      </c>
      <c r="X15" t="n">
        <v>-9035</v>
      </c>
      <c r="Y15" t="n">
        <v>-8616</v>
      </c>
    </row>
    <row r="16">
      <c r="A16" s="5" t="inlineStr">
        <is>
          <t>Profit for the year</t>
        </is>
      </c>
      <c r="B16" s="5" t="n">
        <v>9865</v>
      </c>
      <c r="C16" s="5" t="n">
        <v>9370</v>
      </c>
      <c r="D16" s="5" t="n">
        <v>7175</v>
      </c>
      <c r="E16" s="5" t="n">
        <v>7048</v>
      </c>
      <c r="F16" s="5" t="n">
        <v>15542</v>
      </c>
      <c r="G16" s="5" t="n">
        <v>11348</v>
      </c>
      <c r="S16" t="inlineStr">
        <is>
          <t>Profit for the year</t>
        </is>
      </c>
      <c r="T16" t="n">
        <v>11348</v>
      </c>
      <c r="U16" t="n">
        <v>15542</v>
      </c>
      <c r="V16" t="n">
        <v>7048</v>
      </c>
      <c r="W16" t="n">
        <v>7175</v>
      </c>
      <c r="X16" t="n">
        <v>9370</v>
      </c>
      <c r="Y16" t="n">
        <v>9865</v>
      </c>
    </row>
    <row r="18">
      <c r="A18" s="3" t="inlineStr">
        <is>
          <t>Statement of Changes in Equity Summary ($'000)</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AC19" t="inlineStr">
        <is>
          <t>FY2021</t>
        </is>
      </c>
      <c r="AD19" t="inlineStr">
        <is>
          <t>FY2022</t>
        </is>
      </c>
      <c r="AE19" t="inlineStr">
        <is>
          <t>FY2023</t>
        </is>
      </c>
      <c r="AF19" t="inlineStr">
        <is>
          <t>FY2024</t>
        </is>
      </c>
      <c r="AG19" t="inlineStr">
        <is>
          <t>FY2025</t>
        </is>
      </c>
      <c r="AH19" t="inlineStr">
        <is>
          <t>FY2026</t>
        </is>
      </c>
    </row>
    <row r="20">
      <c r="A20" s="5" t="inlineStr">
        <is>
          <t>Opening equity</t>
        </is>
      </c>
      <c r="B20" s="5" t="n">
        <v>262761</v>
      </c>
      <c r="C20" s="5" t="n">
        <v>252668</v>
      </c>
      <c r="D20" s="5" t="n">
        <v>387168</v>
      </c>
      <c r="E20" s="5" t="n">
        <v>263417</v>
      </c>
      <c r="F20" s="5" t="n">
        <v>168219</v>
      </c>
      <c r="G20" s="5" t="n">
        <v>341809</v>
      </c>
      <c r="AB20" t="inlineStr">
        <is>
          <t>Opening equity</t>
        </is>
      </c>
      <c r="AC20" t="n">
        <v>341809</v>
      </c>
      <c r="AD20" t="n">
        <v>168219</v>
      </c>
      <c r="AE20" t="n">
        <v>263417</v>
      </c>
      <c r="AF20" t="n">
        <v>387168</v>
      </c>
      <c r="AG20" t="n">
        <v>252668</v>
      </c>
      <c r="AH20" t="n">
        <v>262761</v>
      </c>
    </row>
    <row r="21">
      <c r="A21" s="5" t="inlineStr">
        <is>
          <t>Total comprehensive income/(loss) for the year</t>
        </is>
      </c>
      <c r="B21" s="5" t="n">
        <v>-82005</v>
      </c>
      <c r="C21" s="5" t="n">
        <v>10093</v>
      </c>
      <c r="D21" s="5" t="n">
        <v>-129500</v>
      </c>
      <c r="E21" s="5" t="n">
        <v>133751</v>
      </c>
      <c r="F21" s="5" t="n">
        <v>105198</v>
      </c>
      <c r="G21" s="5" t="n">
        <v>-161590</v>
      </c>
      <c r="AB21" t="inlineStr">
        <is>
          <t>Total comprehensive income/(loss) for the year</t>
        </is>
      </c>
      <c r="AC21" t="n">
        <v>-161590</v>
      </c>
      <c r="AD21" t="n">
        <v>105198</v>
      </c>
      <c r="AE21" t="n">
        <v>133751</v>
      </c>
      <c r="AF21" t="n">
        <v>-129500</v>
      </c>
      <c r="AG21" t="n">
        <v>10093</v>
      </c>
      <c r="AH21" t="n">
        <v>-82005</v>
      </c>
    </row>
    <row r="22">
      <c r="A22" s="5" t="inlineStr">
        <is>
          <t>Other equity movements, net</t>
        </is>
      </c>
      <c r="B22" s="5" t="n">
        <v>-8500</v>
      </c>
      <c r="C22" s="5" t="n">
        <v>0</v>
      </c>
      <c r="D22" s="5" t="n">
        <v>-5000</v>
      </c>
      <c r="E22" s="5" t="n">
        <v>-10000</v>
      </c>
      <c r="F22" s="5" t="n">
        <v>-10000</v>
      </c>
      <c r="G22" s="5" t="n">
        <v>-12000</v>
      </c>
      <c r="AB22" t="inlineStr">
        <is>
          <t>Other equity movements, net</t>
        </is>
      </c>
      <c r="AC22" t="n">
        <v>-12000</v>
      </c>
      <c r="AD22" t="n">
        <v>-10000</v>
      </c>
      <c r="AE22" t="n">
        <v>-10000</v>
      </c>
      <c r="AF22" t="n">
        <v>-5000</v>
      </c>
      <c r="AG22" t="n">
        <v>0</v>
      </c>
      <c r="AH22" t="n">
        <v>-8500</v>
      </c>
    </row>
    <row r="23">
      <c r="A23" s="5" t="inlineStr">
        <is>
          <t>Closing equity</t>
        </is>
      </c>
      <c r="B23" s="5" t="n">
        <v>172256</v>
      </c>
      <c r="C23" s="5" t="n">
        <v>262761</v>
      </c>
      <c r="D23" s="5" t="n">
        <v>252668</v>
      </c>
      <c r="E23" s="5" t="n">
        <v>387168</v>
      </c>
      <c r="F23" s="5" t="n">
        <v>263417</v>
      </c>
      <c r="G23" s="5" t="n">
        <v>168219</v>
      </c>
      <c r="AB23" t="inlineStr">
        <is>
          <t>Closing equity</t>
        </is>
      </c>
      <c r="AC23" t="n">
        <v>168219</v>
      </c>
      <c r="AD23" t="n">
        <v>263417</v>
      </c>
      <c r="AE23" t="n">
        <v>387168</v>
      </c>
      <c r="AF23" t="n">
        <v>252668</v>
      </c>
      <c r="AG23" t="n">
        <v>262761</v>
      </c>
      <c r="AH23" t="n">
        <v>172256</v>
      </c>
    </row>
    <row r="25">
      <c r="A25" s="3" t="inlineStr">
        <is>
          <t>Cash Flow Summary ($'000)</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AL26" t="inlineStr">
        <is>
          <t>FY2021</t>
        </is>
      </c>
      <c r="AM26" t="inlineStr">
        <is>
          <t>FY2022</t>
        </is>
      </c>
      <c r="AN26" t="inlineStr">
        <is>
          <t>FY2023</t>
        </is>
      </c>
      <c r="AO26" t="inlineStr">
        <is>
          <t>FY2024</t>
        </is>
      </c>
      <c r="AP26" t="inlineStr">
        <is>
          <t>FY2025</t>
        </is>
      </c>
      <c r="AQ26" t="inlineStr">
        <is>
          <t>FY2026</t>
        </is>
      </c>
    </row>
    <row r="27">
      <c r="A27" s="5" t="inlineStr">
        <is>
          <t>Net cash flow from operating activities</t>
        </is>
      </c>
      <c r="B27" s="5" t="n">
        <v>-1173913</v>
      </c>
      <c r="C27" s="5" t="n">
        <v>-1060963</v>
      </c>
      <c r="D27" s="5" t="n">
        <v>-425579</v>
      </c>
      <c r="E27" s="5" t="n">
        <v>-343288</v>
      </c>
      <c r="F27" s="5" t="n">
        <v>-606420</v>
      </c>
      <c r="G27" s="5" t="n">
        <v>-371462</v>
      </c>
      <c r="AK27" t="inlineStr">
        <is>
          <t>Net cash flow from operating activities</t>
        </is>
      </c>
      <c r="AL27" t="n">
        <v>-371462</v>
      </c>
      <c r="AM27" t="n">
        <v>-606420</v>
      </c>
      <c r="AN27" t="n">
        <v>-343288</v>
      </c>
      <c r="AO27" t="n">
        <v>-425579</v>
      </c>
      <c r="AP27" t="n">
        <v>-1060963</v>
      </c>
      <c r="AQ27" t="n">
        <v>-1173913</v>
      </c>
    </row>
    <row r="28">
      <c r="A28" s="5" t="inlineStr">
        <is>
          <t>Net cash flows from financing activities</t>
        </is>
      </c>
      <c r="B28" s="5" t="n">
        <v>1173318</v>
      </c>
      <c r="C28" s="5" t="n">
        <v>1061929</v>
      </c>
      <c r="D28" s="5" t="n">
        <v>418559</v>
      </c>
      <c r="E28" s="5" t="n">
        <v>349607</v>
      </c>
      <c r="F28" s="5" t="n">
        <v>604884</v>
      </c>
      <c r="G28" s="5" t="n">
        <v>357302</v>
      </c>
      <c r="AK28" t="inlineStr">
        <is>
          <t>Net cash flows from financing activities</t>
        </is>
      </c>
      <c r="AL28" t="n">
        <v>357302</v>
      </c>
      <c r="AM28" t="n">
        <v>604884</v>
      </c>
      <c r="AN28" t="n">
        <v>349607</v>
      </c>
      <c r="AO28" t="n">
        <v>418559</v>
      </c>
      <c r="AP28" t="n">
        <v>1061929</v>
      </c>
      <c r="AQ28" t="n">
        <v>1173318</v>
      </c>
    </row>
    <row r="29">
      <c r="A29" s="5" t="inlineStr">
        <is>
          <t>Cash and cash equivalents at end of year</t>
        </is>
      </c>
      <c r="B29" s="5" t="n">
        <v>1132</v>
      </c>
      <c r="C29" s="5" t="n">
        <v>1727</v>
      </c>
      <c r="D29" s="5" t="n">
        <v>761</v>
      </c>
      <c r="E29" s="5" t="n">
        <v>7781</v>
      </c>
      <c r="F29" s="5" t="n">
        <v>1462</v>
      </c>
      <c r="G29" s="5" t="n">
        <v>2998</v>
      </c>
      <c r="AK29" t="inlineStr">
        <is>
          <t>Cash and cash equivalents at end of year</t>
        </is>
      </c>
      <c r="AL29" t="n">
        <v>2998</v>
      </c>
      <c r="AM29" t="n">
        <v>1462</v>
      </c>
      <c r="AN29" t="n">
        <v>7781</v>
      </c>
      <c r="AO29" t="n">
        <v>761</v>
      </c>
      <c r="AP29" t="n">
        <v>1727</v>
      </c>
      <c r="AQ29" t="n">
        <v>1132</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Financial Position</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Assets</t>
        </is>
      </c>
      <c r="B4" s="7" t="n"/>
      <c r="C4" s="7" t="n"/>
      <c r="D4" s="7" t="n"/>
      <c r="E4" s="7" t="n"/>
      <c r="F4" s="7" t="n"/>
      <c r="G4" s="7" t="n"/>
    </row>
    <row r="5">
      <c r="A5" s="7" t="inlineStr">
        <is>
          <t>Cash and cash equivalents</t>
        </is>
      </c>
      <c r="B5" s="7" t="n">
        <v>1132</v>
      </c>
      <c r="C5" s="7" t="n">
        <v>1727</v>
      </c>
      <c r="D5" s="7" t="n">
        <v>761</v>
      </c>
      <c r="E5" s="7" t="n">
        <v>7781</v>
      </c>
      <c r="F5" s="7" t="n">
        <v>1462</v>
      </c>
      <c r="G5" s="7" t="n">
        <v>2998</v>
      </c>
    </row>
    <row r="6">
      <c r="A6" s="7" t="inlineStr">
        <is>
          <t>Derivative financial instruments (asset)</t>
        </is>
      </c>
      <c r="B6" s="7" t="n">
        <v>613989</v>
      </c>
      <c r="C6" s="7" t="n">
        <v>432715</v>
      </c>
      <c r="D6" s="7" t="n">
        <v>290645</v>
      </c>
      <c r="E6" s="7" t="n">
        <v>149851</v>
      </c>
      <c r="F6" s="7" t="n">
        <v>440933</v>
      </c>
      <c r="G6" s="7" t="n">
        <v>1473660</v>
      </c>
    </row>
    <row r="7">
      <c r="A7" s="7" t="inlineStr">
        <is>
          <t>Loans and advances to affiliates</t>
        </is>
      </c>
      <c r="B7" s="7" t="n">
        <v>6428499</v>
      </c>
      <c r="C7" s="7" t="n">
        <v>4956351</v>
      </c>
      <c r="D7" s="7" t="n">
        <v>3650595</v>
      </c>
      <c r="E7" s="7" t="n">
        <v>3228350</v>
      </c>
      <c r="F7" s="7" t="n">
        <v>2620602</v>
      </c>
      <c r="G7" s="7" t="n">
        <v>1608289</v>
      </c>
    </row>
    <row r="8">
      <c r="A8" s="7" t="inlineStr">
        <is>
          <t>Securities purchased under agreements to resell</t>
        </is>
      </c>
      <c r="B8" s="7" t="n">
        <v>2175544</v>
      </c>
      <c r="C8" s="7" t="n">
        <v>2259073</v>
      </c>
      <c r="D8" s="7" t="n">
        <v>2413684</v>
      </c>
      <c r="E8" s="7" t="n">
        <v>2434880</v>
      </c>
      <c r="F8" s="7" t="n">
        <v>2799330</v>
      </c>
      <c r="G8" s="7" t="n">
        <v>3485060</v>
      </c>
    </row>
    <row r="9">
      <c r="A9" s="7" t="inlineStr">
        <is>
          <t>Loans and advances to others</t>
        </is>
      </c>
      <c r="B9" s="7" t="n">
        <v>1546</v>
      </c>
      <c r="C9" s="7" t="n">
        <v>1850</v>
      </c>
      <c r="D9" s="7" t="n">
        <v>2144</v>
      </c>
      <c r="E9" s="7" t="n">
        <v>2462</v>
      </c>
      <c r="F9" s="7" t="n">
        <v>417</v>
      </c>
      <c r="G9" s="7" t="n">
        <v>1580</v>
      </c>
    </row>
    <row r="10">
      <c r="A10" s="7" t="inlineStr">
        <is>
          <t>Prepayments and accrued income</t>
        </is>
      </c>
      <c r="B10" s="7" t="n">
        <v>54187</v>
      </c>
      <c r="C10" s="7" t="n">
        <v>64844</v>
      </c>
      <c r="D10" s="7" t="n">
        <v>57011</v>
      </c>
      <c r="E10" s="7" t="n">
        <v>21899</v>
      </c>
      <c r="F10" s="7" t="n">
        <v>4371</v>
      </c>
      <c r="G10" s="7" t="n">
        <v>5161</v>
      </c>
    </row>
    <row r="11">
      <c r="A11" s="7" t="inlineStr">
        <is>
          <t>Other assets</t>
        </is>
      </c>
      <c r="B11" s="7" t="n">
        <v>7016</v>
      </c>
      <c r="C11" s="7" t="n">
        <v>3652</v>
      </c>
      <c r="D11" s="7" t="n">
        <v>6032</v>
      </c>
      <c r="E11" s="7" t="n">
        <v>399</v>
      </c>
      <c r="F11" s="7" t="n">
        <v>5146</v>
      </c>
      <c r="G11" s="7" t="n">
        <v>7476</v>
      </c>
    </row>
    <row r="12">
      <c r="A12" s="7" t="inlineStr">
        <is>
          <t>Right-of-use assets</t>
        </is>
      </c>
      <c r="B12" s="7" t="n"/>
      <c r="C12" s="7" t="n"/>
      <c r="D12" s="7" t="n">
        <v>0</v>
      </c>
      <c r="E12" s="7" t="n">
        <v>316</v>
      </c>
      <c r="F12" s="7" t="n">
        <v>396</v>
      </c>
      <c r="G12" s="7" t="n">
        <v>91</v>
      </c>
    </row>
    <row r="13">
      <c r="A13" s="7" t="inlineStr">
        <is>
          <t>Financial investments (mandatorily at fair value through profit or loss)</t>
        </is>
      </c>
      <c r="B13" s="7" t="n">
        <v>14</v>
      </c>
      <c r="C13" s="7" t="n">
        <v>13</v>
      </c>
      <c r="D13" s="7" t="n">
        <v>11</v>
      </c>
      <c r="E13" s="7" t="n">
        <v>11</v>
      </c>
      <c r="F13" s="7" t="n">
        <v>20</v>
      </c>
      <c r="G13" s="7" t="n">
        <v>20</v>
      </c>
    </row>
    <row r="14">
      <c r="A14" s="7" t="inlineStr">
        <is>
          <t>Deferred tax asset</t>
        </is>
      </c>
      <c r="B14" s="7" t="n">
        <v>2599</v>
      </c>
      <c r="C14" s="7" t="n">
        <v>2286</v>
      </c>
      <c r="D14" s="7" t="n">
        <v>1920</v>
      </c>
      <c r="E14" s="7" t="n"/>
      <c r="F14" s="7" t="n">
        <v>1256</v>
      </c>
      <c r="G14" s="7" t="n">
        <v>24615</v>
      </c>
    </row>
    <row r="15">
      <c r="A15" s="5" t="inlineStr">
        <is>
          <t>Total Assets</t>
        </is>
      </c>
      <c r="B15" s="5" t="n">
        <v>9284526</v>
      </c>
      <c r="C15" s="5" t="n">
        <v>7722511</v>
      </c>
      <c r="D15" s="5" t="n">
        <v>6422803</v>
      </c>
      <c r="E15" s="5" t="n">
        <v>5845949</v>
      </c>
      <c r="F15" s="5" t="n">
        <v>5873933</v>
      </c>
      <c r="G15" s="5" t="n">
        <v>6608950</v>
      </c>
    </row>
    <row r="16">
      <c r="A16" s="5" t="inlineStr">
        <is>
          <t>Liabilities</t>
        </is>
      </c>
      <c r="B16" s="7" t="n"/>
      <c r="C16" s="7" t="n"/>
      <c r="D16" s="7" t="n"/>
      <c r="E16" s="7" t="n"/>
      <c r="F16" s="7" t="n"/>
      <c r="G16" s="7" t="n"/>
    </row>
    <row r="17">
      <c r="A17" s="7" t="inlineStr">
        <is>
          <t>Customer accounts/deposits</t>
        </is>
      </c>
      <c r="B17" s="7" t="n">
        <v>50000</v>
      </c>
      <c r="C17" s="7" t="n">
        <v>10000</v>
      </c>
      <c r="D17" s="7" t="n"/>
      <c r="E17" s="7" t="n"/>
      <c r="F17" s="7" t="n">
        <v>0</v>
      </c>
      <c r="G17" s="7" t="n">
        <v>166</v>
      </c>
    </row>
    <row r="18">
      <c r="A18" s="7" t="inlineStr">
        <is>
          <t>Derivative financial instruments (liability)</t>
        </is>
      </c>
      <c r="B18" s="7" t="n">
        <v>1051395</v>
      </c>
      <c r="C18" s="7" t="n">
        <v>1058579</v>
      </c>
      <c r="D18" s="7" t="n">
        <v>941237</v>
      </c>
      <c r="E18" s="7" t="n">
        <v>876358</v>
      </c>
      <c r="F18" s="7" t="n">
        <v>723515</v>
      </c>
      <c r="G18" s="7" t="n">
        <v>1449591</v>
      </c>
    </row>
    <row r="19">
      <c r="A19" s="7" t="inlineStr">
        <is>
          <t>Accruals and deferred income</t>
        </is>
      </c>
      <c r="B19" s="7" t="n">
        <v>55479</v>
      </c>
      <c r="C19" s="7" t="n">
        <v>37979</v>
      </c>
      <c r="D19" s="7" t="n">
        <v>32526</v>
      </c>
      <c r="E19" s="7" t="n">
        <v>56730</v>
      </c>
      <c r="F19" s="7" t="n">
        <v>16550</v>
      </c>
      <c r="G19" s="7" t="n">
        <v>17834</v>
      </c>
    </row>
    <row r="20">
      <c r="A20" s="7" t="inlineStr">
        <is>
          <t>Borrowings from affiliates</t>
        </is>
      </c>
      <c r="B20" s="7" t="n">
        <v>222856</v>
      </c>
      <c r="C20" s="7" t="n">
        <v>125488</v>
      </c>
      <c r="D20" s="7" t="n">
        <v>118366</v>
      </c>
      <c r="E20" s="7" t="n">
        <v>121244</v>
      </c>
      <c r="F20" s="7" t="n">
        <v>274421</v>
      </c>
      <c r="G20" s="7" t="n">
        <v>329333</v>
      </c>
    </row>
    <row r="21">
      <c r="A21" s="7" t="inlineStr">
        <is>
          <t>Borrowings from others</t>
        </is>
      </c>
      <c r="B21" s="7" t="n"/>
      <c r="C21" s="7" t="n"/>
      <c r="D21" s="7" t="n">
        <v>0</v>
      </c>
      <c r="E21" s="7" t="n">
        <v>761</v>
      </c>
      <c r="F21" s="7" t="n">
        <v>610</v>
      </c>
      <c r="G21" s="7" t="n">
        <v>8728</v>
      </c>
    </row>
    <row r="22">
      <c r="A22" s="7" t="inlineStr">
        <is>
          <t>Commercial papers issued</t>
        </is>
      </c>
      <c r="B22" s="7" t="n">
        <v>505372</v>
      </c>
      <c r="C22" s="7" t="n">
        <v>682741</v>
      </c>
      <c r="D22" s="7" t="n">
        <v>815131</v>
      </c>
      <c r="E22" s="7" t="n">
        <v>789011</v>
      </c>
      <c r="F22" s="7" t="n">
        <v>794070</v>
      </c>
      <c r="G22" s="7" t="n">
        <v>798480</v>
      </c>
    </row>
    <row r="23">
      <c r="A23" s="7" t="inlineStr">
        <is>
          <t>Bonds and medium-term notes</t>
        </is>
      </c>
      <c r="B23" s="7" t="n">
        <v>7219566</v>
      </c>
      <c r="C23" s="7" t="n">
        <v>5539325</v>
      </c>
      <c r="D23" s="7" t="n">
        <v>4258572</v>
      </c>
      <c r="E23" s="7" t="n">
        <v>3578986</v>
      </c>
      <c r="F23" s="7" t="n">
        <v>3793645</v>
      </c>
      <c r="G23" s="7" t="n">
        <v>3834998</v>
      </c>
    </row>
    <row r="24">
      <c r="A24" s="7" t="inlineStr">
        <is>
          <t>Group relief payable</t>
        </is>
      </c>
      <c r="B24" s="7" t="n">
        <v>6088</v>
      </c>
      <c r="C24" s="7" t="n">
        <v>5564</v>
      </c>
      <c r="D24" s="7" t="n">
        <v>4231</v>
      </c>
      <c r="E24" s="7" t="n">
        <v>7478</v>
      </c>
      <c r="F24" s="7" t="n">
        <v>5793</v>
      </c>
      <c r="G24" s="7" t="n"/>
    </row>
    <row r="25">
      <c r="A25" s="7" t="inlineStr">
        <is>
          <t>Corporate tax liability</t>
        </is>
      </c>
      <c r="B25" s="7" t="n"/>
      <c r="C25" s="7" t="n"/>
      <c r="D25" s="7" t="n">
        <v>0</v>
      </c>
      <c r="E25" s="7" t="n">
        <v>787</v>
      </c>
      <c r="F25" s="7" t="n">
        <v>837</v>
      </c>
      <c r="G25" s="7" t="n">
        <v>1487</v>
      </c>
    </row>
    <row r="26">
      <c r="A26" s="7" t="inlineStr">
        <is>
          <t>Other liabilities</t>
        </is>
      </c>
      <c r="B26" s="7" t="n">
        <v>1514</v>
      </c>
      <c r="C26" s="7" t="n">
        <v>74</v>
      </c>
      <c r="D26" s="7" t="n">
        <v>72</v>
      </c>
      <c r="E26" s="7" t="n">
        <v>364</v>
      </c>
      <c r="F26" s="7" t="n">
        <v>1075</v>
      </c>
      <c r="G26" s="7" t="n">
        <v>114</v>
      </c>
    </row>
    <row r="27">
      <c r="A27" s="7" t="inlineStr">
        <is>
          <t>Deferred tax liability</t>
        </is>
      </c>
      <c r="B27" s="7" t="n"/>
      <c r="C27" s="7" t="n"/>
      <c r="D27" s="7" t="n">
        <v>0</v>
      </c>
      <c r="E27" s="7" t="n">
        <v>27062</v>
      </c>
      <c r="F27" s="7" t="n"/>
      <c r="G27" s="7" t="n"/>
    </row>
    <row r="28">
      <c r="A28" s="5" t="inlineStr">
        <is>
          <t>Total Liabilities</t>
        </is>
      </c>
      <c r="B28" s="5" t="n">
        <v>9112270</v>
      </c>
      <c r="C28" s="5" t="n">
        <v>7459750</v>
      </c>
      <c r="D28" s="5" t="n">
        <v>6170135</v>
      </c>
      <c r="E28" s="5" t="n">
        <v>5458781</v>
      </c>
      <c r="F28" s="5" t="n">
        <v>5610516</v>
      </c>
      <c r="G28" s="5" t="n">
        <v>6440731</v>
      </c>
    </row>
    <row r="29">
      <c r="A29" s="5" t="inlineStr">
        <is>
          <t>Shareholders' funds</t>
        </is>
      </c>
      <c r="B29" s="7" t="n"/>
      <c r="C29" s="7" t="n"/>
      <c r="D29" s="7" t="n"/>
      <c r="E29" s="7" t="n"/>
      <c r="F29" s="7" t="n"/>
      <c r="G29" s="7" t="n"/>
    </row>
    <row r="30">
      <c r="A30" s="7" t="inlineStr">
        <is>
          <t>Called up share capital</t>
        </is>
      </c>
      <c r="B30" s="7" t="n">
        <v>255000</v>
      </c>
      <c r="C30" s="7" t="n">
        <v>255000</v>
      </c>
      <c r="D30" s="7" t="n">
        <v>255000</v>
      </c>
      <c r="E30" s="7" t="n">
        <v>255000</v>
      </c>
      <c r="F30" s="7" t="n">
        <v>255000</v>
      </c>
      <c r="G30" s="7" t="n">
        <v>255000</v>
      </c>
    </row>
    <row r="31">
      <c r="A31" s="7" t="inlineStr">
        <is>
          <t>Retained earnings</t>
        </is>
      </c>
      <c r="B31" s="7" t="n">
        <v>27726</v>
      </c>
      <c r="C31" s="7" t="n">
        <v>34894</v>
      </c>
      <c r="D31" s="7" t="n">
        <v>26080</v>
      </c>
      <c r="E31" s="7" t="n">
        <v>30560</v>
      </c>
      <c r="F31" s="7" t="n">
        <v>33222</v>
      </c>
      <c r="G31" s="7" t="n">
        <v>21879</v>
      </c>
    </row>
    <row r="32">
      <c r="A32" s="7" t="inlineStr">
        <is>
          <t>Own credit reserve</t>
        </is>
      </c>
      <c r="B32" s="7" t="n">
        <v>-110470</v>
      </c>
      <c r="C32" s="7" t="n">
        <v>-27133</v>
      </c>
      <c r="D32" s="7" t="n">
        <v>-28412</v>
      </c>
      <c r="E32" s="7" t="n">
        <v>101608</v>
      </c>
      <c r="F32" s="7" t="n">
        <v>-24805</v>
      </c>
      <c r="G32" s="7" t="n">
        <v>-108660</v>
      </c>
    </row>
    <row r="33">
      <c r="A33" s="5" t="inlineStr">
        <is>
          <t>Total Equity</t>
        </is>
      </c>
      <c r="B33" s="5" t="n">
        <v>172256</v>
      </c>
      <c r="C33" s="5" t="n">
        <v>262761</v>
      </c>
      <c r="D33" s="5" t="n">
        <v>252668</v>
      </c>
      <c r="E33" s="5" t="n">
        <v>387168</v>
      </c>
      <c r="F33" s="5" t="n">
        <v>263417</v>
      </c>
      <c r="G33" s="5" t="n">
        <v>168219</v>
      </c>
    </row>
    <row r="34">
      <c r="A34" s="5" t="inlineStr">
        <is>
          <t>Total Liabilities and Equity</t>
        </is>
      </c>
      <c r="B34" s="5" t="n">
        <v>9284526</v>
      </c>
      <c r="C34" s="5" t="n">
        <v>7722511</v>
      </c>
      <c r="D34" s="5" t="n">
        <v>6422803</v>
      </c>
      <c r="E34" s="5" t="n">
        <v>5845949</v>
      </c>
      <c r="F34" s="5" t="n">
        <v>5873933</v>
      </c>
      <c r="G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Income</t>
        </is>
      </c>
      <c r="B4" s="7" t="n"/>
      <c r="C4" s="7" t="n"/>
      <c r="D4" s="7" t="n"/>
      <c r="E4" s="7" t="n"/>
      <c r="F4" s="7" t="n"/>
      <c r="G4" s="7" t="n"/>
    </row>
    <row r="5">
      <c r="A5" s="7" t="inlineStr">
        <is>
          <t>Interest income calculated using effective interest method</t>
        </is>
      </c>
      <c r="B5" s="7" t="n">
        <v>251525</v>
      </c>
      <c r="C5" s="7" t="n">
        <v>220848</v>
      </c>
      <c r="D5" s="7" t="n">
        <v>180718</v>
      </c>
      <c r="E5" s="7" t="n">
        <v>64139</v>
      </c>
      <c r="F5" s="7" t="n">
        <v>12320</v>
      </c>
      <c r="G5" s="7" t="n">
        <v>17163</v>
      </c>
    </row>
    <row r="6">
      <c r="A6" s="7" t="inlineStr">
        <is>
          <t>Other interest and similar income</t>
        </is>
      </c>
      <c r="B6" s="7" t="n">
        <v>87187</v>
      </c>
      <c r="C6" s="7" t="n">
        <v>110413</v>
      </c>
      <c r="D6" s="7" t="n">
        <v>112645</v>
      </c>
      <c r="E6" s="7" t="n">
        <v>49998</v>
      </c>
      <c r="F6" s="7" t="n">
        <v>12771</v>
      </c>
      <c r="G6" s="7" t="n">
        <v>16026</v>
      </c>
    </row>
    <row r="7">
      <c r="A7" s="7" t="inlineStr">
        <is>
          <t>Interest expense calculated using effective interest method</t>
        </is>
      </c>
      <c r="B7" s="7" t="n">
        <v>-16406</v>
      </c>
      <c r="C7" s="7" t="n">
        <v>-27677</v>
      </c>
      <c r="D7" s="7" t="n">
        <v>-29736</v>
      </c>
      <c r="E7" s="7" t="n">
        <v>-7783</v>
      </c>
      <c r="F7" s="7" t="n">
        <v>-823</v>
      </c>
      <c r="G7" s="7" t="n">
        <v>-566</v>
      </c>
    </row>
    <row r="8">
      <c r="A8" s="7" t="inlineStr">
        <is>
          <t>Other interest and similar expenses</t>
        </is>
      </c>
      <c r="B8" s="7" t="n">
        <v>-3339</v>
      </c>
      <c r="C8" s="7" t="n">
        <v>-4455</v>
      </c>
      <c r="D8" s="7" t="n">
        <v>-4323</v>
      </c>
      <c r="E8" s="7" t="n"/>
      <c r="F8" s="7" t="n">
        <v>-4473</v>
      </c>
      <c r="G8" s="7" t="n">
        <v>-5948</v>
      </c>
    </row>
    <row r="9">
      <c r="A9" s="5" t="inlineStr">
        <is>
          <t>Net interest income</t>
        </is>
      </c>
      <c r="B9" s="5" t="n">
        <v>318967</v>
      </c>
      <c r="C9" s="5" t="n">
        <v>299129</v>
      </c>
      <c r="D9" s="5" t="n">
        <v>259304</v>
      </c>
      <c r="E9" s="5" t="n">
        <v>106354</v>
      </c>
      <c r="F9" s="5" t="n">
        <v>19795</v>
      </c>
      <c r="G9" s="5" t="n">
        <v>26675</v>
      </c>
    </row>
    <row r="10">
      <c r="A10" s="7" t="inlineStr">
        <is>
          <t>Fee and commission income</t>
        </is>
      </c>
      <c r="B10" s="7" t="n">
        <v>34649</v>
      </c>
      <c r="C10" s="7" t="n">
        <v>20044</v>
      </c>
      <c r="D10" s="7" t="n">
        <v>11994</v>
      </c>
      <c r="E10" s="7" t="n">
        <v>43462</v>
      </c>
      <c r="F10" s="7" t="n">
        <v>41653</v>
      </c>
      <c r="G10" s="7" t="n">
        <v>52332</v>
      </c>
    </row>
    <row r="11">
      <c r="A11" s="7" t="inlineStr">
        <is>
          <t>Fee and commission expense</t>
        </is>
      </c>
      <c r="B11" s="7" t="n">
        <v>-1598</v>
      </c>
      <c r="C11" s="7" t="n">
        <v>-1514</v>
      </c>
      <c r="D11" s="7" t="n">
        <v>-1455</v>
      </c>
      <c r="E11" s="7" t="n">
        <v>-1326</v>
      </c>
      <c r="F11" s="7" t="n">
        <v>-1342</v>
      </c>
      <c r="G11" s="7" t="n">
        <v>-2939</v>
      </c>
    </row>
    <row r="12">
      <c r="A12" s="7" t="inlineStr">
        <is>
          <t>Gains and losses from financial instruments at fair value through profit or loss</t>
        </is>
      </c>
      <c r="B12" s="7" t="n">
        <v>-328872</v>
      </c>
      <c r="C12" s="7" t="n">
        <v>-296169</v>
      </c>
      <c r="D12" s="7" t="n">
        <v>-251873</v>
      </c>
      <c r="E12" s="7" t="n">
        <v>-104219</v>
      </c>
      <c r="F12" s="7" t="n">
        <v>-28708</v>
      </c>
      <c r="G12" s="7" t="n">
        <v>-47561</v>
      </c>
    </row>
    <row r="13">
      <c r="A13" s="5" t="inlineStr">
        <is>
          <t>Total operating income</t>
        </is>
      </c>
      <c r="B13" s="5" t="n">
        <v>23146</v>
      </c>
      <c r="C13" s="5" t="n">
        <v>21490</v>
      </c>
      <c r="D13" s="5" t="n">
        <v>17970</v>
      </c>
      <c r="E13" s="5" t="n">
        <v>44271</v>
      </c>
      <c r="F13" s="5" t="n">
        <v>31398</v>
      </c>
      <c r="G13" s="5" t="n">
        <v>28507</v>
      </c>
    </row>
    <row r="14">
      <c r="A14" s="5" t="inlineStr">
        <is>
          <t>General and administrative expenses</t>
        </is>
      </c>
      <c r="B14" s="5" t="n">
        <v>-8616</v>
      </c>
      <c r="C14" s="5" t="n">
        <v>-9035</v>
      </c>
      <c r="D14" s="5" t="n">
        <v>-8391</v>
      </c>
      <c r="E14" s="5" t="n">
        <v>-35479</v>
      </c>
      <c r="F14" s="5" t="n">
        <v>-11655</v>
      </c>
      <c r="G14" s="5" t="n">
        <v>-14680</v>
      </c>
    </row>
    <row r="15">
      <c r="A15" s="7" t="inlineStr">
        <is>
          <t>Credit impairment release/(charge)</t>
        </is>
      </c>
      <c r="B15" s="7" t="n">
        <v>-1353</v>
      </c>
      <c r="C15" s="7" t="n">
        <v>38</v>
      </c>
      <c r="D15" s="7" t="n">
        <v>-34</v>
      </c>
      <c r="E15" s="7" t="n">
        <v>-91</v>
      </c>
      <c r="F15" s="7" t="n">
        <v>-554</v>
      </c>
      <c r="G15" s="7" t="n">
        <v>46</v>
      </c>
    </row>
    <row r="16">
      <c r="A16" s="5" t="inlineStr">
        <is>
          <t>Profit before tax</t>
        </is>
      </c>
      <c r="B16" s="5" t="n">
        <v>13177</v>
      </c>
      <c r="C16" s="5" t="n">
        <v>12493</v>
      </c>
      <c r="D16" s="5" t="n">
        <v>9545</v>
      </c>
      <c r="E16" s="5" t="n">
        <v>8701</v>
      </c>
      <c r="F16" s="5" t="n">
        <v>19189</v>
      </c>
      <c r="G16" s="5" t="n">
        <v>13873</v>
      </c>
    </row>
    <row r="17">
      <c r="A17" s="7" t="inlineStr">
        <is>
          <t>Tax charge on profit on ordinary activities</t>
        </is>
      </c>
      <c r="B17" s="7" t="n">
        <v>-3312</v>
      </c>
      <c r="C17" s="7" t="n">
        <v>-3123</v>
      </c>
      <c r="D17" s="7" t="n">
        <v>-2370</v>
      </c>
      <c r="E17" s="7" t="n">
        <v>-1653</v>
      </c>
      <c r="F17" s="7" t="n">
        <v>-3647</v>
      </c>
      <c r="G17" s="7" t="n">
        <v>-2525</v>
      </c>
    </row>
    <row r="18">
      <c r="A18" s="5" t="inlineStr">
        <is>
          <t>Profit for the year</t>
        </is>
      </c>
      <c r="B18" s="5" t="n">
        <v>9865</v>
      </c>
      <c r="C18" s="5" t="n">
        <v>9370</v>
      </c>
      <c r="D18" s="5" t="n">
        <v>7175</v>
      </c>
      <c r="E18" s="5" t="n">
        <v>7048</v>
      </c>
      <c r="F18" s="5" t="n">
        <v>15542</v>
      </c>
      <c r="G18" s="5" t="n">
        <v>11348</v>
      </c>
    </row>
    <row r="19">
      <c r="A19" s="5" t="inlineStr">
        <is>
          <t>Other comprehensive income</t>
        </is>
      </c>
      <c r="B19" s="7" t="n"/>
      <c r="C19" s="7" t="n"/>
      <c r="D19" s="7" t="n"/>
      <c r="E19" s="7" t="n"/>
      <c r="F19" s="7" t="n"/>
      <c r="G19" s="7" t="n"/>
    </row>
    <row r="20">
      <c r="A20" s="7" t="inlineStr">
        <is>
          <t>Fair value changes on financial liabilities at FVTPL attributable to own credit risk (net of tax)</t>
        </is>
      </c>
      <c r="B20" s="7" t="n">
        <v>-91870</v>
      </c>
      <c r="C20" s="7" t="n">
        <v>723</v>
      </c>
      <c r="D20" s="7" t="n">
        <v>-136675</v>
      </c>
      <c r="E20" s="7" t="n">
        <v>126703</v>
      </c>
      <c r="F20" s="7" t="n">
        <v>89656</v>
      </c>
      <c r="G20" s="7" t="n">
        <v>-172938</v>
      </c>
    </row>
    <row r="21">
      <c r="A21" s="5" t="inlineStr">
        <is>
          <t>Total comprehensive income/(loss) for the year</t>
        </is>
      </c>
      <c r="B21" s="5" t="n">
        <v>-82005</v>
      </c>
      <c r="C21" s="5" t="n">
        <v>10093</v>
      </c>
      <c r="D21" s="5" t="n">
        <v>-129500</v>
      </c>
      <c r="E21" s="5" t="n">
        <v>133751</v>
      </c>
      <c r="F21" s="5" t="n">
        <v>105198</v>
      </c>
      <c r="G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29">
      <c r="A29" s="7" t="inlineStr">
        <is>
          <t>Dividends paid during the year</t>
        </is>
      </c>
      <c r="B29" s="7" t="n"/>
      <c r="C29" s="7" t="n">
        <v>-8500</v>
      </c>
      <c r="D29" s="7" t="n"/>
      <c r="E29" s="7" t="n">
        <v>-8500</v>
      </c>
    </row>
    <row r="30">
      <c r="A30" s="7" t="inlineStr">
        <is>
          <t>Transferred from own credit reserve to retained earnings</t>
        </is>
      </c>
      <c r="B30" s="7" t="n"/>
      <c r="C30" s="7" t="n">
        <v>-8534</v>
      </c>
      <c r="D30" s="7" t="n">
        <v>8534</v>
      </c>
      <c r="E30" s="7" t="n">
        <v>0</v>
      </c>
    </row>
    <row r="31">
      <c r="A31" s="7" t="inlineStr">
        <is>
          <t>Profit for the year</t>
        </is>
      </c>
      <c r="B31" s="7" t="n"/>
      <c r="C31" s="7" t="n">
        <v>9865</v>
      </c>
      <c r="D31" s="7" t="n"/>
      <c r="E31" s="7" t="n">
        <v>9865</v>
      </c>
    </row>
    <row r="32">
      <c r="A32" s="7" t="inlineStr">
        <is>
          <t>Other comprehensive loss (net of tax)</t>
        </is>
      </c>
      <c r="B32" s="7" t="n"/>
      <c r="C32" s="7" t="n"/>
      <c r="D32" s="7" t="n">
        <v>-91870</v>
      </c>
      <c r="E32" s="7" t="n">
        <v>-91870</v>
      </c>
    </row>
    <row r="33">
      <c r="A33" s="5" t="inlineStr">
        <is>
          <t>At 31 March 2026</t>
        </is>
      </c>
      <c r="B33" s="5" t="n">
        <v>255000</v>
      </c>
      <c r="C33" s="5" t="n">
        <v>27726</v>
      </c>
      <c r="D33" s="5" t="n">
        <v>-110470</v>
      </c>
      <c r="E33" s="5" t="n">
        <v>172256</v>
      </c>
    </row>
    <row r="35" ht="280" customHeight="1">
      <c r="A35"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Cash Flows</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Operating activities</t>
        </is>
      </c>
      <c r="B4" s="7" t="n"/>
      <c r="C4" s="7" t="n"/>
      <c r="D4" s="7" t="n"/>
      <c r="E4" s="7" t="n"/>
      <c r="F4" s="7" t="n"/>
      <c r="G4" s="7" t="n"/>
    </row>
    <row r="5">
      <c r="A5" s="7" t="inlineStr">
        <is>
          <t>Profit before taxation</t>
        </is>
      </c>
      <c r="B5" s="7" t="n">
        <v>13177</v>
      </c>
      <c r="C5" s="7" t="n">
        <v>12493</v>
      </c>
      <c r="D5" s="7" t="n">
        <v>9544</v>
      </c>
      <c r="E5" s="7" t="n">
        <v>8701</v>
      </c>
      <c r="F5" s="7" t="n">
        <v>19189</v>
      </c>
      <c r="G5" s="7" t="n">
        <v>13873</v>
      </c>
    </row>
    <row r="6">
      <c r="A6" s="7" t="inlineStr">
        <is>
          <t>Depreciation</t>
        </is>
      </c>
      <c r="B6" s="7" t="n"/>
      <c r="C6" s="7" t="n">
        <v>0</v>
      </c>
      <c r="D6" s="7" t="n">
        <v>17</v>
      </c>
      <c r="E6" s="7" t="n">
        <v>80</v>
      </c>
      <c r="F6" s="7" t="n">
        <v>105</v>
      </c>
      <c r="G6" s="7" t="n">
        <v>113</v>
      </c>
    </row>
    <row r="7">
      <c r="A7" s="7" t="inlineStr">
        <is>
          <t>Net gain/loss including FX gain/loss on bonds and medium term notes</t>
        </is>
      </c>
      <c r="B7" s="7" t="n">
        <v>177065</v>
      </c>
      <c r="C7" s="7" t="n">
        <v>56668</v>
      </c>
      <c r="D7" s="7" t="n">
        <v>95274</v>
      </c>
      <c r="E7" s="7" t="n"/>
      <c r="F7" s="7" t="n"/>
      <c r="G7" s="7" t="n"/>
    </row>
    <row r="8">
      <c r="A8" s="7" t="inlineStr">
        <is>
          <t>Interest and FX gain/loss on commercial papers</t>
        </is>
      </c>
      <c r="B8" s="7" t="n">
        <v>51562</v>
      </c>
      <c r="C8" s="7" t="n">
        <v>30018</v>
      </c>
      <c r="D8" s="7" t="n">
        <v>21359</v>
      </c>
      <c r="E8" s="7" t="n"/>
      <c r="F8" s="7" t="n"/>
      <c r="G8" s="7" t="n"/>
    </row>
    <row r="9">
      <c r="A9" s="7" t="inlineStr">
        <is>
          <t>Provisions</t>
        </is>
      </c>
      <c r="B9" s="7" t="n">
        <v>1353</v>
      </c>
      <c r="C9" s="7" t="n">
        <v>-38</v>
      </c>
      <c r="D9" s="7" t="n">
        <v>34</v>
      </c>
      <c r="E9" s="7" t="n"/>
      <c r="F9" s="7" t="n"/>
      <c r="G9" s="7" t="n"/>
    </row>
    <row r="10">
      <c r="A10" s="7" t="inlineStr">
        <is>
          <t>Net change in derivative assets</t>
        </is>
      </c>
      <c r="B10" s="7" t="n">
        <v>-181274</v>
      </c>
      <c r="C10" s="7" t="n">
        <v>-142070</v>
      </c>
      <c r="D10" s="7" t="n">
        <v>-140794</v>
      </c>
      <c r="E10" s="7" t="n">
        <v>291082</v>
      </c>
      <c r="F10" s="7" t="n">
        <v>1032728</v>
      </c>
      <c r="G10" s="7" t="n">
        <v>421444</v>
      </c>
    </row>
    <row r="11">
      <c r="A11" s="7" t="inlineStr">
        <is>
          <t>Net change in loans and advances to affiliates</t>
        </is>
      </c>
      <c r="B11" s="7" t="n">
        <v>-1472975</v>
      </c>
      <c r="C11" s="7" t="n">
        <v>-1305745</v>
      </c>
      <c r="D11" s="7" t="n">
        <v>-422254</v>
      </c>
      <c r="E11" s="7" t="n">
        <v>-607748</v>
      </c>
      <c r="F11" s="7" t="n">
        <v>-1012313</v>
      </c>
      <c r="G11" s="7" t="n">
        <v>-857200</v>
      </c>
    </row>
    <row r="12">
      <c r="A12" s="7" t="inlineStr">
        <is>
          <t>Net change in securities purchased under agreements to resell</t>
        </is>
      </c>
      <c r="B12" s="7" t="n">
        <v>83529</v>
      </c>
      <c r="C12" s="7" t="n">
        <v>154611</v>
      </c>
      <c r="D12" s="7" t="n">
        <v>21196</v>
      </c>
      <c r="E12" s="7" t="n">
        <v>364450</v>
      </c>
      <c r="F12" s="7" t="n">
        <v>685731</v>
      </c>
      <c r="G12" s="7" t="n">
        <v>891295</v>
      </c>
    </row>
    <row r="13">
      <c r="A13" s="7" t="inlineStr">
        <is>
          <t>Net change in loans and advances to others</t>
        </is>
      </c>
      <c r="B13" s="7" t="n">
        <v>304</v>
      </c>
      <c r="C13" s="7" t="n">
        <v>294</v>
      </c>
      <c r="D13" s="7" t="n">
        <v>318</v>
      </c>
      <c r="E13" s="7" t="n">
        <v>-2045</v>
      </c>
      <c r="F13" s="7" t="n">
        <v>1163</v>
      </c>
      <c r="G13" s="7" t="n">
        <v>64842</v>
      </c>
    </row>
    <row r="14">
      <c r="A14" s="7" t="inlineStr">
        <is>
          <t>Net changes in prepayments and accrued income</t>
        </is>
      </c>
      <c r="B14" s="7" t="n">
        <v>10657</v>
      </c>
      <c r="C14" s="7" t="n">
        <v>-7833</v>
      </c>
      <c r="D14" s="7" t="n">
        <v>-35111</v>
      </c>
      <c r="E14" s="7" t="n">
        <v>-17528</v>
      </c>
      <c r="F14" s="7" t="n">
        <v>791</v>
      </c>
      <c r="G14" s="7" t="n">
        <v>-1791</v>
      </c>
    </row>
    <row r="15">
      <c r="A15" s="7" t="inlineStr">
        <is>
          <t>Net change in other assets</t>
        </is>
      </c>
      <c r="B15" s="7" t="n">
        <v>-3364</v>
      </c>
      <c r="C15" s="7" t="n">
        <v>2380</v>
      </c>
      <c r="D15" s="7" t="n">
        <v>-5633</v>
      </c>
      <c r="E15" s="7" t="n">
        <v>4747</v>
      </c>
      <c r="F15" s="7" t="n">
        <v>2330</v>
      </c>
      <c r="G15" s="7" t="n">
        <v>17160</v>
      </c>
    </row>
    <row r="16">
      <c r="A16" s="7" t="inlineStr">
        <is>
          <t>Net change in financial investments</t>
        </is>
      </c>
      <c r="B16" s="7" t="n">
        <v>-1</v>
      </c>
      <c r="C16" s="7" t="n">
        <v>-2</v>
      </c>
      <c r="D16" s="7" t="n">
        <v>0</v>
      </c>
      <c r="E16" s="7" t="n">
        <v>9</v>
      </c>
      <c r="F16" s="7" t="n">
        <v>0</v>
      </c>
      <c r="G16" s="7" t="n">
        <v>-2</v>
      </c>
    </row>
    <row r="17">
      <c r="A17" s="7" t="inlineStr">
        <is>
          <t>Net change in customer accounts</t>
        </is>
      </c>
      <c r="B17" s="7" t="n">
        <v>40000</v>
      </c>
      <c r="C17" s="7" t="n">
        <v>10000</v>
      </c>
      <c r="D17" s="7" t="n">
        <v>-761</v>
      </c>
      <c r="E17" s="7" t="n">
        <v>0</v>
      </c>
      <c r="F17" s="7" t="n">
        <v>-166</v>
      </c>
      <c r="G17" s="7" t="n">
        <v>10</v>
      </c>
    </row>
    <row r="18">
      <c r="A18" s="7" t="inlineStr">
        <is>
          <t>Net change in derivative liabilities</t>
        </is>
      </c>
      <c r="B18" s="7" t="n">
        <v>-7184</v>
      </c>
      <c r="C18" s="7" t="n">
        <v>117342</v>
      </c>
      <c r="D18" s="7" t="n">
        <v>64879</v>
      </c>
      <c r="E18" s="7" t="n">
        <v>152843</v>
      </c>
      <c r="F18" s="7" t="n">
        <v>-726077</v>
      </c>
      <c r="G18" s="7" t="n">
        <v>-480143</v>
      </c>
    </row>
    <row r="19">
      <c r="A19" s="7" t="inlineStr">
        <is>
          <t>Net change in accruals and deferred income</t>
        </is>
      </c>
      <c r="B19" s="7" t="n">
        <v>17500</v>
      </c>
      <c r="C19" s="7" t="n">
        <v>5453</v>
      </c>
      <c r="D19" s="7" t="n">
        <v>-24204</v>
      </c>
      <c r="E19" s="7" t="n">
        <v>40180</v>
      </c>
      <c r="F19" s="7" t="n">
        <v>-1286</v>
      </c>
      <c r="G19" s="7" t="n">
        <v>3734</v>
      </c>
    </row>
    <row r="20">
      <c r="A20" s="7" t="inlineStr">
        <is>
          <t>Net change in borrowings from affiliates</t>
        </is>
      </c>
      <c r="B20" s="7" t="n">
        <v>97368</v>
      </c>
      <c r="C20" s="7" t="n">
        <v>7122</v>
      </c>
      <c r="D20" s="7" t="n">
        <v>-2879</v>
      </c>
      <c r="E20" s="7" t="n">
        <v>-153177</v>
      </c>
      <c r="F20" s="7" t="n">
        <v>-54912</v>
      </c>
      <c r="G20" s="7" t="n">
        <v>1757</v>
      </c>
    </row>
    <row r="21">
      <c r="A21" s="7" t="inlineStr">
        <is>
          <t>Net change in borrowings from others</t>
        </is>
      </c>
      <c r="B21" s="7" t="n"/>
      <c r="C21" s="7" t="n"/>
      <c r="D21" s="7" t="n"/>
      <c r="E21" s="7" t="n">
        <v>151</v>
      </c>
      <c r="F21" s="7" t="n">
        <v>-8118</v>
      </c>
      <c r="G21" s="7" t="n">
        <v>-29299</v>
      </c>
    </row>
    <row r="22">
      <c r="A22" s="7" t="inlineStr">
        <is>
          <t>Net change in commercial papers issued</t>
        </is>
      </c>
      <c r="B22" s="7" t="n"/>
      <c r="C22" s="7" t="n"/>
      <c r="D22" s="7" t="n"/>
      <c r="E22" s="7" t="n">
        <v>-19080</v>
      </c>
      <c r="F22" s="7" t="n">
        <v>-53485</v>
      </c>
      <c r="G22" s="7" t="n">
        <v>-1255</v>
      </c>
    </row>
    <row r="23">
      <c r="A23" s="7" t="inlineStr">
        <is>
          <t>Net change in securities sold under agreements to repurchase</t>
        </is>
      </c>
      <c r="B23" s="7" t="n"/>
      <c r="C23" s="7" t="n"/>
      <c r="D23" s="7" t="n"/>
      <c r="E23" s="7" t="n"/>
      <c r="F23" s="7" t="n"/>
      <c r="G23" s="7" t="n">
        <v>-425000</v>
      </c>
    </row>
    <row r="24">
      <c r="A24" s="7" t="inlineStr">
        <is>
          <t>Net change in bonds and medium-term notes</t>
        </is>
      </c>
      <c r="B24" s="7" t="n"/>
      <c r="C24" s="7" t="n"/>
      <c r="D24" s="7" t="n"/>
      <c r="E24" s="7" t="n">
        <v>-405274</v>
      </c>
      <c r="F24" s="7" t="n">
        <v>-492696</v>
      </c>
      <c r="G24" s="7" t="n">
        <v>12330</v>
      </c>
    </row>
    <row r="25">
      <c r="A25" s="7" t="inlineStr">
        <is>
          <t>Net change in other liabilities</t>
        </is>
      </c>
      <c r="B25" s="7" t="n">
        <v>916</v>
      </c>
      <c r="C25" s="7" t="n">
        <v>28</v>
      </c>
      <c r="D25" s="7" t="n">
        <v>-11</v>
      </c>
      <c r="E25" s="7" t="n">
        <v>-679</v>
      </c>
      <c r="F25" s="7" t="n">
        <v>596</v>
      </c>
      <c r="G25" s="7" t="n">
        <v>-43</v>
      </c>
    </row>
    <row r="26">
      <c r="A26" s="7" t="inlineStr">
        <is>
          <t>Income tax and group relief paid</t>
        </is>
      </c>
      <c r="B26" s="7" t="n">
        <v>-2546</v>
      </c>
      <c r="C26" s="7" t="n">
        <v>-1684</v>
      </c>
      <c r="D26" s="7" t="n">
        <v>-6553</v>
      </c>
      <c r="E26" s="7" t="n">
        <v>0</v>
      </c>
      <c r="F26" s="7" t="n">
        <v>0</v>
      </c>
      <c r="G26" s="7" t="n">
        <v>-3287</v>
      </c>
    </row>
    <row r="27">
      <c r="A27" s="5" t="inlineStr">
        <is>
          <t>Net cash flow from operating activities</t>
        </is>
      </c>
      <c r="B27" s="5" t="n">
        <v>-1173913</v>
      </c>
      <c r="C27" s="5" t="n">
        <v>-1060963</v>
      </c>
      <c r="D27" s="5" t="n">
        <v>-425579</v>
      </c>
      <c r="E27" s="5" t="n">
        <v>-343288</v>
      </c>
      <c r="F27" s="5" t="n">
        <v>-606420</v>
      </c>
      <c r="G27" s="5" t="n">
        <v>-371462</v>
      </c>
    </row>
    <row r="28">
      <c r="A28" s="5" t="inlineStr">
        <is>
          <t>Cash flows from financing activities</t>
        </is>
      </c>
      <c r="B28" s="7" t="n"/>
      <c r="C28" s="7" t="n"/>
      <c r="D28" s="7" t="n"/>
      <c r="E28" s="7" t="n"/>
      <c r="F28" s="7" t="n"/>
      <c r="G28" s="7" t="n"/>
    </row>
    <row r="29">
      <c r="A29" s="7" t="inlineStr">
        <is>
          <t>Proceeds from issuance of bonds and commercial papers</t>
        </is>
      </c>
      <c r="B29" s="7" t="n">
        <v>4228662</v>
      </c>
      <c r="C29" s="7" t="n">
        <v>2784772</v>
      </c>
      <c r="D29" s="7" t="n">
        <v>2939680</v>
      </c>
      <c r="E29" s="7" t="n">
        <v>3368550</v>
      </c>
      <c r="F29" s="7" t="n">
        <v>3257272</v>
      </c>
      <c r="G29" s="7" t="n">
        <v>3408164</v>
      </c>
    </row>
    <row r="30">
      <c r="A30" s="7" t="inlineStr">
        <is>
          <t>Repayments of bonds and commercial papers</t>
        </is>
      </c>
      <c r="B30" s="7" t="n">
        <v>-3046844</v>
      </c>
      <c r="C30" s="7" t="n">
        <v>-1722843</v>
      </c>
      <c r="D30" s="7" t="n">
        <v>-2516103</v>
      </c>
      <c r="E30" s="7" t="n">
        <v>-3008861</v>
      </c>
      <c r="F30" s="7" t="n">
        <v>-2642274</v>
      </c>
      <c r="G30" s="7" t="n">
        <v>-3038749</v>
      </c>
    </row>
    <row r="31">
      <c r="A31" s="7" t="inlineStr">
        <is>
          <t>Dividends paid</t>
        </is>
      </c>
      <c r="B31" s="7" t="n">
        <v>-8500</v>
      </c>
      <c r="C31" s="7" t="n">
        <v>0</v>
      </c>
      <c r="D31" s="7" t="n">
        <v>-5000</v>
      </c>
      <c r="E31" s="7" t="n">
        <v>-10000</v>
      </c>
      <c r="F31" s="7" t="n">
        <v>-10000</v>
      </c>
      <c r="G31" s="7" t="n">
        <v>-12000</v>
      </c>
    </row>
    <row r="32">
      <c r="A32" s="7" t="inlineStr">
        <is>
          <t>Payment of principal portion of lease liabilities</t>
        </is>
      </c>
      <c r="B32" s="7" t="n"/>
      <c r="C32" s="7" t="n">
        <v>0</v>
      </c>
      <c r="D32" s="7" t="n">
        <v>-18</v>
      </c>
      <c r="E32" s="7" t="n">
        <v>-82</v>
      </c>
      <c r="F32" s="7" t="n">
        <v>-114</v>
      </c>
      <c r="G32" s="7" t="n">
        <v>-113</v>
      </c>
    </row>
    <row r="33">
      <c r="A33" s="5" t="inlineStr">
        <is>
          <t>Net cash flows from financing activities</t>
        </is>
      </c>
      <c r="B33" s="5" t="n">
        <v>1173318</v>
      </c>
      <c r="C33" s="5" t="n">
        <v>1061929</v>
      </c>
      <c r="D33" s="5" t="n">
        <v>418559</v>
      </c>
      <c r="E33" s="5" t="n">
        <v>349607</v>
      </c>
      <c r="F33" s="5" t="n">
        <v>604884</v>
      </c>
      <c r="G33" s="5" t="n">
        <v>357302</v>
      </c>
    </row>
    <row r="34">
      <c r="A34" s="5" t="inlineStr">
        <is>
          <t>Net increase/(decrease) in cash and cash equivalents</t>
        </is>
      </c>
      <c r="B34" s="5" t="n">
        <v>-595</v>
      </c>
      <c r="C34" s="5" t="n">
        <v>966</v>
      </c>
      <c r="D34" s="5" t="n">
        <v>-7020</v>
      </c>
      <c r="E34" s="5" t="n">
        <v>6319</v>
      </c>
      <c r="F34" s="5" t="n">
        <v>-1536</v>
      </c>
      <c r="G34" s="5" t="n">
        <v>-14160</v>
      </c>
    </row>
    <row r="35">
      <c r="A35" s="7" t="inlineStr">
        <is>
          <t>Cash and cash equivalents at the beginning of the year</t>
        </is>
      </c>
      <c r="B35" s="7" t="n">
        <v>1727</v>
      </c>
      <c r="C35" s="7" t="n">
        <v>761</v>
      </c>
      <c r="D35" s="7" t="n">
        <v>7781</v>
      </c>
      <c r="E35" s="7" t="n">
        <v>1462</v>
      </c>
      <c r="F35" s="7" t="n">
        <v>2998</v>
      </c>
      <c r="G35" s="7" t="n">
        <v>17158</v>
      </c>
    </row>
    <row r="36">
      <c r="A36" s="5" t="inlineStr">
        <is>
          <t>Cash and cash equivalents at the end of the year</t>
        </is>
      </c>
      <c r="B36" s="5" t="n">
        <v>1132</v>
      </c>
      <c r="C36" s="5" t="n">
        <v>1727</v>
      </c>
      <c r="D36" s="5" t="n">
        <v>761</v>
      </c>
      <c r="E36" s="5" t="n">
        <v>7781</v>
      </c>
      <c r="F36" s="5" t="n">
        <v>1462</v>
      </c>
      <c r="G36" s="5" t="n">
        <v>2998</v>
      </c>
    </row>
    <row r="37">
      <c r="A37" s="7" t="inlineStr">
        <is>
          <t>Interest paid</t>
        </is>
      </c>
      <c r="B37" s="7" t="n">
        <v>-5105</v>
      </c>
      <c r="C37" s="7" t="n">
        <v>-5305</v>
      </c>
      <c r="D37" s="7" t="n">
        <v>-5334</v>
      </c>
      <c r="E37" s="7" t="n">
        <v>-7193</v>
      </c>
      <c r="F37" s="7" t="n">
        <v>-5543</v>
      </c>
      <c r="G37" s="7" t="n">
        <v>-5978</v>
      </c>
    </row>
    <row r="38">
      <c r="A38" s="7" t="inlineStr">
        <is>
          <t>Interest received</t>
        </is>
      </c>
      <c r="B38" s="7" t="n">
        <v>350157</v>
      </c>
      <c r="C38" s="7" t="n">
        <v>323619</v>
      </c>
      <c r="D38" s="7" t="n">
        <v>258954</v>
      </c>
      <c r="E38" s="7" t="n">
        <v>95480</v>
      </c>
      <c r="F38" s="7" t="n">
        <v>27216</v>
      </c>
      <c r="G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1">
    <mergeCell ref="A40:G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Asset Quality</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Credit exposure (Balance Sheet basis)</t>
        </is>
      </c>
      <c r="B4" s="7" t="n"/>
      <c r="C4" s="7" t="n"/>
      <c r="D4" s="7" t="n"/>
      <c r="E4" s="7" t="n"/>
      <c r="F4" s="7" t="n"/>
      <c r="G4" s="7" t="n"/>
    </row>
    <row r="5">
      <c r="A5" s="7" t="inlineStr">
        <is>
          <t>Loans and advances to affiliates</t>
        </is>
      </c>
      <c r="B5" s="7" t="n">
        <v>6428499</v>
      </c>
      <c r="C5" s="7" t="n">
        <v>4956351</v>
      </c>
      <c r="D5" s="7" t="n">
        <v>3650595</v>
      </c>
      <c r="E5" s="7" t="n">
        <v>3228350</v>
      </c>
      <c r="F5" s="7" t="n">
        <v>2620602</v>
      </c>
      <c r="G5" s="7" t="n">
        <v>1608289</v>
      </c>
    </row>
    <row r="6">
      <c r="A6" s="7" t="inlineStr">
        <is>
          <t>Loans and advances to others</t>
        </is>
      </c>
      <c r="B6" s="7" t="n">
        <v>1546</v>
      </c>
      <c r="C6" s="7" t="n">
        <v>1850</v>
      </c>
      <c r="D6" s="7" t="n">
        <v>2144</v>
      </c>
      <c r="E6" s="7" t="n">
        <v>2462</v>
      </c>
      <c r="F6" s="7" t="n">
        <v>417</v>
      </c>
      <c r="G6" s="7" t="n">
        <v>1580</v>
      </c>
    </row>
    <row r="7">
      <c r="A7" s="5" t="inlineStr">
        <is>
          <t>Total loans and advances</t>
        </is>
      </c>
      <c r="B7" s="5" t="n">
        <v>6430045</v>
      </c>
      <c r="C7" s="5" t="n">
        <v>4958201</v>
      </c>
      <c r="D7" s="5" t="n">
        <v>3652739</v>
      </c>
      <c r="E7" s="5" t="n">
        <v>3230812</v>
      </c>
      <c r="F7" s="5" t="n">
        <v>2621019</v>
      </c>
      <c r="G7" s="5" t="n">
        <v>1609869</v>
      </c>
    </row>
    <row r="8">
      <c r="A8" s="5" t="inlineStr">
        <is>
          <t>Credit impairment (Income Statement basis)</t>
        </is>
      </c>
      <c r="B8" s="7" t="n"/>
      <c r="C8" s="7" t="n"/>
      <c r="D8" s="7" t="n"/>
      <c r="E8" s="7" t="n"/>
      <c r="F8" s="7" t="n"/>
      <c r="G8" s="7" t="n"/>
    </row>
    <row r="9">
      <c r="A9" s="7" t="inlineStr">
        <is>
          <t>Credit impairment release/(charge) for the year</t>
        </is>
      </c>
      <c r="B9" s="7" t="n">
        <v>-1353</v>
      </c>
      <c r="C9" s="7" t="n">
        <v>38</v>
      </c>
      <c r="D9" s="7" t="n">
        <v>-34</v>
      </c>
      <c r="E9" s="7" t="n">
        <v>-91</v>
      </c>
      <c r="F9" s="7" t="n">
        <v>-554</v>
      </c>
      <c r="G9" s="7" t="n">
        <v>46</v>
      </c>
    </row>
    <row r="10">
      <c r="A10" s="5" t="inlineStr">
        <is>
          <t>IFRS 9 staging</t>
        </is>
      </c>
      <c r="B10" s="7" t="n"/>
      <c r="C10" s="7" t="n"/>
      <c r="D10" s="7" t="n"/>
      <c r="E10" s="7" t="n"/>
      <c r="F10" s="7" t="n"/>
      <c r="G10" s="7" t="n"/>
    </row>
    <row r="11">
      <c r="A11" s="7" t="inlineStr">
        <is>
          <t>Stage 1 / Stage 2 / Stage 3 split</t>
        </is>
      </c>
      <c r="B11" s="7" t="inlineStr">
        <is>
          <t>Not publicly disclosed</t>
        </is>
      </c>
      <c r="C11" s="7" t="inlineStr">
        <is>
          <t>Not publicly disclosed</t>
        </is>
      </c>
      <c r="D11" s="7" t="inlineStr">
        <is>
          <t>Not publicly disclosed</t>
        </is>
      </c>
      <c r="E11" s="7" t="inlineStr">
        <is>
          <t>Not publicly disclosed</t>
        </is>
      </c>
      <c r="F11" s="7" t="inlineStr">
        <is>
          <t>Not publicly disclosed</t>
        </is>
      </c>
      <c r="G11" s="7" t="inlineStr">
        <is>
          <t>Not publicly disclosed</t>
        </is>
      </c>
    </row>
    <row r="13" ht="200" customHeight="1">
      <c r="A1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
ASSET QUALITY NOTE: the Bank's lending is almost entirely intercompany (Loans and advances to affiliates); the accounting policy note (p.42) describes a 3-stage IFRS 9 staging framework qualitatively, but no numeric Stage 1/2/3 split or counterparty-rating table is disclosed anywhere in the 5 annual reports checked - only the aggregate 'Credit impairment release/(charge)' P&amp;L line.</t>
        </is>
      </c>
    </row>
  </sheetData>
  <mergeCells count="1">
    <mergeCell ref="A13:G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KM1 Key Metrics</t>
        </is>
      </c>
    </row>
    <row r="2">
      <c r="A2" s="2" t="inlineStr">
        <is>
          <t>Not applicable. NBI publishes no Pillar 3 document of its own, and no UK KM1 template for this entity exists in any document - its parent's included. Its own accounts' Note 15 "UK Regulatory Capital" is a two-row table (Tier 1 capital, Total capital resources) and is not reshaped into the template. Its UK parent, Nomura Europe Holdings plc, DOES print the UK KM1 - but only for the Group and for NIP (Nomura International plc, a different UK legal entity), and from its 31 March 2022 edition it states that NBI "is therefore not disclosed in this document". The NBI column that the 2021 editions do carry sits in template CC1, an own-funds composition table, not in KM1. Seven parent editions and six of NBI's own annual reports were read; the source note below names every one.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7" t="inlineStr">
        <is>
          <t>Not applicable — no UK KM1 template has ever been published for this entity, by the Bank or by its parent, in any year covered by this workbook</t>
        </is>
      </c>
      <c r="B4" s="7" t="n"/>
      <c r="C4" s="7" t="n"/>
      <c r="D4" s="7" t="n"/>
      <c r="E4" s="7" t="n"/>
      <c r="F4" s="7" t="n"/>
      <c r="G4" s="7" t="n"/>
    </row>
    <row r="6" ht="1500" customHeight="1">
      <c r="A6" s="8" t="inlineStr">
        <is>
          <t>KM1 Key Metrics - NOT APPLICABLE. Nomura Bank International plc has never published a UK KM1 template, and no UK KM1 template for this entity exists in any document, its parent's included. That is a finding from thirteen documents read for this purpose on 2026-09-16, not the residue of a failed search.
LATEST-EDITION CHECK, 2026-09-16. The Bank's own disclosure host is nomuranow.com, whose index pages are BLOCKED to an automated fetch - `/portal/site/public/en-gb/` returns HTTP 403 and every regulatory-disclosures path tried returns HTTP 404 - so the index could not be browsed, and NOTHING below rests on that (map rule 9). Two live routes were used instead. (i) The Bank's own Annual Report for the year ended 31 March 2026 was re-fetched from its stable address with a browser User-Agent and verified HTTP 200 / Content-Type application/pdf / %PDF magic bytes. (ii) COMPANIES HOUSE (company 01981122) was read live: the newest accounts filed are "Full accounts made up to 31 March 2026", filed 6 August 2026, 87 pages - which is the FY2026 edition this workbook already holds. NBI's year-end is 31 March, so FY2027 is not yet a reporting year. NEWEST EDITION = FY2026, ALREADY HELD; no year was added.
WHY THIS IS NOT APPLICABLE RATHER THAN NOT FOUND - three independent findings.
1. NBI'S OWN ANNUAL REPORTS CONTAIN NO PILLAR 3 AND NO KM1. All six editions in this workbook (FY2021-FY2026) were searched. Zero occurrences of "KM1"; zero of "Pillar 3" in the FY2025 and FY2026 editions; the single occurrence of "key metric" in the FY2026 edition is in the market-risk narrative ("a key metric for measuring portfolio risk is Aggregated Tail Risk") and has nothing to do with the template. Those zeroes are facts about the documents rather than about the extraction, because the same extraction is RICH on neighbouring terms in the same files - "capital" 40-53 hits per edition (map rule 15). What the accounts DO carry, in Note 15 "UK Regulatory Capital", is a TWO-ROW table: "Tier 1 capital" and "Total capital resources", one figure each for the year and the comparative. No CET1 row, no capital ratio, no RWA, no SREP block, no buffer block, no leverage row, no LCR and no NSFR. That is a different and far shorter table, not an unnumbered KM1 - the ABC International Bank pattern under map rule 8 - and it is NOT reshaped onto KM1 row numbers. Those two figures already populate the Tier 1 Capital and Total Capital sheets of this workbook.
2. THE PARENT'S PILLAR 3 WAS CHECKED FIRST, NOT LAST (map rule 18), AND IT IS WHERE NBI'S NUMBERS DO LIVE - but they are not a KM1. UK Disclosure (CRR) subsidiary reporting makes the consolidating parent's Pillar 3 the normal home for a subsidiary's figures, so all seven located editions of Nomura Europe Holdings plc's Pillar 3 were read - four annual (31 Mar 2021, 2022, 2023, 2024) and three semi-annual (30 Sep 2021, 2022, 2023):
   - The 31 MARCH 2021 annual edition and the 30 SEPTEMBER 2021 semi-annual edition each carry a dedicated NBI COLUMN - exactly the rule-19 shape, one template with the subsidiary as a column rather than as a separate document - in template CC1 "Composition of Regulatory Capital", headed "The Group, NIP, NBI and NFPE Own Funds". CC1 IS NOT KM1: its rows are the ITS 1423/2013 own-funds numbering (6, 28, 45, 46, 59, 62-66, 68), it has no RWA amount row, no leverage block, no LCR and no NSFR. The NBI column is used on this workbook's CET1 Capital, CET1 Ratio, Tier 1 Ratio and Total Capital Ratio sheets, and on the Interim Pillar 3 sheet, precisely because it is NBI's own entity-level figure - but it cannot supply a KM1.
   - BOTH 2021 EDITIONS ALSO PRINT A SECTION ACTUALLY TITLED "KEY METRICS" (the semi-annual heads it "KM1: Key Metrics"), AND IT IS NEITHER THE TEMPLATE NOR NBI'S. It is a single-column dashboard headed "The Group" - Tier 1 Capital, Tier 2 Capital, Total RWA, Total Capital Requirement, a Tier 1 ratio, Total Leverage Ratio Exposure, Leverage Ratio and (in the annual) an LCR trio - with no row numbers, no CET1 row, no SREP block, no buffer rows and no NSFR. It fails the row-set test, and its one column is the Group's. The word "KM1" appearing above it is exactly the token that map rule 8 forbids keying on.
   - FROM THE 31 MARCH 2022 EDITION ONWARD THE PARENT STATES IN TERMS THAT IT HAS STOPPED DISCLOSING NBI: "NBI and NFPE were previously considered 'significant subsidiaries' and previously disclosed. However, along with the other regulated subsidiaries, they are not considered to be large subsidiaries as at 31st March 2022 and are therefore not disclosed in this document" (Scope of Application, printed p.5). Consistent with that, every edition from then on prints exactly TWO UK KM1 templates - "Template UK KM1 - Key metrics template for the Group" and "Template UK KM1 - Key metrics template for NIP" - and its CC1 becomes "Composition of regulatory own funds for the Group and NIP". THE ENTITY DISTINCTION MATTERS AND IS THE TRAP HERE: NIP is Nomura International plc, the group's London broker-dealer and a DIFFERENT UK legal entity from Nomura Bank International plc. Its KM1 is not NBI's and is not used.
   - APPENDICES CHECKED TOO, because rule 19's other shape is a subsidiary template dozens of pages away in an appendix. The FY2021 edition's Appendix 1 "Other Disclosures" lists CCA, MREL, LI3, CCyB1, CCR3, CCR5-A/B, CCR6, CR1-A, CR5, CR4, CR3, CR2-A and forbearance Templates 1/3/4/5/6 - no KM1; the FY2022, FY2023 and FY2024 editions' sole appendix is a "CRR Compliance" article-to-page mapping table. A full grep for "KM1" across all four annual editions returns the two Group/NIP template headings, their two contents-page entries and the CRR-compliance cross-references, and nothing else.
3. NO LATER PARENT EDITION EXISTS TO CHECK, AND THAT WAS ESTABLISHED WITH A WORKING INSTRUMENT. The 31 March 2025 and 31 March 2026 annual editions and the 30 September 2024 and 30 September 2025 semi-annual editions all return HTTP 404 at the stable naming convention that serves every other edition - tested 2026-09-16 with the same browser User-Agent, on the same path, in the same run in which -310324.pdf, -300921.pdf, -300922.pdf and -300923.pdf each returned HTTP 200 / application/pdf / %PDF. The probe demonstrably works, so the 404s are a fact about publication at those addresses, not about reach (map rules 9 and 15). (The Internet Archive was unavailable on 2026-09-16 - it served its "Temporarily Offline" page - so no Wayback fallback could be run; that is recorded as a tool outage and nothing here depends on it.)
THE ULTIMATE JAPANESE PARENT IS NOT A SUBSTITUTE, and the reason is stated rather than assumed: Nomura Holdings, Inc. reports under Japanese FSA Basel III rules and its Pillar 3 carries neither the UK template set nor a UK KM1 for a UK subsidiary. NBI's UK disclosure obligation sits with the UK consolidation group, Nomura Europe Holdings plc, whose seven editions are enumerated above. A parent's disclosure is not the subsidiary's, and a Japanese parent's is not even the same template.
NOTHING IS BACK-FILLED FROM THE STATUTORY ACCOUNTS (map rule 22). Note 15's Tier 1 capital and Total capital resources are an accounts-based capital note, a different basis from a Pillar 3 return - as this workbook already demonstrates at the one date where both exist: at 31 March 2021 the parent's CC1 gives NBI CET1 of $267m while Note 15 gives Tier 1 capital of $276,772k, a $9.8m gap from prudential filters and deductions. Mapping the two-row note onto KM1 rows would assert a correspondence no Nomura document has ever published.
Sources for the above:
- NBI Annual Report, year ended 31 March 2026, Note 15 "UK Regulatory Capital" printed p.84 - https://www.nomuranow.com/portal/site/public/en-gb/resources/upload/NBI-Annual-Report-310326.pdf
- NBI Annual Report, year ended 31 March 2021, Note 15 printed p.80 - https://www.nomuranow.com/portal/site/public/en-gb/resources/upload/NBI-Annual-Report-310321.pdf
- Nomura Europe Holdings plc, Annual Pillar 3 Disclosures 31 March 2021 (76pp): "Key Metrics" Group dashboard printed p.2; CC1 with the NBI column printed p.7 / PDF p.11 - https://www.nomuranow.com/portal/site/login/en-gb/resources/upload/nomura-europe-holdings-plc-annual-pillar-3-disclosures-310321.pdf
- ... 31 March 2022 (91pp): Scope of Application printed p.5 / PDF p.6; UK KM1 for the Group printed p.10, UK KM1 for NIP printed p.11; CC1 "for the Group and NIP" printed p.12 - https://www.nomuranow.com/portal/site/public/en-gb/resources/upload/nomura-europe-holdings-plc-annual-pillar-3-disclosures-310322.pdf
- ... 31 March 2023 (104pp): UK KM1 for the Group printed p.11, for NIP printed p.12 - https://www.nomuranow.com/portal/site/public/en-gb/resources/upload/nomura-europe-holdings-plc-annual-pillar-3-disclosures-310323.pdf
- ... 31 March 2024 (120pp): UK KM1 for the Group printed p.12, for NIP printed p.13 - https://www.nomuranow.com/portal/site/public/en-gb/resources/upload/nomura-europe-holdings-plc-annual-pillar-3-disclosures-310324.pdf
- Nomura Europe Holdings plc, Semi-Annual Pillar 3 Disclosures 30 September 2021 (27pp): "KM1: Key Metrics" Group dashboard and CC1 with the NBI column, both printed p.1 - https://www.nomuranow.com/portal/site/public/en-gb/resources/upload/nomura-europe-holdings-plc-semi-annual-pillar-3-disclosures-300921.pdf
- ... 30 September 2022 (37pp): UK KM1 for the Group printed p.4, for NIP printed p.5; CC1 "for the Group" printed p.6 - https://www.nomuranow.com/portal/site/public/en-gb/resources/upload/nomura-europe-holdings-plc-semi-annual-pillar-3-disclosures-300922.pdf
- ... 30 September 2023 (43pp): UK KM1 for the Group printed p.4, for NIP printed p.5; CC1 "for the Group" printed p.7 - https://www.nomuranow.com/portal/site/public/en-gb/resources/upload/nomura-europe-holdings-plc-semi-annual-pillar-3-disclosures-300923.pdf
- Companies House filing history, company 01981122, read live 2026-09-16.
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capital</t>
        </is>
      </c>
      <c r="B4" s="7" t="n"/>
      <c r="C4" s="7" t="n"/>
      <c r="D4" s="7" t="n"/>
      <c r="E4" s="7" t="n"/>
      <c r="F4" s="7" t="n"/>
      <c r="G4" s="7" t="n">
        <v>267000</v>
      </c>
    </row>
    <row r="5" ht="60" customHeight="1">
      <c r="A5" s="6" t="inlineStr">
        <is>
          <t>Note: FY2021 recovered 2026-09-12 from the parent's Pillar 3 CC1 table, NBI's own column (reported in $m, shown here as $'000: $267m). NOTE A GENUINE BASIS DIFFERENCE, not a transcription error: the Annual Report's own Note 15 states Tier 1 capital of $276,772k for the same date, $9.8m higher, because the regulatory CC1 figure applies prudential filters and deductions (prudent valuation, deferred tax, own-credit adjustment) that the accounts-based note does not. Both are reproduced as their own source states them rather than reconciled. FY2025-FY2022 are blank because the parent's Pillar 3 stopped disclosing NBI from its 31 March 2022 edition onward, and NBI's own Annual Report never discloses a CET1 figure - a genuine end of disclosure, confirmed 2026-09-15 against the later editions themselves. See the source note.
DERIVATION DELIBERATELY REFUSED for FY2022-FY2026 - read this before 'filling' these cells. It is tempting to set CET1 capital equal to the disclosed Tier 1 capital, because the Bank's own capital note states that 'The Bank does not currently maintain Tier 2 capital'. That statement does exactly one thing: it establishes that Total capital resources equals Tier 1 capital, which is why the Total Capital sheet legitimately carries the same figures. It does NOT establish that CET1 equals Tier 1. Tier 1 capital is CET1 plus Additional Tier 1, and the absence of Tier 2 says nothing at all about the presence or absence of AT1. No Nomura Bank International document states that the Bank holds no AT1 instrument, and no document discloses a CET1 figure for these years. Writing CET1 = Tier 1 would therefore be an assumption dressed as a transcription, and it would be wrong in exactly the way this project's first rule forbids.
Note that the one year where both figures ARE independently disclosed shows they genuinely differ for this entity: at 31 March 2021 the parent's CC1 table gives NBI CET1 of $267m while the Bank's own capital note gives Tier 1 capital of $276,772k - a $9.8m gap arising from prudential filters and deductions applied in the regulatory return but not in the accounts-based note. That is direct evidence that the two measures are not interchangeable for this bank, quite apart from the AT1 point.
The blank cell is the correct and informative answer here. It says the figure was never published; a filled cell would say something that no document says.</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ratio</t>
        </is>
      </c>
      <c r="B4" s="7" t="n"/>
      <c r="C4" s="7" t="n"/>
      <c r="D4" s="7" t="n"/>
      <c r="E4" s="7" t="n"/>
      <c r="F4" s="7" t="n"/>
      <c r="G4" s="7" t="inlineStr">
        <is>
          <t>279.68%</t>
        </is>
      </c>
    </row>
    <row r="5" ht="60" customHeight="1">
      <c r="A5" s="6" t="inlineStr">
        <is>
          <t>Note: FY2021 as directly disclosed in the parent's Pillar 3 CC1 table, NBI column. The very high ratio is consistent with that document's own statement that NBI's risk-weighted assets are immaterial to the Group. FY2025-FY2022 blank because the parent ceased disclosing NBI from its 31 March 2022 Pillar 3 edition onward (confirmed 2026-09-15 by reading those editions) and no ratio appears in NBI's own accounts -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t>
        </is>
      </c>
      <c r="B4" s="7" t="n">
        <v>281438</v>
      </c>
      <c r="C4" s="7" t="n">
        <v>281414</v>
      </c>
      <c r="D4" s="7" t="n">
        <v>281296</v>
      </c>
      <c r="E4" s="7" t="n">
        <v>280841</v>
      </c>
      <c r="F4" s="7" t="n">
        <v>287698</v>
      </c>
      <c r="G4" s="7" t="n">
        <v>276772</v>
      </c>
    </row>
    <row r="5" ht="60" customHeight="1">
      <c r="A5" s="6" t="inlineStr">
        <is>
          <t>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n"/>
      <c r="C4" s="7" t="n"/>
      <c r="D4" s="7" t="n"/>
      <c r="E4" s="7" t="n"/>
      <c r="F4" s="7" t="n"/>
      <c r="G4" s="7" t="inlineStr">
        <is>
          <t>279.68%</t>
        </is>
      </c>
    </row>
    <row r="5" ht="60" customHeight="1">
      <c r="A5" s="6" t="inlineStr">
        <is>
          <t>Note: FY2021 equals the CET1 ratio: the parent's Pillar 3 CC1 table states in its own footnote 6 that "Tier 1 capital ratio is equal to the Common Equity Tier 1 ratio", and NBI holds no Additional Tier 1 instrument. FY2025-FY2022 blank because the parent ceased disclosing NBI from its 31 March 2022 Pillar 3 edition onward (confirmed 2026-09-15 by reading those editions) and no ratio appears in NBI's own accounts -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resources</t>
        </is>
      </c>
      <c r="B4" s="7" t="n">
        <v>281438</v>
      </c>
      <c r="C4" s="7" t="n">
        <v>281414</v>
      </c>
      <c r="D4" s="7" t="n">
        <v>281296</v>
      </c>
      <c r="E4" s="7" t="n">
        <v>280841</v>
      </c>
      <c r="F4" s="7" t="n">
        <v>287698</v>
      </c>
      <c r="G4" s="7" t="n">
        <v>276772</v>
      </c>
    </row>
    <row r="5" ht="60" customHeight="1">
      <c r="A5" s="6" t="inlineStr">
        <is>
          <t>Note: These are NOT derived from the Tier 1 sheet. Each year's 'UK Regulatory Capital' table prints 'Tier 1 capital' and 'Total capital resources' as two separate, separately stated lines, and both are transcribed from the table as published; they happen to be equal because, as the same note says in its own words, 'The Bank does not currently maintain Tier 2 capital'. That statement supports this equality and nothing further - in particular it does NOT license setting CET1 equal to Tier 1, since it says nothing about Additional Tier 1; see the CET1 Capital sheet's 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as a percentage of total risk exposure amounts</t>
        </is>
      </c>
      <c r="B4" s="7" t="n"/>
      <c r="C4" s="7" t="n"/>
      <c r="D4" s="7" t="n"/>
      <c r="E4" s="7" t="n"/>
      <c r="F4" s="7" t="n"/>
      <c r="G4" s="7" t="inlineStr">
        <is>
          <t>279.68%</t>
        </is>
      </c>
    </row>
    <row r="5" ht="60" customHeight="1">
      <c r="A5" s="6" t="inlineStr">
        <is>
          <t>Note: FY2021 as directly disclosed in the parent's Pillar 3 CC1 table, NBI column; equal to the CET1 ratio because NBI holds no Tier 2 capital (the CC1 table shows a dash on NBI's Tier 2 row, consistent with the Annual Report's own statement). FY2025-FY2022 blank because the parent ceased disclosing NBI from its 31 March 2022 Pillar 3 edition onward (confirmed 2026-09-15 by reading those editions) and no ratio appears in NBI's own accounts -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RWAs</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genuinely never disclosed for this entity, in either the Annual Reports or the parent's Pillar 3 - the latter states NBI's RWAs are immaterial to the Group and so limits NBI's disclosure to Article 437 (Own Funds) only. An FY2021 figure of roughly $95m is arithmetically implied by the disclosed CET1 of $267m at the disclosed 279.68% ratio, but that is a back-solved inference from two rounded inputs, not a disclosed number, so it is deliberately NOT entered here.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7" t="inlineStr">
        <is>
          <t>RWA Breakdown by risk category</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Leverage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LCR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NSFR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2026-09-16T15:42:44Z</dcterms:created>
  <dcterms:modified xmlns:dcterms="http://purl.org/dc/terms/" xmlns:xsi="http://www.w3.org/2001/XMLSchema-instance" xsi:type="dcterms:W3CDTF">2026-09-16T15:42:44Z</dcterms:modified>
</cp:coreProperties>
</file>