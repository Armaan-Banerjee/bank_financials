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 xmlns:r="http://schemas.openxmlformats.org/officeDocument/2006/relationships" name="Interim Pillar 3" sheetId="21" state="visible" r:id="rId2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i val="1"/>
      <color rgb="00666666"/>
      <sz val="9"/>
    </font>
    <font>
      <b val="1"/>
      <color rgb="00FFFFFF"/>
    </font>
    <font>
      <b val="1"/>
    </font>
    <font>
      <i val="1"/>
      <color rgb="00444444"/>
      <sz val="9"/>
    </font>
    <font>
      <name val="Calibri"/>
      <family val="2"/>
      <color theme="10"/>
      <sz val="12"/>
      <scheme val="minor"/>
    </font>
  </fonts>
  <fills count="3">
    <fill>
      <patternFill/>
    </fill>
    <fill>
      <patternFill patternType="gray125"/>
    </fill>
    <fill>
      <patternFill patternType="solid">
        <fgColor rgb="006B2D5C"/>
        <bgColor rgb="006B2D5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2">
    <xf numFmtId="0" fontId="0" fillId="0" borderId="0"/>
    <xf numFmtId="0" fontId="6"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2" fillId="0" borderId="0" applyAlignment="1" pivotButton="0" quotePrefix="0" xfId="0">
      <alignment horizontal="left" vertical="top" wrapText="1"/>
    </xf>
    <xf numFmtId="0" fontId="0" fillId="0" borderId="1" pivotButton="0" quotePrefix="0" xfId="0"/>
    <xf numFmtId="0" fontId="5" fillId="0" borderId="0" applyAlignment="1" pivotButton="0" quotePrefix="0" xfId="0">
      <alignment horizontal="left" vertical="top" wrapText="1"/>
    </xf>
    <xf numFmtId="0" fontId="6"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Nomura Bank International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'Overview'!J6</f>
            </strRef>
          </tx>
          <spPr>
            <a:ln xmlns:a="http://schemas.openxmlformats.org/drawingml/2006/main">
              <a:prstDash val="solid"/>
            </a:ln>
          </spPr>
          <cat>
            <numRef>
              <f>'Overview'!$K$5:$P$5</f>
            </numRef>
          </cat>
          <val>
            <numRef>
              <f>'Overview'!$K$6:$P$6</f>
            </numRef>
          </val>
        </ser>
        <ser>
          <idx val="1"/>
          <order val="1"/>
          <tx>
            <strRef>
              <f>'Overview'!J7</f>
            </strRef>
          </tx>
          <spPr>
            <a:ln xmlns:a="http://schemas.openxmlformats.org/drawingml/2006/main">
              <a:prstDash val="solid"/>
            </a:ln>
          </spPr>
          <cat>
            <numRef>
              <f>'Overview'!$K$5:$P$5</f>
            </numRef>
          </cat>
          <val>
            <numRef>
              <f>'Overview'!$K$7:$P$7</f>
            </numRef>
          </val>
        </ser>
        <ser>
          <idx val="2"/>
          <order val="2"/>
          <tx>
            <strRef>
              <f>'Overview'!J8</f>
            </strRef>
          </tx>
          <spPr>
            <a:ln xmlns:a="http://schemas.openxmlformats.org/drawingml/2006/main">
              <a:prstDash val="solid"/>
            </a:ln>
          </spPr>
          <cat>
            <numRef>
              <f>'Overview'!$K$5:$P$5</f>
            </numRef>
          </cat>
          <val>
            <numRef>
              <f>'Overview'!$K$8:$P$8</f>
            </numRef>
          </val>
        </ser>
        <ser>
          <idx val="3"/>
          <order val="3"/>
          <tx>
            <strRef>
              <f>'Overview'!J9</f>
            </strRef>
          </tx>
          <spPr>
            <a:ln xmlns:a="http://schemas.openxmlformats.org/drawingml/2006/main">
              <a:prstDash val="solid"/>
            </a:ln>
          </spPr>
          <cat>
            <numRef>
              <f>'Overview'!$K$5:$P$5</f>
            </numRef>
          </cat>
          <val>
            <numRef>
              <f>'Overview'!$K$9:$P$9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Nomura Bank International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'Overview'!S13</f>
            </strRef>
          </tx>
          <spPr>
            <a:ln xmlns:a="http://schemas.openxmlformats.org/drawingml/2006/main">
              <a:prstDash val="solid"/>
            </a:ln>
          </spPr>
          <cat>
            <numRef>
              <f>'Overview'!$T$12:$Y$12</f>
            </numRef>
          </cat>
          <val>
            <numRef>
              <f>'Overview'!$T$13:$Y$13</f>
            </numRef>
          </val>
        </ser>
        <ser>
          <idx val="1"/>
          <order val="1"/>
          <tx>
            <strRef>
              <f>'Overview'!S14</f>
            </strRef>
          </tx>
          <spPr>
            <a:ln xmlns:a="http://schemas.openxmlformats.org/drawingml/2006/main">
              <a:prstDash val="solid"/>
            </a:ln>
          </spPr>
          <cat>
            <numRef>
              <f>'Overview'!$T$12:$Y$12</f>
            </numRef>
          </cat>
          <val>
            <numRef>
              <f>'Overview'!$T$14:$Y$14</f>
            </numRef>
          </val>
        </ser>
        <ser>
          <idx val="2"/>
          <order val="2"/>
          <tx>
            <strRef>
              <f>'Overview'!S15</f>
            </strRef>
          </tx>
          <spPr>
            <a:ln xmlns:a="http://schemas.openxmlformats.org/drawingml/2006/main">
              <a:prstDash val="solid"/>
            </a:ln>
          </spPr>
          <cat>
            <numRef>
              <f>'Overview'!$T$12:$Y$12</f>
            </numRef>
          </cat>
          <val>
            <numRef>
              <f>'Overview'!$T$15:$Y$15</f>
            </numRef>
          </val>
        </ser>
        <ser>
          <idx val="3"/>
          <order val="3"/>
          <tx>
            <strRef>
              <f>'Overview'!S16</f>
            </strRef>
          </tx>
          <spPr>
            <a:ln xmlns:a="http://schemas.openxmlformats.org/drawingml/2006/main">
              <a:prstDash val="solid"/>
            </a:ln>
          </spPr>
          <cat>
            <numRef>
              <f>'Overview'!$T$12:$Y$12</f>
            </numRef>
          </cat>
          <val>
            <numRef>
              <f>'Overview'!$T$16:$Y$16</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Nomura Bank International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'Overview'!AB20</f>
            </strRef>
          </tx>
          <spPr>
            <a:ln xmlns:a="http://schemas.openxmlformats.org/drawingml/2006/main">
              <a:prstDash val="solid"/>
            </a:ln>
          </spPr>
          <cat>
            <numRef>
              <f>'Overview'!$AC$19:$AH$19</f>
            </numRef>
          </cat>
          <val>
            <numRef>
              <f>'Overview'!$AC$20:$AH$20</f>
            </numRef>
          </val>
        </ser>
        <ser>
          <idx val="1"/>
          <order val="1"/>
          <tx>
            <strRef>
              <f>'Overview'!AB21</f>
            </strRef>
          </tx>
          <spPr>
            <a:ln xmlns:a="http://schemas.openxmlformats.org/drawingml/2006/main">
              <a:prstDash val="solid"/>
            </a:ln>
          </spPr>
          <cat>
            <numRef>
              <f>'Overview'!$AC$19:$AH$19</f>
            </numRef>
          </cat>
          <val>
            <numRef>
              <f>'Overview'!$AC$21:$AH$21</f>
            </numRef>
          </val>
        </ser>
        <ser>
          <idx val="2"/>
          <order val="2"/>
          <tx>
            <strRef>
              <f>'Overview'!AB22</f>
            </strRef>
          </tx>
          <spPr>
            <a:ln xmlns:a="http://schemas.openxmlformats.org/drawingml/2006/main">
              <a:prstDash val="solid"/>
            </a:ln>
          </spPr>
          <cat>
            <numRef>
              <f>'Overview'!$AC$19:$AH$19</f>
            </numRef>
          </cat>
          <val>
            <numRef>
              <f>'Overview'!$AC$22:$AH$22</f>
            </numRef>
          </val>
        </ser>
        <ser>
          <idx val="3"/>
          <order val="3"/>
          <tx>
            <strRef>
              <f>'Overview'!AB23</f>
            </strRef>
          </tx>
          <spPr>
            <a:ln xmlns:a="http://schemas.openxmlformats.org/drawingml/2006/main">
              <a:prstDash val="solid"/>
            </a:ln>
          </spPr>
          <cat>
            <numRef>
              <f>'Overview'!$AC$19:$AH$19</f>
            </numRef>
          </cat>
          <val>
            <numRef>
              <f>'Overview'!$AC$23:$AH$23</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Nomura Bank International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'Overview'!AK27</f>
            </strRef>
          </tx>
          <spPr>
            <a:ln xmlns:a="http://schemas.openxmlformats.org/drawingml/2006/main">
              <a:prstDash val="solid"/>
            </a:ln>
          </spPr>
          <cat>
            <numRef>
              <f>'Overview'!$AL$26:$AQ$26</f>
            </numRef>
          </cat>
          <val>
            <numRef>
              <f>'Overview'!$AL$27:$AQ$27</f>
            </numRef>
          </val>
        </ser>
        <ser>
          <idx val="1"/>
          <order val="1"/>
          <tx>
            <strRef>
              <f>'Overview'!AK28</f>
            </strRef>
          </tx>
          <spPr>
            <a:ln xmlns:a="http://schemas.openxmlformats.org/drawingml/2006/main">
              <a:prstDash val="solid"/>
            </a:ln>
          </spPr>
          <cat>
            <numRef>
              <f>'Overview'!$AL$26:$AQ$26</f>
            </numRef>
          </cat>
          <val>
            <numRef>
              <f>'Overview'!$AL$28:$AQ$28</f>
            </numRef>
          </val>
        </ser>
        <ser>
          <idx val="2"/>
          <order val="2"/>
          <tx>
            <strRef>
              <f>'Overview'!AK29</f>
            </strRef>
          </tx>
          <spPr>
            <a:ln xmlns:a="http://schemas.openxmlformats.org/drawingml/2006/main">
              <a:prstDash val="solid"/>
            </a:ln>
          </spPr>
          <cat>
            <numRef>
              <f>'Overview'!$AL$26:$AQ$26</f>
            </numRef>
          </cat>
          <val>
            <numRef>
              <f>'Overview'!$AL$29:$AQ$29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35</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57</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79</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101</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1.xml.rels><Relationships xmlns="http://schemas.openxmlformats.org/package/2006/relationships"><Relationship Type="http://schemas.openxmlformats.org/officeDocument/2006/relationships/hyperlink" Target="https://www.nomuranow.com/portal/site/public/en-gb/resources/upload/NBI-Interim-Report-Sep2025.pdf" TargetMode="External" Id="rId1"/><Relationship Type="http://schemas.openxmlformats.org/officeDocument/2006/relationships/hyperlink" Target="https://www.nomuranow.com/portal/site/public/en-gb/resources/upload/NBI-Interims-September-2024-Accounts-Branded.pdf" TargetMode="External" Id="rId2"/><Relationship Type="http://schemas.openxmlformats.org/officeDocument/2006/relationships/hyperlink" Target="https://www.nomuranow.com/portal/site/public/en-gb/resources/upload/NBI-Interim-Report-Sep2023.pdf" TargetMode="External" Id="rId3"/><Relationship Type="http://schemas.openxmlformats.org/officeDocument/2006/relationships/hyperlink" Target="https://www.nomuranow.com/portal/site/public/en-gb/resources/upload/NBI-Interim-Report-Sep2022.pdf" TargetMode="External" Id="rId4"/><Relationship Type="http://schemas.openxmlformats.org/officeDocument/2006/relationships/hyperlink" Target="https://www.nomuranow.com/portal/site/public/en-gb/resources/upload/NBI-Interim-Report-Sep2021.pdf" TargetMode="External" Id="rId5"/><Relationship Type="http://schemas.openxmlformats.org/officeDocument/2006/relationships/hyperlink" Target="https://www.nomuranow.com/portal/site/public/en-gb/resources/upload/NBI-Interim-Report-Sep2025.pdf" TargetMode="External" Id="rId6"/><Relationship Type="http://schemas.openxmlformats.org/officeDocument/2006/relationships/hyperlink" Target="https://www.nomuranow.com/portal/site/public/en-gb/resources/upload/NBI-Interims-September-2024-Accounts-Branded.pdf" TargetMode="External" Id="rId7"/><Relationship Type="http://schemas.openxmlformats.org/officeDocument/2006/relationships/hyperlink" Target="https://www.nomuranow.com/portal/site/public/en-gb/resources/upload/NBI-Interim-Report-Sep2023.pdf" TargetMode="External" Id="rId8"/><Relationship Type="http://schemas.openxmlformats.org/officeDocument/2006/relationships/hyperlink" Target="https://www.nomuranow.com/portal/site/public/en-gb/resources/upload/NBI-Interim-Report-Sep2022.pdf" TargetMode="External" Id="rId9"/><Relationship Type="http://schemas.openxmlformats.org/officeDocument/2006/relationships/hyperlink" Target="https://www.nomuranow.com/portal/site/public/en-gb/resources/upload/NBI-Interim-Report-Sep2021.pdf" TargetMode="External" Id="rId10"/><Relationship Type="http://schemas.openxmlformats.org/officeDocument/2006/relationships/hyperlink" Target="https://www.nomuranow.com/portal/site/public/en-gb/resources/upload/NBI-Interim-Report-Sep2025.pdf" TargetMode="External" Id="rId11"/><Relationship Type="http://schemas.openxmlformats.org/officeDocument/2006/relationships/hyperlink" Target="https://www.nomuranow.com/portal/site/public/en-gb/resources/upload/NBI-Interims-September-2024-Accounts-Branded.pdf" TargetMode="External" Id="rId12"/><Relationship Type="http://schemas.openxmlformats.org/officeDocument/2006/relationships/hyperlink" Target="https://www.nomuranow.com/portal/site/public/en-gb/resources/upload/NBI-Interim-Report-Sep2023.pdf" TargetMode="External" Id="rId13"/><Relationship Type="http://schemas.openxmlformats.org/officeDocument/2006/relationships/hyperlink" Target="https://www.nomuranow.com/portal/site/public/en-gb/resources/upload/NBI-Interim-Report-Sep2022.pdf" TargetMode="External" Id="rId14"/><Relationship Type="http://schemas.openxmlformats.org/officeDocument/2006/relationships/hyperlink" Target="https://www.nomuranow.com/portal/site/public/en-gb/resources/upload/NBI-Interim-Report-Sep2021.pdf" TargetMode="External" Id="rId15"/><Relationship Type="http://schemas.openxmlformats.org/officeDocument/2006/relationships/hyperlink" Target="https://www.nomuranow.com/portal/site/public/en-gb/resources/upload/NBI-Interim-Report-Sep2025.pdf" TargetMode="External" Id="rId16"/><Relationship Type="http://schemas.openxmlformats.org/officeDocument/2006/relationships/hyperlink" Target="https://www.nomuranow.com/portal/site/public/en-gb/resources/upload/NBI-Interims-September-2024-Accounts-Branded.pdf" TargetMode="External" Id="rId17"/><Relationship Type="http://schemas.openxmlformats.org/officeDocument/2006/relationships/hyperlink" Target="https://www.nomuranow.com/portal/site/public/en-gb/resources/upload/NBI-Interim-Report-Sep2023.pdf" TargetMode="External" Id="rId18"/><Relationship Type="http://schemas.openxmlformats.org/officeDocument/2006/relationships/hyperlink" Target="https://www.nomuranow.com/portal/site/public/en-gb/resources/upload/NBI-Interim-Report-Sep2022.pdf" TargetMode="External" Id="rId19"/><Relationship Type="http://schemas.openxmlformats.org/officeDocument/2006/relationships/hyperlink" Target="https://www.nomuranow.com/portal/site/public/en-gb/resources/upload/NBI-Interim-Report-Sep2021.pdf" TargetMode="External" Id="rId20"/><Relationship Type="http://schemas.openxmlformats.org/officeDocument/2006/relationships/hyperlink" Target="https://www.nomuranow.com/portal/site/public/en-gb/resources/upload/NBI-Interim-Report-Sep2025.pdf" TargetMode="External" Id="rId21"/><Relationship Type="http://schemas.openxmlformats.org/officeDocument/2006/relationships/hyperlink" Target="https://www.nomuranow.com/portal/site/public/en-gb/resources/upload/NBI-Interims-September-2024-Accounts-Branded.pdf" TargetMode="External" Id="rId22"/><Relationship Type="http://schemas.openxmlformats.org/officeDocument/2006/relationships/hyperlink" Target="https://www.nomuranow.com/portal/site/public/en-gb/resources/upload/NBI-Interim-Report-Sep2023.pdf" TargetMode="External" Id="rId23"/><Relationship Type="http://schemas.openxmlformats.org/officeDocument/2006/relationships/hyperlink" Target="https://www.nomuranow.com/portal/site/public/en-gb/resources/upload/NBI-Interim-Report-Sep2022.pdf" TargetMode="External" Id="rId24"/><Relationship Type="http://schemas.openxmlformats.org/officeDocument/2006/relationships/hyperlink" Target="https://www.nomuranow.com/portal/site/public/en-gb/resources/upload/nomura-europe-holdings-plc-semi-annual-pillar-3-disclosures-300921.pdf" TargetMode="External" Id="rId25"/><Relationship Type="http://schemas.openxmlformats.org/officeDocument/2006/relationships/hyperlink" Target="https://www.nomuranow.com/portal/site/public/en-gb/resources/upload/NBI-Interim-Report-Sep2025.pdf" TargetMode="External" Id="rId26"/><Relationship Type="http://schemas.openxmlformats.org/officeDocument/2006/relationships/hyperlink" Target="https://www.nomuranow.com/portal/site/public/en-gb/resources/upload/NBI-Interims-September-2024-Accounts-Branded.pdf" TargetMode="External" Id="rId27"/><Relationship Type="http://schemas.openxmlformats.org/officeDocument/2006/relationships/hyperlink" Target="https://www.nomuranow.com/portal/site/public/en-gb/resources/upload/NBI-Interim-Report-Sep2023.pdf" TargetMode="External" Id="rId28"/><Relationship Type="http://schemas.openxmlformats.org/officeDocument/2006/relationships/hyperlink" Target="https://www.nomuranow.com/portal/site/public/en-gb/resources/upload/NBI-Interim-Report-Sep2022.pdf" TargetMode="External" Id="rId29"/><Relationship Type="http://schemas.openxmlformats.org/officeDocument/2006/relationships/hyperlink" Target="https://www.nomuranow.com/portal/site/public/en-gb/resources/upload/nomura-europe-holdings-plc-semi-annual-pillar-3-disclosures-300921.pdf" TargetMode="External" Id="rId30"/><Relationship Type="http://schemas.openxmlformats.org/officeDocument/2006/relationships/hyperlink" Target="https://www.nomuranow.com/portal/site/public/en-gb/resources/upload/NBI-Interim-Report-Sep2025.pdf" TargetMode="External" Id="rId31"/><Relationship Type="http://schemas.openxmlformats.org/officeDocument/2006/relationships/hyperlink" Target="https://www.nomuranow.com/portal/site/public/en-gb/resources/upload/NBI-Interims-September-2024-Accounts-Branded.pdf" TargetMode="External" Id="rId32"/><Relationship Type="http://schemas.openxmlformats.org/officeDocument/2006/relationships/hyperlink" Target="https://www.nomuranow.com/portal/site/public/en-gb/resources/upload/NBI-Interim-Report-Sep2023.pdf" TargetMode="External" Id="rId33"/><Relationship Type="http://schemas.openxmlformats.org/officeDocument/2006/relationships/hyperlink" Target="https://www.nomuranow.com/portal/site/public/en-gb/resources/upload/NBI-Interim-Report-Sep2022.pdf" TargetMode="External" Id="rId34"/><Relationship Type="http://schemas.openxmlformats.org/officeDocument/2006/relationships/hyperlink" Target="https://www.nomuranow.com/portal/site/public/en-gb/resources/upload/nomura-europe-holdings-plc-semi-annual-pillar-3-disclosures-300921.pdf" TargetMode="External" Id="rId35"/><Relationship Type="http://schemas.openxmlformats.org/officeDocument/2006/relationships/hyperlink" Target="https://www.nomuranow.com/portal/site/public/en-gb/resources/upload/NBI-Interim-Report-Sep2025.pdf" TargetMode="External" Id="rId36"/><Relationship Type="http://schemas.openxmlformats.org/officeDocument/2006/relationships/hyperlink" Target="https://www.nomuranow.com/portal/site/public/en-gb/resources/upload/NBI-Interims-September-2024-Accounts-Branded.pdf" TargetMode="External" Id="rId37"/><Relationship Type="http://schemas.openxmlformats.org/officeDocument/2006/relationships/hyperlink" Target="https://www.nomuranow.com/portal/site/public/en-gb/resources/upload/NBI-Interim-Report-Sep2023.pdf" TargetMode="External" Id="rId38"/><Relationship Type="http://schemas.openxmlformats.org/officeDocument/2006/relationships/hyperlink" Target="https://www.nomuranow.com/portal/site/public/en-gb/resources/upload/NBI-Interim-Report-Sep2022.pdf" TargetMode="External" Id="rId39"/><Relationship Type="http://schemas.openxmlformats.org/officeDocument/2006/relationships/hyperlink" Target="https://www.nomuranow.com/portal/site/public/en-gb/resources/upload/nomura-europe-holdings-plc-semi-annual-pillar-3-disclosures-300921.pdf" TargetMode="External" Id="rId40"/><Relationship Type="http://schemas.openxmlformats.org/officeDocument/2006/relationships/hyperlink" Target="https://www.nomuranow.com/portal/site/public/en-gb/resources/upload/NBI-Interim-Report-Sep2025.pdf" TargetMode="External" Id="rId41"/><Relationship Type="http://schemas.openxmlformats.org/officeDocument/2006/relationships/hyperlink" Target="https://www.nomuranow.com/portal/site/public/en-gb/resources/upload/NBI-Interims-September-2024-Accounts-Branded.pdf" TargetMode="External" Id="rId42"/><Relationship Type="http://schemas.openxmlformats.org/officeDocument/2006/relationships/hyperlink" Target="https://www.nomuranow.com/portal/site/public/en-gb/resources/upload/NBI-Interim-Report-Sep2023.pdf" TargetMode="External" Id="rId43"/><Relationship Type="http://schemas.openxmlformats.org/officeDocument/2006/relationships/hyperlink" Target="https://www.nomuranow.com/portal/site/public/en-gb/resources/upload/NBI-Interim-Report-Sep2022.pdf" TargetMode="External" Id="rId44"/><Relationship Type="http://schemas.openxmlformats.org/officeDocument/2006/relationships/hyperlink" Target="https://www.nomuranow.com/portal/site/public/en-gb/resources/upload/nomura-europe-holdings-plc-semi-annual-pillar-3-disclosures-300921.pdf" TargetMode="External" Id="rId45"/><Relationship Type="http://schemas.openxmlformats.org/officeDocument/2006/relationships/hyperlink" Target="https://www.nomuranow.com/portal/site/public/en-gb/resources/upload/NBI-Interim-Report-Sep2025.pdf" TargetMode="External" Id="rId46"/><Relationship Type="http://schemas.openxmlformats.org/officeDocument/2006/relationships/hyperlink" Target="https://www.nomuranow.com/portal/site/public/en-gb/resources/upload/NBI-Interim-Report-Sep2025.pdf" TargetMode="External" Id="rId47"/><Relationship Type="http://schemas.openxmlformats.org/officeDocument/2006/relationships/hyperlink" Target="https://www.nomuranow.com/portal/site/public/en-gb/resources/upload/NBI-Interims-September-2024-Accounts-Branded.pdf" TargetMode="External" Id="rId48"/><Relationship Type="http://schemas.openxmlformats.org/officeDocument/2006/relationships/hyperlink" Target="https://www.nomuranow.com/portal/site/public/en-gb/resources/upload/NBI-Interims-September-2024-Accounts-Branded.pdf" TargetMode="External" Id="rId49"/><Relationship Type="http://schemas.openxmlformats.org/officeDocument/2006/relationships/hyperlink" Target="https://www.nomuranow.com/portal/site/public/en-gb/resources/upload/NBI-Interim-Report-Sep2023.pdf" TargetMode="External" Id="rId50"/><Relationship Type="http://schemas.openxmlformats.org/officeDocument/2006/relationships/hyperlink" Target="https://www.nomuranow.com/portal/site/public/en-gb/resources/upload/NBI-Interim-Report-Sep2023.pdf" TargetMode="External" Id="rId51"/><Relationship Type="http://schemas.openxmlformats.org/officeDocument/2006/relationships/hyperlink" Target="https://www.nomuranow.com/portal/site/public/en-gb/resources/upload/NBI-Interim-Report-Sep2022.pdf" TargetMode="External" Id="rId52"/><Relationship Type="http://schemas.openxmlformats.org/officeDocument/2006/relationships/hyperlink" Target="https://www.nomuranow.com/portal/site/public/en-gb/resources/upload/NBI-Interim-Report-Sep2022.pdf" TargetMode="External" Id="rId53"/><Relationship Type="http://schemas.openxmlformats.org/officeDocument/2006/relationships/hyperlink" Target="https://www.nomuranow.com/portal/site/public/en-gb/resources/upload/NBI-Interim-Report-Sep2021.pdf" TargetMode="External" Id="rId54"/><Relationship Type="http://schemas.openxmlformats.org/officeDocument/2006/relationships/hyperlink" Target="https://www.nomuranow.com/portal/site/public/en-gb/resources/upload/NBI-Interim-Report-Sep2021.pdf" TargetMode="External" Id="rId55"/><Relationship Type="http://schemas.openxmlformats.org/officeDocument/2006/relationships/hyperlink" Target="https://www.nomuranow.com/portal/site/public/en-gb/resources/upload/nomura-europe-holdings-plc-semi-annual-pillar-3-disclosures-300921.pdf" TargetMode="External" Id="rId56"/><Relationship Type="http://schemas.openxmlformats.org/officeDocument/2006/relationships/hyperlink" Target="https://www.nomuranow.com/portal/site/public/en-gb/resources/upload/NBI-Interim-Report-Sep2025.pdf" TargetMode="External" Id="rId57"/><Relationship Type="http://schemas.openxmlformats.org/officeDocument/2006/relationships/hyperlink" Target="https://www.nomuranow.com/portal/site/public/en-gb/resources/upload/NBI-Interims-September-2024-Accounts-Branded.pdf" TargetMode="External" Id="rId58"/><Relationship Type="http://schemas.openxmlformats.org/officeDocument/2006/relationships/hyperlink" Target="https://www.nomuranow.com/portal/site/public/en-gb/resources/upload/NBI-Interim-Report-Sep2023.pdf" TargetMode="External" Id="rId59"/><Relationship Type="http://schemas.openxmlformats.org/officeDocument/2006/relationships/hyperlink" Target="https://www.nomuranow.com/portal/site/public/en-gb/resources/upload/NBI-Interim-Report-Sep2022.pdf" TargetMode="External" Id="rId60"/></Relationships>
</file>

<file path=xl/worksheets/sheet1.xml><?xml version="1.0" encoding="utf-8"?>
<worksheet xmlns="http://schemas.openxmlformats.org/spreadsheetml/2006/main">
  <sheetPr>
    <outlinePr summaryBelow="1" summaryRight="1"/>
    <pageSetUpPr/>
  </sheetPr>
  <dimension ref="A1:AQ33"/>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1">
      <c r="A1" s="1" t="inlineStr">
        <is>
          <t>Nomura Bank International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FY2026</t>
        </is>
      </c>
      <c r="C5" s="4" t="inlineStr">
        <is>
          <t>FY2025</t>
        </is>
      </c>
      <c r="D5" s="4" t="inlineStr">
        <is>
          <t>FY2024</t>
        </is>
      </c>
      <c r="E5" s="4" t="inlineStr">
        <is>
          <t>FY2023</t>
        </is>
      </c>
      <c r="F5" s="4" t="inlineStr">
        <is>
          <t>FY2022</t>
        </is>
      </c>
      <c r="G5" s="4" t="inlineStr">
        <is>
          <t>FY2021</t>
        </is>
      </c>
      <c r="K5" t="inlineStr">
        <is>
          <t>FY2021</t>
        </is>
      </c>
      <c r="L5" t="inlineStr">
        <is>
          <t>FY2022</t>
        </is>
      </c>
      <c r="M5" t="inlineStr">
        <is>
          <t>FY2023</t>
        </is>
      </c>
      <c r="N5" t="inlineStr">
        <is>
          <t>FY2024</t>
        </is>
      </c>
      <c r="O5" t="inlineStr">
        <is>
          <t>FY2025</t>
        </is>
      </c>
      <c r="P5" t="inlineStr">
        <is>
          <t>FY2026</t>
        </is>
      </c>
    </row>
    <row r="6">
      <c r="A6" s="5" t="inlineStr">
        <is>
          <t>Total Assets</t>
        </is>
      </c>
      <c r="B6" s="5" t="n">
        <v>9284526</v>
      </c>
      <c r="C6" s="5" t="n">
        <v>7722511</v>
      </c>
      <c r="D6" s="5" t="n">
        <v>6422803</v>
      </c>
      <c r="E6" s="5" t="n">
        <v>5845949</v>
      </c>
      <c r="F6" s="5" t="n">
        <v>5873933</v>
      </c>
      <c r="G6" s="5" t="n">
        <v>6608950</v>
      </c>
      <c r="J6" t="inlineStr">
        <is>
          <t>Total Assets</t>
        </is>
      </c>
      <c r="K6" t="n">
        <v>6608950</v>
      </c>
      <c r="L6" t="n">
        <v>5873933</v>
      </c>
      <c r="M6" t="n">
        <v>5845949</v>
      </c>
      <c r="N6" t="n">
        <v>6422803</v>
      </c>
      <c r="O6" t="n">
        <v>7722511</v>
      </c>
      <c r="P6" t="n">
        <v>9284526</v>
      </c>
    </row>
    <row r="7">
      <c r="A7" s="5" t="inlineStr">
        <is>
          <t>Loans and advances to affiliates</t>
        </is>
      </c>
      <c r="B7" s="5" t="n">
        <v>6428499</v>
      </c>
      <c r="C7" s="5" t="n">
        <v>4956351</v>
      </c>
      <c r="D7" s="5" t="n">
        <v>3650595</v>
      </c>
      <c r="E7" s="5" t="n">
        <v>3228350</v>
      </c>
      <c r="F7" s="5" t="n">
        <v>2620602</v>
      </c>
      <c r="G7" s="5" t="n">
        <v>1608289</v>
      </c>
      <c r="J7" t="inlineStr">
        <is>
          <t>Loans and advances to affiliates</t>
        </is>
      </c>
      <c r="K7" t="n">
        <v>1608289</v>
      </c>
      <c r="L7" t="n">
        <v>2620602</v>
      </c>
      <c r="M7" t="n">
        <v>3228350</v>
      </c>
      <c r="N7" t="n">
        <v>3650595</v>
      </c>
      <c r="O7" t="n">
        <v>4956351</v>
      </c>
      <c r="P7" t="n">
        <v>6428499</v>
      </c>
    </row>
    <row r="8">
      <c r="A8" s="5" t="inlineStr">
        <is>
          <t>Total Liabilities</t>
        </is>
      </c>
      <c r="B8" s="5" t="n">
        <v>9112270</v>
      </c>
      <c r="C8" s="5" t="n">
        <v>7459750</v>
      </c>
      <c r="D8" s="5" t="n">
        <v>6170135</v>
      </c>
      <c r="E8" s="5" t="n">
        <v>5458781</v>
      </c>
      <c r="F8" s="5" t="n">
        <v>5610516</v>
      </c>
      <c r="G8" s="5" t="n">
        <v>6440731</v>
      </c>
      <c r="J8" t="inlineStr">
        <is>
          <t>Total Liabilities</t>
        </is>
      </c>
      <c r="K8" t="n">
        <v>6440731</v>
      </c>
      <c r="L8" t="n">
        <v>5610516</v>
      </c>
      <c r="M8" t="n">
        <v>5458781</v>
      </c>
      <c r="N8" t="n">
        <v>6170135</v>
      </c>
      <c r="O8" t="n">
        <v>7459750</v>
      </c>
      <c r="P8" t="n">
        <v>9112270</v>
      </c>
    </row>
    <row r="9">
      <c r="A9" s="5" t="inlineStr">
        <is>
          <t>Total Equity</t>
        </is>
      </c>
      <c r="B9" s="5" t="n">
        <v>172256</v>
      </c>
      <c r="C9" s="5" t="n">
        <v>262761</v>
      </c>
      <c r="D9" s="5" t="n">
        <v>252668</v>
      </c>
      <c r="E9" s="5" t="n">
        <v>387168</v>
      </c>
      <c r="F9" s="5" t="n">
        <v>263417</v>
      </c>
      <c r="G9" s="5" t="n">
        <v>168219</v>
      </c>
      <c r="J9" t="inlineStr">
        <is>
          <t>Total Equity</t>
        </is>
      </c>
      <c r="K9" t="n">
        <v>168219</v>
      </c>
      <c r="L9" t="n">
        <v>263417</v>
      </c>
      <c r="M9" t="n">
        <v>387168</v>
      </c>
      <c r="N9" t="n">
        <v>252668</v>
      </c>
      <c r="O9" t="n">
        <v>262761</v>
      </c>
      <c r="P9" t="n">
        <v>172256</v>
      </c>
    </row>
    <row r="11">
      <c r="A11" s="3" t="inlineStr">
        <is>
          <t>Profit &amp; Loss Summary ($'000)</t>
        </is>
      </c>
    </row>
    <row r="12">
      <c r="A12" s="4" t="inlineStr">
        <is>
          <t>Line item</t>
        </is>
      </c>
      <c r="B12" s="4" t="inlineStr">
        <is>
          <t>FY2026</t>
        </is>
      </c>
      <c r="C12" s="4" t="inlineStr">
        <is>
          <t>FY2025</t>
        </is>
      </c>
      <c r="D12" s="4" t="inlineStr">
        <is>
          <t>FY2024</t>
        </is>
      </c>
      <c r="E12" s="4" t="inlineStr">
        <is>
          <t>FY2023</t>
        </is>
      </c>
      <c r="F12" s="4" t="inlineStr">
        <is>
          <t>FY2022</t>
        </is>
      </c>
      <c r="G12" s="4" t="inlineStr">
        <is>
          <t>FY2021</t>
        </is>
      </c>
      <c r="T12" t="inlineStr">
        <is>
          <t>FY2021</t>
        </is>
      </c>
      <c r="U12" t="inlineStr">
        <is>
          <t>FY2022</t>
        </is>
      </c>
      <c r="V12" t="inlineStr">
        <is>
          <t>FY2023</t>
        </is>
      </c>
      <c r="W12" t="inlineStr">
        <is>
          <t>FY2024</t>
        </is>
      </c>
      <c r="X12" t="inlineStr">
        <is>
          <t>FY2025</t>
        </is>
      </c>
      <c r="Y12" t="inlineStr">
        <is>
          <t>FY2026</t>
        </is>
      </c>
    </row>
    <row r="13">
      <c r="A13" s="5" t="inlineStr">
        <is>
          <t>Net interest income</t>
        </is>
      </c>
      <c r="B13" s="5" t="n">
        <v>318967</v>
      </c>
      <c r="C13" s="5" t="n">
        <v>299129</v>
      </c>
      <c r="D13" s="5" t="n">
        <v>259304</v>
      </c>
      <c r="E13" s="5" t="n">
        <v>106354</v>
      </c>
      <c r="F13" s="5" t="n">
        <v>19795</v>
      </c>
      <c r="G13" s="5" t="n">
        <v>26675</v>
      </c>
      <c r="S13" t="inlineStr">
        <is>
          <t>Net interest income</t>
        </is>
      </c>
      <c r="T13" t="n">
        <v>26675</v>
      </c>
      <c r="U13" t="n">
        <v>19795</v>
      </c>
      <c r="V13" t="n">
        <v>106354</v>
      </c>
      <c r="W13" t="n">
        <v>259304</v>
      </c>
      <c r="X13" t="n">
        <v>299129</v>
      </c>
      <c r="Y13" t="n">
        <v>318967</v>
      </c>
    </row>
    <row r="14">
      <c r="A14" s="5" t="inlineStr">
        <is>
          <t>Total operating income</t>
        </is>
      </c>
      <c r="B14" s="5" t="n">
        <v>23146</v>
      </c>
      <c r="C14" s="5" t="n">
        <v>21490</v>
      </c>
      <c r="D14" s="5" t="n">
        <v>17970</v>
      </c>
      <c r="E14" s="5" t="n">
        <v>44271</v>
      </c>
      <c r="F14" s="5" t="n">
        <v>31398</v>
      </c>
      <c r="G14" s="5" t="n">
        <v>28507</v>
      </c>
      <c r="S14" t="inlineStr">
        <is>
          <t>Total operating income</t>
        </is>
      </c>
      <c r="T14" t="n">
        <v>28507</v>
      </c>
      <c r="U14" t="n">
        <v>31398</v>
      </c>
      <c r="V14" t="n">
        <v>44271</v>
      </c>
      <c r="W14" t="n">
        <v>17970</v>
      </c>
      <c r="X14" t="n">
        <v>21490</v>
      </c>
      <c r="Y14" t="n">
        <v>23146</v>
      </c>
    </row>
    <row r="15">
      <c r="A15" s="5" t="inlineStr">
        <is>
          <t>General and administrative expenses</t>
        </is>
      </c>
      <c r="B15" s="5" t="n">
        <v>-8616</v>
      </c>
      <c r="C15" s="5" t="n">
        <v>-9035</v>
      </c>
      <c r="D15" s="5" t="n">
        <v>-8391</v>
      </c>
      <c r="E15" s="5" t="n">
        <v>-35479</v>
      </c>
      <c r="F15" s="5" t="n">
        <v>-11655</v>
      </c>
      <c r="G15" s="5" t="n">
        <v>-14680</v>
      </c>
      <c r="S15" t="inlineStr">
        <is>
          <t>General and administrative expenses</t>
        </is>
      </c>
      <c r="T15" t="n">
        <v>-14680</v>
      </c>
      <c r="U15" t="n">
        <v>-11655</v>
      </c>
      <c r="V15" t="n">
        <v>-35479</v>
      </c>
      <c r="W15" t="n">
        <v>-8391</v>
      </c>
      <c r="X15" t="n">
        <v>-9035</v>
      </c>
      <c r="Y15" t="n">
        <v>-8616</v>
      </c>
    </row>
    <row r="16">
      <c r="A16" s="5" t="inlineStr">
        <is>
          <t>Profit for the year</t>
        </is>
      </c>
      <c r="B16" s="5" t="n">
        <v>9865</v>
      </c>
      <c r="C16" s="5" t="n">
        <v>9370</v>
      </c>
      <c r="D16" s="5" t="n">
        <v>7175</v>
      </c>
      <c r="E16" s="5" t="n">
        <v>7048</v>
      </c>
      <c r="F16" s="5" t="n">
        <v>15542</v>
      </c>
      <c r="G16" s="5" t="n">
        <v>11348</v>
      </c>
      <c r="S16" t="inlineStr">
        <is>
          <t>Profit for the year</t>
        </is>
      </c>
      <c r="T16" t="n">
        <v>11348</v>
      </c>
      <c r="U16" t="n">
        <v>15542</v>
      </c>
      <c r="V16" t="n">
        <v>7048</v>
      </c>
      <c r="W16" t="n">
        <v>7175</v>
      </c>
      <c r="X16" t="n">
        <v>9370</v>
      </c>
      <c r="Y16" t="n">
        <v>9865</v>
      </c>
    </row>
    <row r="18">
      <c r="A18" s="3" t="inlineStr">
        <is>
          <t>Statement of Changes in Equity Summary ($'000)</t>
        </is>
      </c>
    </row>
    <row r="19">
      <c r="A19" s="4" t="inlineStr">
        <is>
          <t>Line item</t>
        </is>
      </c>
      <c r="B19" s="4" t="inlineStr">
        <is>
          <t>FY2026</t>
        </is>
      </c>
      <c r="C19" s="4" t="inlineStr">
        <is>
          <t>FY2025</t>
        </is>
      </c>
      <c r="D19" s="4" t="inlineStr">
        <is>
          <t>FY2024</t>
        </is>
      </c>
      <c r="E19" s="4" t="inlineStr">
        <is>
          <t>FY2023</t>
        </is>
      </c>
      <c r="F19" s="4" t="inlineStr">
        <is>
          <t>FY2022</t>
        </is>
      </c>
      <c r="G19" s="4" t="inlineStr">
        <is>
          <t>FY2021</t>
        </is>
      </c>
      <c r="AC19" t="inlineStr">
        <is>
          <t>FY2021</t>
        </is>
      </c>
      <c r="AD19" t="inlineStr">
        <is>
          <t>FY2022</t>
        </is>
      </c>
      <c r="AE19" t="inlineStr">
        <is>
          <t>FY2023</t>
        </is>
      </c>
      <c r="AF19" t="inlineStr">
        <is>
          <t>FY2024</t>
        </is>
      </c>
      <c r="AG19" t="inlineStr">
        <is>
          <t>FY2025</t>
        </is>
      </c>
      <c r="AH19" t="inlineStr">
        <is>
          <t>FY2026</t>
        </is>
      </c>
    </row>
    <row r="20">
      <c r="A20" s="5" t="inlineStr">
        <is>
          <t>Opening equity</t>
        </is>
      </c>
      <c r="B20" s="5" t="n">
        <v>262761</v>
      </c>
      <c r="C20" s="5" t="n">
        <v>252668</v>
      </c>
      <c r="D20" s="5" t="n">
        <v>387168</v>
      </c>
      <c r="E20" s="5" t="n">
        <v>263417</v>
      </c>
      <c r="F20" s="5" t="n">
        <v>168219</v>
      </c>
      <c r="G20" s="5" t="n">
        <v>341809</v>
      </c>
      <c r="AB20" t="inlineStr">
        <is>
          <t>Opening equity</t>
        </is>
      </c>
      <c r="AC20" t="n">
        <v>341809</v>
      </c>
      <c r="AD20" t="n">
        <v>168219</v>
      </c>
      <c r="AE20" t="n">
        <v>263417</v>
      </c>
      <c r="AF20" t="n">
        <v>387168</v>
      </c>
      <c r="AG20" t="n">
        <v>252668</v>
      </c>
      <c r="AH20" t="n">
        <v>262761</v>
      </c>
    </row>
    <row r="21">
      <c r="A21" s="5" t="inlineStr">
        <is>
          <t>Total comprehensive income/(loss) for the year</t>
        </is>
      </c>
      <c r="B21" s="5" t="n">
        <v>-82005</v>
      </c>
      <c r="C21" s="5" t="n">
        <v>10093</v>
      </c>
      <c r="D21" s="5" t="n">
        <v>-129500</v>
      </c>
      <c r="E21" s="5" t="n">
        <v>133751</v>
      </c>
      <c r="F21" s="5" t="n">
        <v>105198</v>
      </c>
      <c r="G21" s="5" t="n">
        <v>-161590</v>
      </c>
      <c r="AB21" t="inlineStr">
        <is>
          <t>Total comprehensive income/(loss) for the year</t>
        </is>
      </c>
      <c r="AC21" t="n">
        <v>-161590</v>
      </c>
      <c r="AD21" t="n">
        <v>105198</v>
      </c>
      <c r="AE21" t="n">
        <v>133751</v>
      </c>
      <c r="AF21" t="n">
        <v>-129500</v>
      </c>
      <c r="AG21" t="n">
        <v>10093</v>
      </c>
      <c r="AH21" t="n">
        <v>-82005</v>
      </c>
    </row>
    <row r="22">
      <c r="A22" s="5" t="inlineStr">
        <is>
          <t>Other equity movements, net</t>
        </is>
      </c>
      <c r="B22" s="5" t="n">
        <v>-8500</v>
      </c>
      <c r="C22" s="5" t="n">
        <v>0</v>
      </c>
      <c r="D22" s="5" t="n">
        <v>-5000</v>
      </c>
      <c r="E22" s="5" t="n">
        <v>-10000</v>
      </c>
      <c r="F22" s="5" t="n">
        <v>-10000</v>
      </c>
      <c r="G22" s="5" t="n">
        <v>-12000</v>
      </c>
      <c r="AB22" t="inlineStr">
        <is>
          <t>Other equity movements, net</t>
        </is>
      </c>
      <c r="AC22" t="n">
        <v>-12000</v>
      </c>
      <c r="AD22" t="n">
        <v>-10000</v>
      </c>
      <c r="AE22" t="n">
        <v>-10000</v>
      </c>
      <c r="AF22" t="n">
        <v>-5000</v>
      </c>
      <c r="AG22" t="n">
        <v>0</v>
      </c>
      <c r="AH22" t="n">
        <v>-8500</v>
      </c>
    </row>
    <row r="23">
      <c r="A23" s="5" t="inlineStr">
        <is>
          <t>Closing equity</t>
        </is>
      </c>
      <c r="B23" s="5" t="n">
        <v>172256</v>
      </c>
      <c r="C23" s="5" t="n">
        <v>262761</v>
      </c>
      <c r="D23" s="5" t="n">
        <v>252668</v>
      </c>
      <c r="E23" s="5" t="n">
        <v>387168</v>
      </c>
      <c r="F23" s="5" t="n">
        <v>263417</v>
      </c>
      <c r="G23" s="5" t="n">
        <v>168219</v>
      </c>
      <c r="AB23" t="inlineStr">
        <is>
          <t>Closing equity</t>
        </is>
      </c>
      <c r="AC23" t="n">
        <v>168219</v>
      </c>
      <c r="AD23" t="n">
        <v>263417</v>
      </c>
      <c r="AE23" t="n">
        <v>387168</v>
      </c>
      <c r="AF23" t="n">
        <v>252668</v>
      </c>
      <c r="AG23" t="n">
        <v>262761</v>
      </c>
      <c r="AH23" t="n">
        <v>172256</v>
      </c>
    </row>
    <row r="25">
      <c r="A25" s="3" t="inlineStr">
        <is>
          <t>Cash Flow Summary ($'000)</t>
        </is>
      </c>
    </row>
    <row r="26">
      <c r="A26" s="4" t="inlineStr">
        <is>
          <t>Line item</t>
        </is>
      </c>
      <c r="B26" s="4" t="inlineStr">
        <is>
          <t>FY2026</t>
        </is>
      </c>
      <c r="C26" s="4" t="inlineStr">
        <is>
          <t>FY2025</t>
        </is>
      </c>
      <c r="D26" s="4" t="inlineStr">
        <is>
          <t>FY2024</t>
        </is>
      </c>
      <c r="E26" s="4" t="inlineStr">
        <is>
          <t>FY2023</t>
        </is>
      </c>
      <c r="F26" s="4" t="inlineStr">
        <is>
          <t>FY2022</t>
        </is>
      </c>
      <c r="G26" s="4" t="inlineStr">
        <is>
          <t>FY2021</t>
        </is>
      </c>
      <c r="AL26" t="inlineStr">
        <is>
          <t>FY2021</t>
        </is>
      </c>
      <c r="AM26" t="inlineStr">
        <is>
          <t>FY2022</t>
        </is>
      </c>
      <c r="AN26" t="inlineStr">
        <is>
          <t>FY2023</t>
        </is>
      </c>
      <c r="AO26" t="inlineStr">
        <is>
          <t>FY2024</t>
        </is>
      </c>
      <c r="AP26" t="inlineStr">
        <is>
          <t>FY2025</t>
        </is>
      </c>
      <c r="AQ26" t="inlineStr">
        <is>
          <t>FY2026</t>
        </is>
      </c>
    </row>
    <row r="27">
      <c r="A27" s="5" t="inlineStr">
        <is>
          <t>Net cash flow from operating activities</t>
        </is>
      </c>
      <c r="B27" s="5" t="n">
        <v>-1173913</v>
      </c>
      <c r="C27" s="5" t="n">
        <v>-1060963</v>
      </c>
      <c r="D27" s="5" t="n">
        <v>-425579</v>
      </c>
      <c r="E27" s="5" t="n">
        <v>-343288</v>
      </c>
      <c r="F27" s="5" t="n">
        <v>-606420</v>
      </c>
      <c r="G27" s="5" t="n">
        <v>-371462</v>
      </c>
      <c r="AK27" t="inlineStr">
        <is>
          <t>Net cash flow from operating activities</t>
        </is>
      </c>
      <c r="AL27" t="n">
        <v>-371462</v>
      </c>
      <c r="AM27" t="n">
        <v>-606420</v>
      </c>
      <c r="AN27" t="n">
        <v>-343288</v>
      </c>
      <c r="AO27" t="n">
        <v>-425579</v>
      </c>
      <c r="AP27" t="n">
        <v>-1060963</v>
      </c>
      <c r="AQ27" t="n">
        <v>-1173913</v>
      </c>
    </row>
    <row r="28">
      <c r="A28" s="5" t="inlineStr">
        <is>
          <t>Net cash flows from financing activities</t>
        </is>
      </c>
      <c r="B28" s="5" t="n">
        <v>1173318</v>
      </c>
      <c r="C28" s="5" t="n">
        <v>1061929</v>
      </c>
      <c r="D28" s="5" t="n">
        <v>418559</v>
      </c>
      <c r="E28" s="5" t="n">
        <v>349607</v>
      </c>
      <c r="F28" s="5" t="n">
        <v>604884</v>
      </c>
      <c r="G28" s="5" t="n">
        <v>357302</v>
      </c>
      <c r="AK28" t="inlineStr">
        <is>
          <t>Net cash flows from financing activities</t>
        </is>
      </c>
      <c r="AL28" t="n">
        <v>357302</v>
      </c>
      <c r="AM28" t="n">
        <v>604884</v>
      </c>
      <c r="AN28" t="n">
        <v>349607</v>
      </c>
      <c r="AO28" t="n">
        <v>418559</v>
      </c>
      <c r="AP28" t="n">
        <v>1061929</v>
      </c>
      <c r="AQ28" t="n">
        <v>1173318</v>
      </c>
    </row>
    <row r="29">
      <c r="A29" s="5" t="inlineStr">
        <is>
          <t>Cash and cash equivalents at end of year</t>
        </is>
      </c>
      <c r="B29" s="5" t="n">
        <v>1132</v>
      </c>
      <c r="C29" s="5" t="n">
        <v>1727</v>
      </c>
      <c r="D29" s="5" t="n">
        <v>761</v>
      </c>
      <c r="E29" s="5" t="n">
        <v>7781</v>
      </c>
      <c r="F29" s="5" t="n">
        <v>1462</v>
      </c>
      <c r="G29" s="5" t="n">
        <v>2998</v>
      </c>
      <c r="AK29" t="inlineStr">
        <is>
          <t>Cash and cash equivalents at end of year</t>
        </is>
      </c>
      <c r="AL29" t="n">
        <v>2998</v>
      </c>
      <c r="AM29" t="n">
        <v>1462</v>
      </c>
      <c r="AN29" t="n">
        <v>7781</v>
      </c>
      <c r="AO29" t="n">
        <v>761</v>
      </c>
      <c r="AP29" t="n">
        <v>1727</v>
      </c>
      <c r="AQ29" t="n">
        <v>1132</v>
      </c>
    </row>
    <row r="31">
      <c r="A31" s="3" t="inlineStr">
        <is>
          <t>Pillar 3 Key Metrics: not applicable — no ratios are disclosed for this entity (see the individual Pillar 3 metric sheets).</t>
        </is>
      </c>
    </row>
    <row r="33" ht="30" customHeight="1">
      <c r="A33" s="6" t="inlineStr">
        <is>
          <t>Note: Nomura Bank International plc's entity-level annual reports disclose Tier 1 capital and total capital resources but do not numerically disclose the standard capital, leverage, liquidity, or MREL ratios, and no RWA figure of any kind is published. See the corresponding metric sheets for explicit non-disclosure notes.</t>
        </is>
      </c>
    </row>
  </sheetData>
  <mergeCells count="1">
    <mergeCell ref="A33:G3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Nomura Bank International plc — Statement of Financial Position</t>
        </is>
      </c>
    </row>
    <row r="2">
      <c r="A2" s="2" t="inlineStr">
        <is>
          <t>Standalone Bank basis, $'000</t>
        </is>
      </c>
    </row>
    <row r="3">
      <c r="A3" s="4" t="inlineStr">
        <is>
          <t>Line item</t>
        </is>
      </c>
      <c r="B3" s="4" t="inlineStr">
        <is>
          <t>FY2026 ($'000)</t>
        </is>
      </c>
      <c r="C3" s="4" t="inlineStr">
        <is>
          <t>FY2025 ($'000)</t>
        </is>
      </c>
      <c r="D3" s="4" t="inlineStr">
        <is>
          <t>FY2024 ($'000)</t>
        </is>
      </c>
      <c r="E3" s="4" t="inlineStr">
        <is>
          <t>FY2023 ($'000)</t>
        </is>
      </c>
      <c r="F3" s="4" t="inlineStr">
        <is>
          <t>FY2022 ($'000)</t>
        </is>
      </c>
      <c r="G3" s="4" t="inlineStr">
        <is>
          <t>FY2021 ($'000)</t>
        </is>
      </c>
    </row>
    <row r="4">
      <c r="A4" s="5" t="inlineStr">
        <is>
          <t>Assets</t>
        </is>
      </c>
      <c r="B4" s="7" t="n"/>
      <c r="C4" s="7" t="n"/>
      <c r="D4" s="7" t="n"/>
      <c r="E4" s="7" t="n"/>
      <c r="F4" s="7" t="n"/>
      <c r="G4" s="7" t="n"/>
    </row>
    <row r="5">
      <c r="A5" s="7" t="inlineStr">
        <is>
          <t>Cash and cash equivalents</t>
        </is>
      </c>
      <c r="B5" s="7" t="n">
        <v>1132</v>
      </c>
      <c r="C5" s="7" t="n">
        <v>1727</v>
      </c>
      <c r="D5" s="7" t="n">
        <v>761</v>
      </c>
      <c r="E5" s="7" t="n">
        <v>7781</v>
      </c>
      <c r="F5" s="7" t="n">
        <v>1462</v>
      </c>
      <c r="G5" s="7" t="n">
        <v>2998</v>
      </c>
    </row>
    <row r="6">
      <c r="A6" s="7" t="inlineStr">
        <is>
          <t>Derivative financial instruments (asset)</t>
        </is>
      </c>
      <c r="B6" s="7" t="n">
        <v>613989</v>
      </c>
      <c r="C6" s="7" t="n">
        <v>432715</v>
      </c>
      <c r="D6" s="7" t="n">
        <v>290645</v>
      </c>
      <c r="E6" s="7" t="n">
        <v>149851</v>
      </c>
      <c r="F6" s="7" t="n">
        <v>440933</v>
      </c>
      <c r="G6" s="7" t="n">
        <v>1473660</v>
      </c>
    </row>
    <row r="7">
      <c r="A7" s="7" t="inlineStr">
        <is>
          <t>Loans and advances to affiliates</t>
        </is>
      </c>
      <c r="B7" s="7" t="n">
        <v>6428499</v>
      </c>
      <c r="C7" s="7" t="n">
        <v>4956351</v>
      </c>
      <c r="D7" s="7" t="n">
        <v>3650595</v>
      </c>
      <c r="E7" s="7" t="n">
        <v>3228350</v>
      </c>
      <c r="F7" s="7" t="n">
        <v>2620602</v>
      </c>
      <c r="G7" s="7" t="n">
        <v>1608289</v>
      </c>
    </row>
    <row r="8">
      <c r="A8" s="7" t="inlineStr">
        <is>
          <t>Securities purchased under agreements to resell</t>
        </is>
      </c>
      <c r="B8" s="7" t="n">
        <v>2175544</v>
      </c>
      <c r="C8" s="7" t="n">
        <v>2259073</v>
      </c>
      <c r="D8" s="7" t="n">
        <v>2413684</v>
      </c>
      <c r="E8" s="7" t="n">
        <v>2434880</v>
      </c>
      <c r="F8" s="7" t="n">
        <v>2799330</v>
      </c>
      <c r="G8" s="7" t="n">
        <v>3485060</v>
      </c>
    </row>
    <row r="9">
      <c r="A9" s="7" t="inlineStr">
        <is>
          <t>Loans and advances to others</t>
        </is>
      </c>
      <c r="B9" s="7" t="n">
        <v>1546</v>
      </c>
      <c r="C9" s="7" t="n">
        <v>1850</v>
      </c>
      <c r="D9" s="7" t="n">
        <v>2144</v>
      </c>
      <c r="E9" s="7" t="n">
        <v>2462</v>
      </c>
      <c r="F9" s="7" t="n">
        <v>417</v>
      </c>
      <c r="G9" s="7" t="n">
        <v>1580</v>
      </c>
    </row>
    <row r="10">
      <c r="A10" s="7" t="inlineStr">
        <is>
          <t>Prepayments and accrued income</t>
        </is>
      </c>
      <c r="B10" s="7" t="n">
        <v>54187</v>
      </c>
      <c r="C10" s="7" t="n">
        <v>64844</v>
      </c>
      <c r="D10" s="7" t="n">
        <v>57011</v>
      </c>
      <c r="E10" s="7" t="n">
        <v>21899</v>
      </c>
      <c r="F10" s="7" t="n">
        <v>4371</v>
      </c>
      <c r="G10" s="7" t="n">
        <v>5161</v>
      </c>
    </row>
    <row r="11">
      <c r="A11" s="7" t="inlineStr">
        <is>
          <t>Other assets</t>
        </is>
      </c>
      <c r="B11" s="7" t="n">
        <v>7016</v>
      </c>
      <c r="C11" s="7" t="n">
        <v>3652</v>
      </c>
      <c r="D11" s="7" t="n">
        <v>6032</v>
      </c>
      <c r="E11" s="7" t="n">
        <v>399</v>
      </c>
      <c r="F11" s="7" t="n">
        <v>5146</v>
      </c>
      <c r="G11" s="7" t="n">
        <v>7476</v>
      </c>
    </row>
    <row r="12">
      <c r="A12" s="7" t="inlineStr">
        <is>
          <t>Right-of-use assets</t>
        </is>
      </c>
      <c r="B12" s="7" t="n"/>
      <c r="C12" s="7" t="n"/>
      <c r="D12" s="7" t="n">
        <v>0</v>
      </c>
      <c r="E12" s="7" t="n">
        <v>316</v>
      </c>
      <c r="F12" s="7" t="n">
        <v>396</v>
      </c>
      <c r="G12" s="7" t="n">
        <v>91</v>
      </c>
    </row>
    <row r="13">
      <c r="A13" s="7" t="inlineStr">
        <is>
          <t>Financial investments (mandatorily at fair value through profit or loss)</t>
        </is>
      </c>
      <c r="B13" s="7" t="n">
        <v>14</v>
      </c>
      <c r="C13" s="7" t="n">
        <v>13</v>
      </c>
      <c r="D13" s="7" t="n">
        <v>11</v>
      </c>
      <c r="E13" s="7" t="n">
        <v>11</v>
      </c>
      <c r="F13" s="7" t="n">
        <v>20</v>
      </c>
      <c r="G13" s="7" t="n">
        <v>20</v>
      </c>
    </row>
    <row r="14">
      <c r="A14" s="7" t="inlineStr">
        <is>
          <t>Deferred tax asset</t>
        </is>
      </c>
      <c r="B14" s="7" t="n">
        <v>2599</v>
      </c>
      <c r="C14" s="7" t="n">
        <v>2286</v>
      </c>
      <c r="D14" s="7" t="n">
        <v>1920</v>
      </c>
      <c r="E14" s="7" t="n"/>
      <c r="F14" s="7" t="n">
        <v>1256</v>
      </c>
      <c r="G14" s="7" t="n">
        <v>24615</v>
      </c>
    </row>
    <row r="15">
      <c r="A15" s="5" t="inlineStr">
        <is>
          <t>Total Assets</t>
        </is>
      </c>
      <c r="B15" s="5" t="n">
        <v>9284526</v>
      </c>
      <c r="C15" s="5" t="n">
        <v>7722511</v>
      </c>
      <c r="D15" s="5" t="n">
        <v>6422803</v>
      </c>
      <c r="E15" s="5" t="n">
        <v>5845949</v>
      </c>
      <c r="F15" s="5" t="n">
        <v>5873933</v>
      </c>
      <c r="G15" s="5" t="n">
        <v>6608950</v>
      </c>
    </row>
    <row r="16">
      <c r="A16" s="5" t="inlineStr">
        <is>
          <t>Liabilities</t>
        </is>
      </c>
      <c r="B16" s="7" t="n"/>
      <c r="C16" s="7" t="n"/>
      <c r="D16" s="7" t="n"/>
      <c r="E16" s="7" t="n"/>
      <c r="F16" s="7" t="n"/>
      <c r="G16" s="7" t="n"/>
    </row>
    <row r="17">
      <c r="A17" s="7" t="inlineStr">
        <is>
          <t>Customer accounts/deposits</t>
        </is>
      </c>
      <c r="B17" s="7" t="n">
        <v>50000</v>
      </c>
      <c r="C17" s="7" t="n">
        <v>10000</v>
      </c>
      <c r="D17" s="7" t="n"/>
      <c r="E17" s="7" t="n"/>
      <c r="F17" s="7" t="n">
        <v>0</v>
      </c>
      <c r="G17" s="7" t="n">
        <v>166</v>
      </c>
    </row>
    <row r="18">
      <c r="A18" s="7" t="inlineStr">
        <is>
          <t>Derivative financial instruments (liability)</t>
        </is>
      </c>
      <c r="B18" s="7" t="n">
        <v>1051395</v>
      </c>
      <c r="C18" s="7" t="n">
        <v>1058579</v>
      </c>
      <c r="D18" s="7" t="n">
        <v>941237</v>
      </c>
      <c r="E18" s="7" t="n">
        <v>876358</v>
      </c>
      <c r="F18" s="7" t="n">
        <v>723515</v>
      </c>
      <c r="G18" s="7" t="n">
        <v>1449591</v>
      </c>
    </row>
    <row r="19">
      <c r="A19" s="7" t="inlineStr">
        <is>
          <t>Accruals and deferred income</t>
        </is>
      </c>
      <c r="B19" s="7" t="n">
        <v>55479</v>
      </c>
      <c r="C19" s="7" t="n">
        <v>37979</v>
      </c>
      <c r="D19" s="7" t="n">
        <v>32526</v>
      </c>
      <c r="E19" s="7" t="n">
        <v>56730</v>
      </c>
      <c r="F19" s="7" t="n">
        <v>16550</v>
      </c>
      <c r="G19" s="7" t="n">
        <v>17834</v>
      </c>
    </row>
    <row r="20">
      <c r="A20" s="7" t="inlineStr">
        <is>
          <t>Borrowings from affiliates</t>
        </is>
      </c>
      <c r="B20" s="7" t="n">
        <v>222856</v>
      </c>
      <c r="C20" s="7" t="n">
        <v>125488</v>
      </c>
      <c r="D20" s="7" t="n">
        <v>118366</v>
      </c>
      <c r="E20" s="7" t="n">
        <v>121244</v>
      </c>
      <c r="F20" s="7" t="n">
        <v>274421</v>
      </c>
      <c r="G20" s="7" t="n">
        <v>329333</v>
      </c>
    </row>
    <row r="21">
      <c r="A21" s="7" t="inlineStr">
        <is>
          <t>Borrowings from others</t>
        </is>
      </c>
      <c r="B21" s="7" t="n"/>
      <c r="C21" s="7" t="n"/>
      <c r="D21" s="7" t="n">
        <v>0</v>
      </c>
      <c r="E21" s="7" t="n">
        <v>761</v>
      </c>
      <c r="F21" s="7" t="n">
        <v>610</v>
      </c>
      <c r="G21" s="7" t="n">
        <v>8728</v>
      </c>
    </row>
    <row r="22">
      <c r="A22" s="7" t="inlineStr">
        <is>
          <t>Commercial papers issued</t>
        </is>
      </c>
      <c r="B22" s="7" t="n">
        <v>505372</v>
      </c>
      <c r="C22" s="7" t="n">
        <v>682741</v>
      </c>
      <c r="D22" s="7" t="n">
        <v>815131</v>
      </c>
      <c r="E22" s="7" t="n">
        <v>789011</v>
      </c>
      <c r="F22" s="7" t="n">
        <v>794070</v>
      </c>
      <c r="G22" s="7" t="n">
        <v>798480</v>
      </c>
    </row>
    <row r="23">
      <c r="A23" s="7" t="inlineStr">
        <is>
          <t>Bonds and medium-term notes</t>
        </is>
      </c>
      <c r="B23" s="7" t="n">
        <v>7219566</v>
      </c>
      <c r="C23" s="7" t="n">
        <v>5539325</v>
      </c>
      <c r="D23" s="7" t="n">
        <v>4258572</v>
      </c>
      <c r="E23" s="7" t="n">
        <v>3578986</v>
      </c>
      <c r="F23" s="7" t="n">
        <v>3793645</v>
      </c>
      <c r="G23" s="7" t="n">
        <v>3834998</v>
      </c>
    </row>
    <row r="24">
      <c r="A24" s="7" t="inlineStr">
        <is>
          <t>Group relief payable</t>
        </is>
      </c>
      <c r="B24" s="7" t="n">
        <v>6088</v>
      </c>
      <c r="C24" s="7" t="n">
        <v>5564</v>
      </c>
      <c r="D24" s="7" t="n">
        <v>4231</v>
      </c>
      <c r="E24" s="7" t="n">
        <v>7478</v>
      </c>
      <c r="F24" s="7" t="n">
        <v>5793</v>
      </c>
      <c r="G24" s="7" t="n"/>
    </row>
    <row r="25">
      <c r="A25" s="7" t="inlineStr">
        <is>
          <t>Corporate tax liability</t>
        </is>
      </c>
      <c r="B25" s="7" t="n"/>
      <c r="C25" s="7" t="n"/>
      <c r="D25" s="7" t="n">
        <v>0</v>
      </c>
      <c r="E25" s="7" t="n">
        <v>787</v>
      </c>
      <c r="F25" s="7" t="n">
        <v>837</v>
      </c>
      <c r="G25" s="7" t="n">
        <v>1487</v>
      </c>
    </row>
    <row r="26">
      <c r="A26" s="7" t="inlineStr">
        <is>
          <t>Other liabilities</t>
        </is>
      </c>
      <c r="B26" s="7" t="n">
        <v>1514</v>
      </c>
      <c r="C26" s="7" t="n">
        <v>74</v>
      </c>
      <c r="D26" s="7" t="n">
        <v>72</v>
      </c>
      <c r="E26" s="7" t="n">
        <v>364</v>
      </c>
      <c r="F26" s="7" t="n">
        <v>1075</v>
      </c>
      <c r="G26" s="7" t="n">
        <v>114</v>
      </c>
    </row>
    <row r="27">
      <c r="A27" s="7" t="inlineStr">
        <is>
          <t>Deferred tax liability</t>
        </is>
      </c>
      <c r="B27" s="7" t="n"/>
      <c r="C27" s="7" t="n"/>
      <c r="D27" s="7" t="n">
        <v>0</v>
      </c>
      <c r="E27" s="7" t="n">
        <v>27062</v>
      </c>
      <c r="F27" s="7" t="n"/>
      <c r="G27" s="7" t="n"/>
    </row>
    <row r="28">
      <c r="A28" s="5" t="inlineStr">
        <is>
          <t>Total Liabilities</t>
        </is>
      </c>
      <c r="B28" s="5" t="n">
        <v>9112270</v>
      </c>
      <c r="C28" s="5" t="n">
        <v>7459750</v>
      </c>
      <c r="D28" s="5" t="n">
        <v>6170135</v>
      </c>
      <c r="E28" s="5" t="n">
        <v>5458781</v>
      </c>
      <c r="F28" s="5" t="n">
        <v>5610516</v>
      </c>
      <c r="G28" s="5" t="n">
        <v>6440731</v>
      </c>
    </row>
    <row r="29">
      <c r="A29" s="5" t="inlineStr">
        <is>
          <t>Shareholders' funds</t>
        </is>
      </c>
      <c r="B29" s="7" t="n"/>
      <c r="C29" s="7" t="n"/>
      <c r="D29" s="7" t="n"/>
      <c r="E29" s="7" t="n"/>
      <c r="F29" s="7" t="n"/>
      <c r="G29" s="7" t="n"/>
    </row>
    <row r="30">
      <c r="A30" s="7" t="inlineStr">
        <is>
          <t>Called up share capital</t>
        </is>
      </c>
      <c r="B30" s="7" t="n">
        <v>255000</v>
      </c>
      <c r="C30" s="7" t="n">
        <v>255000</v>
      </c>
      <c r="D30" s="7" t="n">
        <v>255000</v>
      </c>
      <c r="E30" s="7" t="n">
        <v>255000</v>
      </c>
      <c r="F30" s="7" t="n">
        <v>255000</v>
      </c>
      <c r="G30" s="7" t="n">
        <v>255000</v>
      </c>
    </row>
    <row r="31">
      <c r="A31" s="7" t="inlineStr">
        <is>
          <t>Retained earnings</t>
        </is>
      </c>
      <c r="B31" s="7" t="n">
        <v>27726</v>
      </c>
      <c r="C31" s="7" t="n">
        <v>34894</v>
      </c>
      <c r="D31" s="7" t="n">
        <v>26080</v>
      </c>
      <c r="E31" s="7" t="n">
        <v>30560</v>
      </c>
      <c r="F31" s="7" t="n">
        <v>33222</v>
      </c>
      <c r="G31" s="7" t="n">
        <v>21879</v>
      </c>
    </row>
    <row r="32">
      <c r="A32" s="7" t="inlineStr">
        <is>
          <t>Own credit reserve</t>
        </is>
      </c>
      <c r="B32" s="7" t="n">
        <v>-110470</v>
      </c>
      <c r="C32" s="7" t="n">
        <v>-27133</v>
      </c>
      <c r="D32" s="7" t="n">
        <v>-28412</v>
      </c>
      <c r="E32" s="7" t="n">
        <v>101608</v>
      </c>
      <c r="F32" s="7" t="n">
        <v>-24805</v>
      </c>
      <c r="G32" s="7" t="n">
        <v>-108660</v>
      </c>
    </row>
    <row r="33">
      <c r="A33" s="5" t="inlineStr">
        <is>
          <t>Total Equity</t>
        </is>
      </c>
      <c r="B33" s="5" t="n">
        <v>172256</v>
      </c>
      <c r="C33" s="5" t="n">
        <v>262761</v>
      </c>
      <c r="D33" s="5" t="n">
        <v>252668</v>
      </c>
      <c r="E33" s="5" t="n">
        <v>387168</v>
      </c>
      <c r="F33" s="5" t="n">
        <v>263417</v>
      </c>
      <c r="G33" s="5" t="n">
        <v>168219</v>
      </c>
    </row>
    <row r="34">
      <c r="A34" s="5" t="inlineStr">
        <is>
          <t>Total Liabilities and Equity</t>
        </is>
      </c>
      <c r="B34" s="5" t="n">
        <v>9284526</v>
      </c>
      <c r="C34" s="5" t="n">
        <v>7722511</v>
      </c>
      <c r="D34" s="5" t="n">
        <v>6422803</v>
      </c>
      <c r="E34" s="5" t="n">
        <v>5845949</v>
      </c>
      <c r="F34" s="5" t="n">
        <v>5873933</v>
      </c>
      <c r="G34" s="5" t="n">
        <v>6608950</v>
      </c>
    </row>
    <row r="36" ht="377" customHeight="1">
      <c r="A36" s="8" t="inlineStr">
        <is>
          <t>ENTITY NOTE: Nomura Bank International plc (company 01981122, FRN 204419) is the legal entity in the supplied Banks List 2608.xlsx. Companies House confirms the active public company, incorporated 22 January 1986, with the same registered name and annual accounts made up to 31 March. The Bank is a wholly owned subsidiary of Nomura Europe Holdings plc, has no material subsidiaries, and presents its own financial statements in USD.
Sources — Nomura Bank International plc Annual Reports and Financial Statements, Income Statement / Statement of Comprehensive Income / Statement of Financial Position / Statement of Changes in Equity:
FY2026: Annual Report for year ended 31 March 2026, printed pp.33-36 (Income Statement p.33, Statement of Comprehensive Income p.34, Statement of Changes in Equity p.35, Statement of Financial Position p.36) — https://www.nomuranow.com/portal/site/public/en-gb/resources/upload/NBI-Annual-Report-310326.pdf
FY2025: Annual Report for year ended 31 March 2025, pp.30-33 — https://www.nomuranow.com/portal/site/public/en-gb/resources/upload/NBI-Annual-Report-310325.pdf
FY2024: Annual Report for year ended 31 March 2024, pp.34-37, cross-checked against AR2025's comparative column — https://www.nomuranow.com/portal/site/public/en-gb/resources/upload/NBI-Annual-Report-310324.pdf / https://www.nomuranow.com/portal/site/public/en-gb/resources/upload/NBI-Annual-Report-310325.pdf
FY2023: Annual Report for year ended 31 March 2023, pp.33-36, cross-checked against AR2024's comparative column — https://www.nomuranow.com/portal/site/public/en-gb/resources/upload/NBI-Annual-Report-310323.pdf / https://www.nomuranow.com/portal/site/public/en-gb/resources/upload/NBI-Annual-Report-310324.pdf
FY2022: Annual Report for year ended 31 March 2022, pp.33-36, cross-checked against AR2023's comparative column — https://www.nomuranow.com/portal/site/public/en-gb/resources/upload/NBI-Annual-Report-310322.pdf / https://www.nomuranow.com/portal/site/public/en-gb/resources/upload/NBI-Annual-Report-310323.pdf
FY2021: Annual Report for year ended 31 March 2021, pp.24-27, cross-checked against AR2022's comparative column — https://www.nomuranow.com/portal/site/public/en-gb/resources/upload/NBI-Annual-Report-310321.pdf / https://www.nomuranow.com/portal/site/public/en-gb/resources/upload/NBI-Annual-Report-310322.pdf
All years' Balance Sheet/P&amp;L/Equity figures were independently cross-checked against the following year's comparative column and tie exactly - zero plug rows were needed. All amounts are $'000.
FY2026 ADDED 2026-09-15: every FY2026 statement was verified to foot internally (Total Assets $9,284,526k = Total Liabilities $9,112,270k + Total Equity $172,256k; the equity roll-forward from the 1 April 2025 opening balance ties to the 31 March 2026 closing balance on all three components) and the AR2026 comparative column reproduces this workbook's existing FY2025 figures exactly, so no prior year was restated. Two FY2026 presentational points: the Statement of Cash Flows no longer carries a 'Depreciation' or 'Payment of principal portion of lease liabilities' line (both were nil in FY2025), and the working-capital line 'Net change in customer accounts' is relabelled 'Net changes in customer deposits' - the same underlying line, kept on the existing row. FY2026 also shows a large own-credit movement: Other comprehensive loss of $(91,870)k drives Total Equity down from $262,761k to $172,256k despite a $9,865k profit, which is a real disclosed movement, not a transcription error.
PRESENTATION NOTE: the FY2025 report relabels the P&amp;L's 'Dealing Loss' line (used FY2021-FY2024) as 'Gains and losses from financial instruments at fair value through profit or loss' - the same underlying line, shown here under each year's own contemporaneous label. The Balance Sheet's cash line is labelled 'Loans and advances to banks' FY2021-FY2023 and 'Cash and cash equivalents' FY2024-FY2025 - same underlying line, shown as originally labelled each year. 'Customer Accounts' (FY2021-FY2022) and 'Customer Deposits' (FY2025) are genuinely distinct - the account fell to nil and was undisclosed as a line in FY2023-FY2024, then a new deposit appeared in FY2025. 'Right-of-use assets' and 'Deferred tax asset/liability' are genuinely absent in some years (nil or below the entity's own disclosure threshold), not omitted in error. The FY2025 Balance Sheet (p.33) shows Retained earnings $34,894k / Own credit reserve $(27,133)k while the FY2025 Statement of Changes in Equity (p.32) shows $34,895k / $(27,134)k for the same closing balances - a genuine $1k rounding inconsistency between the Bank's own two primary statements (Total Equity is identical, $262,761k, on both). Each sheet here reproduces its own source statement's figures exactly rather than silently reconciling the $1k gap.</t>
        </is>
      </c>
    </row>
    <row r="38" ht="280" customHeight="1">
      <c r="A38" s="8" t="inlineStr">
        <is>
          <t>(continued)
INVESTMENT COMPOSITION NOTE: 'Financial investments' is the Bank's sole investment-securities-type Balance Sheet line; it is not split by issuer type (no UK government/gilt vs corporate/supranational breakdown is disclosed - the balance is too small, $11k-$20k, to warrant one) but Note 8 'Financial Instruments' (Analysis of the Company's financial assets and financial liabilities by IFRS 9 classification) shows the entire balance sits 100% in the 'Mandatorily at fair value through profit or loss' column in every one of the 5 years checked, none at amortised cost: FY2025 $13k (AR2025 Note 8, p.49), FY2024 $11k (AR2025 Note 8 comparative, p.50), FY2023 $11k (AR2023 Note 9, p.54), FY2022 $20k (AR2023 Note 9 comparative, p.55), FY2021 $20k (AR2021 Note 9, p.48). Since the whole balance is one measurement basis in every year, and no issuer-type split is disclosed, the row is relabelled in place rather than split into sub-rows.</t>
        </is>
      </c>
    </row>
  </sheetData>
  <mergeCells count="2">
    <mergeCell ref="A36:G36"/>
    <mergeCell ref="A38:G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Nomura Bank International plc — Income Statement and Statement of Comprehensive Income</t>
        </is>
      </c>
    </row>
    <row r="2">
      <c r="A2" s="2" t="inlineStr">
        <is>
          <t>Standalone Bank basis, $'000</t>
        </is>
      </c>
    </row>
    <row r="3">
      <c r="A3" s="4" t="inlineStr">
        <is>
          <t>Line item</t>
        </is>
      </c>
      <c r="B3" s="4" t="inlineStr">
        <is>
          <t>FY2026 ($'000)</t>
        </is>
      </c>
      <c r="C3" s="4" t="inlineStr">
        <is>
          <t>FY2025 ($'000)</t>
        </is>
      </c>
      <c r="D3" s="4" t="inlineStr">
        <is>
          <t>FY2024 ($'000)</t>
        </is>
      </c>
      <c r="E3" s="4" t="inlineStr">
        <is>
          <t>FY2023 ($'000)</t>
        </is>
      </c>
      <c r="F3" s="4" t="inlineStr">
        <is>
          <t>FY2022 ($'000)</t>
        </is>
      </c>
      <c r="G3" s="4" t="inlineStr">
        <is>
          <t>FY2021 ($'000)</t>
        </is>
      </c>
    </row>
    <row r="4">
      <c r="A4" s="5" t="inlineStr">
        <is>
          <t>Income</t>
        </is>
      </c>
      <c r="B4" s="7" t="n"/>
      <c r="C4" s="7" t="n"/>
      <c r="D4" s="7" t="n"/>
      <c r="E4" s="7" t="n"/>
      <c r="F4" s="7" t="n"/>
      <c r="G4" s="7" t="n"/>
    </row>
    <row r="5">
      <c r="A5" s="7" t="inlineStr">
        <is>
          <t>Interest income calculated using effective interest method</t>
        </is>
      </c>
      <c r="B5" s="7" t="n">
        <v>251525</v>
      </c>
      <c r="C5" s="7" t="n">
        <v>220848</v>
      </c>
      <c r="D5" s="7" t="n">
        <v>180718</v>
      </c>
      <c r="E5" s="7" t="n">
        <v>64139</v>
      </c>
      <c r="F5" s="7" t="n">
        <v>12320</v>
      </c>
      <c r="G5" s="7" t="n">
        <v>17163</v>
      </c>
    </row>
    <row r="6">
      <c r="A6" s="7" t="inlineStr">
        <is>
          <t>Other interest and similar income</t>
        </is>
      </c>
      <c r="B6" s="7" t="n">
        <v>87187</v>
      </c>
      <c r="C6" s="7" t="n">
        <v>110413</v>
      </c>
      <c r="D6" s="7" t="n">
        <v>112645</v>
      </c>
      <c r="E6" s="7" t="n">
        <v>49998</v>
      </c>
      <c r="F6" s="7" t="n">
        <v>12771</v>
      </c>
      <c r="G6" s="7" t="n">
        <v>16026</v>
      </c>
    </row>
    <row r="7">
      <c r="A7" s="7" t="inlineStr">
        <is>
          <t>Interest expense calculated using effective interest method</t>
        </is>
      </c>
      <c r="B7" s="7" t="n">
        <v>-16406</v>
      </c>
      <c r="C7" s="7" t="n">
        <v>-27677</v>
      </c>
      <c r="D7" s="7" t="n">
        <v>-29736</v>
      </c>
      <c r="E7" s="7" t="n">
        <v>-7783</v>
      </c>
      <c r="F7" s="7" t="n">
        <v>-823</v>
      </c>
      <c r="G7" s="7" t="n">
        <v>-566</v>
      </c>
    </row>
    <row r="8">
      <c r="A8" s="7" t="inlineStr">
        <is>
          <t>Other interest and similar expenses</t>
        </is>
      </c>
      <c r="B8" s="7" t="n">
        <v>-3339</v>
      </c>
      <c r="C8" s="7" t="n">
        <v>-4455</v>
      </c>
      <c r="D8" s="7" t="n">
        <v>-4323</v>
      </c>
      <c r="E8" s="7" t="n"/>
      <c r="F8" s="7" t="n">
        <v>-4473</v>
      </c>
      <c r="G8" s="7" t="n">
        <v>-5948</v>
      </c>
    </row>
    <row r="9">
      <c r="A9" s="5" t="inlineStr">
        <is>
          <t>Net interest income</t>
        </is>
      </c>
      <c r="B9" s="5" t="n">
        <v>318967</v>
      </c>
      <c r="C9" s="5" t="n">
        <v>299129</v>
      </c>
      <c r="D9" s="5" t="n">
        <v>259304</v>
      </c>
      <c r="E9" s="5" t="n">
        <v>106354</v>
      </c>
      <c r="F9" s="5" t="n">
        <v>19795</v>
      </c>
      <c r="G9" s="5" t="n">
        <v>26675</v>
      </c>
    </row>
    <row r="10">
      <c r="A10" s="7" t="inlineStr">
        <is>
          <t>Fee and commission income</t>
        </is>
      </c>
      <c r="B10" s="7" t="n">
        <v>34649</v>
      </c>
      <c r="C10" s="7" t="n">
        <v>20044</v>
      </c>
      <c r="D10" s="7" t="n">
        <v>11994</v>
      </c>
      <c r="E10" s="7" t="n">
        <v>43462</v>
      </c>
      <c r="F10" s="7" t="n">
        <v>41653</v>
      </c>
      <c r="G10" s="7" t="n">
        <v>52332</v>
      </c>
    </row>
    <row r="11">
      <c r="A11" s="7" t="inlineStr">
        <is>
          <t>Fee and commission expense</t>
        </is>
      </c>
      <c r="B11" s="7" t="n">
        <v>-1598</v>
      </c>
      <c r="C11" s="7" t="n">
        <v>-1514</v>
      </c>
      <c r="D11" s="7" t="n">
        <v>-1455</v>
      </c>
      <c r="E11" s="7" t="n">
        <v>-1326</v>
      </c>
      <c r="F11" s="7" t="n">
        <v>-1342</v>
      </c>
      <c r="G11" s="7" t="n">
        <v>-2939</v>
      </c>
    </row>
    <row r="12">
      <c r="A12" s="7" t="inlineStr">
        <is>
          <t>Gains and losses from financial instruments at fair value through profit or loss</t>
        </is>
      </c>
      <c r="B12" s="7" t="n">
        <v>-328872</v>
      </c>
      <c r="C12" s="7" t="n">
        <v>-296169</v>
      </c>
      <c r="D12" s="7" t="n">
        <v>-251873</v>
      </c>
      <c r="E12" s="7" t="n">
        <v>-104219</v>
      </c>
      <c r="F12" s="7" t="n">
        <v>-28708</v>
      </c>
      <c r="G12" s="7" t="n">
        <v>-47561</v>
      </c>
    </row>
    <row r="13">
      <c r="A13" s="5" t="inlineStr">
        <is>
          <t>Total operating income</t>
        </is>
      </c>
      <c r="B13" s="5" t="n">
        <v>23146</v>
      </c>
      <c r="C13" s="5" t="n">
        <v>21490</v>
      </c>
      <c r="D13" s="5" t="n">
        <v>17970</v>
      </c>
      <c r="E13" s="5" t="n">
        <v>44271</v>
      </c>
      <c r="F13" s="5" t="n">
        <v>31398</v>
      </c>
      <c r="G13" s="5" t="n">
        <v>28507</v>
      </c>
    </row>
    <row r="14">
      <c r="A14" s="5" t="inlineStr">
        <is>
          <t>General and administrative expenses</t>
        </is>
      </c>
      <c r="B14" s="5" t="n">
        <v>-8616</v>
      </c>
      <c r="C14" s="5" t="n">
        <v>-9035</v>
      </c>
      <c r="D14" s="5" t="n">
        <v>-8391</v>
      </c>
      <c r="E14" s="5" t="n">
        <v>-35479</v>
      </c>
      <c r="F14" s="5" t="n">
        <v>-11655</v>
      </c>
      <c r="G14" s="5" t="n">
        <v>-14680</v>
      </c>
    </row>
    <row r="15">
      <c r="A15" s="7" t="inlineStr">
        <is>
          <t>Credit impairment release/(charge)</t>
        </is>
      </c>
      <c r="B15" s="7" t="n">
        <v>-1353</v>
      </c>
      <c r="C15" s="7" t="n">
        <v>38</v>
      </c>
      <c r="D15" s="7" t="n">
        <v>-34</v>
      </c>
      <c r="E15" s="7" t="n">
        <v>-91</v>
      </c>
      <c r="F15" s="7" t="n">
        <v>-554</v>
      </c>
      <c r="G15" s="7" t="n">
        <v>46</v>
      </c>
    </row>
    <row r="16">
      <c r="A16" s="5" t="inlineStr">
        <is>
          <t>Profit before tax</t>
        </is>
      </c>
      <c r="B16" s="5" t="n">
        <v>13177</v>
      </c>
      <c r="C16" s="5" t="n">
        <v>12493</v>
      </c>
      <c r="D16" s="5" t="n">
        <v>9545</v>
      </c>
      <c r="E16" s="5" t="n">
        <v>8701</v>
      </c>
      <c r="F16" s="5" t="n">
        <v>19189</v>
      </c>
      <c r="G16" s="5" t="n">
        <v>13873</v>
      </c>
    </row>
    <row r="17">
      <c r="A17" s="7" t="inlineStr">
        <is>
          <t>Tax charge on profit on ordinary activities</t>
        </is>
      </c>
      <c r="B17" s="7" t="n">
        <v>-3312</v>
      </c>
      <c r="C17" s="7" t="n">
        <v>-3123</v>
      </c>
      <c r="D17" s="7" t="n">
        <v>-2370</v>
      </c>
      <c r="E17" s="7" t="n">
        <v>-1653</v>
      </c>
      <c r="F17" s="7" t="n">
        <v>-3647</v>
      </c>
      <c r="G17" s="7" t="n">
        <v>-2525</v>
      </c>
    </row>
    <row r="18">
      <c r="A18" s="5" t="inlineStr">
        <is>
          <t>Profit for the year</t>
        </is>
      </c>
      <c r="B18" s="5" t="n">
        <v>9865</v>
      </c>
      <c r="C18" s="5" t="n">
        <v>9370</v>
      </c>
      <c r="D18" s="5" t="n">
        <v>7175</v>
      </c>
      <c r="E18" s="5" t="n">
        <v>7048</v>
      </c>
      <c r="F18" s="5" t="n">
        <v>15542</v>
      </c>
      <c r="G18" s="5" t="n">
        <v>11348</v>
      </c>
    </row>
    <row r="19">
      <c r="A19" s="5" t="inlineStr">
        <is>
          <t>Other comprehensive income</t>
        </is>
      </c>
      <c r="B19" s="7" t="n"/>
      <c r="C19" s="7" t="n"/>
      <c r="D19" s="7" t="n"/>
      <c r="E19" s="7" t="n"/>
      <c r="F19" s="7" t="n"/>
      <c r="G19" s="7" t="n"/>
    </row>
    <row r="20">
      <c r="A20" s="7" t="inlineStr">
        <is>
          <t>Fair value changes on financial liabilities at FVTPL attributable to own credit risk (net of tax)</t>
        </is>
      </c>
      <c r="B20" s="7" t="n">
        <v>-91870</v>
      </c>
      <c r="C20" s="7" t="n">
        <v>723</v>
      </c>
      <c r="D20" s="7" t="n">
        <v>-136675</v>
      </c>
      <c r="E20" s="7" t="n">
        <v>126703</v>
      </c>
      <c r="F20" s="7" t="n">
        <v>89656</v>
      </c>
      <c r="G20" s="7" t="n">
        <v>-172938</v>
      </c>
    </row>
    <row r="21">
      <c r="A21" s="5" t="inlineStr">
        <is>
          <t>Total comprehensive income/(loss) for the year</t>
        </is>
      </c>
      <c r="B21" s="5" t="n">
        <v>-82005</v>
      </c>
      <c r="C21" s="5" t="n">
        <v>10093</v>
      </c>
      <c r="D21" s="5" t="n">
        <v>-129500</v>
      </c>
      <c r="E21" s="5" t="n">
        <v>133751</v>
      </c>
      <c r="F21" s="5" t="n">
        <v>105198</v>
      </c>
      <c r="G21" s="5" t="n">
        <v>-161590</v>
      </c>
    </row>
    <row r="23" ht="351" customHeight="1">
      <c r="A23" s="8" t="inlineStr">
        <is>
          <t>ENTITY NOTE: Nomura Bank International plc (company 01981122, FRN 204419) is the legal entity in the supplied Banks List 2608.xlsx. Companies House confirms the active public company, incorporated 22 January 1986, with the same registered name and annual accounts made up to 31 March. The Bank is a wholly owned subsidiary of Nomura Europe Holdings plc, has no material subsidiaries, and presents its own financial statements in USD.
Sources — Nomura Bank International plc Annual Reports and Financial Statements, Income Statement / Statement of Comprehensive Income / Statement of Financial Position / Statement of Changes in Equity:
FY2026: Annual Report for year ended 31 March 2026, printed pp.33-36 (Income Statement p.33, Statement of Comprehensive Income p.34, Statement of Changes in Equity p.35, Statement of Financial Position p.36) — https://www.nomuranow.com/portal/site/public/en-gb/resources/upload/NBI-Annual-Report-310326.pdf
FY2025: Annual Report for year ended 31 March 2025, pp.30-33 — https://www.nomuranow.com/portal/site/public/en-gb/resources/upload/NBI-Annual-Report-310325.pdf
FY2024: Annual Report for year ended 31 March 2024, pp.34-37, cross-checked against AR2025's comparative column — https://www.nomuranow.com/portal/site/public/en-gb/resources/upload/NBI-Annual-Report-310324.pdf / https://www.nomuranow.com/portal/site/public/en-gb/resources/upload/NBI-Annual-Report-310325.pdf
FY2023: Annual Report for year ended 31 March 2023, pp.33-36, cross-checked against AR2024's comparative column — https://www.nomuranow.com/portal/site/public/en-gb/resources/upload/NBI-Annual-Report-310323.pdf / https://www.nomuranow.com/portal/site/public/en-gb/resources/upload/NBI-Annual-Report-310324.pdf
FY2022: Annual Report for year ended 31 March 2022, pp.33-36, cross-checked against AR2023's comparative column — https://www.nomuranow.com/portal/site/public/en-gb/resources/upload/NBI-Annual-Report-310322.pdf / https://www.nomuranow.com/portal/site/public/en-gb/resources/upload/NBI-Annual-Report-310323.pdf
FY2021: Annual Report for year ended 31 March 2021, pp.24-27, cross-checked against AR2022's comparative column — https://www.nomuranow.com/portal/site/public/en-gb/resources/upload/NBI-Annual-Report-310321.pdf / https://www.nomuranow.com/portal/site/public/en-gb/resources/upload/NBI-Annual-Report-310322.pdf
All years' Balance Sheet/P&amp;L/Equity figures were independently cross-checked against the following year's comparative column and tie exactly - zero plug rows were needed. All amounts are $'000.
FY2026 ADDED 2026-09-15: every FY2026 statement was verified to foot internally (Total Assets $9,284,526k = Total Liabilities $9,112,270k + Total Equity $172,256k; the equity roll-forward from the 1 April 2025 opening balance ties to the 31 March 2026 closing balance on all three components) and the AR2026 comparative column reproduces this workbook's existing FY2025 figures exactly, so no prior year was restated. Two FY2026 presentational points: the Statement of Cash Flows no longer carries a 'Depreciation' or 'Payment of principal portion of lease liabilities' line (both were nil in FY2025), and the working-capital line 'Net change in customer accounts' is relabelled 'Net changes in customer deposits' - the same underlying line, kept on the existing row. FY2026 also shows a large own-credit movement: Other comprehensive loss of $(91,870)k drives Total Equity down from $262,761k to $172,256k despite a $9,865k profit, which is a real disclosed movement, not a transcription error.
PRESENTATION NOTE: the FY2025 report relabels the P&amp;L's 'Dealing Loss' line (used FY2021-FY2024) as 'Gains and losses from financial instruments at fair value through profit or loss' - the same underlying line, shown here under each year's own contemporaneous label. The Balance Sheet's cash line is labelled 'Loans and advances to banks' FY2021-FY2023 and 'Cash and cash equivalents' FY2024-FY2025 - same underlying line, shown as originally labelled each year. 'Customer Accounts' (FY2021-FY2022) and 'Customer Deposits' (FY2025) are genuinely distinct - the account fell to nil and was undisclosed as a line in FY2023-FY2024, then a new deposit appeared in FY2025. 'Right-of-use assets' and 'Deferred tax asset/liability' are genuinely absent in some years (nil or below the entity's own disclosure threshold), not omitted in error. The FY2025 Balance Sheet (p.33) shows Retained earnings $34,894k / Own credit reserve $(27,133)k while the FY2025 Statement of Changes in Equity (p.32) shows $34,895k / $(27,134)k for the same closing balances - a genuine $1k rounding inconsistency between the Bank's own two primary statements (Total Equity is identical, $262,761k, on both). Each sheet here reproduces its own source statement's figures exactly rather than silently reconciling the $1k gap.</t>
        </is>
      </c>
    </row>
    <row r="25" ht="280" customHeight="1">
      <c r="A25" s="8" t="inlineStr">
        <is>
          <t>(continued)
INVESTMENT COMPOSITION NOTE: 'Financial investments' is the Bank's sole investment-securities-type Balance Sheet line; it is not split by issuer type (no UK government/gilt vs corporate/supranational breakdown is disclosed - the balance is too small, $11k-$20k, to warrant one) but Note 8 'Financial Instruments' (Analysis of the Company's financial assets and financial liabilities by IFRS 9 classification) shows the entire balance sits 100% in the 'Mandatorily at fair value through profit or loss' column in every one of the 5 years checked, none at amortised cost: FY2025 $13k (AR2025 Note 8, p.49), FY2024 $11k (AR2025 Note 8 comparative, p.50), FY2023 $11k (AR2023 Note 9, p.54), FY2022 $20k (AR2023 Note 9 comparative, p.55), FY2021 $20k (AR2021 Note 9, p.48). Since the whole balance is one measurement basis in every year, and no issuer-type split is disclosed, the row is relabelled in place rather than split into sub-rows.</t>
        </is>
      </c>
    </row>
  </sheetData>
  <mergeCells count="2">
    <mergeCell ref="A25:G25"/>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7"/>
  <sheetViews>
    <sheetView workbookViewId="0">
      <pane ySplit="4" topLeftCell="A5" activePane="bottomLeft" state="frozen"/>
      <selection pane="bottomLeft" activeCell="A1" sqref="A1"/>
    </sheetView>
  </sheetViews>
  <sheetFormatPr baseColWidth="8" defaultRowHeight="15"/>
  <cols>
    <col width="98" customWidth="1" min="1" max="1"/>
    <col width="15" customWidth="1" min="2" max="2"/>
    <col width="15" customWidth="1" min="3" max="3"/>
    <col width="15" customWidth="1" min="4" max="4"/>
    <col width="15" customWidth="1" min="5" max="5"/>
  </cols>
  <sheetData>
    <row r="1">
      <c r="A1" s="1" t="inlineStr">
        <is>
          <t>Nomura Bank International plc — Statement of Changes in Equity</t>
        </is>
      </c>
    </row>
    <row r="2">
      <c r="A2" s="2" t="inlineStr">
        <is>
          <t>Standalone Bank basis, $'000, chronological (oldest to newest)</t>
        </is>
      </c>
    </row>
    <row r="3">
      <c r="A3" s="4" t="inlineStr">
        <is>
          <t>Movement</t>
        </is>
      </c>
      <c r="B3" s="4" t="inlineStr">
        <is>
          <t>Called-up Share Capital</t>
        </is>
      </c>
      <c r="C3" s="4" t="inlineStr">
        <is>
          <t>Retained Earnings</t>
        </is>
      </c>
      <c r="D3" s="4" t="inlineStr">
        <is>
          <t>Own Credit Reserve</t>
        </is>
      </c>
      <c r="E3" s="4" t="inlineStr">
        <is>
          <t>Total</t>
        </is>
      </c>
    </row>
    <row r="4">
      <c r="A4" s="5" t="inlineStr">
        <is>
          <t>As at 1 April 2020</t>
        </is>
      </c>
      <c r="B4" s="5" t="n">
        <v>255000</v>
      </c>
      <c r="C4" s="5" t="n">
        <v>23137</v>
      </c>
      <c r="D4" s="5" t="n">
        <v>63672</v>
      </c>
      <c r="E4" s="5" t="n">
        <v>341809</v>
      </c>
    </row>
    <row r="5">
      <c r="A5" s="7" t="inlineStr">
        <is>
          <t>Dividends paid during the year</t>
        </is>
      </c>
      <c r="B5" s="7" t="n"/>
      <c r="C5" s="7" t="n">
        <v>-12000</v>
      </c>
      <c r="D5" s="7" t="n"/>
      <c r="E5" s="7" t="n">
        <v>-12000</v>
      </c>
    </row>
    <row r="6">
      <c r="A6" s="7" t="inlineStr">
        <is>
          <t>Transferred from own credit reserve to retained earnings</t>
        </is>
      </c>
      <c r="B6" s="7" t="n"/>
      <c r="C6" s="7" t="n">
        <v>-606</v>
      </c>
      <c r="D6" s="7" t="n">
        <v>606</v>
      </c>
      <c r="E6" s="7" t="n">
        <v>0</v>
      </c>
    </row>
    <row r="7">
      <c r="A7" s="7" t="inlineStr">
        <is>
          <t>Profit for the year</t>
        </is>
      </c>
      <c r="B7" s="7" t="n"/>
      <c r="C7" s="7" t="n">
        <v>11348</v>
      </c>
      <c r="D7" s="7" t="n"/>
      <c r="E7" s="7" t="n">
        <v>11348</v>
      </c>
    </row>
    <row r="8">
      <c r="A8" s="7" t="inlineStr">
        <is>
          <t>Other comprehensive loss (net of tax)</t>
        </is>
      </c>
      <c r="B8" s="7" t="n"/>
      <c r="C8" s="7" t="n"/>
      <c r="D8" s="7" t="n">
        <v>-172938</v>
      </c>
      <c r="E8" s="7" t="n">
        <v>-172938</v>
      </c>
    </row>
    <row r="9">
      <c r="A9" s="5" t="inlineStr">
        <is>
          <t>At 31 March 2021</t>
        </is>
      </c>
      <c r="B9" s="5" t="n">
        <v>255000</v>
      </c>
      <c r="C9" s="5" t="n">
        <v>21879</v>
      </c>
      <c r="D9" s="5" t="n">
        <v>-108660</v>
      </c>
      <c r="E9" s="5" t="n">
        <v>168219</v>
      </c>
    </row>
    <row r="10">
      <c r="A10" s="7" t="inlineStr">
        <is>
          <t>Dividends paid during the year</t>
        </is>
      </c>
      <c r="B10" s="7" t="n"/>
      <c r="C10" s="7" t="n">
        <v>-10000</v>
      </c>
      <c r="D10" s="7" t="n"/>
      <c r="E10" s="7" t="n">
        <v>-10000</v>
      </c>
    </row>
    <row r="11">
      <c r="A11" s="7" t="inlineStr">
        <is>
          <t>Transferred from own credit reserve to retained earnings</t>
        </is>
      </c>
      <c r="B11" s="7" t="n"/>
      <c r="C11" s="7" t="n">
        <v>5801</v>
      </c>
      <c r="D11" s="7" t="n">
        <v>-5801</v>
      </c>
      <c r="E11" s="7" t="n">
        <v>0</v>
      </c>
    </row>
    <row r="12">
      <c r="A12" s="7" t="inlineStr">
        <is>
          <t>Profit for the year</t>
        </is>
      </c>
      <c r="B12" s="7" t="n"/>
      <c r="C12" s="7" t="n">
        <v>15542</v>
      </c>
      <c r="D12" s="7" t="n"/>
      <c r="E12" s="7" t="n">
        <v>15542</v>
      </c>
    </row>
    <row r="13">
      <c r="A13" s="7" t="inlineStr">
        <is>
          <t>Other comprehensive income (net of tax)</t>
        </is>
      </c>
      <c r="B13" s="7" t="n"/>
      <c r="C13" s="7" t="n"/>
      <c r="D13" s="7" t="n">
        <v>89656</v>
      </c>
      <c r="E13" s="7" t="n">
        <v>89656</v>
      </c>
    </row>
    <row r="14">
      <c r="A14" s="5" t="inlineStr">
        <is>
          <t>At 31 March 2022</t>
        </is>
      </c>
      <c r="B14" s="5" t="n">
        <v>255000</v>
      </c>
      <c r="C14" s="5" t="n">
        <v>33222</v>
      </c>
      <c r="D14" s="5" t="n">
        <v>-24805</v>
      </c>
      <c r="E14" s="5" t="n">
        <v>263417</v>
      </c>
    </row>
    <row r="15">
      <c r="A15" s="7" t="inlineStr">
        <is>
          <t>Dividends paid during the year</t>
        </is>
      </c>
      <c r="B15" s="7" t="n"/>
      <c r="C15" s="7" t="n">
        <v>-10000</v>
      </c>
      <c r="D15" s="7" t="n"/>
      <c r="E15" s="7" t="n">
        <v>-10000</v>
      </c>
    </row>
    <row r="16">
      <c r="A16" s="7" t="inlineStr">
        <is>
          <t>Transferred from own credit reserve to retained earnings</t>
        </is>
      </c>
      <c r="B16" s="7" t="n"/>
      <c r="C16" s="7" t="n">
        <v>290</v>
      </c>
      <c r="D16" s="7" t="n">
        <v>-290</v>
      </c>
      <c r="E16" s="7" t="n">
        <v>0</v>
      </c>
    </row>
    <row r="17">
      <c r="A17" s="7" t="inlineStr">
        <is>
          <t>Profit for the year</t>
        </is>
      </c>
      <c r="B17" s="7" t="n"/>
      <c r="C17" s="7" t="n">
        <v>7048</v>
      </c>
      <c r="D17" s="7" t="n"/>
      <c r="E17" s="7" t="n">
        <v>7048</v>
      </c>
    </row>
    <row r="18">
      <c r="A18" s="7" t="inlineStr">
        <is>
          <t>Other comprehensive income (net of tax)</t>
        </is>
      </c>
      <c r="B18" s="7" t="n"/>
      <c r="C18" s="7" t="n"/>
      <c r="D18" s="7" t="n">
        <v>126703</v>
      </c>
      <c r="E18" s="7" t="n">
        <v>126703</v>
      </c>
    </row>
    <row r="19">
      <c r="A19" s="5" t="inlineStr">
        <is>
          <t>At 31 March 2023</t>
        </is>
      </c>
      <c r="B19" s="5" t="n">
        <v>255000</v>
      </c>
      <c r="C19" s="5" t="n">
        <v>30560</v>
      </c>
      <c r="D19" s="5" t="n">
        <v>101608</v>
      </c>
      <c r="E19" s="5" t="n">
        <v>387168</v>
      </c>
    </row>
    <row r="20">
      <c r="A20" s="7" t="inlineStr">
        <is>
          <t>Dividends paid during the year</t>
        </is>
      </c>
      <c r="B20" s="7" t="n"/>
      <c r="C20" s="7" t="n">
        <v>-5000</v>
      </c>
      <c r="D20" s="7" t="n"/>
      <c r="E20" s="7" t="n">
        <v>-5000</v>
      </c>
    </row>
    <row r="21">
      <c r="A21" s="7" t="inlineStr">
        <is>
          <t>Transferred from own credit reserve to retained earnings</t>
        </is>
      </c>
      <c r="B21" s="7" t="n"/>
      <c r="C21" s="7" t="n">
        <v>-6655</v>
      </c>
      <c r="D21" s="7" t="n">
        <v>6655</v>
      </c>
      <c r="E21" s="7" t="n">
        <v>0</v>
      </c>
    </row>
    <row r="22">
      <c r="A22" s="7" t="inlineStr">
        <is>
          <t>Profit for the year</t>
        </is>
      </c>
      <c r="B22" s="7" t="n"/>
      <c r="C22" s="7" t="n">
        <v>7175</v>
      </c>
      <c r="D22" s="7" t="n"/>
      <c r="E22" s="7" t="n">
        <v>7175</v>
      </c>
    </row>
    <row r="23">
      <c r="A23" s="7" t="inlineStr">
        <is>
          <t>Other comprehensive loss (net of tax)</t>
        </is>
      </c>
      <c r="B23" s="7" t="n"/>
      <c r="C23" s="7" t="n"/>
      <c r="D23" s="7" t="n">
        <v>-136675</v>
      </c>
      <c r="E23" s="7" t="n">
        <v>-136675</v>
      </c>
    </row>
    <row r="24">
      <c r="A24" s="5" t="inlineStr">
        <is>
          <t>At 31 March 2024</t>
        </is>
      </c>
      <c r="B24" s="5" t="n">
        <v>255000</v>
      </c>
      <c r="C24" s="5" t="n">
        <v>26080</v>
      </c>
      <c r="D24" s="5" t="n">
        <v>-28412</v>
      </c>
      <c r="E24" s="5" t="n">
        <v>252668</v>
      </c>
    </row>
    <row r="25">
      <c r="A25" s="7" t="inlineStr">
        <is>
          <t>Transferred from own credit reserve to retained earnings</t>
        </is>
      </c>
      <c r="B25" s="7" t="n"/>
      <c r="C25" s="7" t="n">
        <v>-555</v>
      </c>
      <c r="D25" s="7" t="n">
        <v>555</v>
      </c>
      <c r="E25" s="7" t="n">
        <v>0</v>
      </c>
    </row>
    <row r="26">
      <c r="A26" s="7" t="inlineStr">
        <is>
          <t>Profit for the year</t>
        </is>
      </c>
      <c r="B26" s="7" t="n"/>
      <c r="C26" s="7" t="n">
        <v>9370</v>
      </c>
      <c r="D26" s="7" t="n"/>
      <c r="E26" s="7" t="n">
        <v>9370</v>
      </c>
    </row>
    <row r="27">
      <c r="A27" s="7" t="inlineStr">
        <is>
          <t>Other comprehensive income (net of tax)</t>
        </is>
      </c>
      <c r="B27" s="7" t="n"/>
      <c r="C27" s="7" t="n"/>
      <c r="D27" s="7" t="n">
        <v>723</v>
      </c>
      <c r="E27" s="7" t="n">
        <v>723</v>
      </c>
    </row>
    <row r="28">
      <c r="A28" s="5" t="inlineStr">
        <is>
          <t>At 31 March 2025 (Equity statement's own figures - see source note on the $1k rounding gap vs the Balance Sheet)</t>
        </is>
      </c>
      <c r="B28" s="5" t="n">
        <v>255000</v>
      </c>
      <c r="C28" s="5" t="n">
        <v>34895</v>
      </c>
      <c r="D28" s="5" t="n">
        <v>-27134</v>
      </c>
      <c r="E28" s="5" t="n">
        <v>262761</v>
      </c>
    </row>
    <row r="29">
      <c r="A29" s="7" t="inlineStr">
        <is>
          <t>Dividends paid during the year</t>
        </is>
      </c>
      <c r="B29" s="7" t="n"/>
      <c r="C29" s="7" t="n">
        <v>-8500</v>
      </c>
      <c r="D29" s="7" t="n"/>
      <c r="E29" s="7" t="n">
        <v>-8500</v>
      </c>
    </row>
    <row r="30">
      <c r="A30" s="7" t="inlineStr">
        <is>
          <t>Transferred from own credit reserve to retained earnings</t>
        </is>
      </c>
      <c r="B30" s="7" t="n"/>
      <c r="C30" s="7" t="n">
        <v>-8534</v>
      </c>
      <c r="D30" s="7" t="n">
        <v>8534</v>
      </c>
      <c r="E30" s="7" t="n">
        <v>0</v>
      </c>
    </row>
    <row r="31">
      <c r="A31" s="7" t="inlineStr">
        <is>
          <t>Profit for the year</t>
        </is>
      </c>
      <c r="B31" s="7" t="n"/>
      <c r="C31" s="7" t="n">
        <v>9865</v>
      </c>
      <c r="D31" s="7" t="n"/>
      <c r="E31" s="7" t="n">
        <v>9865</v>
      </c>
    </row>
    <row r="32">
      <c r="A32" s="7" t="inlineStr">
        <is>
          <t>Other comprehensive loss (net of tax)</t>
        </is>
      </c>
      <c r="B32" s="7" t="n"/>
      <c r="C32" s="7" t="n"/>
      <c r="D32" s="7" t="n">
        <v>-91870</v>
      </c>
      <c r="E32" s="7" t="n">
        <v>-91870</v>
      </c>
    </row>
    <row r="33">
      <c r="A33" s="5" t="inlineStr">
        <is>
          <t>At 31 March 2026</t>
        </is>
      </c>
      <c r="B33" s="5" t="n">
        <v>255000</v>
      </c>
      <c r="C33" s="5" t="n">
        <v>27726</v>
      </c>
      <c r="D33" s="5" t="n">
        <v>-110470</v>
      </c>
      <c r="E33" s="5" t="n">
        <v>172256</v>
      </c>
    </row>
    <row r="35" ht="351" customHeight="1">
      <c r="A35" s="8" t="inlineStr">
        <is>
          <t>ENTITY NOTE: Nomura Bank International plc (company 01981122, FRN 204419) is the legal entity in the supplied Banks List 2608.xlsx. Companies House confirms the active public company, incorporated 22 January 1986, with the same registered name and annual accounts made up to 31 March. The Bank is a wholly owned subsidiary of Nomura Europe Holdings plc, has no material subsidiaries, and presents its own financial statements in USD.
Sources — Nomura Bank International plc Annual Reports and Financial Statements, Income Statement / Statement of Comprehensive Income / Statement of Financial Position / Statement of Changes in Equity:
FY2026: Annual Report for year ended 31 March 2026, printed pp.33-36 (Income Statement p.33, Statement of Comprehensive Income p.34, Statement of Changes in Equity p.35, Statement of Financial Position p.36) — https://www.nomuranow.com/portal/site/public/en-gb/resources/upload/NBI-Annual-Report-310326.pdf
FY2025: Annual Report for year ended 31 March 2025, pp.30-33 — https://www.nomuranow.com/portal/site/public/en-gb/resources/upload/NBI-Annual-Report-310325.pdf
FY2024: Annual Report for year ended 31 March 2024, pp.34-37, cross-checked against AR2025's comparative column — https://www.nomuranow.com/portal/site/public/en-gb/resources/upload/NBI-Annual-Report-310324.pdf / https://www.nomuranow.com/portal/site/public/en-gb/resources/upload/NBI-Annual-Report-310325.pdf
FY2023: Annual Report for year ended 31 March 2023, pp.33-36, cross-checked against AR2024's comparative column — https://www.nomuranow.com/portal/site/public/en-gb/resources/upload/NBI-Annual-Report-310323.pdf / https://www.nomuranow.com/portal/site/public/en-gb/resources/upload/NBI-Annual-Report-310324.pdf
FY2022: Annual Report for year ended 31 March 2022, pp.33-36, cross-checked against AR2023's comparative column — https://www.nomuranow.com/portal/site/public/en-gb/resources/upload/NBI-Annual-Report-310322.pdf / https://www.nomuranow.com/portal/site/public/en-gb/resources/upload/NBI-Annual-Report-310323.pdf
FY2021: Annual Report for year ended 31 March 2021, pp.24-27, cross-checked against AR2022's comparative column — https://www.nomuranow.com/portal/site/public/en-gb/resources/upload/NBI-Annual-Report-310321.pdf / https://www.nomuranow.com/portal/site/public/en-gb/resources/upload/NBI-Annual-Report-310322.pdf
All years' Balance Sheet/P&amp;L/Equity figures were independently cross-checked against the following year's comparative column and tie exactly - zero plug rows were needed. All amounts are $'000.
FY2026 ADDED 2026-09-15: every FY2026 statement was verified to foot internally (Total Assets $9,284,526k = Total Liabilities $9,112,270k + Total Equity $172,256k; the equity roll-forward from the 1 April 2025 opening balance ties to the 31 March 2026 closing balance on all three components) and the AR2026 comparative column reproduces this workbook's existing FY2025 figures exactly, so no prior year was restated. Two FY2026 presentational points: the Statement of Cash Flows no longer carries a 'Depreciation' or 'Payment of principal portion of lease liabilities' line (both were nil in FY2025), and the working-capital line 'Net change in customer accounts' is relabelled 'Net changes in customer deposits' - the same underlying line, kept on the existing row. FY2026 also shows a large own-credit movement: Other comprehensive loss of $(91,870)k drives Total Equity down from $262,761k to $172,256k despite a $9,865k profit, which is a real disclosed movement, not a transcription error.
PRESENTATION NOTE: the FY2025 report relabels the P&amp;L's 'Dealing Loss' line (used FY2021-FY2024) as 'Gains and losses from financial instruments at fair value through profit or loss' - the same underlying line, shown here under each year's own contemporaneous label. The Balance Sheet's cash line is labelled 'Loans and advances to banks' FY2021-FY2023 and 'Cash and cash equivalents' FY2024-FY2025 - same underlying line, shown as originally labelled each year. 'Customer Accounts' (FY2021-FY2022) and 'Customer Deposits' (FY2025) are genuinely distinct - the account fell to nil and was undisclosed as a line in FY2023-FY2024, then a new deposit appeared in FY2025. 'Right-of-use assets' and 'Deferred tax asset/liability' are genuinely absent in some years (nil or below the entity's own disclosure threshold), not omitted in error. The FY2025 Balance Sheet (p.33) shows Retained earnings $34,894k / Own credit reserve $(27,133)k while the FY2025 Statement of Changes in Equity (p.32) shows $34,895k / $(27,134)k for the same closing balances - a genuine $1k rounding inconsistency between the Bank's own two primary statements (Total Equity is identical, $262,761k, on both). Each sheet here reproduces its own source statement's figures exactly rather than silently reconciling the $1k gap.</t>
        </is>
      </c>
    </row>
    <row r="37" ht="280" customHeight="1">
      <c r="A37" s="8" t="inlineStr">
        <is>
          <t>(continued)
INVESTMENT COMPOSITION NOTE: 'Financial investments' is the Bank's sole investment-securities-type Balance Sheet line; it is not split by issuer type (no UK government/gilt vs corporate/supranational breakdown is disclosed - the balance is too small, $11k-$20k, to warrant one) but Note 8 'Financial Instruments' (Analysis of the Company's financial assets and financial liabilities by IFRS 9 classification) shows the entire balance sits 100% in the 'Mandatorily at fair value through profit or loss' column in every one of the 5 years checked, none at amortised cost: FY2025 $13k (AR2025 Note 8, p.49), FY2024 $11k (AR2025 Note 8 comparative, p.50), FY2023 $11k (AR2023 Note 9, p.54), FY2022 $20k (AR2023 Note 9 comparative, p.55), FY2021 $20k (AR2021 Note 9, p.48). Since the whole balance is one measurement basis in every year, and no issuer-type split is disclosed, the row is relabelled in place rather than split into sub-rows.</t>
        </is>
      </c>
    </row>
  </sheetData>
  <mergeCells count="2">
    <mergeCell ref="A35:E35"/>
    <mergeCell ref="A37:E3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Nomura Bank International plc — Statement of Cash Flows</t>
        </is>
      </c>
    </row>
    <row r="2">
      <c r="A2" s="2" t="inlineStr">
        <is>
          <t>Standalone Bank basis, $'000</t>
        </is>
      </c>
    </row>
    <row r="3">
      <c r="A3" s="4" t="inlineStr">
        <is>
          <t>Line item</t>
        </is>
      </c>
      <c r="B3" s="4" t="inlineStr">
        <is>
          <t>FY2026 ($'000)</t>
        </is>
      </c>
      <c r="C3" s="4" t="inlineStr">
        <is>
          <t>FY2025 ($'000)</t>
        </is>
      </c>
      <c r="D3" s="4" t="inlineStr">
        <is>
          <t>FY2024 ($'000)</t>
        </is>
      </c>
      <c r="E3" s="4" t="inlineStr">
        <is>
          <t>FY2023 ($'000)</t>
        </is>
      </c>
      <c r="F3" s="4" t="inlineStr">
        <is>
          <t>FY2022 ($'000)</t>
        </is>
      </c>
      <c r="G3" s="4" t="inlineStr">
        <is>
          <t>FY2021 ($'000)</t>
        </is>
      </c>
    </row>
    <row r="4">
      <c r="A4" s="5" t="inlineStr">
        <is>
          <t>Operating activities</t>
        </is>
      </c>
      <c r="B4" s="7" t="n"/>
      <c r="C4" s="7" t="n"/>
      <c r="D4" s="7" t="n"/>
      <c r="E4" s="7" t="n"/>
      <c r="F4" s="7" t="n"/>
      <c r="G4" s="7" t="n"/>
    </row>
    <row r="5">
      <c r="A5" s="7" t="inlineStr">
        <is>
          <t>Profit before taxation</t>
        </is>
      </c>
      <c r="B5" s="7" t="n">
        <v>13177</v>
      </c>
      <c r="C5" s="7" t="n">
        <v>12493</v>
      </c>
      <c r="D5" s="7" t="n">
        <v>9544</v>
      </c>
      <c r="E5" s="7" t="n">
        <v>8701</v>
      </c>
      <c r="F5" s="7" t="n">
        <v>19189</v>
      </c>
      <c r="G5" s="7" t="n">
        <v>13873</v>
      </c>
    </row>
    <row r="6">
      <c r="A6" s="7" t="inlineStr">
        <is>
          <t>Depreciation</t>
        </is>
      </c>
      <c r="B6" s="7" t="n"/>
      <c r="C6" s="7" t="n">
        <v>0</v>
      </c>
      <c r="D6" s="7" t="n">
        <v>17</v>
      </c>
      <c r="E6" s="7" t="n">
        <v>80</v>
      </c>
      <c r="F6" s="7" t="n">
        <v>105</v>
      </c>
      <c r="G6" s="7" t="n">
        <v>113</v>
      </c>
    </row>
    <row r="7">
      <c r="A7" s="7" t="inlineStr">
        <is>
          <t>Net gain/loss including FX gain/loss on bonds and medium term notes</t>
        </is>
      </c>
      <c r="B7" s="7" t="n">
        <v>177065</v>
      </c>
      <c r="C7" s="7" t="n">
        <v>56668</v>
      </c>
      <c r="D7" s="7" t="n">
        <v>95274</v>
      </c>
      <c r="E7" s="7" t="n"/>
      <c r="F7" s="7" t="n"/>
      <c r="G7" s="7" t="n"/>
    </row>
    <row r="8">
      <c r="A8" s="7" t="inlineStr">
        <is>
          <t>Interest and FX gain/loss on commercial papers</t>
        </is>
      </c>
      <c r="B8" s="7" t="n">
        <v>51562</v>
      </c>
      <c r="C8" s="7" t="n">
        <v>30018</v>
      </c>
      <c r="D8" s="7" t="n">
        <v>21359</v>
      </c>
      <c r="E8" s="7" t="n"/>
      <c r="F8" s="7" t="n"/>
      <c r="G8" s="7" t="n"/>
    </row>
    <row r="9">
      <c r="A9" s="7" t="inlineStr">
        <is>
          <t>Provisions</t>
        </is>
      </c>
      <c r="B9" s="7" t="n">
        <v>1353</v>
      </c>
      <c r="C9" s="7" t="n">
        <v>-38</v>
      </c>
      <c r="D9" s="7" t="n">
        <v>34</v>
      </c>
      <c r="E9" s="7" t="n"/>
      <c r="F9" s="7" t="n"/>
      <c r="G9" s="7" t="n"/>
    </row>
    <row r="10">
      <c r="A10" s="7" t="inlineStr">
        <is>
          <t>Net change in derivative assets</t>
        </is>
      </c>
      <c r="B10" s="7" t="n">
        <v>-181274</v>
      </c>
      <c r="C10" s="7" t="n">
        <v>-142070</v>
      </c>
      <c r="D10" s="7" t="n">
        <v>-140794</v>
      </c>
      <c r="E10" s="7" t="n">
        <v>291082</v>
      </c>
      <c r="F10" s="7" t="n">
        <v>1032728</v>
      </c>
      <c r="G10" s="7" t="n">
        <v>421444</v>
      </c>
    </row>
    <row r="11">
      <c r="A11" s="7" t="inlineStr">
        <is>
          <t>Net change in loans and advances to affiliates</t>
        </is>
      </c>
      <c r="B11" s="7" t="n">
        <v>-1472975</v>
      </c>
      <c r="C11" s="7" t="n">
        <v>-1305745</v>
      </c>
      <c r="D11" s="7" t="n">
        <v>-422254</v>
      </c>
      <c r="E11" s="7" t="n">
        <v>-607748</v>
      </c>
      <c r="F11" s="7" t="n">
        <v>-1012313</v>
      </c>
      <c r="G11" s="7" t="n">
        <v>-857200</v>
      </c>
    </row>
    <row r="12">
      <c r="A12" s="7" t="inlineStr">
        <is>
          <t>Net change in securities purchased under agreements to resell</t>
        </is>
      </c>
      <c r="B12" s="7" t="n">
        <v>83529</v>
      </c>
      <c r="C12" s="7" t="n">
        <v>154611</v>
      </c>
      <c r="D12" s="7" t="n">
        <v>21196</v>
      </c>
      <c r="E12" s="7" t="n">
        <v>364450</v>
      </c>
      <c r="F12" s="7" t="n">
        <v>685731</v>
      </c>
      <c r="G12" s="7" t="n">
        <v>891295</v>
      </c>
    </row>
    <row r="13">
      <c r="A13" s="7" t="inlineStr">
        <is>
          <t>Net change in loans and advances to others</t>
        </is>
      </c>
      <c r="B13" s="7" t="n">
        <v>304</v>
      </c>
      <c r="C13" s="7" t="n">
        <v>294</v>
      </c>
      <c r="D13" s="7" t="n">
        <v>318</v>
      </c>
      <c r="E13" s="7" t="n">
        <v>-2045</v>
      </c>
      <c r="F13" s="7" t="n">
        <v>1163</v>
      </c>
      <c r="G13" s="7" t="n">
        <v>64842</v>
      </c>
    </row>
    <row r="14">
      <c r="A14" s="7" t="inlineStr">
        <is>
          <t>Net changes in prepayments and accrued income</t>
        </is>
      </c>
      <c r="B14" s="7" t="n">
        <v>10657</v>
      </c>
      <c r="C14" s="7" t="n">
        <v>-7833</v>
      </c>
      <c r="D14" s="7" t="n">
        <v>-35111</v>
      </c>
      <c r="E14" s="7" t="n">
        <v>-17528</v>
      </c>
      <c r="F14" s="7" t="n">
        <v>791</v>
      </c>
      <c r="G14" s="7" t="n">
        <v>-1791</v>
      </c>
    </row>
    <row r="15">
      <c r="A15" s="7" t="inlineStr">
        <is>
          <t>Net change in other assets</t>
        </is>
      </c>
      <c r="B15" s="7" t="n">
        <v>-3364</v>
      </c>
      <c r="C15" s="7" t="n">
        <v>2380</v>
      </c>
      <c r="D15" s="7" t="n">
        <v>-5633</v>
      </c>
      <c r="E15" s="7" t="n">
        <v>4747</v>
      </c>
      <c r="F15" s="7" t="n">
        <v>2330</v>
      </c>
      <c r="G15" s="7" t="n">
        <v>17160</v>
      </c>
    </row>
    <row r="16">
      <c r="A16" s="7" t="inlineStr">
        <is>
          <t>Net change in financial investments</t>
        </is>
      </c>
      <c r="B16" s="7" t="n">
        <v>-1</v>
      </c>
      <c r="C16" s="7" t="n">
        <v>-2</v>
      </c>
      <c r="D16" s="7" t="n">
        <v>0</v>
      </c>
      <c r="E16" s="7" t="n">
        <v>9</v>
      </c>
      <c r="F16" s="7" t="n">
        <v>0</v>
      </c>
      <c r="G16" s="7" t="n">
        <v>-2</v>
      </c>
    </row>
    <row r="17">
      <c r="A17" s="7" t="inlineStr">
        <is>
          <t>Net change in customer accounts</t>
        </is>
      </c>
      <c r="B17" s="7" t="n">
        <v>40000</v>
      </c>
      <c r="C17" s="7" t="n">
        <v>10000</v>
      </c>
      <c r="D17" s="7" t="n">
        <v>-761</v>
      </c>
      <c r="E17" s="7" t="n">
        <v>0</v>
      </c>
      <c r="F17" s="7" t="n">
        <v>-166</v>
      </c>
      <c r="G17" s="7" t="n">
        <v>10</v>
      </c>
    </row>
    <row r="18">
      <c r="A18" s="7" t="inlineStr">
        <is>
          <t>Net change in derivative liabilities</t>
        </is>
      </c>
      <c r="B18" s="7" t="n">
        <v>-7184</v>
      </c>
      <c r="C18" s="7" t="n">
        <v>117342</v>
      </c>
      <c r="D18" s="7" t="n">
        <v>64879</v>
      </c>
      <c r="E18" s="7" t="n">
        <v>152843</v>
      </c>
      <c r="F18" s="7" t="n">
        <v>-726077</v>
      </c>
      <c r="G18" s="7" t="n">
        <v>-480143</v>
      </c>
    </row>
    <row r="19">
      <c r="A19" s="7" t="inlineStr">
        <is>
          <t>Net change in accruals and deferred income</t>
        </is>
      </c>
      <c r="B19" s="7" t="n">
        <v>17500</v>
      </c>
      <c r="C19" s="7" t="n">
        <v>5453</v>
      </c>
      <c r="D19" s="7" t="n">
        <v>-24204</v>
      </c>
      <c r="E19" s="7" t="n">
        <v>40180</v>
      </c>
      <c r="F19" s="7" t="n">
        <v>-1286</v>
      </c>
      <c r="G19" s="7" t="n">
        <v>3734</v>
      </c>
    </row>
    <row r="20">
      <c r="A20" s="7" t="inlineStr">
        <is>
          <t>Net change in borrowings from affiliates</t>
        </is>
      </c>
      <c r="B20" s="7" t="n">
        <v>97368</v>
      </c>
      <c r="C20" s="7" t="n">
        <v>7122</v>
      </c>
      <c r="D20" s="7" t="n">
        <v>-2879</v>
      </c>
      <c r="E20" s="7" t="n">
        <v>-153177</v>
      </c>
      <c r="F20" s="7" t="n">
        <v>-54912</v>
      </c>
      <c r="G20" s="7" t="n">
        <v>1757</v>
      </c>
    </row>
    <row r="21">
      <c r="A21" s="7" t="inlineStr">
        <is>
          <t>Net change in borrowings from others</t>
        </is>
      </c>
      <c r="B21" s="7" t="n"/>
      <c r="C21" s="7" t="n"/>
      <c r="D21" s="7" t="n"/>
      <c r="E21" s="7" t="n">
        <v>151</v>
      </c>
      <c r="F21" s="7" t="n">
        <v>-8118</v>
      </c>
      <c r="G21" s="7" t="n">
        <v>-29299</v>
      </c>
    </row>
    <row r="22">
      <c r="A22" s="7" t="inlineStr">
        <is>
          <t>Net change in commercial papers issued</t>
        </is>
      </c>
      <c r="B22" s="7" t="n"/>
      <c r="C22" s="7" t="n"/>
      <c r="D22" s="7" t="n"/>
      <c r="E22" s="7" t="n">
        <v>-19080</v>
      </c>
      <c r="F22" s="7" t="n">
        <v>-53485</v>
      </c>
      <c r="G22" s="7" t="n">
        <v>-1255</v>
      </c>
    </row>
    <row r="23">
      <c r="A23" s="7" t="inlineStr">
        <is>
          <t>Net change in securities sold under agreements to repurchase</t>
        </is>
      </c>
      <c r="B23" s="7" t="n"/>
      <c r="C23" s="7" t="n"/>
      <c r="D23" s="7" t="n"/>
      <c r="E23" s="7" t="n"/>
      <c r="F23" s="7" t="n"/>
      <c r="G23" s="7" t="n">
        <v>-425000</v>
      </c>
    </row>
    <row r="24">
      <c r="A24" s="7" t="inlineStr">
        <is>
          <t>Net change in bonds and medium-term notes</t>
        </is>
      </c>
      <c r="B24" s="7" t="n"/>
      <c r="C24" s="7" t="n"/>
      <c r="D24" s="7" t="n"/>
      <c r="E24" s="7" t="n">
        <v>-405274</v>
      </c>
      <c r="F24" s="7" t="n">
        <v>-492696</v>
      </c>
      <c r="G24" s="7" t="n">
        <v>12330</v>
      </c>
    </row>
    <row r="25">
      <c r="A25" s="7" t="inlineStr">
        <is>
          <t>Net change in other liabilities</t>
        </is>
      </c>
      <c r="B25" s="7" t="n">
        <v>916</v>
      </c>
      <c r="C25" s="7" t="n">
        <v>28</v>
      </c>
      <c r="D25" s="7" t="n">
        <v>-11</v>
      </c>
      <c r="E25" s="7" t="n">
        <v>-679</v>
      </c>
      <c r="F25" s="7" t="n">
        <v>596</v>
      </c>
      <c r="G25" s="7" t="n">
        <v>-43</v>
      </c>
    </row>
    <row r="26">
      <c r="A26" s="7" t="inlineStr">
        <is>
          <t>Income tax and group relief paid</t>
        </is>
      </c>
      <c r="B26" s="7" t="n">
        <v>-2546</v>
      </c>
      <c r="C26" s="7" t="n">
        <v>-1684</v>
      </c>
      <c r="D26" s="7" t="n">
        <v>-6553</v>
      </c>
      <c r="E26" s="7" t="n">
        <v>0</v>
      </c>
      <c r="F26" s="7" t="n">
        <v>0</v>
      </c>
      <c r="G26" s="7" t="n">
        <v>-3287</v>
      </c>
    </row>
    <row r="27">
      <c r="A27" s="5" t="inlineStr">
        <is>
          <t>Net cash flow from operating activities</t>
        </is>
      </c>
      <c r="B27" s="5" t="n">
        <v>-1173913</v>
      </c>
      <c r="C27" s="5" t="n">
        <v>-1060963</v>
      </c>
      <c r="D27" s="5" t="n">
        <v>-425579</v>
      </c>
      <c r="E27" s="5" t="n">
        <v>-343288</v>
      </c>
      <c r="F27" s="5" t="n">
        <v>-606420</v>
      </c>
      <c r="G27" s="5" t="n">
        <v>-371462</v>
      </c>
    </row>
    <row r="28">
      <c r="A28" s="5" t="inlineStr">
        <is>
          <t>Cash flows from financing activities</t>
        </is>
      </c>
      <c r="B28" s="7" t="n"/>
      <c r="C28" s="7" t="n"/>
      <c r="D28" s="7" t="n"/>
      <c r="E28" s="7" t="n"/>
      <c r="F28" s="7" t="n"/>
      <c r="G28" s="7" t="n"/>
    </row>
    <row r="29">
      <c r="A29" s="7" t="inlineStr">
        <is>
          <t>Proceeds from issuance of bonds and commercial papers</t>
        </is>
      </c>
      <c r="B29" s="7" t="n">
        <v>4228662</v>
      </c>
      <c r="C29" s="7" t="n">
        <v>2784772</v>
      </c>
      <c r="D29" s="7" t="n">
        <v>2939680</v>
      </c>
      <c r="E29" s="7" t="n">
        <v>3368550</v>
      </c>
      <c r="F29" s="7" t="n">
        <v>3257272</v>
      </c>
      <c r="G29" s="7" t="n">
        <v>3408164</v>
      </c>
    </row>
    <row r="30">
      <c r="A30" s="7" t="inlineStr">
        <is>
          <t>Repayments of bonds and commercial papers</t>
        </is>
      </c>
      <c r="B30" s="7" t="n">
        <v>-3046844</v>
      </c>
      <c r="C30" s="7" t="n">
        <v>-1722843</v>
      </c>
      <c r="D30" s="7" t="n">
        <v>-2516103</v>
      </c>
      <c r="E30" s="7" t="n">
        <v>-3008861</v>
      </c>
      <c r="F30" s="7" t="n">
        <v>-2642274</v>
      </c>
      <c r="G30" s="7" t="n">
        <v>-3038749</v>
      </c>
    </row>
    <row r="31">
      <c r="A31" s="7" t="inlineStr">
        <is>
          <t>Dividends paid</t>
        </is>
      </c>
      <c r="B31" s="7" t="n">
        <v>-8500</v>
      </c>
      <c r="C31" s="7" t="n">
        <v>0</v>
      </c>
      <c r="D31" s="7" t="n">
        <v>-5000</v>
      </c>
      <c r="E31" s="7" t="n">
        <v>-10000</v>
      </c>
      <c r="F31" s="7" t="n">
        <v>-10000</v>
      </c>
      <c r="G31" s="7" t="n">
        <v>-12000</v>
      </c>
    </row>
    <row r="32">
      <c r="A32" s="7" t="inlineStr">
        <is>
          <t>Payment of principal portion of lease liabilities</t>
        </is>
      </c>
      <c r="B32" s="7" t="n"/>
      <c r="C32" s="7" t="n">
        <v>0</v>
      </c>
      <c r="D32" s="7" t="n">
        <v>-18</v>
      </c>
      <c r="E32" s="7" t="n">
        <v>-82</v>
      </c>
      <c r="F32" s="7" t="n">
        <v>-114</v>
      </c>
      <c r="G32" s="7" t="n">
        <v>-113</v>
      </c>
    </row>
    <row r="33">
      <c r="A33" s="5" t="inlineStr">
        <is>
          <t>Net cash flows from financing activities</t>
        </is>
      </c>
      <c r="B33" s="5" t="n">
        <v>1173318</v>
      </c>
      <c r="C33" s="5" t="n">
        <v>1061929</v>
      </c>
      <c r="D33" s="5" t="n">
        <v>418559</v>
      </c>
      <c r="E33" s="5" t="n">
        <v>349607</v>
      </c>
      <c r="F33" s="5" t="n">
        <v>604884</v>
      </c>
      <c r="G33" s="5" t="n">
        <v>357302</v>
      </c>
    </row>
    <row r="34">
      <c r="A34" s="5" t="inlineStr">
        <is>
          <t>Net increase/(decrease) in cash and cash equivalents</t>
        </is>
      </c>
      <c r="B34" s="5" t="n">
        <v>-595</v>
      </c>
      <c r="C34" s="5" t="n">
        <v>966</v>
      </c>
      <c r="D34" s="5" t="n">
        <v>-7020</v>
      </c>
      <c r="E34" s="5" t="n">
        <v>6319</v>
      </c>
      <c r="F34" s="5" t="n">
        <v>-1536</v>
      </c>
      <c r="G34" s="5" t="n">
        <v>-14160</v>
      </c>
    </row>
    <row r="35">
      <c r="A35" s="7" t="inlineStr">
        <is>
          <t>Cash and cash equivalents at the beginning of the year</t>
        </is>
      </c>
      <c r="B35" s="7" t="n">
        <v>1727</v>
      </c>
      <c r="C35" s="7" t="n">
        <v>761</v>
      </c>
      <c r="D35" s="7" t="n">
        <v>7781</v>
      </c>
      <c r="E35" s="7" t="n">
        <v>1462</v>
      </c>
      <c r="F35" s="7" t="n">
        <v>2998</v>
      </c>
      <c r="G35" s="7" t="n">
        <v>17158</v>
      </c>
    </row>
    <row r="36">
      <c r="A36" s="5" t="inlineStr">
        <is>
          <t>Cash and cash equivalents at the end of the year</t>
        </is>
      </c>
      <c r="B36" s="5" t="n">
        <v>1132</v>
      </c>
      <c r="C36" s="5" t="n">
        <v>1727</v>
      </c>
      <c r="D36" s="5" t="n">
        <v>761</v>
      </c>
      <c r="E36" s="5" t="n">
        <v>7781</v>
      </c>
      <c r="F36" s="5" t="n">
        <v>1462</v>
      </c>
      <c r="G36" s="5" t="n">
        <v>2998</v>
      </c>
    </row>
    <row r="37">
      <c r="A37" s="7" t="inlineStr">
        <is>
          <t>Interest paid</t>
        </is>
      </c>
      <c r="B37" s="7" t="n">
        <v>-5105</v>
      </c>
      <c r="C37" s="7" t="n">
        <v>-5305</v>
      </c>
      <c r="D37" s="7" t="n">
        <v>-5334</v>
      </c>
      <c r="E37" s="7" t="n">
        <v>-7193</v>
      </c>
      <c r="F37" s="7" t="n">
        <v>-5543</v>
      </c>
      <c r="G37" s="7" t="n">
        <v>-5978</v>
      </c>
    </row>
    <row r="38">
      <c r="A38" s="7" t="inlineStr">
        <is>
          <t>Interest received</t>
        </is>
      </c>
      <c r="B38" s="7" t="n">
        <v>350157</v>
      </c>
      <c r="C38" s="7" t="n">
        <v>323619</v>
      </c>
      <c r="D38" s="7" t="n">
        <v>258954</v>
      </c>
      <c r="E38" s="7" t="n">
        <v>95480</v>
      </c>
      <c r="F38" s="7" t="n">
        <v>27216</v>
      </c>
      <c r="G38" s="7" t="n">
        <v>31357</v>
      </c>
    </row>
    <row r="40" ht="221" customHeight="1">
      <c r="A40" s="8" t="inlineStr">
        <is>
          <t>ENTITY NOTE: Nomura Bank International plc (company 01981122, FRN 204419) is the legal entity in the supplied Banks List 2608.xlsx. Companies House confirms the active public company, incorporated 22 January 1986, with the same registered name and annual accounts made up to 31 March. The Bank is a wholly owned subsidiary of Nomura Europe Holdings plc, has no material subsidiaries, and presents its own financial statements in USD.
Sources — Nomura Bank International plc Annual Reports and Financial Statements, Statement of Cash Flows and Note 15 UK Regulatory Capital:
FY2026: Annual Report for year ended 31 March 2026, Statement of Cash Flows printed p.37 and Note 15 'Capital Management Policy' UK Regulatory Capital table printed p.84 — https://www.nomuranow.com/portal/site/public/en-gb/resources/upload/NBI-Annual-Report-310326.pdf
FY2025: Annual Report for year ended 31 March 2025, pp.34 and 79 — https://www.nomuranow.com/portal/site/public/en-gb/resources/upload/NBI-Annual-Report-310325.pdf
FY2024: Annual Report for year ended 31 March 2024, pp.38 and 85 — https://www.nomuranow.com/portal/site/public/en-gb/resources/upload/NBI-Annual-Report-310324.pdf
FY2023: Annual Report for year ended 31 March 2023, pp.37 and 85 — https://www.nomuranow.com/portal/site/public/en-gb/resources/upload/NBI-Annual-Report-310323.pdf
FY2022: Annual Report for year ended 31 March 2022, Statement of Cash Flows and Note 15; the FY2023 report's comparative column is also cross-checkable, pp.37 and 85 — https://www.nomuranow.com/portal/site/public/en-gb/resources/upload/NBI-Annual-Report-310322.pdf / https://www.nomuranow.com/portal/site/public/en-gb/resources/upload/NBI-Annual-Report-310323.pdf
FY2021: Annual Report for year ended 31 March 2021, pp.27 and 80 — https://www.nomuranow.com/portal/site/public/en-gb/resources/upload/NBI-Annual-Report-310321.pdf
The official reports are scanned PDFs; figures were transcribed from the cited pages and cross-checked against the following year's comparative column where available. All amounts are $'000.
FY2026 ADDED 2026-09-15 from the Bank's own Annual Report for the year ended 31 March 2026 (Note 15 'Capital Management Policy', UK Regulatory Capital table, printed p.84): Tier 1 capital $281,438k and Total capital resources $281,438k. That table's own 31 March 2025 comparative column states $281,414k for both lines, matching this workbook's pre-existing FY2025 figures exactly - no restatement. The same table confirms the disclosure's shape across every year: it reports only 'Tier 1 capital' and 'Total capital resources' (the Bank states it does not maintain Tier 2 capital), with no CET1 line, no capital ratio and no RWA figure - which is why those sheets are blank from FY2022 onward once the parent's Pillar 3 stopped disclosing NBI. Note the report flags Tier 1 capital as not subject to audit.</t>
        </is>
      </c>
    </row>
  </sheetData>
  <mergeCells count="1">
    <mergeCell ref="A40:G4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Nomura Bank International plc — Asset Quality</t>
        </is>
      </c>
    </row>
    <row r="2">
      <c r="A2" s="2" t="inlineStr">
        <is>
          <t>Standalone Bank basis, $'000</t>
        </is>
      </c>
    </row>
    <row r="3">
      <c r="A3" s="4" t="inlineStr">
        <is>
          <t>Line item</t>
        </is>
      </c>
      <c r="B3" s="4" t="inlineStr">
        <is>
          <t>FY2026 ($'000)</t>
        </is>
      </c>
      <c r="C3" s="4" t="inlineStr">
        <is>
          <t>FY2025 ($'000)</t>
        </is>
      </c>
      <c r="D3" s="4" t="inlineStr">
        <is>
          <t>FY2024 ($'000)</t>
        </is>
      </c>
      <c r="E3" s="4" t="inlineStr">
        <is>
          <t>FY2023 ($'000)</t>
        </is>
      </c>
      <c r="F3" s="4" t="inlineStr">
        <is>
          <t>FY2022 ($'000)</t>
        </is>
      </c>
      <c r="G3" s="4" t="inlineStr">
        <is>
          <t>FY2021 ($'000)</t>
        </is>
      </c>
    </row>
    <row r="4">
      <c r="A4" s="5" t="inlineStr">
        <is>
          <t>Credit exposure (Balance Sheet basis)</t>
        </is>
      </c>
      <c r="B4" s="7" t="n"/>
      <c r="C4" s="7" t="n"/>
      <c r="D4" s="7" t="n"/>
      <c r="E4" s="7" t="n"/>
      <c r="F4" s="7" t="n"/>
      <c r="G4" s="7" t="n"/>
    </row>
    <row r="5">
      <c r="A5" s="7" t="inlineStr">
        <is>
          <t>Loans and advances to affiliates</t>
        </is>
      </c>
      <c r="B5" s="7" t="n">
        <v>6428499</v>
      </c>
      <c r="C5" s="7" t="n">
        <v>4956351</v>
      </c>
      <c r="D5" s="7" t="n">
        <v>3650595</v>
      </c>
      <c r="E5" s="7" t="n">
        <v>3228350</v>
      </c>
      <c r="F5" s="7" t="n">
        <v>2620602</v>
      </c>
      <c r="G5" s="7" t="n">
        <v>1608289</v>
      </c>
    </row>
    <row r="6">
      <c r="A6" s="7" t="inlineStr">
        <is>
          <t>Loans and advances to others</t>
        </is>
      </c>
      <c r="B6" s="7" t="n">
        <v>1546</v>
      </c>
      <c r="C6" s="7" t="n">
        <v>1850</v>
      </c>
      <c r="D6" s="7" t="n">
        <v>2144</v>
      </c>
      <c r="E6" s="7" t="n">
        <v>2462</v>
      </c>
      <c r="F6" s="7" t="n">
        <v>417</v>
      </c>
      <c r="G6" s="7" t="n">
        <v>1580</v>
      </c>
    </row>
    <row r="7">
      <c r="A7" s="5" t="inlineStr">
        <is>
          <t>Total loans and advances</t>
        </is>
      </c>
      <c r="B7" s="5" t="n">
        <v>6430045</v>
      </c>
      <c r="C7" s="5" t="n">
        <v>4958201</v>
      </c>
      <c r="D7" s="5" t="n">
        <v>3652739</v>
      </c>
      <c r="E7" s="5" t="n">
        <v>3230812</v>
      </c>
      <c r="F7" s="5" t="n">
        <v>2621019</v>
      </c>
      <c r="G7" s="5" t="n">
        <v>1609869</v>
      </c>
    </row>
    <row r="8">
      <c r="A8" s="5" t="inlineStr">
        <is>
          <t>Credit impairment (Income Statement basis)</t>
        </is>
      </c>
      <c r="B8" s="7" t="n"/>
      <c r="C8" s="7" t="n"/>
      <c r="D8" s="7" t="n"/>
      <c r="E8" s="7" t="n"/>
      <c r="F8" s="7" t="n"/>
      <c r="G8" s="7" t="n"/>
    </row>
    <row r="9">
      <c r="A9" s="7" t="inlineStr">
        <is>
          <t>Credit impairment release/(charge) for the year</t>
        </is>
      </c>
      <c r="B9" s="7" t="n">
        <v>-1353</v>
      </c>
      <c r="C9" s="7" t="n">
        <v>38</v>
      </c>
      <c r="D9" s="7" t="n">
        <v>-34</v>
      </c>
      <c r="E9" s="7" t="n">
        <v>-91</v>
      </c>
      <c r="F9" s="7" t="n">
        <v>-554</v>
      </c>
      <c r="G9" s="7" t="n">
        <v>46</v>
      </c>
    </row>
    <row r="10">
      <c r="A10" s="5" t="inlineStr">
        <is>
          <t>IFRS 9 staging - maximum credit risk exposure table (Risk Management note)</t>
        </is>
      </c>
      <c r="B10" s="7" t="n"/>
      <c r="C10" s="7" t="n"/>
      <c r="D10" s="7" t="n"/>
      <c r="E10" s="7" t="n"/>
      <c r="F10" s="7" t="n"/>
      <c r="G10" s="7" t="n"/>
    </row>
    <row r="11">
      <c r="A11" s="7" t="inlineStr">
        <is>
          <t>Gross exposure - on balance sheet (table total)</t>
        </is>
      </c>
      <c r="B11" s="7" t="n">
        <v>9281749</v>
      </c>
      <c r="C11" s="7" t="n">
        <v>7719594</v>
      </c>
      <c r="D11" s="7" t="n">
        <v>6420444</v>
      </c>
      <c r="E11" s="7" t="n">
        <v>5845512</v>
      </c>
      <c r="F11" s="7" t="n">
        <v>5872256</v>
      </c>
      <c r="G11" s="7" t="n">
        <v>6583658</v>
      </c>
    </row>
    <row r="12">
      <c r="A12" s="7" t="inlineStr">
        <is>
          <t xml:space="preserve">  of which: Stage 1 - on balance sheet</t>
        </is>
      </c>
      <c r="B12" s="7" t="n">
        <v>6402158</v>
      </c>
      <c r="C12" s="7" t="n">
        <v>4928252</v>
      </c>
      <c r="D12" s="7" t="n">
        <v>3665161</v>
      </c>
      <c r="E12" s="7" t="n">
        <v>3226139</v>
      </c>
      <c r="F12" s="7" t="n">
        <v>2252821</v>
      </c>
      <c r="G12" s="7" t="n"/>
    </row>
    <row r="13">
      <c r="A13" s="7" t="inlineStr">
        <is>
          <t xml:space="preserve">  of which: Stage 2 - on balance sheet</t>
        </is>
      </c>
      <c r="B13" s="7" t="inlineStr">
        <is>
          <t>-</t>
        </is>
      </c>
      <c r="C13" s="7" t="inlineStr">
        <is>
          <t>-</t>
        </is>
      </c>
      <c r="D13" s="7" t="inlineStr">
        <is>
          <t>-</t>
        </is>
      </c>
      <c r="E13" s="7" t="inlineStr">
        <is>
          <t>-</t>
        </is>
      </c>
      <c r="F13" s="7" t="inlineStr">
        <is>
          <t>-</t>
        </is>
      </c>
      <c r="G13" s="7" t="n"/>
    </row>
    <row r="14">
      <c r="A14" s="7" t="inlineStr">
        <is>
          <t>Gross exposure - off balance sheet commitments and financial guarantee contracts</t>
        </is>
      </c>
      <c r="B14" s="7" t="n">
        <v>1407317</v>
      </c>
      <c r="C14" s="7" t="n">
        <v>1284792</v>
      </c>
      <c r="D14" s="7" t="n">
        <v>2264670</v>
      </c>
      <c r="E14" s="7" t="n">
        <v>1083848</v>
      </c>
      <c r="F14" s="7" t="n">
        <v>1116065</v>
      </c>
      <c r="G14" s="7" t="n">
        <v>1422830</v>
      </c>
    </row>
    <row r="15">
      <c r="A15" s="7" t="inlineStr">
        <is>
          <t xml:space="preserve">  of which: Stage 1 - off balance sheet</t>
        </is>
      </c>
      <c r="B15" s="7" t="n">
        <v>665546</v>
      </c>
      <c r="C15" s="7" t="n">
        <v>591504</v>
      </c>
      <c r="D15" s="7" t="n">
        <v>651046</v>
      </c>
      <c r="E15" s="7" t="n">
        <v>562197</v>
      </c>
      <c r="F15" s="7" t="n">
        <v>686250</v>
      </c>
      <c r="G15" s="7" t="n"/>
    </row>
    <row r="16">
      <c r="A16" s="7" t="inlineStr">
        <is>
          <t xml:space="preserve">  of which: Stage 2 - off balance sheet</t>
        </is>
      </c>
      <c r="B16" s="7" t="n">
        <v>25585</v>
      </c>
      <c r="C16" s="7" t="n">
        <v>13223</v>
      </c>
      <c r="D16" s="7" t="n">
        <v>122608</v>
      </c>
      <c r="E16" s="7" t="n">
        <v>121295</v>
      </c>
      <c r="F16" s="7" t="n">
        <v>142428</v>
      </c>
      <c r="G16" s="7" t="n"/>
    </row>
    <row r="17">
      <c r="A17" s="7" t="inlineStr">
        <is>
          <t>Gross exposure - total on and off balance sheet (as printed)</t>
        </is>
      </c>
      <c r="B17" s="7" t="n">
        <v>10689066</v>
      </c>
      <c r="C17" s="7" t="n">
        <v>9004386</v>
      </c>
      <c r="D17" s="7" t="n">
        <v>8685114</v>
      </c>
      <c r="E17" s="7" t="n">
        <v>6929360</v>
      </c>
      <c r="F17" s="7" t="n">
        <v>6988321</v>
      </c>
      <c r="G17" s="7" t="n">
        <v>8006488</v>
      </c>
    </row>
    <row r="18">
      <c r="A18" s="7" t="inlineStr">
        <is>
          <t xml:space="preserve">  of which: Stage 1 - total (as printed)</t>
        </is>
      </c>
      <c r="B18" s="7" t="n">
        <v>7067704</v>
      </c>
      <c r="C18" s="7" t="n">
        <v>5519756</v>
      </c>
      <c r="D18" s="7" t="n">
        <v>4316207</v>
      </c>
      <c r="E18" s="7" t="n">
        <v>3788336</v>
      </c>
      <c r="F18" s="7" t="n">
        <v>2939071</v>
      </c>
      <c r="G18" s="7" t="n"/>
    </row>
    <row r="19">
      <c r="A19" s="7" t="inlineStr">
        <is>
          <t xml:space="preserve">  of which: Stage 2 - total (as printed)</t>
        </is>
      </c>
      <c r="B19" s="7" t="n">
        <v>25585</v>
      </c>
      <c r="C19" s="7" t="n">
        <v>13223</v>
      </c>
      <c r="D19" s="7" t="n">
        <v>122608</v>
      </c>
      <c r="E19" s="7" t="n">
        <v>121295</v>
      </c>
      <c r="F19" s="7" t="n">
        <v>142428</v>
      </c>
      <c r="G19" s="7" t="n"/>
    </row>
    <row r="20">
      <c r="A20" s="7" t="inlineStr">
        <is>
          <t>FY2021 only - exposure 'subject to ECL model', on balance sheet (bank footnote: all classified Stage 1)</t>
        </is>
      </c>
      <c r="B20" s="7" t="n"/>
      <c r="C20" s="7" t="n"/>
      <c r="D20" s="7" t="n"/>
      <c r="E20" s="7" t="n"/>
      <c r="F20" s="7" t="n"/>
      <c r="G20" s="7" t="n">
        <v>1277318</v>
      </c>
    </row>
    <row r="21">
      <c r="A21" s="7" t="inlineStr">
        <is>
          <t>FY2021 only - exposure 'subject to ECL model', off balance sheet (bank footnote: all classified Stage 1)</t>
        </is>
      </c>
      <c r="B21" s="7" t="n"/>
      <c r="C21" s="7" t="n"/>
      <c r="D21" s="7" t="n"/>
      <c r="E21" s="7" t="n"/>
      <c r="F21" s="7" t="n"/>
      <c r="G21" s="7" t="n">
        <v>106561</v>
      </c>
    </row>
    <row r="22">
      <c r="A22" s="7" t="inlineStr">
        <is>
          <t>FY2021 only - exposure 'subject to ECL model', total (bank footnote: all classified Stage 1)</t>
        </is>
      </c>
      <c r="B22" s="7" t="n"/>
      <c r="C22" s="7" t="n"/>
      <c r="D22" s="7" t="n"/>
      <c r="E22" s="7" t="n"/>
      <c r="F22" s="7" t="n"/>
      <c r="G22" s="7" t="n">
        <v>1383879</v>
      </c>
    </row>
    <row r="24" ht="351" customHeight="1">
      <c r="A24" s="8" t="inlineStr">
        <is>
          <t>ENTITY NOTE: Nomura Bank International plc (company 01981122, FRN 204419) is the legal entity in the supplied Banks List 2608.xlsx. Companies House confirms the active public company, incorporated 22 January 1986, with the same registered name and annual accounts made up to 31 March. The Bank is a wholly owned subsidiary of Nomura Europe Holdings plc, has no material subsidiaries, and presents its own financial statements in USD.
Sources — Nomura Bank International plc Annual Reports and Financial Statements, Income Statement / Statement of Comprehensive Income / Statement of Financial Position / Statement of Changes in Equity:
FY2026: Annual Report for year ended 31 March 2026, printed pp.33-36 (Income Statement p.33, Statement of Comprehensive Income p.34, Statement of Changes in Equity p.35, Statement of Financial Position p.36) — https://www.nomuranow.com/portal/site/public/en-gb/resources/upload/NBI-Annual-Report-310326.pdf
FY2025: Annual Report for year ended 31 March 2025, pp.30-33 — https://www.nomuranow.com/portal/site/public/en-gb/resources/upload/NBI-Annual-Report-310325.pdf
FY2024: Annual Report for year ended 31 March 2024, pp.34-37, cross-checked against AR2025's comparative column — https://www.nomuranow.com/portal/site/public/en-gb/resources/upload/NBI-Annual-Report-310324.pdf / https://www.nomuranow.com/portal/site/public/en-gb/resources/upload/NBI-Annual-Report-310325.pdf
FY2023: Annual Report for year ended 31 March 2023, pp.33-36, cross-checked against AR2024's comparative column — https://www.nomuranow.com/portal/site/public/en-gb/resources/upload/NBI-Annual-Report-310323.pdf / https://www.nomuranow.com/portal/site/public/en-gb/resources/upload/NBI-Annual-Report-310324.pdf
FY2022: Annual Report for year ended 31 March 2022, pp.33-36, cross-checked against AR2023's comparative column — https://www.nomuranow.com/portal/site/public/en-gb/resources/upload/NBI-Annual-Report-310322.pdf / https://www.nomuranow.com/portal/site/public/en-gb/resources/upload/NBI-Annual-Report-310323.pdf
FY2021: Annual Report for year ended 31 March 2021, pp.24-27, cross-checked against AR2022's comparative column — https://www.nomuranow.com/portal/site/public/en-gb/resources/upload/NBI-Annual-Report-310321.pdf / https://www.nomuranow.com/portal/site/public/en-gb/resources/upload/NBI-Annual-Report-310322.pdf
All years' Balance Sheet/P&amp;L/Equity figures were independently cross-checked against the following year's comparative column and tie exactly - zero plug rows were needed. All amounts are $'000.
FY2026 ADDED 2026-09-15: every FY2026 statement was verified to foot internally (Total Assets $9,284,526k = Total Liabilities $9,112,270k + Total Equity $172,256k; the equity roll-forward from the 1 April 2025 opening balance ties to the 31 March 2026 closing balance on all three components) and the AR2026 comparative column reproduces this workbook's existing FY2025 figures exactly, so no prior year was restated. Two FY2026 presentational points: the Statement of Cash Flows no longer carries a 'Depreciation' or 'Payment of principal portion of lease liabilities' line (both were nil in FY2025), and the working-capital line 'Net change in customer accounts' is relabelled 'Net changes in customer deposits' - the same underlying line, kept on the existing row. FY2026 also shows a large own-credit movement: Other comprehensive loss of $(91,870)k drives Total Equity down from $262,761k to $172,256k despite a $9,865k profit, which is a real disclosed movement, not a transcription error.
PRESENTATION NOTE: the FY2025 report relabels the P&amp;L's 'Dealing Loss' line (used FY2021-FY2024) as 'Gains and losses from financial instruments at fair value through profit or loss' - the same underlying line, shown here under each year's own contemporaneous label. The Balance Sheet's cash line is labelled 'Loans and advances to banks' FY2021-FY2023 and 'Cash and cash equivalents' FY2024-FY2025 - same underlying line, shown as originally labelled each year. 'Customer Accounts' (FY2021-FY2022) and 'Customer Deposits' (FY2025) are genuinely distinct - the account fell to nil and was undisclosed as a line in FY2023-FY2024, then a new deposit appeared in FY2025. 'Right-of-use assets' and 'Deferred tax asset/liability' are genuinely absent in some years (nil or below the entity's own disclosure threshold), not omitted in error. The FY2025 Balance Sheet (p.33) shows Retained earnings $34,894k / Own credit reserve $(27,133)k while the FY2025 Statement of Changes in Equity (p.32) shows $34,895k / $(27,134)k for the same closing balances - a genuine $1k rounding inconsistency between the Bank's own two primary statements (Total Equity is identical, $262,761k, on both). Each sheet here reproduces its own source statement's figures exactly rather than silently reconciling the $1k gap.</t>
        </is>
      </c>
    </row>
    <row r="26" ht="330" customHeight="1">
      <c r="A26" s="8" t="inlineStr">
        <is>
          <t>(continued)
INVESTMENT COMPOSITION NOTE: 'Financial investments' is the Bank's sole investment-securities-type Balance Sheet line; it is not split by issuer type (no UK government/gilt vs corporate/supranational breakdown is disclosed - the balance is too small, $11k-$20k, to warrant one) but Note 8 'Financial Instruments' (Analysis of the Company's financial assets and financial liabilities by IFRS 9 classification) shows the entire balance sits 100% in the 'Mandatorily at fair value through profit or loss' column in every one of the 5 years checked, none at amortised cost: FY2025 $13k (AR2025 Note 8, p.49), FY2024 $11k (AR2025 Note 8 comparative, p.50), FY2023 $11k (AR2023 Note 9, p.54), FY2022 $20k (AR2023 Note 9 comparative, p.55), FY2021 $20k (AR2021 Note 9, p.48). Since the whole balance is one measurement basis in every year, and no issuer-type split is disclosed, the row is relabelled in place rather than split into sub-rows.
ASSET QUALITY NOTE: the Bank's lending is almost entirely intercompany (Loans and advances to affiliates); the accounting policy note (p.42) describes a 3-stage IFRS 9 staging framework.
IFRS 9 STAGING - FOUND 2026-09-19 (GA-020). An earlier revision of this note said no numeric Stage 1/2/3 split is disclosed anywhere. That was wrong. Each Annual Report's Risk Management note carries a 'Credit Risk Exposure' table of gross exposure by balance-sheet line with 'Of which: Stage 1' and 'Of which: Stage 2' columns; the table totals are transcribed here as printed, read off the page images: AR2026 printed p.66 (PDF p.67); AR2025 printed p.61 (PDF p.62); AR2024 printed p.67 (PDF p.68); AR2023 printed p.66 (PDF p.67); AR2022 printed p.68 (PDF p.69). FY2021 (AR2021 printed p.59, PDF p.60, note 13) prints a different column, 'Of which: Subject to ECL Model', footnoted '* All exposures subject to ECL model are classified as Stage 1 and have BBB rating' - carried on its own rows under the bank's own caption, not merged into the Stage 1 rows. The Stage 2 on-balance-sheet cells are the printed dash. No Stage 3 column is printed in any year (each edition states there is no loan past due), so no Stage 3 figure is entered. Each edition's prior-year 'Gross Exposure' column reproduces the previous edition's figure.</t>
        </is>
      </c>
    </row>
  </sheetData>
  <mergeCells count="2">
    <mergeCell ref="A26:G26"/>
    <mergeCell ref="A24:G2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Nomura Bank International plc — Profitability</t>
        </is>
      </c>
    </row>
    <row r="2">
      <c r="A2" s="2" t="inlineStr">
        <is>
          <t>Return on equity and return on assets in per cent, computed from this workbook's own Balance Sheet and Profit &amp; Loss sheets.</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7" t="inlineStr">
        <is>
          <t>Return on equity - average equity basis</t>
        </is>
      </c>
      <c r="B4" s="7" t="inlineStr">
        <is>
          <t>4.54%</t>
        </is>
      </c>
      <c r="C4" s="7" t="inlineStr">
        <is>
          <t>3.64%</t>
        </is>
      </c>
      <c r="D4" s="7" t="inlineStr">
        <is>
          <t>2.24%</t>
        </is>
      </c>
      <c r="E4" s="7" t="inlineStr">
        <is>
          <t>2.17%</t>
        </is>
      </c>
      <c r="F4" s="7" t="inlineStr">
        <is>
          <t>7.20%</t>
        </is>
      </c>
      <c r="G4" s="7" t="n"/>
    </row>
    <row r="5">
      <c r="A5" s="7" t="inlineStr">
        <is>
          <t>Return on equity - year-end equity basis</t>
        </is>
      </c>
      <c r="B5" s="7" t="inlineStr">
        <is>
          <t>5.73%</t>
        </is>
      </c>
      <c r="C5" s="7" t="inlineStr">
        <is>
          <t>3.57%</t>
        </is>
      </c>
      <c r="D5" s="7" t="inlineStr">
        <is>
          <t>2.84%</t>
        </is>
      </c>
      <c r="E5" s="7" t="inlineStr">
        <is>
          <t>1.82%</t>
        </is>
      </c>
      <c r="F5" s="7" t="inlineStr">
        <is>
          <t>5.90%</t>
        </is>
      </c>
      <c r="G5" s="7" t="inlineStr">
        <is>
          <t>6.75%</t>
        </is>
      </c>
    </row>
    <row r="6">
      <c r="A6" s="7" t="inlineStr">
        <is>
          <t>Return on assets - average assets basis</t>
        </is>
      </c>
      <c r="B6" s="7" t="inlineStr">
        <is>
          <t>0.12%</t>
        </is>
      </c>
      <c r="C6" s="7" t="inlineStr">
        <is>
          <t>0.13%</t>
        </is>
      </c>
      <c r="D6" s="7" t="inlineStr">
        <is>
          <t>0.12%</t>
        </is>
      </c>
      <c r="E6" s="7" t="inlineStr">
        <is>
          <t>0.12%</t>
        </is>
      </c>
      <c r="F6" s="7" t="inlineStr">
        <is>
          <t>0.25%</t>
        </is>
      </c>
      <c r="G6" s="7" t="n"/>
    </row>
    <row r="7">
      <c r="A7" s="7" t="inlineStr">
        <is>
          <t>Return on assets - year-end assets basis</t>
        </is>
      </c>
      <c r="B7" s="7" t="inlineStr">
        <is>
          <t>0.11%</t>
        </is>
      </c>
      <c r="C7" s="7" t="inlineStr">
        <is>
          <t>0.12%</t>
        </is>
      </c>
      <c r="D7" s="7" t="inlineStr">
        <is>
          <t>0.11%</t>
        </is>
      </c>
      <c r="E7" s="7" t="inlineStr">
        <is>
          <t>0.12%</t>
        </is>
      </c>
      <c r="F7" s="7" t="inlineStr">
        <is>
          <t>0.26%</t>
        </is>
      </c>
      <c r="G7" s="7" t="inlineStr">
        <is>
          <t>0.17%</t>
        </is>
      </c>
    </row>
    <row r="8">
      <c r="A8" s="7" t="inlineStr">
        <is>
          <t>Nomura Bank International plc's own published return</t>
        </is>
      </c>
      <c r="B8" s="7" t="inlineStr">
        <is>
          <t>Not published</t>
        </is>
      </c>
      <c r="C8" s="7" t="inlineStr">
        <is>
          <t>Not published</t>
        </is>
      </c>
      <c r="D8" s="7" t="inlineStr">
        <is>
          <t>Not published</t>
        </is>
      </c>
      <c r="E8" s="7" t="inlineStr">
        <is>
          <t>Not published</t>
        </is>
      </c>
      <c r="F8" s="7" t="inlineStr">
        <is>
          <t>Not published</t>
        </is>
      </c>
      <c r="G8" s="7" t="inlineStr">
        <is>
          <t>Not published</t>
        </is>
      </c>
    </row>
    <row r="9" ht="143" customHeight="1">
      <c r="A9" s="6" t="inlineStr">
        <is>
          <t>Note: COMPUTED, NOT PUBLISHED. The official FY2026 annual report was searched in full. Its financial KPI table contains profit, comprehensive income, assets, liabilities and shareholders' funds but no ROE, ROA or RoTE value; no such return KPI occurs elsewhere in the report.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FY2022, where return on equity is 7.20% on an average basis and 5.90% on a year-end basis.
FY2021 HAS NO AVERAGE-BASIS RATIO, AND THAT IS CORRECT. An average denominator needs an opening balance, and FY2021 is the oldest column this workbook carries, so there is no prior year to open from. The blank is structural, not a missing figure. The year-end basis is shown for FY2021 because it needs only the closing balance.</t>
        </is>
      </c>
    </row>
    <row r="11" ht="170" customHeight="1">
      <c r="A11" s="8" t="inlineStr">
        <is>
          <t>Computed by this workbook's own build script from the Profit &amp; Loss and Balance Sheet sheets of this same workbook - the Profit &amp; Loss row “profit for the year” and the Balance Sheet rows “total equity” and “total assets”, resolved BY LABEL at build time through the shared resolver scripts/profitability_rows.py, so this sheet cannot drift from the statements it summarises. Those rows are themselves transcribed from Nomura Bank International plc's Annual Report and Accounts for each year; see the source cells on the Balance Sheet and Profit &amp; Loss sheets for the exact document, page and table behind every input to every percentage above.
The finding that Nomura Bank International plc publishes no return of its own is recorded in research/profitability/published_returns.jsonl under ‘NOMURA BANK INTERNATIONAL’, verified against the bank's own annual report rendered at 300 dpi.</t>
        </is>
      </c>
    </row>
  </sheetData>
  <mergeCells count="2">
    <mergeCell ref="A11:G11"/>
    <mergeCell ref="A9:G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Nomura Bank International plc — KM1 Key Metrics</t>
        </is>
      </c>
    </row>
    <row r="2">
      <c r="A2" s="2" t="inlineStr">
        <is>
          <t>Not applicable. NBI publishes no Pillar 3 document of its own, and no UK KM1 template for this entity exists in any document - its parent's included. Its own accounts' Note 15 "UK Regulatory Capital" is a two-row table (Tier 1 capital, Total capital resources) and is not reshaped into the template. Its UK parent, Nomura Europe Holdings plc, DOES print the UK KM1 - but only for the Group and for NIP (Nomura International plc, a different UK legal entity), and from its 31 March 2022 edition it states that NBI "is therefore not disclosed in this document". The NBI column that the 2021 editions do carry sits in template CC1, an own-funds composition table, not in KM1. Ten parent editions and six of NBI's own annual reports were read; the source note below names every one.</t>
        </is>
      </c>
    </row>
    <row r="3">
      <c r="A3" s="4" t="inlineStr">
        <is>
          <t>Line item</t>
        </is>
      </c>
      <c r="B3" s="4" t="inlineStr">
        <is>
          <t>FY2026</t>
        </is>
      </c>
      <c r="C3" s="4" t="inlineStr">
        <is>
          <t>FY2025</t>
        </is>
      </c>
      <c r="D3" s="4" t="inlineStr">
        <is>
          <t>FY2024</t>
        </is>
      </c>
      <c r="E3" s="4" t="inlineStr">
        <is>
          <t>FY2023</t>
        </is>
      </c>
      <c r="F3" s="4" t="inlineStr">
        <is>
          <t>FY2022</t>
        </is>
      </c>
      <c r="G3" s="4" t="inlineStr">
        <is>
          <t>FY2021</t>
        </is>
      </c>
    </row>
    <row r="4">
      <c r="A4" s="7" t="inlineStr">
        <is>
          <t>UK KM1 key-metrics template</t>
        </is>
      </c>
      <c r="B4" s="7" t="inlineStr">
        <is>
          <t>Not published for this entity</t>
        </is>
      </c>
      <c r="C4" s="7" t="inlineStr">
        <is>
          <t>Not published for this entity</t>
        </is>
      </c>
      <c r="D4" s="7" t="inlineStr">
        <is>
          <t>Not published for this entity</t>
        </is>
      </c>
      <c r="E4" s="7" t="inlineStr">
        <is>
          <t>Not published for this entity</t>
        </is>
      </c>
      <c r="F4" s="7" t="inlineStr">
        <is>
          <t>Not published for this entity</t>
        </is>
      </c>
      <c r="G4" s="7" t="inlineStr">
        <is>
          <t>Not published for this entity</t>
        </is>
      </c>
    </row>
    <row r="5">
      <c r="A5" s="7" t="inlineStr">
        <is>
          <t>Published by the Bank itself</t>
        </is>
      </c>
      <c r="B5" s="7" t="inlineStr">
        <is>
          <t>No Pillar 3 document</t>
        </is>
      </c>
      <c r="C5" s="7" t="inlineStr">
        <is>
          <t>No Pillar 3 document</t>
        </is>
      </c>
      <c r="D5" s="7" t="inlineStr">
        <is>
          <t>No Pillar 3 document</t>
        </is>
      </c>
      <c r="E5" s="7" t="inlineStr">
        <is>
          <t>No Pillar 3 document</t>
        </is>
      </c>
      <c r="F5" s="7" t="inlineStr">
        <is>
          <t>No Pillar 3 document</t>
        </is>
      </c>
      <c r="G5" s="7" t="inlineStr">
        <is>
          <t>No Pillar 3 document</t>
        </is>
      </c>
    </row>
    <row r="6">
      <c r="A6" s="7" t="inlineStr">
        <is>
          <t>Published for the Bank in its parent's Pillar 3 (Nomura Europe Holdings plc)</t>
        </is>
      </c>
      <c r="B6" s="7" t="inlineStr">
        <is>
          <t>Not disclosed — no parent edition published yet</t>
        </is>
      </c>
      <c r="C6" s="7" t="inlineStr">
        <is>
          <t>Not disclosed — NBI expressly excluded by name</t>
        </is>
      </c>
      <c r="D6" s="7" t="inlineStr">
        <is>
          <t>Not disclosed — NBI expressly excluded by name</t>
        </is>
      </c>
      <c r="E6" s="7" t="inlineStr">
        <is>
          <t>Not disclosed — NBI expressly excluded by name</t>
        </is>
      </c>
      <c r="F6" s="7" t="inlineStr">
        <is>
          <t>Not disclosed — NBI expressly excluded by name</t>
        </is>
      </c>
      <c r="G6" s="7" t="inlineStr">
        <is>
          <t>Not applicable — NBI appears in own-funds table CC1, not in KM1</t>
        </is>
      </c>
    </row>
    <row r="8" ht="409" customHeight="1">
      <c r="A8" s="8" t="inlineStr">
        <is>
          <t>KM1 Key Metrics - NOT APPLICABLE. Nomura Bank International plc has never published a UK KM1 template, and no UK KM1 template for this entity exists in any document, its parent's included. That is a finding from sixteen documents - six of the Bank's own annual reports and ten of its parent's Pillar 3 editions - read for this purpose on 2026-09-16 and 2026-09-18, not the residue of a failed search.
LATEST-EDITION CHECK, 2026-09-16. The Bank's own disclosure host is nomuranow.com, whose index pages are BLOCKED to an automated fetch - `/portal/site/public/en-gb/` returns HTTP 403 and every regulatory-disclosures path tried returns HTTP 404 - so the index could not be browsed, and NOTHING below rests on that (map rule 9). Two live routes were used instead. (i) The Bank's own Annual Report for the year ended 31 March 2026 was re-fetched from its stable address with a browser User-Agent and verified HTTP 200 / Content-Type application/pdf / %PDF magic bytes. (ii) COMPANIES HOUSE (company 01981122) was read live: the newest accounts filed are "Full accounts made up to 31 March 2026", filed 6 August 2026, 87 pages - which is the FY2026 edition this workbook already holds. NBI's year-end is 31 March, so FY2027 is not yet a reporting year. NEWEST EDITION = FY2026, ALREADY HELD; no year was added.
LATEST-EDITION CHECK RE-RUN 2026-09-18 (GA-005), and it changed one of the three findings below. NEWEST NBI ANNUAL REPORT = year ended 31 March 2026, already held - re-verified live at https://www.nomuranow.com/portal/site/public/en-gb/resources/upload/NBI-Annual-Report-310326.pdf (HTTP 200 / application/pdf / %PDF, 87 pages), and NBI-Annual-Report-310327.pdf returns 404 as expected, since 31 March 2027 is not yet a reporting date. NEWEST PARENT PILLAR 3 OF ANY FREQUENCY = the 31 December 2025 quarterly edition (Last-Modified 24 Apr 2026). NEWEST PARENT ANNUAL PILLAR 3 = the 31 March 2025 edition (Last-Modified 25 Sep 2025), WHICH THIS PROJECT HAD PREVIOUSLY RECORDED AS NOT EXISTING - see point 3 below for the filename-convention change that caused that error and for the stronger evidence the recovered editions supply. No figure changed as a result: all three recovered editions exclude NBI by name.
WHY THIS IS NOT APPLICABLE RATHER THAN NOT FOUND - three independent findings.
1. NBI'S OWN ANNUAL REPORTS CONTAIN NO PILLAR 3 AND NO KM1. All six editions in this workbook (FY2021-FY2026) were searched. Zero occurrences of "KM1"; zero of "Pillar 3" in the FY2025 and FY2026 editions; the single occurrence of "key metric" in the FY2026 edition is in the market-risk narrative ("a key metric for measuring portfolio risk is Aggregated Tail Risk") and has nothing to do with the template. Those zeroes are facts about the documents rather than about the extraction, because the same extraction is RICH on neighbouring terms in the same files - "capital" 40-53 hits per edition (map rule 15). What the accounts DO carry, in Note 15 "UK Regulatory Capital", is a TWO-ROW table: "Tier 1 capital" and "Total capital resources", one figure each for the year and the comparative. No CET1 row, no capital ratio, no RWA, no SREP block, no buffer block, no leverage row, no LCR and no NSFR. That is a different and far shorter table, not an unnumbered KM1 - the ABC International Bank pattern under map rule 8 - and it is NOT reshaped onto KM1 row numbers. Those two figures already populate the Tier 1 Capital and Total Capital sheets of this workbook.
2. THE PARENT'S PILLAR 3 WAS CHECKED FIRST, NOT LAST (map rule 18), AND IT IS WHERE NBI'S NUMBERS DO LIVE - but they are not a KM1. UK Disclosure (CRR) subsidiary reporting makes the consolidating parent's Pillar 3 the normal home for a subsidiary's figures, so all ten located editions of Nomura Europe Holdings plc's Pillar 3 were read - five annual (31 Mar 2021, 2022, 2023, 2024, 2025), four semi-annual (30 Sep 2021, 2022, 2023, 2025) and one quarterly (31 Dec 2025):
   - The 31 MARCH 2021 annual edition and the 30 SEPTEMBER 2021 semi-annual edition each carry a dedicated NBI COLUMN - exactly the rule-19 shape, one template with the subsidiary as a column rather than as a separate document - in template CC1 "Composition of Regulatory Capital", headed "The Group, NIP, NBI and NFPE Own Funds". CC1 IS NOT KM1: its rows are the ITS 1423/2013 own-funds numbering (6, 28, 45, 46, 59, 62-66, 68), it has no RWA amount row, no leverage block, no LCR and no NSFR. The NBI column is used on this workbook's CET1 Capital, CET1 Ratio, Tier 1 Ratio and Total Capital Ratio sheets, and on the Interim Pillar 3 sheet, precisely because it is NBI's own entity-level figure - but it cannot supply a KM1.
   - BOTH 2021 EDITIONS ALSO PRINT A SECTION ACTUALLY TITLED "KEY METRICS" (the semi-annual heads it "KM1: Key Metrics"), AND IT IS NEITHER THE TEMPLATE NOR NBI'S. It is a single-column dashboard headed "The Group" - Tier 1 Capital, Tier 2 Capital, Total RWA, Total Capital Requirement, a Tier 1 ratio, Total Leverage Ratio Exposure, Leverage Ratio and (in the annual) an LCR trio - with no row numbers, no CET1 row, no SREP block, no buffer rows and no NSFR. It fails the row-set test, and its one column is the Group's. The word "KM1" appearing above it is exactly the token that map rule 8 forbids keying on.</t>
        </is>
      </c>
    </row>
    <row r="10" ht="409" customHeight="1">
      <c r="A10" s="8" t="inlineStr">
        <is>
          <t>(continued)
- FROM THE 31 MARCH 2022 EDITION ONWARD THE PARENT STATES IN TERMS THAT IT HAS STOPPED DISCLOSING NBI: "NBI and NFPE were previously considered 'significant subsidiaries' and previously disclosed. However, along with the other regulated subsidiaries, they are not considered to be large subsidiaries as at 31st March 2022 and are therefore not disclosed in this document" (Scope of Application, printed p.5). Consistent with that, every edition from then on prints exactly TWO UK KM1 templates - "Template UK KM1 - Key metrics template for the Group" and "Template UK KM1 - Key metrics template for NIP" - and its CC1 becomes "Composition of regulatory own funds for the Group and NIP". THE ENTITY DISTINCTION MATTERS AND IS THE TRAP HERE: NIP is Nomura International plc, the group's London broker-dealer and a DIFFERENT UK legal entity from Nomura Bank International plc. Its KM1 is not NBI's and is not used.
   - APPENDICES CHECKED TOO, because rule 19's other shape is a subsidiary template dozens of pages away in an appendix. The FY2021 edition's Appendix 1 "Other Disclosures" lists CCA, MREL, LI3, CCyB1, CCR3, CCR5-A/B, CCR6, CR1-A, CR5, CR4, CR3, CR2-A and forbearance Templates 1/3/4/5/6 - no KM1; the FY2022, FY2023 and FY2024 editions' sole appendix is a "CRR Compliance" article-to-page mapping table. A full grep for "KM1" across all four annual editions returns the two Group/NIP template headings, their two contents-page entries and the CRR-compliance cross-references, and nothing else.
3. THE LATER PARENT EDITIONS DO EXIST, AND THEY CONFIRM THE EXCLUSION EXPLICITLY. CORRECTION MADE 2026-09-18: a previous revision of this note stated that the 31 March 2025 and 31 March 2026 annual editions and the 30 September 2024 and 30 September 2025 semi-annual editions "all return HTTP 404 at the stable naming convention", and concluded that no later parent edition existed to check. THAT CONCLUSION WAS WRONG, and the reason is worth recording: from the 31 March 2025 edition onward the parent CHANGED ITS FILENAME CONVENTION, inserting "Group-" and switching to Title-Case (Nomura-Europe-Holdings-plc-Group-Annual-Pillar-3-Disclosures-310325.pdf). The 404s were therefore evidence about the GUESSED PATH, not about the bank - the standing trap that a guessed path's 404 tells you about the guess. Probing the corrected pattern on 2026-09-18 recovered three editions newer than anything this project held, each verified HTTP 200 / Content-Type application/pdf / %PDF magic bytes:
   - 31 MARCH 2025 ANNUAL (119pp, Last-Modified 25 Sep 2025). Its Scope of Application, printed p.5 (PDF p.6), names NBI in terms: "Other regulated subsidiaries of the Group are not considered to be large subsidiaries as of 31st March 2025 and are therefore not disclosed in this document. This includes Nomura Bank International Plc (‘NBI’)...". It prints exactly two UK KM1 templates, for the Group (printed p.9) and for NIP (printed p.10). No NBI KM1, and no NBI column anywhere.
   - 30 SEPTEMBER 2025 SEMI-ANNUAL (42pp, Last-Modified 9 Feb 2026). Same exclusion wording at 30 September 2025, Scope of Application printed p.3; UK KM1 for the Group printed p.4, for NIP printed p.5.
   - 31 DECEMBER 2025 QUARTERLY (Last-Modified 24 Apr 2026) - the NEWEST parent Pillar 3 of any frequency. Same exclusion wording, Scope of Application printed p.2; a single UK KM1, for the Group, printed p.3.
THIS STRENGTHENS THE FINDING RATHER THAN WEAKENING IT. The FY2025 and FY2026 blanks previously rested on an ENUMERATED negative (no document found at an address), which is the weakest kind. They now rest on an AFFIRMATIVE, DATED EXCLUSION in which the parent names Nomura Bank International Plc and says it is not disclosed - the same class of evidence as a formal Article 432 excluded-templates statement, and much stronger than not finding a table. Each edition's richness control is healthy, so the absence of an NBI KM1 is a fact about the documents and not about the extraction: the 31 March 2025 edition returns 80 hits for "own funds", 27 for "risk-weighted" and 24 for "CET1", and its only four "KM1" hits are the two template headings and their two contents-page entries.
THE 31 MARCH 2026 ANNUAL EDITION IS NOT YET PUBLISHED, and that is date-fitted rather than assumed: twelve filename variants were probed on 2026-09-18 under both the /portal/site/public/ and /portal/site/login/ prefixes, including the corrected "Group-" convention, and all returned 404 in the same run in which -310325.pdf, -300925.pdf and -311225.pdf each returned 200. The 31 March 2025 annual edition was itself published around 25 September 2025 - roughly six months after its year-end - so a 31 March 2026 annual edition would be due at about the date of this check and had not appeared. This is an open, dated expectation, not a finding of absence; it is the one item on this bank a later session should re-probe.
A Wayback CDX domain sweep of nomuranow.com was also run on 2026-09-18 (the Internet Archive had been offline on 2026-09-16, so the earlier pass could not run one). It returned no capture of any 31 March 2025 or 31 March 2026 Pillar 3 edition, which is a fact about what the Archive crawled and NOT evidence of non-publication - the 31 March 2025 edition is live on the publisher's own site and uncaptured. The sweep's actual value here was the opposite of a negative: it surfaced the "...-Group-Quarterly-Pillar-3-Disclosures-311223.pdf" filename, which is what exposed the "Group-" convention change and broke the dead end.
THE ULTIMATE JAPANESE PARENT IS NOT A SUBSTITUTE, and the reason is stated rather than assumed: Nomura Holdings, Inc. reports under Japanese FSA Basel III rules and its Pillar 3 carries neither the UK template set nor a UK KM1 for a UK subsidiary. NBI's UK disclosure obligation sits with the UK consolidation group, Nomura Europe Holdings plc, whose ten editions are enumerated above. A parent's disclosure is not the subsidiary's, and a Japanese parent's is not even the same template.</t>
        </is>
      </c>
    </row>
    <row r="12" ht="409" customHeight="1">
      <c r="A12" s="8" t="inlineStr">
        <is>
          <t>(continued)
NOTHING IS BACK-FILLED FROM THE STATUTORY ACCOUNTS (map rule 22). Note 15's Tier 1 capital and Total capital resources are an accounts-based capital note, a different basis from a Pillar 3 return - as this workbook already demonstrates at the one date where both exist: at 31 March 2021 the parent's CC1 gives NBI CET1 of $267m while Note 15 gives Tier 1 capital of $276,772k, a $9.8m gap from prudential filters and deductions. Mapping the two-row note onto KM1 rows would assert a correspondence no Nomura document has ever published.
Sources for the above:
- NBI Annual Report, year ended 31 March 2026, Note 15 "UK Regulatory Capital" printed p.84 - https://www.nomuranow.com/portal/site/public/en-gb/resources/upload/NBI-Annual-Report-310326.pdf
- NBI Annual Report, year ended 31 March 2021, Note 15 printed p.80 - https://www.nomuranow.com/portal/site/public/en-gb/resources/upload/NBI-Annual-Report-310321.pdf
- Nomura Europe Holdings plc, Annual Pillar 3 Disclosures 31 March 2021 (76pp): "Key Metrics" Group dashboard printed p.2; CC1 with the NBI column printed p.7 / PDF p.11 - https://www.nomuranow.com/portal/site/login/en-gb/resources/upload/nomura-europe-holdings-plc-annual-pillar-3-disclosures-310321.pdf
- ... 31 March 2022 (91pp): Scope of Application printed p.5 / PDF p.6; UK KM1 for the Group printed p.10, UK KM1 for NIP printed p.11; CC1 "for the Group and NIP" printed p.12 - https://www.nomuranow.com/portal/site/public/en-gb/resources/upload/nomura-europe-holdings-plc-annual-pillar-3-disclosures-310322.pdf
- ... 31 March 2023 (104pp): UK KM1 for the Group printed p.11, for NIP printed p.12 - https://www.nomuranow.com/portal/site/public/en-gb/resources/upload/nomura-europe-holdings-plc-annual-pillar-3-disclosures-310323.pdf
- ... 31 March 2024 (120pp): UK KM1 for the Group printed p.12, for NIP printed p.13 - https://www.nomuranow.com/portal/site/public/en-gb/resources/upload/nomura-europe-holdings-plc-annual-pillar-3-disclosures-310324.pdf
- Nomura Europe Holdings plc, Semi-Annual Pillar 3 Disclosures 30 September 2021 (27pp): "KM1: Key Metrics" Group dashboard and CC1 with the NBI column, both printed p.1 - https://www.nomuranow.com/portal/site/public/en-gb/resources/upload/nomura-europe-holdings-plc-semi-annual-pillar-3-disclosures-300921.pdf
- ... 30 September 2022 (37pp): UK KM1 for the Group printed p.4, for NIP printed p.5; CC1 "for the Group" printed p.6 - https://www.nomuranow.com/portal/site/public/en-gb/resources/upload/nomura-europe-holdings-plc-semi-annual-pillar-3-disclosures-300922.pdf
- ... 30 September 2023 (43pp): UK KM1 for the Group printed p.4, for NIP printed p.5; CC1 "for the Group" printed p.7 - https://www.nomuranow.com/portal/site/public/en-gb/resources/upload/nomura-europe-holdings-plc-semi-annual-pillar-3-disclosures-300923.pdf
- Nomura Europe Holdings plc, GROUP Annual Pillar 3 Disclosures 31 March 2025 (119pp, Last-Modified 25 Sep 2025; recovered 2026-09-18): Scope of Application excluding NBI by name printed p.5; UK KM1 for the Group printed p.9, for NIP printed p.10 - https://www.nomuranow.com/portal/site/public/en-gb/resources/upload/Nomura-Europe-Holdings-plc-Group-Annual-Pillar-3-Disclosures-310325.pdf
- Nomura Europe Holdings plc, GROUP Semi-Annual Pillar 3 Disclosures 30 September 2025 (42pp, Last-Modified 9 Feb 2026; recovered 2026-09-18): Scope of Application printed p.3; UK KM1 for the Group printed p.4, for NIP printed p.5 - https://www.nomuranow.com/portal/site/public/en-gb/resources/upload/Nomura-Europe-Holdings-plc-Group-Semi-Annual-Pillar-3-Disclosures-300925.pdf
- Nomura Europe Holdings plc, GROUP Quarterly Pillar 3 Disclosures 31 December 2025 (Last-Modified 24 Apr 2026; recovered 2026-09-18, the newest parent edition of any frequency): Scope of Application printed p.2; a single UK KM1, for the Group, printed p.3 - https://www.nomuranow.com/portal/site/public/en-gb/resources/upload/Nomura-Europe-Holdings-plc-Group-Quarterly-Pillar-3-Disclosures-311225.pdf
- Bank of England consolidated waivers register, read live 2026-09-18: Nomura Bank International Plc (FRN 204419) holds seven modifications, and NONE of them is an "SDDT Regime - General Application" Rule 3.1 opt-in. So no waiver removes this entity's Pillar 3 disclosure duty, and none is offered here as an explanation for any blank. The absence of an NBI KM1 is explained by the parent's large-subsidiary assessment quoted above, not by an exemption.
- Companies House filing history, company 01981122, read live 2026-09-16.
ENTITY NOTE: Nomura Bank International plc (company 01981122, FRN 204419) is the legal entity in the supplied Banks List 2608.xlsx. Companies House confirms the active public company, incorporated 22 January 1986, with the same registered name and annual accounts made up to 31 March. The Bank is a wholly owned subsidiary of Nomura Europe Holdings plc, has no material subsidiaries, and presents its own financial statements in USD.</t>
        </is>
      </c>
    </row>
  </sheetData>
  <mergeCells count="3">
    <mergeCell ref="A8:G8"/>
    <mergeCell ref="A10:G10"/>
    <mergeCell ref="A12:G1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Nomura Bank International plc — CET1 Capital</t>
        </is>
      </c>
    </row>
    <row r="2">
      <c r="A2" s="2" t="inlineStr">
        <is>
          <t>$'000</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7" t="inlineStr">
        <is>
          <t>Common Equity Tier 1 capital</t>
        </is>
      </c>
      <c r="B4" s="7" t="inlineStr">
        <is>
          <t>Not disclosed — no parent Pillar 3 edition published yet</t>
        </is>
      </c>
      <c r="C4" s="7" t="inlineStr">
        <is>
          <t>Not disclosed — NBI excluded by name in parent's Pillar 3</t>
        </is>
      </c>
      <c r="D4" s="7" t="inlineStr">
        <is>
          <t>Not disclosed — NBI excluded by name in parent's Pillar 3</t>
        </is>
      </c>
      <c r="E4" s="7" t="inlineStr">
        <is>
          <t>Not disclosed — NBI excluded by name in parent's Pillar 3</t>
        </is>
      </c>
      <c r="F4" s="7" t="inlineStr">
        <is>
          <t>Not disclosed — NBI excluded by name in parent's Pillar 3</t>
        </is>
      </c>
      <c r="G4" s="7" t="n">
        <v>267000</v>
      </c>
    </row>
    <row r="5" ht="208" customHeight="1">
      <c r="A5" s="6" t="inlineStr">
        <is>
          <t>Note: FY2021 recovered 2026-09-12 from the parent's Pillar 3 CC1 table, NBI's own column (reported in $m, shown here as $'000: $267m). NOTE A GENUINE BASIS DIFFERENCE, not a transcription error: the Annual Report's own Note 15 states Tier 1 capital of $276,772k for the same date, $9.8m higher, because the regulatory CC1 figure applies prudential filters and deductions (prudent valuation, deferred tax, own-credit adjustment) that the accounts-based note does not. Both are reproduced as their own source states them rather than reconciled. FY2026-FY2022 carry an explicit non-disclosure statement rather than an empty cell. The parent ceased disclosing NBI from its 31 March 2022 Pillar 3 edition onward, and every parent edition from then to the newest (31 December 2025) names NBI and states it is not disclosed; no ratio appears in NBI's own accounts in any year. The 31 March 2025 parent edition was recovered 2026-09-18 and confirms this for FY2025; no 31 March 2026 parent edition is published yet. See source note.
DERIVATION DELIBERATELY REFUSED for FY2022-FY2026 - read this before 'filling' these cells. It is tempting to set CET1 capital equal to the disclosed Tier 1 capital, because the Bank's own capital note states that 'The Bank does not currently maintain Tier 2 capital'. That statement does exactly one thing: it establishes that Total capital resources equals Tier 1 capital, which is why the Total Capital sheet legitimately carries the same figures. It does NOT establish that CET1 equals Tier 1. Tier 1 capital is CET1 plus Additional Tier 1, and the absence of Tier 2 says nothing at all about the presence or absence of AT1. No Nomura Bank International document states that the Bank holds no AT1 instrument, and no document discloses a CET1 figure for these years. Writing CET1 = Tier 1 would therefore be an assumption dressed as a transcription, and it would be wrong in exactly the way this project's first rule forbids.
Note that the one year where both figures ARE independently disclosed shows they genuinely differ for this entity: at 31 March 2021 the parent's CC1 table gives NBI CET1 of $267m while the Bank's own capital note gives Tier 1 capital of $276,772k - a $9.8m gap arising from prudential filters and deductions applied in the regulatory return but not in the accounts-based note. That is direct evidence that the two measures are not interchangeable for this bank, quite apart from the AT1 point.
The blank cell is the correct and informative answer here. It says the figure was never published; a filled cell would say something that no document says.</t>
        </is>
      </c>
    </row>
    <row r="7" ht="312" customHeight="1">
      <c r="A7" s="8" t="inlineStr">
        <is>
          <t>ENTITY NOTE: Nomura Bank International plc (company 01981122, FRN 204419) is the legal entity in the supplied Banks List 2608.xlsx. Companies House confirms the active public company, incorporated 22 January 1986, with the same registered name and annual accounts made up to 31 March. The Bank is a wholly owned subsidiary of Nomura Europe Holdings plc, has no material subsidiaries, and presents its own financial statements in USD.
Sources — Nomura Bank International plc Annual Reports and Financial Statements, Statement of Cash Flows and Note 15 UK Regulatory Capital:
FY2026: Annual Report for year ended 31 March 2026, Statement of Cash Flows printed p.37 and Note 15 'Capital Management Policy' UK Regulatory Capital table printed p.84 — https://www.nomuranow.com/portal/site/public/en-gb/resources/upload/NBI-Annual-Report-310326.pdf
FY2025: Annual Report for year ended 31 March 2025, pp.34 and 79 — https://www.nomuranow.com/portal/site/public/en-gb/resources/upload/NBI-Annual-Report-310325.pdf
FY2024: Annual Report for year ended 31 March 2024, pp.38 and 85 — https://www.nomuranow.com/portal/site/public/en-gb/resources/upload/NBI-Annual-Report-310324.pdf
FY2023: Annual Report for year ended 31 March 2023, pp.37 and 85 — https://www.nomuranow.com/portal/site/public/en-gb/resources/upload/NBI-Annual-Report-310323.pdf
FY2022: Annual Report for year ended 31 March 2022, Statement of Cash Flows and Note 15; the FY2023 report's comparative column is also cross-checkable, pp.37 and 85 — https://www.nomuranow.com/portal/site/public/en-gb/resources/upload/NBI-Annual-Report-310322.pdf / https://www.nomuranow.com/portal/site/public/en-gb/resources/upload/NBI-Annual-Report-310323.pdf
FY2021: Annual Report for year ended 31 March 2021, pp.27 and 80 — https://www.nomuranow.com/portal/site/public/en-gb/resources/upload/NBI-Annual-Report-310321.pdf
The official reports are scanned PDFs; figures were transcribed from the cited pages and cross-checked against the following year's comparative column where available. All amounts are $'000.
FY2026 ADDED 2026-09-15 from the Bank's own Annual Report for the year ended 31 March 2026 (Note 15 'Capital Management Policy', UK Regulatory Capital table, printed p.84): Tier 1 capital $281,438k and Total capital resources $281,438k. That table's own 31 March 2025 comparative column states $281,414k for both lines, matching this workbook's pre-existing FY2025 figures exactly - no restatement. The same table confirms the disclosure's shape across every year: it reports only 'Tier 1 capital' and 'Total capital resources' (the Bank states it does not maintain Tier 2 capital), with no CET1 line, no capital ratio and no RWA figure - which is why those sheets are blank from FY2022 onward once the parent's Pillar 3 stopped disclosing NBI. Note the report flags Tier 1 capital as not subject to audit.
NBI entity-level own funds and ratios - Nomura Europe Holdings Plc, Annual Pillar 3 Disclosures 31 March 2021, table CC1 'Composition of Regulatory Capital', NBI column - printed p.7 (PDF p.11 of 76) - https://www.nomuranow.com/portal/site/login/en-gb/resources/upload/nomura-europe-holdings-plc-annual-pillar-3-disclosures-310321.pdf
PAGE CITATION CORRECTED 2026-09-15: an earlier revision of this file cited that table as 'p.16'. The document's own contents page lists 'CC1: Composition of Regulatory Capital .... 7', and the table itself sits on PDF page 11 under the 'Own Funds Disclosures' section header, so printed p.7 / PDF p.11 is the correct reference. The figures themselves were unaffected and are unchanged.</t>
        </is>
      </c>
    </row>
  </sheetData>
  <mergeCells count="2">
    <mergeCell ref="A7:G7"/>
    <mergeCell ref="A5:G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Nomura Bank International plc — CET1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7" t="inlineStr">
        <is>
          <t>Common Equity Tier 1 ratio</t>
        </is>
      </c>
      <c r="B4" s="7" t="inlineStr">
        <is>
          <t>Not disclosed — no parent Pillar 3 edition published yet</t>
        </is>
      </c>
      <c r="C4" s="7" t="inlineStr">
        <is>
          <t>Not disclosed — NBI excluded by name in parent's Pillar 3</t>
        </is>
      </c>
      <c r="D4" s="7" t="inlineStr">
        <is>
          <t>Not disclosed — NBI excluded by name in parent's Pillar 3</t>
        </is>
      </c>
      <c r="E4" s="7" t="inlineStr">
        <is>
          <t>Not disclosed — NBI excluded by name in parent's Pillar 3</t>
        </is>
      </c>
      <c r="F4" s="7" t="inlineStr">
        <is>
          <t>Not disclosed — NBI excluded by name in parent's Pillar 3</t>
        </is>
      </c>
      <c r="G4" s="7" t="inlineStr">
        <is>
          <t>279.68%</t>
        </is>
      </c>
    </row>
    <row r="5" ht="52" customHeight="1">
      <c r="A5" s="6" t="inlineStr">
        <is>
          <t>Note: FY2021 as directly disclosed in the parent's Pillar 3 CC1 table, NBI column. The very high ratio is consistent with that document's own statement that NBI's risk-weighted assets are immaterial to the Group. FY2026-FY2022 carry an explicit non-disclosure statement rather than an empty cell. The parent ceased disclosing NBI from its 31 March 2022 Pillar 3 edition onward, and every parent edition from then to the newest (31 December 2025) names NBI and states it is not disclosed; no ratio appears in NBI's own accounts in any year. The 31 March 2025 parent edition was recovered 2026-09-18 and confirms this for FY2025; no 31 March 2026 parent edition is published yet. See source note.</t>
        </is>
      </c>
    </row>
    <row r="7" ht="312" customHeight="1">
      <c r="A7" s="8" t="inlineStr">
        <is>
          <t>ENTITY NOTE: Nomura Bank International plc (company 01981122, FRN 204419) is the legal entity in the supplied Banks List 2608.xlsx. Companies House confirms the active public company, incorporated 22 January 1986, with the same registered name and annual accounts made up to 31 March. The Bank is a wholly owned subsidiary of Nomura Europe Holdings plc, has no material subsidiaries, and presents its own financial statements in USD.
Sources — Nomura Bank International plc Annual Reports and Financial Statements, Statement of Cash Flows and Note 15 UK Regulatory Capital:
FY2026: Annual Report for year ended 31 March 2026, Statement of Cash Flows printed p.37 and Note 15 'Capital Management Policy' UK Regulatory Capital table printed p.84 — https://www.nomuranow.com/portal/site/public/en-gb/resources/upload/NBI-Annual-Report-310326.pdf
FY2025: Annual Report for year ended 31 March 2025, pp.34 and 79 — https://www.nomuranow.com/portal/site/public/en-gb/resources/upload/NBI-Annual-Report-310325.pdf
FY2024: Annual Report for year ended 31 March 2024, pp.38 and 85 — https://www.nomuranow.com/portal/site/public/en-gb/resources/upload/NBI-Annual-Report-310324.pdf
FY2023: Annual Report for year ended 31 March 2023, pp.37 and 85 — https://www.nomuranow.com/portal/site/public/en-gb/resources/upload/NBI-Annual-Report-310323.pdf
FY2022: Annual Report for year ended 31 March 2022, Statement of Cash Flows and Note 15; the FY2023 report's comparative column is also cross-checkable, pp.37 and 85 — https://www.nomuranow.com/portal/site/public/en-gb/resources/upload/NBI-Annual-Report-310322.pdf / https://www.nomuranow.com/portal/site/public/en-gb/resources/upload/NBI-Annual-Report-310323.pdf
FY2021: Annual Report for year ended 31 March 2021, pp.27 and 80 — https://www.nomuranow.com/portal/site/public/en-gb/resources/upload/NBI-Annual-Report-310321.pdf
The official reports are scanned PDFs; figures were transcribed from the cited pages and cross-checked against the following year's comparative column where available. All amounts are $'000.
FY2026 ADDED 2026-09-15 from the Bank's own Annual Report for the year ended 31 March 2026 (Note 15 'Capital Management Policy', UK Regulatory Capital table, printed p.84): Tier 1 capital $281,438k and Total capital resources $281,438k. That table's own 31 March 2025 comparative column states $281,414k for both lines, matching this workbook's pre-existing FY2025 figures exactly - no restatement. The same table confirms the disclosure's shape across every year: it reports only 'Tier 1 capital' and 'Total capital resources' (the Bank states it does not maintain Tier 2 capital), with no CET1 line, no capital ratio and no RWA figure - which is why those sheets are blank from FY2022 onward once the parent's Pillar 3 stopped disclosing NBI. Note the report flags Tier 1 capital as not subject to audit.
NBI entity-level own funds and ratios - Nomura Europe Holdings Plc, Annual Pillar 3 Disclosures 31 March 2021, table CC1 'Composition of Regulatory Capital', NBI column - printed p.7 (PDF p.11 of 76) - https://www.nomuranow.com/portal/site/login/en-gb/resources/upload/nomura-europe-holdings-plc-annual-pillar-3-disclosures-310321.pdf
PAGE CITATION CORRECTED 2026-09-15: an earlier revision of this file cited that table as 'p.16'. The document's own contents page lists 'CC1: Composition of Regulatory Capital .... 7', and the table itself sits on PDF page 11 under the 'Own Funds Disclosures' section header, so printed p.7 / PDF p.11 is the correct reference. The figures themselves were unaffected and are unchanged.</t>
        </is>
      </c>
    </row>
  </sheetData>
  <mergeCells count="2">
    <mergeCell ref="A7:G7"/>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Nomura Bank International plc — Tier 1 Capital</t>
        </is>
      </c>
    </row>
    <row r="2">
      <c r="A2" s="2" t="inlineStr">
        <is>
          <t>$'000</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7" t="inlineStr">
        <is>
          <t>Tier 1 capital</t>
        </is>
      </c>
      <c r="B4" s="7" t="n">
        <v>281438</v>
      </c>
      <c r="C4" s="7" t="n">
        <v>281414</v>
      </c>
      <c r="D4" s="7" t="n">
        <v>281296</v>
      </c>
      <c r="E4" s="7" t="n">
        <v>280841</v>
      </c>
      <c r="F4" s="7" t="n">
        <v>287698</v>
      </c>
      <c r="G4" s="7" t="n">
        <v>276772</v>
      </c>
    </row>
    <row r="5" ht="130" customHeight="1">
      <c r="A5" s="6" t="inlineStr">
        <is>
          <t>Note: All six years come from the Bank's OWN annual reports - entity basis throughout, no parent figure substituted - in the 'UK Regulatory Capital' table inside the Capital Management Policy note (note 16 in the FY2022 and FY2023 reports, renumbered note 15 from FY2024). Every figure was re-read from the source PDFs on 2026-09-15 and the full chain of prior-year comparatives reconciles with no restatement anywhere: AR2022 (PDF p.89) gives 287,698 with a 31 March 2021 comparative of 276,772; AR2023 (PDF p.86) gives 280,841 with 287,698; AR2024 (PDF p.86) gives 281,296 with 280,841; AR2025 (PDF p.80) gives 281,414 with 281,296; AR2026 (PDF p.85) gives 281,438 with 281,414. Each edition's comparative reproduces the previous edition's own published figure exactly, so the validation gate passes across all five links.
AUDIT CAVEAT, as the Bank itself flags it: the FY2026 report footnotes this table 'Tier 1 capital is not subject to audit'. The figure is transcribed as published, with that caveat attached rather than silently dropped.
BASIS CAVEAT: this is an accounts-based capital note, not a Pillar 3 CC1 return. Where both exist for the same date - 31 March 2021 - they differ: the parent's CC1 gives NBI CET1 of $267m against this note's Tier 1 of $276,772k, because the regulatory return applies prudential filters (prudent valuation, deferred tax, own-credit adjustment) that the accounts-based note does not. The two are shown on their own sheets on their own bases and are not reconciled to each other.</t>
        </is>
      </c>
    </row>
    <row r="7" ht="247" customHeight="1">
      <c r="A7" s="8" t="inlineStr">
        <is>
          <t>ENTITY NOTE: Nomura Bank International plc (company 01981122, FRN 204419) is the legal entity in the supplied Banks List 2608.xlsx. Companies House confirms the active public company, incorporated 22 January 1986, with the same registered name and annual accounts made up to 31 March. The Bank is a wholly owned subsidiary of Nomura Europe Holdings plc, has no material subsidiaries, and presents its own financial statements in USD.
Sources — Nomura Bank International plc Annual Reports and Financial Statements, Statement of Cash Flows and Note 15 UK Regulatory Capital:
FY2026: Annual Report for year ended 31 March 2026, Statement of Cash Flows printed p.37 and Note 15 'Capital Management Policy' UK Regulatory Capital table printed p.84 — https://www.nomuranow.com/portal/site/public/en-gb/resources/upload/NBI-Annual-Report-310326.pdf
FY2025: Annual Report for year ended 31 March 2025, pp.34 and 79 — https://www.nomuranow.com/portal/site/public/en-gb/resources/upload/NBI-Annual-Report-310325.pdf
FY2024: Annual Report for year ended 31 March 2024, pp.38 and 85 — https://www.nomuranow.com/portal/site/public/en-gb/resources/upload/NBI-Annual-Report-310324.pdf
FY2023: Annual Report for year ended 31 March 2023, pp.37 and 85 — https://www.nomuranow.com/portal/site/public/en-gb/resources/upload/NBI-Annual-Report-310323.pdf
FY2022: Annual Report for year ended 31 March 2022, Statement of Cash Flows and Note 15; the FY2023 report's comparative column is also cross-checkable, pp.37 and 85 — https://www.nomuranow.com/portal/site/public/en-gb/resources/upload/NBI-Annual-Report-310322.pdf / https://www.nomuranow.com/portal/site/public/en-gb/resources/upload/NBI-Annual-Report-310323.pdf
FY2021: Annual Report for year ended 31 March 2021, pp.27 and 80 — https://www.nomuranow.com/portal/site/public/en-gb/resources/upload/NBI-Annual-Report-310321.pdf
The official reports are scanned PDFs; figures were transcribed from the cited pages and cross-checked against the following year's comparative column where available. All amounts are $'000.
FY2026 ADDED 2026-09-15 from the Bank's own Annual Report for the year ended 31 March 2026 (Note 15 'Capital Management Policy', UK Regulatory Capital table, printed p.84): Tier 1 capital $281,438k and Total capital resources $281,438k. That table's own 31 March 2025 comparative column states $281,414k for both lines, matching this workbook's pre-existing FY2025 figures exactly - no restatement. The same table confirms the disclosure's shape across every year: it reports only 'Tier 1 capital' and 'Total capital resources' (the Bank states it does not maintain Tier 2 capital), with no CET1 line, no capital ratio and no RWA figure - which is why those sheets are blank from FY2022 onward once the parent's Pillar 3 stopped disclosing NBI. Note the report flags Tier 1 capital as not subject to audit.</t>
        </is>
      </c>
    </row>
  </sheetData>
  <mergeCells count="2">
    <mergeCell ref="A7:G7"/>
    <mergeCell ref="A5:G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Nomura Bank International plc — Tier 1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7" t="inlineStr">
        <is>
          <t>Tier 1 capital ratio</t>
        </is>
      </c>
      <c r="B4" s="7" t="inlineStr">
        <is>
          <t>Not disclosed — no parent Pillar 3 edition published yet</t>
        </is>
      </c>
      <c r="C4" s="7" t="inlineStr">
        <is>
          <t>Not disclosed — NBI excluded by name in parent's Pillar 3</t>
        </is>
      </c>
      <c r="D4" s="7" t="inlineStr">
        <is>
          <t>Not disclosed — NBI excluded by name in parent's Pillar 3</t>
        </is>
      </c>
      <c r="E4" s="7" t="inlineStr">
        <is>
          <t>Not disclosed — NBI excluded by name in parent's Pillar 3</t>
        </is>
      </c>
      <c r="F4" s="7" t="inlineStr">
        <is>
          <t>Not disclosed — NBI excluded by name in parent's Pillar 3</t>
        </is>
      </c>
      <c r="G4" s="7" t="inlineStr">
        <is>
          <t>279.68%</t>
        </is>
      </c>
    </row>
    <row r="5" ht="52" customHeight="1">
      <c r="A5" s="6" t="inlineStr">
        <is>
          <t>Note: FY2021 equals the CET1 ratio: the parent's Pillar 3 CC1 table states in its own footnote 6 that "Tier 1 capital ratio is equal to the Common Equity Tier 1 ratio", and NBI holds no Additional Tier 1 instrument. FY2026-FY2022 carry an explicit non-disclosure statement rather than an empty cell. The parent ceased disclosing NBI from its 31 March 2022 Pillar 3 edition onward, and every parent edition from then to the newest (31 December 2025) names NBI and states it is not disclosed; no ratio appears in NBI's own accounts in any year. The 31 March 2025 parent edition was recovered 2026-09-18 and confirms this for FY2025; no 31 March 2026 parent edition is published yet. See source note.</t>
        </is>
      </c>
    </row>
    <row r="7" ht="312" customHeight="1">
      <c r="A7" s="8" t="inlineStr">
        <is>
          <t>ENTITY NOTE: Nomura Bank International plc (company 01981122, FRN 204419) is the legal entity in the supplied Banks List 2608.xlsx. Companies House confirms the active public company, incorporated 22 January 1986, with the same registered name and annual accounts made up to 31 March. The Bank is a wholly owned subsidiary of Nomura Europe Holdings plc, has no material subsidiaries, and presents its own financial statements in USD.
Sources — Nomura Bank International plc Annual Reports and Financial Statements, Statement of Cash Flows and Note 15 UK Regulatory Capital:
FY2026: Annual Report for year ended 31 March 2026, Statement of Cash Flows printed p.37 and Note 15 'Capital Management Policy' UK Regulatory Capital table printed p.84 — https://www.nomuranow.com/portal/site/public/en-gb/resources/upload/NBI-Annual-Report-310326.pdf
FY2025: Annual Report for year ended 31 March 2025, pp.34 and 79 — https://www.nomuranow.com/portal/site/public/en-gb/resources/upload/NBI-Annual-Report-310325.pdf
FY2024: Annual Report for year ended 31 March 2024, pp.38 and 85 — https://www.nomuranow.com/portal/site/public/en-gb/resources/upload/NBI-Annual-Report-310324.pdf
FY2023: Annual Report for year ended 31 March 2023, pp.37 and 85 — https://www.nomuranow.com/portal/site/public/en-gb/resources/upload/NBI-Annual-Report-310323.pdf
FY2022: Annual Report for year ended 31 March 2022, Statement of Cash Flows and Note 15; the FY2023 report's comparative column is also cross-checkable, pp.37 and 85 — https://www.nomuranow.com/portal/site/public/en-gb/resources/upload/NBI-Annual-Report-310322.pdf / https://www.nomuranow.com/portal/site/public/en-gb/resources/upload/NBI-Annual-Report-310323.pdf
FY2021: Annual Report for year ended 31 March 2021, pp.27 and 80 — https://www.nomuranow.com/portal/site/public/en-gb/resources/upload/NBI-Annual-Report-310321.pdf
The official reports are scanned PDFs; figures were transcribed from the cited pages and cross-checked against the following year's comparative column where available. All amounts are $'000.
FY2026 ADDED 2026-09-15 from the Bank's own Annual Report for the year ended 31 March 2026 (Note 15 'Capital Management Policy', UK Regulatory Capital table, printed p.84): Tier 1 capital $281,438k and Total capital resources $281,438k. That table's own 31 March 2025 comparative column states $281,414k for both lines, matching this workbook's pre-existing FY2025 figures exactly - no restatement. The same table confirms the disclosure's shape across every year: it reports only 'Tier 1 capital' and 'Total capital resources' (the Bank states it does not maintain Tier 2 capital), with no CET1 line, no capital ratio and no RWA figure - which is why those sheets are blank from FY2022 onward once the parent's Pillar 3 stopped disclosing NBI. Note the report flags Tier 1 capital as not subject to audit.
NBI entity-level own funds and ratios - Nomura Europe Holdings Plc, Annual Pillar 3 Disclosures 31 March 2021, table CC1 'Composition of Regulatory Capital', NBI column - printed p.7 (PDF p.11 of 76) - https://www.nomuranow.com/portal/site/login/en-gb/resources/upload/nomura-europe-holdings-plc-annual-pillar-3-disclosures-310321.pdf
PAGE CITATION CORRECTED 2026-09-15: an earlier revision of this file cited that table as 'p.16'. The document's own contents page lists 'CC1: Composition of Regulatory Capital .... 7', and the table itself sits on PDF page 11 under the 'Own Funds Disclosures' section header, so printed p.7 / PDF p.11 is the correct reference. The figures themselves were unaffected and are unchanged.</t>
        </is>
      </c>
    </row>
  </sheetData>
  <mergeCells count="2">
    <mergeCell ref="A7:G7"/>
    <mergeCell ref="A5:G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Nomura Bank International plc — Total Capital</t>
        </is>
      </c>
    </row>
    <row r="2">
      <c r="A2" s="2" t="inlineStr">
        <is>
          <t>$'000</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7" t="inlineStr">
        <is>
          <t>Total capital resources</t>
        </is>
      </c>
      <c r="B4" s="7" t="n">
        <v>281438</v>
      </c>
      <c r="C4" s="7" t="n">
        <v>281414</v>
      </c>
      <c r="D4" s="7" t="n">
        <v>281296</v>
      </c>
      <c r="E4" s="7" t="n">
        <v>280841</v>
      </c>
      <c r="F4" s="7" t="n">
        <v>287698</v>
      </c>
      <c r="G4" s="7" t="n">
        <v>276772</v>
      </c>
    </row>
    <row r="5" ht="182" customHeight="1">
      <c r="A5" s="6" t="inlineStr">
        <is>
          <t>Note: These are NOT derived from the Tier 1 sheet. Each year's 'UK Regulatory Capital' table prints 'Tier 1 capital' and 'Total capital resources' as two separate, separately stated lines, and both are transcribed from the table as published; they happen to be equal because, as the same note says in its own words, 'The Bank does not currently maintain Tier 2 capital'. That statement supports this equality and nothing further - in particular it does NOT license setting CET1 equal to Tier 1, since it says nothing about Additional Tier 1; see the CET1 Capital sheet's note.
All six years come from the Bank's OWN annual reports - entity basis throughout, no parent figure substituted - in the 'UK Regulatory Capital' table inside the Capital Management Policy note (note 16 in the FY2022 and FY2023 reports, renumbered note 15 from FY2024). Every figure was re-read from the source PDFs on 2026-09-15 and the full chain of prior-year comparatives reconciles with no restatement anywhere: AR2022 (PDF p.89) gives 287,698 with a 31 March 2021 comparative of 276,772; AR2023 (PDF p.86) gives 280,841 with 287,698; AR2024 (PDF p.86) gives 281,296 with 280,841; AR2025 (PDF p.80) gives 281,414 with 281,296; AR2026 (PDF p.85) gives 281,438 with 281,414. Each edition's comparative reproduces the previous edition's own published figure exactly, so the validation gate passes across all five links.
AUDIT CAVEAT, as the Bank itself flags it: the FY2026 report footnotes this table 'Tier 1 capital is not subject to audit'. The figure is transcribed as published, with that caveat attached rather than silently dropped.
BASIS CAVEAT: this is an accounts-based capital note, not a Pillar 3 CC1 return. Where both exist for the same date - 31 March 2021 - they differ: the parent's CC1 gives NBI CET1 of $267m against this note's Tier 1 of $276,772k, because the regulatory return applies prudential filters (prudent valuation, deferred tax, own-credit adjustment) that the accounts-based note does not. The two are shown on their own sheets on their own bases and are not reconciled to each other.</t>
        </is>
      </c>
    </row>
    <row r="7" ht="247" customHeight="1">
      <c r="A7" s="8" t="inlineStr">
        <is>
          <t>ENTITY NOTE: Nomura Bank International plc (company 01981122, FRN 204419) is the legal entity in the supplied Banks List 2608.xlsx. Companies House confirms the active public company, incorporated 22 January 1986, with the same registered name and annual accounts made up to 31 March. The Bank is a wholly owned subsidiary of Nomura Europe Holdings plc, has no material subsidiaries, and presents its own financial statements in USD.
Sources — Nomura Bank International plc Annual Reports and Financial Statements, Statement of Cash Flows and Note 15 UK Regulatory Capital:
FY2026: Annual Report for year ended 31 March 2026, Statement of Cash Flows printed p.37 and Note 15 'Capital Management Policy' UK Regulatory Capital table printed p.84 — https://www.nomuranow.com/portal/site/public/en-gb/resources/upload/NBI-Annual-Report-310326.pdf
FY2025: Annual Report for year ended 31 March 2025, pp.34 and 79 — https://www.nomuranow.com/portal/site/public/en-gb/resources/upload/NBI-Annual-Report-310325.pdf
FY2024: Annual Report for year ended 31 March 2024, pp.38 and 85 — https://www.nomuranow.com/portal/site/public/en-gb/resources/upload/NBI-Annual-Report-310324.pdf
FY2023: Annual Report for year ended 31 March 2023, pp.37 and 85 — https://www.nomuranow.com/portal/site/public/en-gb/resources/upload/NBI-Annual-Report-310323.pdf
FY2022: Annual Report for year ended 31 March 2022, Statement of Cash Flows and Note 15; the FY2023 report's comparative column is also cross-checkable, pp.37 and 85 — https://www.nomuranow.com/portal/site/public/en-gb/resources/upload/NBI-Annual-Report-310322.pdf / https://www.nomuranow.com/portal/site/public/en-gb/resources/upload/NBI-Annual-Report-310323.pdf
FY2021: Annual Report for year ended 31 March 2021, pp.27 and 80 — https://www.nomuranow.com/portal/site/public/en-gb/resources/upload/NBI-Annual-Report-310321.pdf
The official reports are scanned PDFs; figures were transcribed from the cited pages and cross-checked against the following year's comparative column where available. All amounts are $'000.
FY2026 ADDED 2026-09-15 from the Bank's own Annual Report for the year ended 31 March 2026 (Note 15 'Capital Management Policy', UK Regulatory Capital table, printed p.84): Tier 1 capital $281,438k and Total capital resources $281,438k. That table's own 31 March 2025 comparative column states $281,414k for both lines, matching this workbook's pre-existing FY2025 figures exactly - no restatement. The same table confirms the disclosure's shape across every year: it reports only 'Tier 1 capital' and 'Total capital resources' (the Bank states it does not maintain Tier 2 capital), with no CET1 line, no capital ratio and no RWA figure - which is why those sheets are blank from FY2022 onward once the parent's Pillar 3 stopped disclosing NBI. Note the report flags Tier 1 capital as not subject to audit.</t>
        </is>
      </c>
    </row>
  </sheetData>
  <mergeCells count="2">
    <mergeCell ref="A7:G7"/>
    <mergeCell ref="A5:G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Nomura Bank International plc — Total Capital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7" t="inlineStr">
        <is>
          <t>Total capital as a percentage of total risk exposure amounts</t>
        </is>
      </c>
      <c r="B4" s="7" t="inlineStr">
        <is>
          <t>Not disclosed — no parent Pillar 3 edition published yet</t>
        </is>
      </c>
      <c r="C4" s="7" t="inlineStr">
        <is>
          <t>Not disclosed — NBI excluded by name in parent's Pillar 3</t>
        </is>
      </c>
      <c r="D4" s="7" t="inlineStr">
        <is>
          <t>Not disclosed — NBI excluded by name in parent's Pillar 3</t>
        </is>
      </c>
      <c r="E4" s="7" t="inlineStr">
        <is>
          <t>Not disclosed — NBI excluded by name in parent's Pillar 3</t>
        </is>
      </c>
      <c r="F4" s="7" t="inlineStr">
        <is>
          <t>Not disclosed — NBI excluded by name in parent's Pillar 3</t>
        </is>
      </c>
      <c r="G4" s="7" t="inlineStr">
        <is>
          <t>279.68%</t>
        </is>
      </c>
    </row>
    <row r="5" ht="52" customHeight="1">
      <c r="A5" s="6" t="inlineStr">
        <is>
          <t>Note: FY2021 as directly disclosed in the parent's Pillar 3 CC1 table, NBI column; equal to the CET1 ratio because NBI holds no Tier 2 capital (the CC1 table shows a dash on NBI's Tier 2 row, consistent with the Annual Report's own statement). FY2026-FY2022 carry an explicit non-disclosure statement rather than an empty cell. The parent ceased disclosing NBI from its 31 March 2022 Pillar 3 edition onward, and every parent edition from then to the newest (31 December 2025) names NBI and states it is not disclosed; no ratio appears in NBI's own accounts in any year. The 31 March 2025 parent edition was recovered 2026-09-18 and confirms this for FY2025; no 31 March 2026 parent edition is published yet. See source note.</t>
        </is>
      </c>
    </row>
    <row r="7" ht="312" customHeight="1">
      <c r="A7" s="8" t="inlineStr">
        <is>
          <t>ENTITY NOTE: Nomura Bank International plc (company 01981122, FRN 204419) is the legal entity in the supplied Banks List 2608.xlsx. Companies House confirms the active public company, incorporated 22 January 1986, with the same registered name and annual accounts made up to 31 March. The Bank is a wholly owned subsidiary of Nomura Europe Holdings plc, has no material subsidiaries, and presents its own financial statements in USD.
Sources — Nomura Bank International plc Annual Reports and Financial Statements, Statement of Cash Flows and Note 15 UK Regulatory Capital:
FY2026: Annual Report for year ended 31 March 2026, Statement of Cash Flows printed p.37 and Note 15 'Capital Management Policy' UK Regulatory Capital table printed p.84 — https://www.nomuranow.com/portal/site/public/en-gb/resources/upload/NBI-Annual-Report-310326.pdf
FY2025: Annual Report for year ended 31 March 2025, pp.34 and 79 — https://www.nomuranow.com/portal/site/public/en-gb/resources/upload/NBI-Annual-Report-310325.pdf
FY2024: Annual Report for year ended 31 March 2024, pp.38 and 85 — https://www.nomuranow.com/portal/site/public/en-gb/resources/upload/NBI-Annual-Report-310324.pdf
FY2023: Annual Report for year ended 31 March 2023, pp.37 and 85 — https://www.nomuranow.com/portal/site/public/en-gb/resources/upload/NBI-Annual-Report-310323.pdf
FY2022: Annual Report for year ended 31 March 2022, Statement of Cash Flows and Note 15; the FY2023 report's comparative column is also cross-checkable, pp.37 and 85 — https://www.nomuranow.com/portal/site/public/en-gb/resources/upload/NBI-Annual-Report-310322.pdf / https://www.nomuranow.com/portal/site/public/en-gb/resources/upload/NBI-Annual-Report-310323.pdf
FY2021: Annual Report for year ended 31 March 2021, pp.27 and 80 — https://www.nomuranow.com/portal/site/public/en-gb/resources/upload/NBI-Annual-Report-310321.pdf
The official reports are scanned PDFs; figures were transcribed from the cited pages and cross-checked against the following year's comparative column where available. All amounts are $'000.
FY2026 ADDED 2026-09-15 from the Bank's own Annual Report for the year ended 31 March 2026 (Note 15 'Capital Management Policy', UK Regulatory Capital table, printed p.84): Tier 1 capital $281,438k and Total capital resources $281,438k. That table's own 31 March 2025 comparative column states $281,414k for both lines, matching this workbook's pre-existing FY2025 figures exactly - no restatement. The same table confirms the disclosure's shape across every year: it reports only 'Tier 1 capital' and 'Total capital resources' (the Bank states it does not maintain Tier 2 capital), with no CET1 line, no capital ratio and no RWA figure - which is why those sheets are blank from FY2022 onward once the parent's Pillar 3 stopped disclosing NBI. Note the report flags Tier 1 capital as not subject to audit.
NBI entity-level own funds and ratios - Nomura Europe Holdings Plc, Annual Pillar 3 Disclosures 31 March 2021, table CC1 'Composition of Regulatory Capital', NBI column - printed p.7 (PDF p.11 of 76) - https://www.nomuranow.com/portal/site/login/en-gb/resources/upload/nomura-europe-holdings-plc-annual-pillar-3-disclosures-310321.pdf
PAGE CITATION CORRECTED 2026-09-15: an earlier revision of this file cited that table as 'p.16'. The document's own contents page lists 'CC1: Composition of Regulatory Capital .... 7', and the table itself sits on PDF page 11 under the 'Own Funds Disclosures' section header, so printed p.7 / PDF p.11 is the correct reference. The figures themselves were unaffected and are unchanged.</t>
        </is>
      </c>
    </row>
  </sheetData>
  <mergeCells count="2">
    <mergeCell ref="A7:G7"/>
    <mergeCell ref="A5:G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Nomura Bank International plc — Total RWAs</t>
        </is>
      </c>
    </row>
    <row r="2">
      <c r="A2" s="2" t="inlineStr"/>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7" t="inlineStr">
        <is>
          <t>Total RWAs</t>
        </is>
      </c>
      <c r="B4" s="7" t="inlineStr">
        <is>
          <t>Not published yet – parent NEH plc annual Pillar 3 for 31 Mar 2026 not out at 2026-09-19 (2025 ed. dated Sep 2025); NBI's own AR2026 Note 15 has no RWA figure</t>
        </is>
      </c>
      <c r="C4" s="7" t="inlineStr">
        <is>
          <t>Not published – NBI excluded by name from parent NEH plc Pillar 3 (31 Mar 2022 ed. p.5 onward); NBI's own AR capital note has no RWA figure</t>
        </is>
      </c>
      <c r="D4" s="7" t="inlineStr">
        <is>
          <t>Not published – NBI excluded by name from parent NEH plc Pillar 3 (31 Mar 2022 ed. p.5 onward); NBI's own AR capital note has no RWA figure</t>
        </is>
      </c>
      <c r="E4" s="7" t="inlineStr">
        <is>
          <t>Not published – NBI excluded by name from parent NEH plc Pillar 3 (31 Mar 2022 ed. p.5 onward); NBI's own AR capital note has no RWA figure</t>
        </is>
      </c>
      <c r="F4" s="7" t="inlineStr">
        <is>
          <t>Not published – NBI excluded by name from parent NEH plc Pillar 3 (31 Mar 2022 ed. p.5 onward); NBI's own AR capital note has no RWA figure</t>
        </is>
      </c>
      <c r="G4" s="7" t="inlineStr">
        <is>
          <t>Not published – parent NEH plc Pillar 3 31 Mar 2021 (p.1) limits NBI to Art 437 own funds as its RWAs are immaterial; NBI AR2021 Note 15 has no RWA figure</t>
        </is>
      </c>
    </row>
    <row r="6" ht="390" customHeight="1">
      <c r="A6" s="8" t="inlineStr">
        <is>
          <t>ENTITY NOTE: Nomura Bank International plc (company 01981122, FRN 204419) is the legal entity in the supplied Banks List 2608.xlsx. Companies House confirms the active public company, incorporated 22 January 1986, with the same registered name and annual accounts made up to 31 March. The Bank is a wholly owned subsidiary of Nomura Europe Holdings plc, has no material subsidiaries, and presents its own financial statements in USD.
Sources — Nomura Bank International plc Annual Reports and Financial Statements, Statement of Cash Flows and Note 15 UK Regulatory Capital:
FY2026: Annual Report for year ended 31 March 2026, Statement of Cash Flows printed p.37 and Note 15 'Capital Management Policy' UK Regulatory Capital table printed p.84 — https://www.nomuranow.com/portal/site/public/en-gb/resources/upload/NBI-Annual-Report-310326.pdf
FY2025: Annual Report for year ended 31 March 2025, pp.34 and 79 — https://www.nomuranow.com/portal/site/public/en-gb/resources/upload/NBI-Annual-Report-310325.pdf
FY2024: Annual Report for year ended 31 March 2024, pp.38 and 85 — https://www.nomuranow.com/portal/site/public/en-gb/resources/upload/NBI-Annual-Report-310324.pdf
FY2023: Annual Report for year ended 31 March 2023, pp.37 and 85 — https://www.nomuranow.com/portal/site/public/en-gb/resources/upload/NBI-Annual-Report-310323.pdf
FY2022: Annual Report for year ended 31 March 2022, Statement of Cash Flows and Note 15; the FY2023 report's comparative column is also cross-checkable, pp.37 and 85 — https://www.nomuranow.com/portal/site/public/en-gb/resources/upload/NBI-Annual-Report-310322.pdf / https://www.nomuranow.com/portal/site/public/en-gb/resources/upload/NBI-Annual-Report-310323.pdf
FY2021: Annual Report for year ended 31 March 2021, pp.27 and 80 — https://www.nomuranow.com/portal/site/public/en-gb/resources/upload/NBI-Annual-Report-310321.pdf
The official reports are scanned PDFs; figures were transcribed from the cited pages and cross-checked against the following year's comparative column where available. All amounts are $'000.
FY2026 ADDED 2026-09-15 from the Bank's own Annual Report for the year ended 31 March 2026 (Note 15 'Capital Management Policy', UK Regulatory Capital table, printed p.84): Tier 1 capital $281,438k and Total capital resources $281,438k. That table's own 31 March 2025 comparative column states $281,414k for both lines, matching this workbook's pre-existing FY2025 figures exactly - no restatement. The same table confirms the disclosure's shape across every year: it reports only 'Tier 1 capital' and 'Total capital resources' (the Bank states it does not maintain Tier 2 capital), with no CET1 line, no capital ratio and no RWA figure - which is why those sheets are blank from FY2022 onward once the parent's Pillar 3 stopped disclosing NBI. Note the report flags Tier 1 capital as not subject to audit.
TOTAL RWAs: genuinely never disclosed for this entity, in either the Annual Reports or the parent's Pillar 3 - the latter states NBI's RWAs are immaterial to the Group and so limits NBI's disclosure to Article 437 (Own Funds) only. An FY2021 figure of roughly $95m is arithmetically implied by the disclosed CET1 of $267m at the disclosed 279.68% ratio, but that is a back-solved inference from two rounded inputs, not a disclosed number, so it is deliberately NOT entered here.
RE-VERIFIED 2026-09-12 (independent disclosure audit) - PARTIAL RECOVERY AND A STRUCTURAL EXPLANATION. Nomura Bank International plc does not publish its own Pillar 3 document, but it IS named as a material subsidiary in its parent's: "Nomura Europe Holdings Plc - Annual Pillar 3 Disclosures, 31 March 2021" (https://www.nomuranow.com/portal/site/login/en-gb/resources/upload/nomura-europe-holdings-plc-annual-pillar-3-disclosures-310321.pdf) carries a dedicated NBI column in its CC1 "Composition of Regulatory Capital" table (printed p.7 / PDF p.11 - see the page-citation correction below; an earlier revision of this file said p.16 here too), giving NBI's OWN entity-level own funds and ratios - these are used on the relevant sheets and are NOT group figures.</t>
        </is>
      </c>
    </row>
    <row r="8" ht="299" customHeight="1">
      <c r="A8" s="8" t="inlineStr">
        <is>
          <t>(continued)
WHY MOST METRICS REMAIN BLANK - the same document states it explicitly (Scope of Application, p.1): "NBI is a United Kingdom ('UK') regulated bank but its Risk Weighted Assets ('RWA') are immaterial to the Group. Therefore NBI disclosures have been made for article 437 (Own Funds) with no other disclosures relevant to significant subsidiary requirements." So NBI's RWA amount, RWA category breakdown, leverage ratio, LCR, NSFR and MREL are genuinely not disclosed anywhere, by design, rather than being an access gap.
FY2025-FY2022 - RESOLVED 2026-09-15, AND IT IS STRUCTURAL, NOT AN ACCESS GAP. A previous revision of this note recorded FY2022-FY2025 as an unresolved ACCESS LIMITATION, reasoning that the nomuranow.com portal returns HTTP 403 unauthenticated and that later editions "very likely exist and would extend FY2022-FY2025". Those later editions have since been obtained directly (browser session against the Nomura portal) and read in full. The reasoning was wrong: the editions do exist, but they deliberately STOP disclosing NBI. "Nomura Europe Holdings plc - Annual Pillar 3 Disclosures, 31st March 2022" states in its own Scope of Application (printed p.5, PDF p.6): "NBI and NFPE were previously considered 'significant subsidiaries' and previously disclosed. However, along with the other regulated subsidiaries, they are not considered to be large subsidiaries as at 31st March 2022 and are therefore not disclosed in this document." Consistent with that, the 31 March 2022 edition's own CC1 template is titled "Composition of regulatory own funds for the Group and NIP" (printed p.12, PDF p.13) and carries only Group and NIP columns - the NBI column present in the 31 March 2021 edition is gone. NBI therefore has no disclosed CET1 amount, CET1 ratio, Tier 1 ratio or Total Capital ratio for FY2022 onward from any source: the parent ceased disclosing it, and NBI's own Annual Report capital note (Note 15 'UK Regulatory Capital') discloses only Tier 1 capital and Total capital resources - no CET1 figure, no ratio and no RWA in any year. These blanks are a genuine end of disclosure, not a document that remains to be found.
INDEPENDENTLY RE-VERIFIED 2026-09-15 (second reader, documents re-downloaded and re-read rather than taken on trust), and EXTENDED THROUGH FY2024, which the earlier pass had left open:
- 31 March 2022 edition (91 pages, https://www.nomuranow.com/portal/site/public/en-gb/resources/upload/nomura-europe-holdings-plc-annual-pillar-3-disclosures-310322.pdf), Scope of Application, PDF p.6: "NBI and NFPE were previously considered 'significant subsidiaries' and previously disclosed. However, along with the other regulated subsidiaries, they are not considered to be large subsidiaries as at 31st March 2022 and are therefore not disclosed in this document." Its own capital template is headed "CC1 - Composition of regulatory own funds for the Group and NIP" (PDF p.13) and has Group and NIP columns only.
- 31 March 2024 edition (120 pages, https://www.nomuranow.com/portal/site/public/en-gb/resources/upload/nomura-europe-holdings-plc-annual-pillar-3-disclosures-310324.pdf), same section, PDF p.6: "Other regulated subsidiaries included in the Group are Nomura Bank International Plc ('NBI'), Nomura Financial Products Europe GmbH ('NFPE'), Nomura Bank Luxembourg S.A. ('NBL'), Banque Nomura France S.A. ('BNF'), Nomura Alternative Investment Management France S.A.S ('NAIM') and Nomura Bank Switzerland Ltd ('NBS'). They are not considered to be large subsidiaries as at 31st March 2024 and are therefore not disclosed in this document." Its CC1 is likewise headed "...for the Group and NIP" (PDF p.16). The 31 March 2023 edition (https://www.nomuranow.com/portal/site/public/en-gb/resources/upload/nomura-europe-holdings-plc-annual-pillar-3-disclosures-310323.pdf) carries the equivalent wording for 31st March 2023.</t>
        </is>
      </c>
    </row>
    <row r="10" ht="260" customHeight="1">
      <c r="A10" s="8" t="inlineStr">
        <is>
          <t>(continued)
- FY2025 CORRECTED 2026-09-18 (GA-005). A previous revision of this note said the FY2025 and FY2026 editions were "not published at the expected addresses at all", on the strength of 404s for nomura-europe-holdings-plc-annual-pillar-3-disclosures-310325.pdf and -310326.pdf, and concluded that for those two years "there is not even a group document to exclude NBI from". That was wrong for FY2025. The parent changed its filename convention from the 31 March 2025 edition onward, inserting "Group-" and switching to Title-Case, so the 404s were evidence about the guessed path rather than about the bank. The FY2025 edition is live at https://www.nomuranow.com/portal/site/public/en-gb/resources/upload/Nomura-Europe-Holdings-plc-Group-Annual-Pillar-3-Disclosures-310325.pdf (119 pages, Last-Modified 25 Sep 2025, verified HTTP 200 / application/pdf / %PDF). Its Scope of Application, printed p.5, states: "Other regulated subsidiaries of the Group are not considered to be large subsidiaries as of 31st March 2025 and are therefore not disclosed in this document. This includes Nomura Bank International Plc ('NBI')...". It prints UK KM1 for the Group (printed p.9) and for NIP (printed p.10) only, and carries no NBI column. The 30 September 2025 semi-annual (https://www.nomuranow.com/portal/site/public/en-gb/resources/upload/Nomura-Europe-Holdings-plc-Group-Semi-Annual-Pillar-3-Disclosures-300925.pdf) and the 31 December 2025 quarterly (https://www.nomuranow.com/portal/site/public/en-gb/resources/upload/Nomura-Europe-Holdings-plc-Group-Quarterly-Pillar-3-Disclosures-311225.pdf, the newest parent edition of any frequency, Last-Modified 24 Apr 2026) carry the same exclusion wording at their own dates.
- The 31 MARCH 2026 annual edition had not been published as at 2026-09-18: twelve filename variants, including the corrected "Group-" convention, were probed under both the /portal/site/public/ and /portal/site/login/ prefixes and all returned 404 in the same run in which the FY2025 annual, the Sep-2025 semi-annual and the Dec-2025 quarterly each returned 200. The FY2025 annual appeared about six months after its year-end, so a FY2026 annual would be due at about the date of this check. That is a dated expectation, not a finding of absence, and it is the one item here worth re-probing.
NET EFFECT: the NEHS significant-subsidiary route yields NBI figures for FY2021 and for FY2021 only. FY2022 through FY2025 are now a SOURCED structural negative across the board - for each of those years the group report exists, names NBI, and says in terms that it is not disclosing it. FY2026 has no parent edition yet. None of this is an access problem. The FY2022-FY2025 blanks should not be re-chased; the FY2026 parent edition should be re-probed once published, though on four consecutive years of identical exclusion wording it is not expected to disclose NBI either.</t>
        </is>
      </c>
    </row>
  </sheetData>
  <mergeCells count="3">
    <mergeCell ref="A8:G8"/>
    <mergeCell ref="A6:G6"/>
    <mergeCell ref="A10:G10"/>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Nomura Bank International plc — RWA Breakdown</t>
        </is>
      </c>
    </row>
    <row r="2">
      <c r="A2" s="2" t="inlineStr">
        <is>
          <t>See source note - no RWA figure of any kind is published for this entity.</t>
        </is>
      </c>
    </row>
    <row r="3">
      <c r="A3" s="4" t="inlineStr">
        <is>
          <t>Line item</t>
        </is>
      </c>
      <c r="B3" s="4" t="inlineStr">
        <is>
          <t>FY2026 ($'000)</t>
        </is>
      </c>
      <c r="C3" s="4" t="inlineStr">
        <is>
          <t>FY2025 ($'000)</t>
        </is>
      </c>
      <c r="D3" s="4" t="inlineStr">
        <is>
          <t>FY2024 ($'000)</t>
        </is>
      </c>
      <c r="E3" s="4" t="inlineStr">
        <is>
          <t>FY2023 ($'000)</t>
        </is>
      </c>
      <c r="F3" s="4" t="inlineStr">
        <is>
          <t>FY2022 ($'000)</t>
        </is>
      </c>
      <c r="G3" s="4" t="inlineStr">
        <is>
          <t>FY2021 ($'000)</t>
        </is>
      </c>
    </row>
    <row r="4">
      <c r="A4" s="7" t="inlineStr">
        <is>
          <t>RWA Breakdown by risk category</t>
        </is>
      </c>
      <c r="B4" s="7" t="inlineStr">
        <is>
          <t>Not published yet – parent NEH plc annual Pillar 3 for 31 Mar 2026 not out at 2026-09-19 (2025 ed. dated Sep 2025); NBI's own AR2026 Note 15 has no RWA figure of any kind</t>
        </is>
      </c>
      <c r="C4" s="7" t="inlineStr">
        <is>
          <t>Not published – NBI excluded by name from parent NEH plc Pillar 3 (31 Mar 2022 ed. p.5 onward); NBI's own AR capital note has no RWA figure of any kind</t>
        </is>
      </c>
      <c r="D4" s="7" t="inlineStr">
        <is>
          <t>Not published – NBI excluded by name from parent NEH plc Pillar 3 (31 Mar 2022 ed. p.5 onward); NBI's own AR capital note has no RWA figure of any kind</t>
        </is>
      </c>
      <c r="E4" s="7" t="inlineStr">
        <is>
          <t>Not published – NBI excluded by name from parent NEH plc Pillar 3 (31 Mar 2022 ed. p.5 onward); NBI's own AR capital note has no RWA figure of any kind</t>
        </is>
      </c>
      <c r="F4" s="7" t="inlineStr">
        <is>
          <t>Not published – NBI excluded by name from parent NEH plc Pillar 3 (31 Mar 2022 ed. p.5 onward); NBI's own AR capital note has no RWA figure of any kind</t>
        </is>
      </c>
      <c r="G4" s="7" t="inlineStr">
        <is>
          <t>Not published – parent NEH plc Pillar 3 31 Mar 2021 (p.1) limits NBI to Art 437 own funds as its RWAs are immaterial; NBI AR2021 Note 15 has no RWA figure of any kind</t>
        </is>
      </c>
    </row>
    <row r="6" ht="260" customHeight="1">
      <c r="A6" s="8" t="inlineStr">
        <is>
          <t>ENTITY NOTE: Nomura Bank International plc (company 01981122, FRN 204419) is the legal entity in the supplied Banks List 2608.xlsx. Companies House confirms the active public company, incorporated 22 January 1986, with the same registered name and annual accounts made up to 31 March. The Bank is a wholly owned subsidiary of Nomura Europe Holdings plc, has no material subsidiaries, and presents its own financial statements in USD.
Sources — Nomura Bank International plc Annual Reports and Financial Statements, Statement of Cash Flows and Note 15 UK Regulatory Capital:
FY2026: Annual Report for year ended 31 March 2026, Statement of Cash Flows printed p.37 and Note 15 'Capital Management Policy' UK Regulatory Capital table printed p.84 — https://www.nomuranow.com/portal/site/public/en-gb/resources/upload/NBI-Annual-Report-310326.pdf
FY2025: Annual Report for year ended 31 March 2025, pp.34 and 79 — https://www.nomuranow.com/portal/site/public/en-gb/resources/upload/NBI-Annual-Report-310325.pdf
FY2024: Annual Report for year ended 31 March 2024, pp.38 and 85 — https://www.nomuranow.com/portal/site/public/en-gb/resources/upload/NBI-Annual-Report-310324.pdf
FY2023: Annual Report for year ended 31 March 2023, pp.37 and 85 — https://www.nomuranow.com/portal/site/public/en-gb/resources/upload/NBI-Annual-Report-310323.pdf
FY2022: Annual Report for year ended 31 March 2022, Statement of Cash Flows and Note 15; the FY2023 report's comparative column is also cross-checkable, pp.37 and 85 — https://www.nomuranow.com/portal/site/public/en-gb/resources/upload/NBI-Annual-Report-310322.pdf / https://www.nomuranow.com/portal/site/public/en-gb/resources/upload/NBI-Annual-Report-310323.pdf
FY2021: Annual Report for year ended 31 March 2021, pp.27 and 80 — https://www.nomuranow.com/portal/site/public/en-gb/resources/upload/NBI-Annual-Report-310321.pdf
The official reports are scanned PDFs; figures were transcribed from the cited pages and cross-checked against the following year's comparative column where available. All amounts are $'000.
FY2026 ADDED 2026-09-15 from the Bank's own Annual Report for the year ended 31 March 2026 (Note 15 'Capital Management Policy', UK Regulatory Capital table, printed p.84): Tier 1 capital $281,438k and Total capital resources $281,438k. That table's own 31 March 2025 comparative column states $281,414k for both lines, matching this workbook's pre-existing FY2025 figures exactly - no restatement. The same table confirms the disclosure's shape across every year: it reports only 'Tier 1 capital' and 'Total capital resources' (the Bank states it does not maintain Tier 2 capital), with no CET1 line, no capital ratio and no RWA figure - which is why those sheets are blank from FY2022 onward once the parent's Pillar 3 stopped disclosing NBI. Note the report flags Tier 1 capital as not subject to audit.
Total RWAs itself is not numerically disclosed in the five entity-level annual reports checked (confirmed by reading each report's capital management/regulatory capital note, e.g. Note 15 at AR2025 p.79), so no category-level RWA Breakdown exists to transcribe; no values are inferred from group-level Nomura Europe disclosures.</t>
        </is>
      </c>
    </row>
  </sheetData>
  <mergeCells count="1">
    <mergeCell ref="A6:G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Nomura Bank International plc — Leverage Ratio</t>
        </is>
      </c>
    </row>
    <row r="2">
      <c r="A2" s="2" t="inlineStr"/>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7" t="inlineStr">
        <is>
          <t>Leverage Ratio</t>
        </is>
      </c>
      <c r="B4" s="7" t="inlineStr">
        <is>
          <t>Not published yet – parent NEH plc annual Pillar 3 for 31 Mar 2026 not out at 2026-09-19 (2025 ed. dated Sep 2025); NBI's own AR2026 Note 15 has no leverage ratio</t>
        </is>
      </c>
      <c r="C4" s="7" t="inlineStr">
        <is>
          <t>Not published – NBI excluded by name from parent NEH plc Pillar 3 (31 Mar 2022 ed. p.5 onward); NBI's own AR capital note has no leverage ratio</t>
        </is>
      </c>
      <c r="D4" s="7" t="inlineStr">
        <is>
          <t>Not published – NBI excluded by name from parent NEH plc Pillar 3 (31 Mar 2022 ed. p.5 onward); NBI's own AR capital note has no leverage ratio</t>
        </is>
      </c>
      <c r="E4" s="7" t="inlineStr">
        <is>
          <t>Not published – NBI excluded by name from parent NEH plc Pillar 3 (31 Mar 2022 ed. p.5 onward); NBI's own AR capital note has no leverage ratio</t>
        </is>
      </c>
      <c r="F4" s="7" t="inlineStr">
        <is>
          <t>Not published – NBI excluded by name from parent NEH plc Pillar 3 (31 Mar 2022 ed. p.5 onward); NBI's own AR capital note has no leverage ratio</t>
        </is>
      </c>
      <c r="G4" s="7" t="inlineStr">
        <is>
          <t>Not published – parent NEH plc Pillar 3 31 Mar 2021 (p.1) limits NBI to Art 437 own funds as its RWAs are immaterial; NBI AR2021 Note 15 has no leverage ratio</t>
        </is>
      </c>
    </row>
    <row r="6" ht="351" customHeight="1">
      <c r="A6" s="8" t="inlineStr">
        <is>
          <t>ENTITY NOTE: Nomura Bank International plc (company 01981122, FRN 204419) is the legal entity in the supplied Banks List 2608.xlsx. Companies House confirms the active public company, incorporated 22 January 1986, with the same registered name and annual accounts made up to 31 March. The Bank is a wholly owned subsidiary of Nomura Europe Holdings plc, has no material subsidiaries, and presents its own financial statements in USD.
Sources — Nomura Bank International plc Annual Reports and Financial Statements, Statement of Cash Flows and Note 15 UK Regulatory Capital:
FY2026: Annual Report for year ended 31 March 2026, Statement of Cash Flows printed p.37 and Note 15 'Capital Management Policy' UK Regulatory Capital table printed p.84 — https://www.nomuranow.com/portal/site/public/en-gb/resources/upload/NBI-Annual-Report-310326.pdf
FY2025: Annual Report for year ended 31 March 2025, pp.34 and 79 — https://www.nomuranow.com/portal/site/public/en-gb/resources/upload/NBI-Annual-Report-310325.pdf
FY2024: Annual Report for year ended 31 March 2024, pp.38 and 85 — https://www.nomuranow.com/portal/site/public/en-gb/resources/upload/NBI-Annual-Report-310324.pdf
FY2023: Annual Report for year ended 31 March 2023, pp.37 and 85 — https://www.nomuranow.com/portal/site/public/en-gb/resources/upload/NBI-Annual-Report-310323.pdf
FY2022: Annual Report for year ended 31 March 2022, Statement of Cash Flows and Note 15; the FY2023 report's comparative column is also cross-checkable, pp.37 and 85 — https://www.nomuranow.com/portal/site/public/en-gb/resources/upload/NBI-Annual-Report-310322.pdf / https://www.nomuranow.com/portal/site/public/en-gb/resources/upload/NBI-Annual-Report-310323.pdf
FY2021: Annual Report for year ended 31 March 2021, pp.27 and 80 — https://www.nomuranow.com/portal/site/public/en-gb/resources/upload/NBI-Annual-Report-310321.pdf
The official reports are scanned PDFs; figures were transcribed from the cited pages and cross-checked against the following year's comparative column where available. All amounts are $'000.
FY2026 ADDED 2026-09-15 from the Bank's own Annual Report for the year ended 31 March 2026 (Note 15 'Capital Management Policy', UK Regulatory Capital table, printed p.84): Tier 1 capital $281,438k and Total capital resources $281,438k. That table's own 31 March 2025 comparative column states $281,414k for both lines, matching this workbook's pre-existing FY2025 figures exactly - no restatement. The same table confirms the disclosure's shape across every year: it reports only 'Tier 1 capital' and 'Total capital resources' (the Bank states it does not maintain Tier 2 capital), with no CET1 line, no capital ratio and no RWA figure - which is why those sheets are blank from FY2022 onward once the parent's Pillar 3 stopped disclosing NBI. Note the report flags Tier 1 capital as not subject to audit.
These four metrics are not numerically disclosed in the five entity-level annual reports, and are structurally outside the only Pillar 3 disclosure made for this entity: its parent's Pillar 3 limits NBI to Article 437 (Own Funds) disclosures because NBI's RWAs are immaterial to the Group, which excludes leverage, liquidity and MREL templates. No values are inferred from group-level Nomura Europe disclosures. GA-026 (2026-10-09) re-checked this against the leverage template specifically and it holds: the parent's 'Template UK LR2 - LRCom: Leverage Ratio Common Disclosure' does print the post-1-January-2022 dual basis (row 24 'Total exposure measure including claims on central banks'), but it is headed 'for the Group and NIP' and its four columns are the Group and Nomura International plc at two dates each - there is no NBI column. It is therefore another instance of the rule above, not an exception to it, and nothing from it is carried here.</t>
        </is>
      </c>
    </row>
    <row r="8" ht="364" customHeight="1">
      <c r="A8" s="8" t="inlineStr">
        <is>
          <t>(continued)
RE-VERIFIED 2026-09-12 (independent disclosure audit) - PARTIAL RECOVERY AND A STRUCTURAL EXPLANATION. Nomura Bank International plc does not publish its own Pillar 3 document, but it IS named as a material subsidiary in its parent's: "Nomura Europe Holdings Plc - Annual Pillar 3 Disclosures, 31 March 2021" (https://www.nomuranow.com/portal/site/login/en-gb/resources/upload/nomura-europe-holdings-plc-annual-pillar-3-disclosures-310321.pdf) carries a dedicated NBI column in its CC1 "Composition of Regulatory Capital" table (printed p.7 / PDF p.11 - see the page-citation correction below; an earlier revision of this file said p.16 here too), giving NBI's OWN entity-level own funds and ratios - these are used on the relevant sheets and are NOT group figures.
WHY MOST METRICS REMAIN BLANK - the same document states it explicitly (Scope of Application, p.1): "NBI is a United Kingdom ('UK') regulated bank but its Risk Weighted Assets ('RWA') are immaterial to the Group. Therefore NBI disclosures have been made for article 437 (Own Funds) with no other disclosures relevant to significant subsidiary requirements." So NBI's RWA amount, RWA category breakdown, leverage ratio, LCR, NSFR and MREL are genuinely not disclosed anywhere, by design, rather than being an access gap.
FY2025-FY2022 - RESOLVED 2026-09-15, AND IT IS STRUCTURAL, NOT AN ACCESS GAP. A previous revision of this note recorded FY2022-FY2025 as an unresolved ACCESS LIMITATION, reasoning that the nomuranow.com portal returns HTTP 403 unauthenticated and that later editions "very likely exist and would extend FY2022-FY2025". Those later editions have since been obtained directly (browser session against the Nomura portal) and read in full. The reasoning was wrong: the editions do exist, but they deliberately STOP disclosing NBI. "Nomura Europe Holdings plc - Annual Pillar 3 Disclosures, 31st March 2022" states in its own Scope of Application (printed p.5, PDF p.6): "NBI and NFPE were previously considered 'significant subsidiaries' and previously disclosed. However, along with the other regulated subsidiaries, they are not considered to be large subsidiaries as at 31st March 2022 and are therefore not disclosed in this document." Consistent with that, the 31 March 2022 edition's own CC1 template is titled "Composition of regulatory own funds for the Group and NIP" (printed p.12, PDF p.13) and carries only Group and NIP columns - the NBI column present in the 31 March 2021 edition is gone. NBI therefore has no disclosed CET1 amount, CET1 ratio, Tier 1 ratio or Total Capital ratio for FY2022 onward from any source: the parent ceased disclosing it, and NBI's own Annual Report capital note (Note 15 'UK Regulatory Capital') discloses only Tier 1 capital and Total capital resources - no CET1 figure, no ratio and no RWA in any year. These blanks are a genuine end of disclosure, not a document that remains to be found.
INDEPENDENTLY RE-VERIFIED 2026-09-15 (second reader, documents re-downloaded and re-read rather than taken on trust), and EXTENDED THROUGH FY2024, which the earlier pass had left open:
- 31 March 2022 edition (91 pages, https://www.nomuranow.com/portal/site/public/en-gb/resources/upload/nomura-europe-holdings-plc-annual-pillar-3-disclosures-310322.pdf), Scope of Application, PDF p.6: "NBI and NFPE were previously considered 'significant subsidiaries' and previously disclosed. However, along with the other regulated subsidiaries, they are not considered to be large subsidiaries as at 31st March 2022 and are therefore not disclosed in this document." Its own capital template is headed "CC1 - Composition of regulatory own funds for the Group and NIP" (PDF p.13) and has Group and NIP columns only.
- 31 March 2024 edition (120 pages, https://www.nomuranow.com/portal/site/public/en-gb/resources/upload/nomura-europe-holdings-plc-annual-pillar-3-disclosures-310324.pdf), same section, PDF p.6: "Other regulated subsidiaries included in the Group are Nomura Bank International Plc ('NBI'), Nomura Financial Products Europe GmbH ('NFPE'), Nomura Bank Luxembourg S.A. ('NBL'), Banque Nomura France S.A. ('BNF'), Nomura Alternative Investment Management France S.A.S ('NAIM') and Nomura Bank Switzerland Ltd ('NBS'). They are not considered to be large subsidiaries as at 31st March 2024 and are therefore not disclosed in this document." Its CC1 is likewise headed "...for the Group and NIP" (PDF p.16). The 31 March 2023 edition (https://www.nomuranow.com/portal/site/public/en-gb/resources/upload/nomura-europe-holdings-plc-annual-pillar-3-disclosures-310323.pdf) carries the equivalent wording for 31st March 2023.</t>
        </is>
      </c>
    </row>
    <row r="10" ht="260" customHeight="1">
      <c r="A10" s="8" t="inlineStr">
        <is>
          <t>(continued)
- FY2025 CORRECTED 2026-09-18 (GA-005). A previous revision of this note said the FY2025 and FY2026 editions were "not published at the expected addresses at all", on the strength of 404s for nomura-europe-holdings-plc-annual-pillar-3-disclosures-310325.pdf and -310326.pdf, and concluded that for those two years "there is not even a group document to exclude NBI from". That was wrong for FY2025. The parent changed its filename convention from the 31 March 2025 edition onward, inserting "Group-" and switching to Title-Case, so the 404s were evidence about the guessed path rather than about the bank. The FY2025 edition is live at https://www.nomuranow.com/portal/site/public/en-gb/resources/upload/Nomura-Europe-Holdings-plc-Group-Annual-Pillar-3-Disclosures-310325.pdf (119 pages, Last-Modified 25 Sep 2025, verified HTTP 200 / application/pdf / %PDF). Its Scope of Application, printed p.5, states: "Other regulated subsidiaries of the Group are not considered to be large subsidiaries as of 31st March 2025 and are therefore not disclosed in this document. This includes Nomura Bank International Plc ('NBI')...". It prints UK KM1 for the Group (printed p.9) and for NIP (printed p.10) only, and carries no NBI column. The 30 September 2025 semi-annual (https://www.nomuranow.com/portal/site/public/en-gb/resources/upload/Nomura-Europe-Holdings-plc-Group-Semi-Annual-Pillar-3-Disclosures-300925.pdf) and the 31 December 2025 quarterly (https://www.nomuranow.com/portal/site/public/en-gb/resources/upload/Nomura-Europe-Holdings-plc-Group-Quarterly-Pillar-3-Disclosures-311225.pdf, the newest parent edition of any frequency, Last-Modified 24 Apr 2026) carry the same exclusion wording at their own dates.
- The 31 MARCH 2026 annual edition had not been published as at 2026-09-18: twelve filename variants, including the corrected "Group-" convention, were probed under both the /portal/site/public/ and /portal/site/login/ prefixes and all returned 404 in the same run in which the FY2025 annual, the Sep-2025 semi-annual and the Dec-2025 quarterly each returned 200. The FY2025 annual appeared about six months after its year-end, so a FY2026 annual would be due at about the date of this check. That is a dated expectation, not a finding of absence, and it is the one item here worth re-probing.
NET EFFECT: the NEHS significant-subsidiary route yields NBI figures for FY2021 and for FY2021 only. FY2022 through FY2025 are now a SOURCED structural negative across the board - for each of those years the group report exists, names NBI, and says in terms that it is not disclosing it. FY2026 has no parent edition yet. None of this is an access problem. The FY2022-FY2025 blanks should not be re-chased; the FY2026 parent edition should be re-probed once published, though on four consecutive years of identical exclusion wording it is not expected to disclose NBI either.</t>
        </is>
      </c>
    </row>
  </sheetData>
  <mergeCells count="3">
    <mergeCell ref="A8:G8"/>
    <mergeCell ref="A6:G6"/>
    <mergeCell ref="A10:G10"/>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Nomura Bank International plc — LCR</t>
        </is>
      </c>
    </row>
    <row r="2">
      <c r="A2" s="2" t="inlineStr"/>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7" t="inlineStr">
        <is>
          <t>LCR</t>
        </is>
      </c>
      <c r="B4" s="7" t="inlineStr">
        <is>
          <t>Not published yet – parent NEH plc annual Pillar 3 for 31 Mar 2026 not out at 2026-09-19 (2025 ed. dated Sep 2025); NBI's own AR2026 Note 15 has no LCR</t>
        </is>
      </c>
      <c r="C4" s="7" t="inlineStr">
        <is>
          <t>Not published – NBI excluded by name from parent NEH plc Pillar 3 (31 Mar 2022 ed. p.5 onward); NBI's own AR capital note has no LCR</t>
        </is>
      </c>
      <c r="D4" s="7" t="inlineStr">
        <is>
          <t>Not published – NBI excluded by name from parent NEH plc Pillar 3 (31 Mar 2022 ed. p.5 onward); NBI's own AR capital note has no LCR</t>
        </is>
      </c>
      <c r="E4" s="7" t="inlineStr">
        <is>
          <t>Not published – NBI excluded by name from parent NEH plc Pillar 3 (31 Mar 2022 ed. p.5 onward); NBI's own AR capital note has no LCR</t>
        </is>
      </c>
      <c r="F4" s="7" t="inlineStr">
        <is>
          <t>Not published – NBI excluded by name from parent NEH plc Pillar 3 (31 Mar 2022 ed. p.5 onward); NBI's own AR capital note has no LCR</t>
        </is>
      </c>
      <c r="G4" s="7" t="inlineStr">
        <is>
          <t>Not published – parent NEH plc Pillar 3 31 Mar 2021 (p.1) limits NBI to Art 437 own funds as its RWAs are immaterial; NBI AR2021 Note 15 has no LCR</t>
        </is>
      </c>
    </row>
    <row r="6" ht="351" customHeight="1">
      <c r="A6" s="8" t="inlineStr">
        <is>
          <t>ENTITY NOTE: Nomura Bank International plc (company 01981122, FRN 204419) is the legal entity in the supplied Banks List 2608.xlsx. Companies House confirms the active public company, incorporated 22 January 1986, with the same registered name and annual accounts made up to 31 March. The Bank is a wholly owned subsidiary of Nomura Europe Holdings plc, has no material subsidiaries, and presents its own financial statements in USD.
Sources — Nomura Bank International plc Annual Reports and Financial Statements, Statement of Cash Flows and Note 15 UK Regulatory Capital:
FY2026: Annual Report for year ended 31 March 2026, Statement of Cash Flows printed p.37 and Note 15 'Capital Management Policy' UK Regulatory Capital table printed p.84 — https://www.nomuranow.com/portal/site/public/en-gb/resources/upload/NBI-Annual-Report-310326.pdf
FY2025: Annual Report for year ended 31 March 2025, pp.34 and 79 — https://www.nomuranow.com/portal/site/public/en-gb/resources/upload/NBI-Annual-Report-310325.pdf
FY2024: Annual Report for year ended 31 March 2024, pp.38 and 85 — https://www.nomuranow.com/portal/site/public/en-gb/resources/upload/NBI-Annual-Report-310324.pdf
FY2023: Annual Report for year ended 31 March 2023, pp.37 and 85 — https://www.nomuranow.com/portal/site/public/en-gb/resources/upload/NBI-Annual-Report-310323.pdf
FY2022: Annual Report for year ended 31 March 2022, Statement of Cash Flows and Note 15; the FY2023 report's comparative column is also cross-checkable, pp.37 and 85 — https://www.nomuranow.com/portal/site/public/en-gb/resources/upload/NBI-Annual-Report-310322.pdf / https://www.nomuranow.com/portal/site/public/en-gb/resources/upload/NBI-Annual-Report-310323.pdf
FY2021: Annual Report for year ended 31 March 2021, pp.27 and 80 — https://www.nomuranow.com/portal/site/public/en-gb/resources/upload/NBI-Annual-Report-310321.pdf
The official reports are scanned PDFs; figures were transcribed from the cited pages and cross-checked against the following year's comparative column where available. All amounts are $'000.
FY2026 ADDED 2026-09-15 from the Bank's own Annual Report for the year ended 31 March 2026 (Note 15 'Capital Management Policy', UK Regulatory Capital table, printed p.84): Tier 1 capital $281,438k and Total capital resources $281,438k. That table's own 31 March 2025 comparative column states $281,414k for both lines, matching this workbook's pre-existing FY2025 figures exactly - no restatement. The same table confirms the disclosure's shape across every year: it reports only 'Tier 1 capital' and 'Total capital resources' (the Bank states it does not maintain Tier 2 capital), with no CET1 line, no capital ratio and no RWA figure - which is why those sheets are blank from FY2022 onward once the parent's Pillar 3 stopped disclosing NBI. Note the report flags Tier 1 capital as not subject to audit.
These four metrics are not numerically disclosed in the five entity-level annual reports, and are structurally outside the only Pillar 3 disclosure made for this entity: its parent's Pillar 3 limits NBI to Article 437 (Own Funds) disclosures because NBI's RWAs are immaterial to the Group, which excludes leverage, liquidity and MREL templates. No values are inferred from group-level Nomura Europe disclosures. GA-026 (2026-10-09) re-checked this against the leverage template specifically and it holds: the parent's 'Template UK LR2 - LRCom: Leverage Ratio Common Disclosure' does print the post-1-January-2022 dual basis (row 24 'Total exposure measure including claims on central banks'), but it is headed 'for the Group and NIP' and its four columns are the Group and Nomura International plc at two dates each - there is no NBI column. It is therefore another instance of the rule above, not an exception to it, and nothing from it is carried here.</t>
        </is>
      </c>
    </row>
    <row r="8" ht="364" customHeight="1">
      <c r="A8" s="8" t="inlineStr">
        <is>
          <t>(continued)
RE-VERIFIED 2026-09-12 (independent disclosure audit) - PARTIAL RECOVERY AND A STRUCTURAL EXPLANATION. Nomura Bank International plc does not publish its own Pillar 3 document, but it IS named as a material subsidiary in its parent's: "Nomura Europe Holdings Plc - Annual Pillar 3 Disclosures, 31 March 2021" (https://www.nomuranow.com/portal/site/login/en-gb/resources/upload/nomura-europe-holdings-plc-annual-pillar-3-disclosures-310321.pdf) carries a dedicated NBI column in its CC1 "Composition of Regulatory Capital" table (printed p.7 / PDF p.11 - see the page-citation correction below; an earlier revision of this file said p.16 here too), giving NBI's OWN entity-level own funds and ratios - these are used on the relevant sheets and are NOT group figures.
WHY MOST METRICS REMAIN BLANK - the same document states it explicitly (Scope of Application, p.1): "NBI is a United Kingdom ('UK') regulated bank but its Risk Weighted Assets ('RWA') are immaterial to the Group. Therefore NBI disclosures have been made for article 437 (Own Funds) with no other disclosures relevant to significant subsidiary requirements." So NBI's RWA amount, RWA category breakdown, leverage ratio, LCR, NSFR and MREL are genuinely not disclosed anywhere, by design, rather than being an access gap.
FY2025-FY2022 - RESOLVED 2026-09-15, AND IT IS STRUCTURAL, NOT AN ACCESS GAP. A previous revision of this note recorded FY2022-FY2025 as an unresolved ACCESS LIMITATION, reasoning that the nomuranow.com portal returns HTTP 403 unauthenticated and that later editions "very likely exist and would extend FY2022-FY2025". Those later editions have since been obtained directly (browser session against the Nomura portal) and read in full. The reasoning was wrong: the editions do exist, but they deliberately STOP disclosing NBI. "Nomura Europe Holdings plc - Annual Pillar 3 Disclosures, 31st March 2022" states in its own Scope of Application (printed p.5, PDF p.6): "NBI and NFPE were previously considered 'significant subsidiaries' and previously disclosed. However, along with the other regulated subsidiaries, they are not considered to be large subsidiaries as at 31st March 2022 and are therefore not disclosed in this document." Consistent with that, the 31 March 2022 edition's own CC1 template is titled "Composition of regulatory own funds for the Group and NIP" (printed p.12, PDF p.13) and carries only Group and NIP columns - the NBI column present in the 31 March 2021 edition is gone. NBI therefore has no disclosed CET1 amount, CET1 ratio, Tier 1 ratio or Total Capital ratio for FY2022 onward from any source: the parent ceased disclosing it, and NBI's own Annual Report capital note (Note 15 'UK Regulatory Capital') discloses only Tier 1 capital and Total capital resources - no CET1 figure, no ratio and no RWA in any year. These blanks are a genuine end of disclosure, not a document that remains to be found.
INDEPENDENTLY RE-VERIFIED 2026-09-15 (second reader, documents re-downloaded and re-read rather than taken on trust), and EXTENDED THROUGH FY2024, which the earlier pass had left open:
- 31 March 2022 edition (91 pages, https://www.nomuranow.com/portal/site/public/en-gb/resources/upload/nomura-europe-holdings-plc-annual-pillar-3-disclosures-310322.pdf), Scope of Application, PDF p.6: "NBI and NFPE were previously considered 'significant subsidiaries' and previously disclosed. However, along with the other regulated subsidiaries, they are not considered to be large subsidiaries as at 31st March 2022 and are therefore not disclosed in this document." Its own capital template is headed "CC1 - Composition of regulatory own funds for the Group and NIP" (PDF p.13) and has Group and NIP columns only.
- 31 March 2024 edition (120 pages, https://www.nomuranow.com/portal/site/public/en-gb/resources/upload/nomura-europe-holdings-plc-annual-pillar-3-disclosures-310324.pdf), same section, PDF p.6: "Other regulated subsidiaries included in the Group are Nomura Bank International Plc ('NBI'), Nomura Financial Products Europe GmbH ('NFPE'), Nomura Bank Luxembourg S.A. ('NBL'), Banque Nomura France S.A. ('BNF'), Nomura Alternative Investment Management France S.A.S ('NAIM') and Nomura Bank Switzerland Ltd ('NBS'). They are not considered to be large subsidiaries as at 31st March 2024 and are therefore not disclosed in this document." Its CC1 is likewise headed "...for the Group and NIP" (PDF p.16). The 31 March 2023 edition (https://www.nomuranow.com/portal/site/public/en-gb/resources/upload/nomura-europe-holdings-plc-annual-pillar-3-disclosures-310323.pdf) carries the equivalent wording for 31st March 2023.</t>
        </is>
      </c>
    </row>
    <row r="10" ht="260" customHeight="1">
      <c r="A10" s="8" t="inlineStr">
        <is>
          <t>(continued)
- FY2025 CORRECTED 2026-09-18 (GA-005). A previous revision of this note said the FY2025 and FY2026 editions were "not published at the expected addresses at all", on the strength of 404s for nomura-europe-holdings-plc-annual-pillar-3-disclosures-310325.pdf and -310326.pdf, and concluded that for those two years "there is not even a group document to exclude NBI from". That was wrong for FY2025. The parent changed its filename convention from the 31 March 2025 edition onward, inserting "Group-" and switching to Title-Case, so the 404s were evidence about the guessed path rather than about the bank. The FY2025 edition is live at https://www.nomuranow.com/portal/site/public/en-gb/resources/upload/Nomura-Europe-Holdings-plc-Group-Annual-Pillar-3-Disclosures-310325.pdf (119 pages, Last-Modified 25 Sep 2025, verified HTTP 200 / application/pdf / %PDF). Its Scope of Application, printed p.5, states: "Other regulated subsidiaries of the Group are not considered to be large subsidiaries as of 31st March 2025 and are therefore not disclosed in this document. This includes Nomura Bank International Plc ('NBI')...". It prints UK KM1 for the Group (printed p.9) and for NIP (printed p.10) only, and carries no NBI column. The 30 September 2025 semi-annual (https://www.nomuranow.com/portal/site/public/en-gb/resources/upload/Nomura-Europe-Holdings-plc-Group-Semi-Annual-Pillar-3-Disclosures-300925.pdf) and the 31 December 2025 quarterly (https://www.nomuranow.com/portal/site/public/en-gb/resources/upload/Nomura-Europe-Holdings-plc-Group-Quarterly-Pillar-3-Disclosures-311225.pdf, the newest parent edition of any frequency, Last-Modified 24 Apr 2026) carry the same exclusion wording at their own dates.
- The 31 MARCH 2026 annual edition had not been published as at 2026-09-18: twelve filename variants, including the corrected "Group-" convention, were probed under both the /portal/site/public/ and /portal/site/login/ prefixes and all returned 404 in the same run in which the FY2025 annual, the Sep-2025 semi-annual and the Dec-2025 quarterly each returned 200. The FY2025 annual appeared about six months after its year-end, so a FY2026 annual would be due at about the date of this check. That is a dated expectation, not a finding of absence, and it is the one item here worth re-probing.
NET EFFECT: the NEHS significant-subsidiary route yields NBI figures for FY2021 and for FY2021 only. FY2022 through FY2025 are now a SOURCED structural negative across the board - for each of those years the group report exists, names NBI, and says in terms that it is not disclosing it. FY2026 has no parent edition yet. None of this is an access problem. The FY2022-FY2025 blanks should not be re-chased; the FY2026 parent edition should be re-probed once published, though on four consecutive years of identical exclusion wording it is not expected to disclose NBI either.</t>
        </is>
      </c>
    </row>
  </sheetData>
  <mergeCells count="3">
    <mergeCell ref="A8:G8"/>
    <mergeCell ref="A6:G6"/>
    <mergeCell ref="A10:G10"/>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Nomura Bank International plc — NSFR</t>
        </is>
      </c>
    </row>
    <row r="2">
      <c r="A2" s="2" t="inlineStr"/>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7" t="inlineStr">
        <is>
          <t>NSFR</t>
        </is>
      </c>
      <c r="B4" s="7" t="inlineStr">
        <is>
          <t>Not published yet – parent NEH plc annual Pillar 3 for 31 Mar 2026 not out at 2026-09-19 (2025 ed. dated Sep 2025); NBI's own AR2026 Note 15 has no NSFR</t>
        </is>
      </c>
      <c r="C4" s="7" t="inlineStr">
        <is>
          <t>Not published – NBI excluded by name from parent NEH plc Pillar 3 (31 Mar 2022 ed. p.5 onward); NBI's own AR capital note has no NSFR</t>
        </is>
      </c>
      <c r="D4" s="7" t="inlineStr">
        <is>
          <t>Not published – NBI excluded by name from parent NEH plc Pillar 3 (31 Mar 2022 ed. p.5 onward); NBI's own AR capital note has no NSFR</t>
        </is>
      </c>
      <c r="E4" s="7" t="inlineStr">
        <is>
          <t>Not published – NBI excluded by name from parent NEH plc Pillar 3 (31 Mar 2022 ed. p.5 onward); NBI's own AR capital note has no NSFR</t>
        </is>
      </c>
      <c r="F4" s="7" t="inlineStr">
        <is>
          <t>Not published – NBI excluded by name from parent NEH plc Pillar 3 (31 Mar 2022 ed. p.5 onward); NBI's own AR capital note has no NSFR</t>
        </is>
      </c>
      <c r="G4" s="7" t="inlineStr">
        <is>
          <t>Not published – parent NEH plc Pillar 3 31 Mar 2021 (p.1) limits NBI to Art 437 own funds as its RWAs are immaterial; NBI AR2021 Note 15 has no NSFR</t>
        </is>
      </c>
    </row>
    <row r="6" ht="351" customHeight="1">
      <c r="A6" s="8" t="inlineStr">
        <is>
          <t>ENTITY NOTE: Nomura Bank International plc (company 01981122, FRN 204419) is the legal entity in the supplied Banks List 2608.xlsx. Companies House confirms the active public company, incorporated 22 January 1986, with the same registered name and annual accounts made up to 31 March. The Bank is a wholly owned subsidiary of Nomura Europe Holdings plc, has no material subsidiaries, and presents its own financial statements in USD.
Sources — Nomura Bank International plc Annual Reports and Financial Statements, Statement of Cash Flows and Note 15 UK Regulatory Capital:
FY2026: Annual Report for year ended 31 March 2026, Statement of Cash Flows printed p.37 and Note 15 'Capital Management Policy' UK Regulatory Capital table printed p.84 — https://www.nomuranow.com/portal/site/public/en-gb/resources/upload/NBI-Annual-Report-310326.pdf
FY2025: Annual Report for year ended 31 March 2025, pp.34 and 79 — https://www.nomuranow.com/portal/site/public/en-gb/resources/upload/NBI-Annual-Report-310325.pdf
FY2024: Annual Report for year ended 31 March 2024, pp.38 and 85 — https://www.nomuranow.com/portal/site/public/en-gb/resources/upload/NBI-Annual-Report-310324.pdf
FY2023: Annual Report for year ended 31 March 2023, pp.37 and 85 — https://www.nomuranow.com/portal/site/public/en-gb/resources/upload/NBI-Annual-Report-310323.pdf
FY2022: Annual Report for year ended 31 March 2022, Statement of Cash Flows and Note 15; the FY2023 report's comparative column is also cross-checkable, pp.37 and 85 — https://www.nomuranow.com/portal/site/public/en-gb/resources/upload/NBI-Annual-Report-310322.pdf / https://www.nomuranow.com/portal/site/public/en-gb/resources/upload/NBI-Annual-Report-310323.pdf
FY2021: Annual Report for year ended 31 March 2021, pp.27 and 80 — https://www.nomuranow.com/portal/site/public/en-gb/resources/upload/NBI-Annual-Report-310321.pdf
The official reports are scanned PDFs; figures were transcribed from the cited pages and cross-checked against the following year's comparative column where available. All amounts are $'000.
FY2026 ADDED 2026-09-15 from the Bank's own Annual Report for the year ended 31 March 2026 (Note 15 'Capital Management Policy', UK Regulatory Capital table, printed p.84): Tier 1 capital $281,438k and Total capital resources $281,438k. That table's own 31 March 2025 comparative column states $281,414k for both lines, matching this workbook's pre-existing FY2025 figures exactly - no restatement. The same table confirms the disclosure's shape across every year: it reports only 'Tier 1 capital' and 'Total capital resources' (the Bank states it does not maintain Tier 2 capital), with no CET1 line, no capital ratio and no RWA figure - which is why those sheets are blank from FY2022 onward once the parent's Pillar 3 stopped disclosing NBI. Note the report flags Tier 1 capital as not subject to audit.
These four metrics are not numerically disclosed in the five entity-level annual reports, and are structurally outside the only Pillar 3 disclosure made for this entity: its parent's Pillar 3 limits NBI to Article 437 (Own Funds) disclosures because NBI's RWAs are immaterial to the Group, which excludes leverage, liquidity and MREL templates. No values are inferred from group-level Nomura Europe disclosures. GA-026 (2026-10-09) re-checked this against the leverage template specifically and it holds: the parent's 'Template UK LR2 - LRCom: Leverage Ratio Common Disclosure' does print the post-1-January-2022 dual basis (row 24 'Total exposure measure including claims on central banks'), but it is headed 'for the Group and NIP' and its four columns are the Group and Nomura International plc at two dates each - there is no NBI column. It is therefore another instance of the rule above, not an exception to it, and nothing from it is carried here.</t>
        </is>
      </c>
    </row>
    <row r="8" ht="364" customHeight="1">
      <c r="A8" s="8" t="inlineStr">
        <is>
          <t>(continued)
RE-VERIFIED 2026-09-12 (independent disclosure audit) - PARTIAL RECOVERY AND A STRUCTURAL EXPLANATION. Nomura Bank International plc does not publish its own Pillar 3 document, but it IS named as a material subsidiary in its parent's: "Nomura Europe Holdings Plc - Annual Pillar 3 Disclosures, 31 March 2021" (https://www.nomuranow.com/portal/site/login/en-gb/resources/upload/nomura-europe-holdings-plc-annual-pillar-3-disclosures-310321.pdf) carries a dedicated NBI column in its CC1 "Composition of Regulatory Capital" table (printed p.7 / PDF p.11 - see the page-citation correction below; an earlier revision of this file said p.16 here too), giving NBI's OWN entity-level own funds and ratios - these are used on the relevant sheets and are NOT group figures.
WHY MOST METRICS REMAIN BLANK - the same document states it explicitly (Scope of Application, p.1): "NBI is a United Kingdom ('UK') regulated bank but its Risk Weighted Assets ('RWA') are immaterial to the Group. Therefore NBI disclosures have been made for article 437 (Own Funds) with no other disclosures relevant to significant subsidiary requirements." So NBI's RWA amount, RWA category breakdown, leverage ratio, LCR, NSFR and MREL are genuinely not disclosed anywhere, by design, rather than being an access gap.
FY2025-FY2022 - RESOLVED 2026-09-15, AND IT IS STRUCTURAL, NOT AN ACCESS GAP. A previous revision of this note recorded FY2022-FY2025 as an unresolved ACCESS LIMITATION, reasoning that the nomuranow.com portal returns HTTP 403 unauthenticated and that later editions "very likely exist and would extend FY2022-FY2025". Those later editions have since been obtained directly (browser session against the Nomura portal) and read in full. The reasoning was wrong: the editions do exist, but they deliberately STOP disclosing NBI. "Nomura Europe Holdings plc - Annual Pillar 3 Disclosures, 31st March 2022" states in its own Scope of Application (printed p.5, PDF p.6): "NBI and NFPE were previously considered 'significant subsidiaries' and previously disclosed. However, along with the other regulated subsidiaries, they are not considered to be large subsidiaries as at 31st March 2022 and are therefore not disclosed in this document." Consistent with that, the 31 March 2022 edition's own CC1 template is titled "Composition of regulatory own funds for the Group and NIP" (printed p.12, PDF p.13) and carries only Group and NIP columns - the NBI column present in the 31 March 2021 edition is gone. NBI therefore has no disclosed CET1 amount, CET1 ratio, Tier 1 ratio or Total Capital ratio for FY2022 onward from any source: the parent ceased disclosing it, and NBI's own Annual Report capital note (Note 15 'UK Regulatory Capital') discloses only Tier 1 capital and Total capital resources - no CET1 figure, no ratio and no RWA in any year. These blanks are a genuine end of disclosure, not a document that remains to be found.
INDEPENDENTLY RE-VERIFIED 2026-09-15 (second reader, documents re-downloaded and re-read rather than taken on trust), and EXTENDED THROUGH FY2024, which the earlier pass had left open:
- 31 March 2022 edition (91 pages, https://www.nomuranow.com/portal/site/public/en-gb/resources/upload/nomura-europe-holdings-plc-annual-pillar-3-disclosures-310322.pdf), Scope of Application, PDF p.6: "NBI and NFPE were previously considered 'significant subsidiaries' and previously disclosed. However, along with the other regulated subsidiaries, they are not considered to be large subsidiaries as at 31st March 2022 and are therefore not disclosed in this document." Its own capital template is headed "CC1 - Composition of regulatory own funds for the Group and NIP" (PDF p.13) and has Group and NIP columns only.
- 31 March 2024 edition (120 pages, https://www.nomuranow.com/portal/site/public/en-gb/resources/upload/nomura-europe-holdings-plc-annual-pillar-3-disclosures-310324.pdf), same section, PDF p.6: "Other regulated subsidiaries included in the Group are Nomura Bank International Plc ('NBI'), Nomura Financial Products Europe GmbH ('NFPE'), Nomura Bank Luxembourg S.A. ('NBL'), Banque Nomura France S.A. ('BNF'), Nomura Alternative Investment Management France S.A.S ('NAIM') and Nomura Bank Switzerland Ltd ('NBS'). They are not considered to be large subsidiaries as at 31st March 2024 and are therefore not disclosed in this document." Its CC1 is likewise headed "...for the Group and NIP" (PDF p.16). The 31 March 2023 edition (https://www.nomuranow.com/portal/site/public/en-gb/resources/upload/nomura-europe-holdings-plc-annual-pillar-3-disclosures-310323.pdf) carries the equivalent wording for 31st March 2023.</t>
        </is>
      </c>
    </row>
    <row r="10" ht="260" customHeight="1">
      <c r="A10" s="8" t="inlineStr">
        <is>
          <t>(continued)
- FY2025 CORRECTED 2026-09-18 (GA-005). A previous revision of this note said the FY2025 and FY2026 editions were "not published at the expected addresses at all", on the strength of 404s for nomura-europe-holdings-plc-annual-pillar-3-disclosures-310325.pdf and -310326.pdf, and concluded that for those two years "there is not even a group document to exclude NBI from". That was wrong for FY2025. The parent changed its filename convention from the 31 March 2025 edition onward, inserting "Group-" and switching to Title-Case, so the 404s were evidence about the guessed path rather than about the bank. The FY2025 edition is live at https://www.nomuranow.com/portal/site/public/en-gb/resources/upload/Nomura-Europe-Holdings-plc-Group-Annual-Pillar-3-Disclosures-310325.pdf (119 pages, Last-Modified 25 Sep 2025, verified HTTP 200 / application/pdf / %PDF). Its Scope of Application, printed p.5, states: "Other regulated subsidiaries of the Group are not considered to be large subsidiaries as of 31st March 2025 and are therefore not disclosed in this document. This includes Nomura Bank International Plc ('NBI')...". It prints UK KM1 for the Group (printed p.9) and for NIP (printed p.10) only, and carries no NBI column. The 30 September 2025 semi-annual (https://www.nomuranow.com/portal/site/public/en-gb/resources/upload/Nomura-Europe-Holdings-plc-Group-Semi-Annual-Pillar-3-Disclosures-300925.pdf) and the 31 December 2025 quarterly (https://www.nomuranow.com/portal/site/public/en-gb/resources/upload/Nomura-Europe-Holdings-plc-Group-Quarterly-Pillar-3-Disclosures-311225.pdf, the newest parent edition of any frequency, Last-Modified 24 Apr 2026) carry the same exclusion wording at their own dates.
- The 31 MARCH 2026 annual edition had not been published as at 2026-09-18: twelve filename variants, including the corrected "Group-" convention, were probed under both the /portal/site/public/ and /portal/site/login/ prefixes and all returned 404 in the same run in which the FY2025 annual, the Sep-2025 semi-annual and the Dec-2025 quarterly each returned 200. The FY2025 annual appeared about six months after its year-end, so a FY2026 annual would be due at about the date of this check. That is a dated expectation, not a finding of absence, and it is the one item here worth re-probing.
NET EFFECT: the NEHS significant-subsidiary route yields NBI figures for FY2021 and for FY2021 only. FY2022 through FY2025 are now a SOURCED structural negative across the board - for each of those years the group report exists, names NBI, and says in terms that it is not disclosing it. FY2026 has no parent edition yet. None of this is an access problem. The FY2022-FY2025 blanks should not be re-chased; the FY2026 parent edition should be re-probed once published, though on four consecutive years of identical exclusion wording it is not expected to disclose NBI either.</t>
        </is>
      </c>
    </row>
  </sheetData>
  <mergeCells count="3">
    <mergeCell ref="A8:G8"/>
    <mergeCell ref="A6:G6"/>
    <mergeCell ref="A10:G10"/>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Nomura Bank International plc — MREL Ratio</t>
        </is>
      </c>
    </row>
    <row r="2">
      <c r="A2" s="2" t="inlineStr"/>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7" t="inlineStr">
        <is>
          <t>MREL Ratio</t>
        </is>
      </c>
      <c r="B4" s="7" t="inlineStr">
        <is>
          <t>Not published yet – parent NEH plc annual Pillar 3 for 31 Mar 2026 not out at 2026-09-19 (2025 ed. dated Sep 2025); NBI's own AR2026 Note 15 has no MREL figure</t>
        </is>
      </c>
      <c r="C4" s="7" t="inlineStr">
        <is>
          <t>Not published – NBI excluded by name from parent NEH plc Pillar 3 (31 Mar 2022 ed. p.5 onward); NBI's own AR capital note has no MREL figure</t>
        </is>
      </c>
      <c r="D4" s="7" t="inlineStr">
        <is>
          <t>Not published – NBI excluded by name from parent NEH plc Pillar 3 (31 Mar 2022 ed. p.5 onward); NBI's own AR capital note has no MREL figure</t>
        </is>
      </c>
      <c r="E4" s="7" t="inlineStr">
        <is>
          <t>Not published – NBI excluded by name from parent NEH plc Pillar 3 (31 Mar 2022 ed. p.5 onward); NBI's own AR capital note has no MREL figure</t>
        </is>
      </c>
      <c r="F4" s="7" t="inlineStr">
        <is>
          <t>Not published – NBI excluded by name from parent NEH plc Pillar 3 (31 Mar 2022 ed. p.5 onward); NBI's own AR capital note has no MREL figure</t>
        </is>
      </c>
      <c r="G4" s="7" t="inlineStr">
        <is>
          <t>Not published – parent NEH plc Pillar 3 31 Mar 2021 (p.1) limits NBI to Art 437 own funds as its RWAs are immaterial; NBI AR2021 Note 15 has no MREL figure</t>
        </is>
      </c>
    </row>
    <row r="6" ht="351" customHeight="1">
      <c r="A6" s="8" t="inlineStr">
        <is>
          <t>ENTITY NOTE: Nomura Bank International plc (company 01981122, FRN 204419) is the legal entity in the supplied Banks List 2608.xlsx. Companies House confirms the active public company, incorporated 22 January 1986, with the same registered name and annual accounts made up to 31 March. The Bank is a wholly owned subsidiary of Nomura Europe Holdings plc, has no material subsidiaries, and presents its own financial statements in USD.
Sources — Nomura Bank International plc Annual Reports and Financial Statements, Statement of Cash Flows and Note 15 UK Regulatory Capital:
FY2026: Annual Report for year ended 31 March 2026, Statement of Cash Flows printed p.37 and Note 15 'Capital Management Policy' UK Regulatory Capital table printed p.84 — https://www.nomuranow.com/portal/site/public/en-gb/resources/upload/NBI-Annual-Report-310326.pdf
FY2025: Annual Report for year ended 31 March 2025, pp.34 and 79 — https://www.nomuranow.com/portal/site/public/en-gb/resources/upload/NBI-Annual-Report-310325.pdf
FY2024: Annual Report for year ended 31 March 2024, pp.38 and 85 — https://www.nomuranow.com/portal/site/public/en-gb/resources/upload/NBI-Annual-Report-310324.pdf
FY2023: Annual Report for year ended 31 March 2023, pp.37 and 85 — https://www.nomuranow.com/portal/site/public/en-gb/resources/upload/NBI-Annual-Report-310323.pdf
FY2022: Annual Report for year ended 31 March 2022, Statement of Cash Flows and Note 15; the FY2023 report's comparative column is also cross-checkable, pp.37 and 85 — https://www.nomuranow.com/portal/site/public/en-gb/resources/upload/NBI-Annual-Report-310322.pdf / https://www.nomuranow.com/portal/site/public/en-gb/resources/upload/NBI-Annual-Report-310323.pdf
FY2021: Annual Report for year ended 31 March 2021, pp.27 and 80 — https://www.nomuranow.com/portal/site/public/en-gb/resources/upload/NBI-Annual-Report-310321.pdf
The official reports are scanned PDFs; figures were transcribed from the cited pages and cross-checked against the following year's comparative column where available. All amounts are $'000.
FY2026 ADDED 2026-09-15 from the Bank's own Annual Report for the year ended 31 March 2026 (Note 15 'Capital Management Policy', UK Regulatory Capital table, printed p.84): Tier 1 capital $281,438k and Total capital resources $281,438k. That table's own 31 March 2025 comparative column states $281,414k for both lines, matching this workbook's pre-existing FY2025 figures exactly - no restatement. The same table confirms the disclosure's shape across every year: it reports only 'Tier 1 capital' and 'Total capital resources' (the Bank states it does not maintain Tier 2 capital), with no CET1 line, no capital ratio and no RWA figure - which is why those sheets are blank from FY2022 onward once the parent's Pillar 3 stopped disclosing NBI. Note the report flags Tier 1 capital as not subject to audit.
These four metrics are not numerically disclosed in the five entity-level annual reports, and are structurally outside the only Pillar 3 disclosure made for this entity: its parent's Pillar 3 limits NBI to Article 437 (Own Funds) disclosures because NBI's RWAs are immaterial to the Group, which excludes leverage, liquidity and MREL templates. No values are inferred from group-level Nomura Europe disclosures. GA-026 (2026-10-09) re-checked this against the leverage template specifically and it holds: the parent's 'Template UK LR2 - LRCom: Leverage Ratio Common Disclosure' does print the post-1-January-2022 dual basis (row 24 'Total exposure measure including claims on central banks'), but it is headed 'for the Group and NIP' and its four columns are the Group and Nomura International plc at two dates each - there is no NBI column. It is therefore another instance of the rule above, not an exception to it, and nothing from it is carried here.</t>
        </is>
      </c>
    </row>
    <row r="8" ht="364" customHeight="1">
      <c r="A8" s="8" t="inlineStr">
        <is>
          <t>(continued)
RE-VERIFIED 2026-09-12 (independent disclosure audit) - PARTIAL RECOVERY AND A STRUCTURAL EXPLANATION. Nomura Bank International plc does not publish its own Pillar 3 document, but it IS named as a material subsidiary in its parent's: "Nomura Europe Holdings Plc - Annual Pillar 3 Disclosures, 31 March 2021" (https://www.nomuranow.com/portal/site/login/en-gb/resources/upload/nomura-europe-holdings-plc-annual-pillar-3-disclosures-310321.pdf) carries a dedicated NBI column in its CC1 "Composition of Regulatory Capital" table (printed p.7 / PDF p.11 - see the page-citation correction below; an earlier revision of this file said p.16 here too), giving NBI's OWN entity-level own funds and ratios - these are used on the relevant sheets and are NOT group figures.
WHY MOST METRICS REMAIN BLANK - the same document states it explicitly (Scope of Application, p.1): "NBI is a United Kingdom ('UK') regulated bank but its Risk Weighted Assets ('RWA') are immaterial to the Group. Therefore NBI disclosures have been made for article 437 (Own Funds) with no other disclosures relevant to significant subsidiary requirements." So NBI's RWA amount, RWA category breakdown, leverage ratio, LCR, NSFR and MREL are genuinely not disclosed anywhere, by design, rather than being an access gap.
FY2025-FY2022 - RESOLVED 2026-09-15, AND IT IS STRUCTURAL, NOT AN ACCESS GAP. A previous revision of this note recorded FY2022-FY2025 as an unresolved ACCESS LIMITATION, reasoning that the nomuranow.com portal returns HTTP 403 unauthenticated and that later editions "very likely exist and would extend FY2022-FY2025". Those later editions have since been obtained directly (browser session against the Nomura portal) and read in full. The reasoning was wrong: the editions do exist, but they deliberately STOP disclosing NBI. "Nomura Europe Holdings plc - Annual Pillar 3 Disclosures, 31st March 2022" states in its own Scope of Application (printed p.5, PDF p.6): "NBI and NFPE were previously considered 'significant subsidiaries' and previously disclosed. However, along with the other regulated subsidiaries, they are not considered to be large subsidiaries as at 31st March 2022 and are therefore not disclosed in this document." Consistent with that, the 31 March 2022 edition's own CC1 template is titled "Composition of regulatory own funds for the Group and NIP" (printed p.12, PDF p.13) and carries only Group and NIP columns - the NBI column present in the 31 March 2021 edition is gone. NBI therefore has no disclosed CET1 amount, CET1 ratio, Tier 1 ratio or Total Capital ratio for FY2022 onward from any source: the parent ceased disclosing it, and NBI's own Annual Report capital note (Note 15 'UK Regulatory Capital') discloses only Tier 1 capital and Total capital resources - no CET1 figure, no ratio and no RWA in any year. These blanks are a genuine end of disclosure, not a document that remains to be found.
INDEPENDENTLY RE-VERIFIED 2026-09-15 (second reader, documents re-downloaded and re-read rather than taken on trust), and EXTENDED THROUGH FY2024, which the earlier pass had left open:
- 31 March 2022 edition (91 pages, https://www.nomuranow.com/portal/site/public/en-gb/resources/upload/nomura-europe-holdings-plc-annual-pillar-3-disclosures-310322.pdf), Scope of Application, PDF p.6: "NBI and NFPE were previously considered 'significant subsidiaries' and previously disclosed. However, along with the other regulated subsidiaries, they are not considered to be large subsidiaries as at 31st March 2022 and are therefore not disclosed in this document." Its own capital template is headed "CC1 - Composition of regulatory own funds for the Group and NIP" (PDF p.13) and has Group and NIP columns only.
- 31 March 2024 edition (120 pages, https://www.nomuranow.com/portal/site/public/en-gb/resources/upload/nomura-europe-holdings-plc-annual-pillar-3-disclosures-310324.pdf), same section, PDF p.6: "Other regulated subsidiaries included in the Group are Nomura Bank International Plc ('NBI'), Nomura Financial Products Europe GmbH ('NFPE'), Nomura Bank Luxembourg S.A. ('NBL'), Banque Nomura France S.A. ('BNF'), Nomura Alternative Investment Management France S.A.S ('NAIM') and Nomura Bank Switzerland Ltd ('NBS'). They are not considered to be large subsidiaries as at 31st March 2024 and are therefore not disclosed in this document." Its CC1 is likewise headed "...for the Group and NIP" (PDF p.16). The 31 March 2023 edition (https://www.nomuranow.com/portal/site/public/en-gb/resources/upload/nomura-europe-holdings-plc-annual-pillar-3-disclosures-310323.pdf) carries the equivalent wording for 31st March 2023.</t>
        </is>
      </c>
    </row>
    <row r="10" ht="260" customHeight="1">
      <c r="A10" s="8" t="inlineStr">
        <is>
          <t>(continued)
- FY2025 CORRECTED 2026-09-18 (GA-005). A previous revision of this note said the FY2025 and FY2026 editions were "not published at the expected addresses at all", on the strength of 404s for nomura-europe-holdings-plc-annual-pillar-3-disclosures-310325.pdf and -310326.pdf, and concluded that for those two years "there is not even a group document to exclude NBI from". That was wrong for FY2025. The parent changed its filename convention from the 31 March 2025 edition onward, inserting "Group-" and switching to Title-Case, so the 404s were evidence about the guessed path rather than about the bank. The FY2025 edition is live at https://www.nomuranow.com/portal/site/public/en-gb/resources/upload/Nomura-Europe-Holdings-plc-Group-Annual-Pillar-3-Disclosures-310325.pdf (119 pages, Last-Modified 25 Sep 2025, verified HTTP 200 / application/pdf / %PDF). Its Scope of Application, printed p.5, states: "Other regulated subsidiaries of the Group are not considered to be large subsidiaries as of 31st March 2025 and are therefore not disclosed in this document. This includes Nomura Bank International Plc ('NBI')...". It prints UK KM1 for the Group (printed p.9) and for NIP (printed p.10) only, and carries no NBI column. The 30 September 2025 semi-annual (https://www.nomuranow.com/portal/site/public/en-gb/resources/upload/Nomura-Europe-Holdings-plc-Group-Semi-Annual-Pillar-3-Disclosures-300925.pdf) and the 31 December 2025 quarterly (https://www.nomuranow.com/portal/site/public/en-gb/resources/upload/Nomura-Europe-Holdings-plc-Group-Quarterly-Pillar-3-Disclosures-311225.pdf, the newest parent edition of any frequency, Last-Modified 24 Apr 2026) carry the same exclusion wording at their own dates.
- The 31 MARCH 2026 annual edition had not been published as at 2026-09-18: twelve filename variants, including the corrected "Group-" convention, were probed under both the /portal/site/public/ and /portal/site/login/ prefixes and all returned 404 in the same run in which the FY2025 annual, the Sep-2025 semi-annual and the Dec-2025 quarterly each returned 200. The FY2025 annual appeared about six months after its year-end, so a FY2026 annual would be due at about the date of this check. That is a dated expectation, not a finding of absence, and it is the one item here worth re-probing.
NET EFFECT: the NEHS significant-subsidiary route yields NBI figures for FY2021 and for FY2021 only. FY2022 through FY2025 are now a SOURCED structural negative across the board - for each of those years the group report exists, names NBI, and says in terms that it is not disclosing it. FY2026 has no parent edition yet. None of this is an access problem. The FY2022-FY2025 blanks should not be re-chased; the FY2026 parent edition should be re-probed once published, though on four consecutive years of identical exclusion wording it is not expected to disclose NBI either.</t>
        </is>
      </c>
    </row>
  </sheetData>
  <mergeCells count="3">
    <mergeCell ref="A8:G8"/>
    <mergeCell ref="A6:G6"/>
    <mergeCell ref="A10:G10"/>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3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18" customWidth="1" min="2" max="2"/>
    <col width="34" customWidth="1" min="3" max="3"/>
    <col width="15" customWidth="1" min="4" max="4"/>
    <col width="15" customWidth="1" min="5" max="5"/>
    <col width="15" customWidth="1" min="6" max="6"/>
    <col width="15" customWidth="1" min="7" max="7"/>
    <col width="15" customWidth="1" min="8" max="8"/>
  </cols>
  <sheetData>
    <row r="1">
      <c r="A1" s="1" t="inlineStr">
        <is>
          <t>Nomura Bank International plc — Interim Pillar 3</t>
        </is>
      </c>
    </row>
    <row r="2">
      <c r="A2" s="2" t="inlineStr">
        <is>
          <t>September interim disclosures; standalone Bank basis</t>
        </is>
      </c>
    </row>
    <row r="3"/>
    <row r="4">
      <c r="A4" s="4" t="inlineStr">
        <is>
          <t>Metric</t>
        </is>
      </c>
      <c r="B4" s="4" t="inlineStr">
        <is>
          <t>Unit</t>
        </is>
      </c>
      <c r="C4" s="4" t="inlineStr">
        <is>
          <t>Basis</t>
        </is>
      </c>
      <c r="D4" s="4" t="inlineStr">
        <is>
          <t>Sep-2025</t>
        </is>
      </c>
      <c r="E4" s="4" t="inlineStr">
        <is>
          <t>Sep-2024</t>
        </is>
      </c>
      <c r="F4" s="4" t="inlineStr">
        <is>
          <t>Sep-2023</t>
        </is>
      </c>
      <c r="G4" s="4" t="inlineStr">
        <is>
          <t>Sep-2022</t>
        </is>
      </c>
      <c r="H4" s="4" t="inlineStr">
        <is>
          <t>Sep-2021</t>
        </is>
      </c>
    </row>
    <row r="5">
      <c r="A5" s="7" t="inlineStr">
        <is>
          <t>Profit before tax</t>
        </is>
      </c>
      <c r="B5" s="7" t="inlineStr">
        <is>
          <t>$'000</t>
        </is>
      </c>
      <c r="C5" s="7" t="inlineStr">
        <is>
          <t>Standalone Bank</t>
        </is>
      </c>
      <c r="D5" s="9" t="n">
        <v>6697</v>
      </c>
      <c r="E5" s="9" t="n">
        <v>6377</v>
      </c>
      <c r="F5" s="9" t="n">
        <v>4228</v>
      </c>
      <c r="G5" s="9" t="n">
        <v>4341</v>
      </c>
      <c r="H5" s="9" t="n">
        <v>9579</v>
      </c>
    </row>
    <row r="6">
      <c r="A6" s="7" t="inlineStr">
        <is>
          <t>Profit for the period</t>
        </is>
      </c>
      <c r="B6" s="7" t="inlineStr">
        <is>
          <t>$'000</t>
        </is>
      </c>
      <c r="C6" s="7" t="inlineStr">
        <is>
          <t>Standalone Bank</t>
        </is>
      </c>
      <c r="D6" s="9" t="n">
        <v>5023</v>
      </c>
      <c r="E6" s="9" t="n">
        <v>4783</v>
      </c>
      <c r="F6" s="9" t="n">
        <v>3187</v>
      </c>
      <c r="G6" s="9" t="n">
        <v>3516</v>
      </c>
      <c r="H6" s="9" t="n">
        <v>7759</v>
      </c>
    </row>
    <row r="7">
      <c r="A7" s="7" t="inlineStr">
        <is>
          <t>Total assets</t>
        </is>
      </c>
      <c r="B7" s="7" t="inlineStr">
        <is>
          <t>$'000</t>
        </is>
      </c>
      <c r="C7" s="7" t="inlineStr">
        <is>
          <t>Standalone Bank</t>
        </is>
      </c>
      <c r="D7" s="9" t="n">
        <v>9206874</v>
      </c>
      <c r="E7" s="9" t="n">
        <v>7151199</v>
      </c>
      <c r="F7" s="9" t="n">
        <v>6422803</v>
      </c>
      <c r="G7" s="9" t="n">
        <v>5427698</v>
      </c>
      <c r="H7" s="9" t="n">
        <v>6349266</v>
      </c>
    </row>
    <row r="8">
      <c r="A8" s="7" t="inlineStr">
        <is>
          <t>Total equity</t>
        </is>
      </c>
      <c r="B8" s="7" t="inlineStr">
        <is>
          <t>$'000</t>
        </is>
      </c>
      <c r="C8" s="7" t="inlineStr">
        <is>
          <t>Standalone Bank</t>
        </is>
      </c>
      <c r="D8" s="9" t="n">
        <v>126721</v>
      </c>
      <c r="E8" s="9" t="n">
        <v>271396</v>
      </c>
      <c r="F8" s="9" t="n">
        <v>296505</v>
      </c>
      <c r="G8" s="9" t="n">
        <v>356030</v>
      </c>
      <c r="H8" s="9" t="n">
        <v>171698</v>
      </c>
    </row>
    <row r="9">
      <c r="A9" s="7" t="inlineStr">
        <is>
          <t>CET1 Capital</t>
        </is>
      </c>
      <c r="B9" s="7" t="inlineStr">
        <is>
          <t>$m</t>
        </is>
      </c>
      <c r="C9" s="7" t="inlineStr">
        <is>
          <t>Standalone Bank</t>
        </is>
      </c>
      <c r="D9" s="9" t="inlineStr">
        <is>
          <t>Not disclosed</t>
        </is>
      </c>
      <c r="E9" s="9" t="inlineStr">
        <is>
          <t>Not disclosed</t>
        </is>
      </c>
      <c r="F9" s="9" t="inlineStr">
        <is>
          <t>Not disclosed</t>
        </is>
      </c>
      <c r="G9" s="9" t="inlineStr">
        <is>
          <t>Not disclosed</t>
        </is>
      </c>
      <c r="H9" s="9" t="n">
        <v>159</v>
      </c>
    </row>
    <row r="10">
      <c r="A10" s="7" t="inlineStr">
        <is>
          <t>Tier 1 Capital</t>
        </is>
      </c>
      <c r="B10" s="7" t="inlineStr">
        <is>
          <t>$m</t>
        </is>
      </c>
      <c r="C10" s="7" t="inlineStr">
        <is>
          <t>Standalone Bank</t>
        </is>
      </c>
      <c r="D10" s="9" t="inlineStr">
        <is>
          <t>Not disclosed</t>
        </is>
      </c>
      <c r="E10" s="9" t="inlineStr">
        <is>
          <t>Not disclosed</t>
        </is>
      </c>
      <c r="F10" s="9" t="inlineStr">
        <is>
          <t>Not disclosed</t>
        </is>
      </c>
      <c r="G10" s="9" t="inlineStr">
        <is>
          <t>Not disclosed</t>
        </is>
      </c>
      <c r="H10" s="9" t="n">
        <v>267</v>
      </c>
    </row>
    <row r="11">
      <c r="A11" s="7" t="inlineStr">
        <is>
          <t>Total Capital</t>
        </is>
      </c>
      <c r="B11" s="7" t="inlineStr">
        <is>
          <t>$m</t>
        </is>
      </c>
      <c r="C11" s="7" t="inlineStr">
        <is>
          <t>Standalone Bank</t>
        </is>
      </c>
      <c r="D11" s="9" t="inlineStr">
        <is>
          <t>Not disclosed</t>
        </is>
      </c>
      <c r="E11" s="9" t="inlineStr">
        <is>
          <t>Not disclosed</t>
        </is>
      </c>
      <c r="F11" s="9" t="inlineStr">
        <is>
          <t>Not disclosed</t>
        </is>
      </c>
      <c r="G11" s="9" t="inlineStr">
        <is>
          <t>Not disclosed</t>
        </is>
      </c>
      <c r="H11" s="9" t="n">
        <v>267</v>
      </c>
    </row>
    <row r="12">
      <c r="A12" s="7" t="inlineStr">
        <is>
          <t>Tier 1 Ratio</t>
        </is>
      </c>
      <c r="B12" s="7" t="inlineStr">
        <is>
          <t>%</t>
        </is>
      </c>
      <c r="C12" s="7" t="inlineStr">
        <is>
          <t>Standalone Bank</t>
        </is>
      </c>
      <c r="D12" s="9" t="inlineStr">
        <is>
          <t>Not disclosed</t>
        </is>
      </c>
      <c r="E12" s="9" t="inlineStr">
        <is>
          <t>Not disclosed</t>
        </is>
      </c>
      <c r="F12" s="9" t="inlineStr">
        <is>
          <t>Not disclosed</t>
        </is>
      </c>
      <c r="G12" s="9" t="inlineStr">
        <is>
          <t>Not disclosed</t>
        </is>
      </c>
      <c r="H12" s="9" t="n">
        <v>293.99</v>
      </c>
    </row>
    <row r="13">
      <c r="A13" s="7" t="inlineStr">
        <is>
          <t>Total Capital Ratio</t>
        </is>
      </c>
      <c r="B13" s="7" t="inlineStr">
        <is>
          <t>%</t>
        </is>
      </c>
      <c r="C13" s="7" t="inlineStr">
        <is>
          <t>Standalone Bank</t>
        </is>
      </c>
      <c r="D13" s="9" t="inlineStr">
        <is>
          <t>Not disclosed</t>
        </is>
      </c>
      <c r="E13" s="9" t="inlineStr">
        <is>
          <t>Not disclosed</t>
        </is>
      </c>
      <c r="F13" s="9" t="inlineStr">
        <is>
          <t>Not disclosed</t>
        </is>
      </c>
      <c r="G13" s="9" t="inlineStr">
        <is>
          <t>Not disclosed</t>
        </is>
      </c>
      <c r="H13" s="9" t="n">
        <v>293.99</v>
      </c>
    </row>
    <row r="16">
      <c r="A16" s="2" t="inlineStr">
        <is>
          <t>Source register</t>
        </is>
      </c>
    </row>
    <row r="17">
      <c r="A17" s="4" t="inlineStr">
        <is>
          <t>Period</t>
        </is>
      </c>
      <c r="B17" s="4" t="inlineStr">
        <is>
          <t>Disclosure type</t>
        </is>
      </c>
      <c r="C17" s="4" t="inlineStr">
        <is>
          <t>Source document</t>
        </is>
      </c>
      <c r="D17" s="4" t="inlineStr">
        <is>
          <t>Page / table</t>
        </is>
      </c>
    </row>
    <row r="18">
      <c r="A18" s="7" t="inlineStr">
        <is>
          <t>Sep-2025</t>
        </is>
      </c>
      <c r="B18" s="7" t="inlineStr">
        <is>
          <t>Interim financial statement</t>
        </is>
      </c>
      <c r="C18" s="9" t="inlineStr">
        <is>
          <t>https://www.nomuranow.com/portal/site/public/en-gb/resources/upload/NBI-Interim-Report-Sep2025.pdf</t>
        </is>
      </c>
      <c r="D18" s="7" t="inlineStr">
        <is>
          <t>p.11</t>
        </is>
      </c>
    </row>
    <row r="19">
      <c r="A19" s="7" t="inlineStr">
        <is>
          <t>Sep-2025</t>
        </is>
      </c>
      <c r="B19" s="7" t="inlineStr">
        <is>
          <t>Interim financial statement</t>
        </is>
      </c>
      <c r="C19" s="9" t="inlineStr">
        <is>
          <t>https://www.nomuranow.com/portal/site/public/en-gb/resources/upload/NBI-Interim-Report-Sep2025.pdf</t>
        </is>
      </c>
      <c r="D19" s="7" t="inlineStr">
        <is>
          <t>p.10</t>
        </is>
      </c>
    </row>
    <row r="20">
      <c r="A20" s="7" t="inlineStr">
        <is>
          <t>Sep-2024</t>
        </is>
      </c>
      <c r="B20" s="7" t="inlineStr">
        <is>
          <t>Interim financial statement</t>
        </is>
      </c>
      <c r="C20" s="9" t="inlineStr">
        <is>
          <t>https://www.nomuranow.com/portal/site/public/en-gb/resources/upload/NBI-Interims-September-2024-Accounts-Branded.pdf</t>
        </is>
      </c>
      <c r="D20" s="7" t="inlineStr">
        <is>
          <t>p.9</t>
        </is>
      </c>
    </row>
    <row r="21">
      <c r="A21" s="7" t="inlineStr">
        <is>
          <t>Sep-2024</t>
        </is>
      </c>
      <c r="B21" s="7" t="inlineStr">
        <is>
          <t>Interim financial statement</t>
        </is>
      </c>
      <c r="C21" s="9" t="inlineStr">
        <is>
          <t>https://www.nomuranow.com/portal/site/public/en-gb/resources/upload/NBI-Interims-September-2024-Accounts-Branded.pdf</t>
        </is>
      </c>
      <c r="D21" s="7" t="inlineStr">
        <is>
          <t>p.12</t>
        </is>
      </c>
    </row>
    <row r="22">
      <c r="A22" s="7" t="inlineStr">
        <is>
          <t>Sep-2023</t>
        </is>
      </c>
      <c r="B22" s="7" t="inlineStr">
        <is>
          <t>Interim financial statement</t>
        </is>
      </c>
      <c r="C22" s="9" t="inlineStr">
        <is>
          <t>https://www.nomuranow.com/portal/site/public/en-gb/resources/upload/NBI-Interim-Report-Sep2023.pdf</t>
        </is>
      </c>
      <c r="D22" s="7" t="inlineStr">
        <is>
          <t>p.11</t>
        </is>
      </c>
    </row>
    <row r="23">
      <c r="A23" s="7" t="inlineStr">
        <is>
          <t>Sep-2023</t>
        </is>
      </c>
      <c r="B23" s="7" t="inlineStr">
        <is>
          <t>Interim financial statement</t>
        </is>
      </c>
      <c r="C23" s="9" t="inlineStr">
        <is>
          <t>https://www.nomuranow.com/portal/site/public/en-gb/resources/upload/NBI-Interim-Report-Sep2023.pdf</t>
        </is>
      </c>
      <c r="D23" s="7" t="inlineStr">
        <is>
          <t>p.14</t>
        </is>
      </c>
    </row>
    <row r="24">
      <c r="A24" s="7" t="inlineStr">
        <is>
          <t>Sep-2022</t>
        </is>
      </c>
      <c r="B24" s="7" t="inlineStr">
        <is>
          <t>Interim financial statement</t>
        </is>
      </c>
      <c r="C24" s="9" t="inlineStr">
        <is>
          <t>https://www.nomuranow.com/portal/site/public/en-gb/resources/upload/NBI-Interim-Report-Sep2022.pdf</t>
        </is>
      </c>
      <c r="D24" s="7" t="inlineStr">
        <is>
          <t>p.11</t>
        </is>
      </c>
    </row>
    <row r="25">
      <c r="A25" s="7" t="inlineStr">
        <is>
          <t>Sep-2022</t>
        </is>
      </c>
      <c r="B25" s="7" t="inlineStr">
        <is>
          <t>Interim financial statement</t>
        </is>
      </c>
      <c r="C25" s="9" t="inlineStr">
        <is>
          <t>https://www.nomuranow.com/portal/site/public/en-gb/resources/upload/NBI-Interim-Report-Sep2022.pdf</t>
        </is>
      </c>
      <c r="D25" s="7" t="inlineStr">
        <is>
          <t>p.14</t>
        </is>
      </c>
    </row>
    <row r="26">
      <c r="A26" s="7" t="inlineStr">
        <is>
          <t>Sep-2021</t>
        </is>
      </c>
      <c r="B26" s="7" t="inlineStr">
        <is>
          <t>Interim financial statement</t>
        </is>
      </c>
      <c r="C26" s="9" t="inlineStr">
        <is>
          <t>https://www.nomuranow.com/portal/site/public/en-gb/resources/upload/NBI-Interim-Report-Sep2021.pdf</t>
        </is>
      </c>
      <c r="D26" s="7" t="inlineStr">
        <is>
          <t>p.12</t>
        </is>
      </c>
    </row>
    <row r="27">
      <c r="A27" s="7" t="inlineStr">
        <is>
          <t>Sep-2021</t>
        </is>
      </c>
      <c r="B27" s="7" t="inlineStr">
        <is>
          <t>Interim financial statement</t>
        </is>
      </c>
      <c r="C27" s="9" t="inlineStr">
        <is>
          <t>https://www.nomuranow.com/portal/site/public/en-gb/resources/upload/NBI-Interim-Report-Sep2021.pdf</t>
        </is>
      </c>
      <c r="D27" s="7" t="inlineStr">
        <is>
          <t>p.15</t>
        </is>
      </c>
    </row>
    <row r="28">
      <c r="A28" s="7" t="inlineStr">
        <is>
          <t>Sep-2021</t>
        </is>
      </c>
      <c r="B28" s="7" t="inlineStr">
        <is>
          <t>Pillar 3 — standalone subsidiary table</t>
        </is>
      </c>
      <c r="C28" s="9" t="inlineStr">
        <is>
          <t>https://www.nomuranow.com/portal/site/public/en-gb/resources/upload/nomura-europe-holdings-plc-semi-annual-pillar-3-disclosures-300921.pdf</t>
        </is>
      </c>
      <c r="D28" s="7" t="inlineStr">
        <is>
          <t>p.4, CC1</t>
        </is>
      </c>
    </row>
    <row r="29">
      <c r="A29" s="7" t="inlineStr">
        <is>
          <t>Sep-2025</t>
        </is>
      </c>
      <c r="B29" s="7" t="inlineStr">
        <is>
          <t>Pillar 3 — not separately disclosed</t>
        </is>
      </c>
      <c r="C29" s="9" t="inlineStr">
        <is>
          <t>https://www.nomuranow.com/portal/site/public/en-gb/resources/upload/NBI-Interim-Report-Sep2025.pdf</t>
        </is>
      </c>
      <c r="D29" s="7" t="inlineStr">
        <is>
          <t>p.4, regulatory disclosure section</t>
        </is>
      </c>
    </row>
    <row r="30">
      <c r="A30" s="7" t="inlineStr">
        <is>
          <t>Sep-2024</t>
        </is>
      </c>
      <c r="B30" s="7" t="inlineStr">
        <is>
          <t>Pillar 3 — not separately disclosed</t>
        </is>
      </c>
      <c r="C30" s="9" t="inlineStr">
        <is>
          <t>https://www.nomuranow.com/portal/site/public/en-gb/resources/upload/NBI-Interims-September-2024-Accounts-Branded.pdf</t>
        </is>
      </c>
      <c r="D30" s="7" t="inlineStr">
        <is>
          <t>p.4, regulatory disclosure section</t>
        </is>
      </c>
    </row>
    <row r="31">
      <c r="A31" s="7" t="inlineStr">
        <is>
          <t>Sep-2023</t>
        </is>
      </c>
      <c r="B31" s="7" t="inlineStr">
        <is>
          <t>Pillar 3 — not separately disclosed</t>
        </is>
      </c>
      <c r="C31" s="9" t="inlineStr">
        <is>
          <t>https://www.nomuranow.com/portal/site/public/en-gb/resources/upload/NBI-Interim-Report-Sep2023.pdf</t>
        </is>
      </c>
      <c r="D31" s="7" t="inlineStr">
        <is>
          <t>p.4, regulatory disclosure section</t>
        </is>
      </c>
    </row>
    <row r="32">
      <c r="A32" s="7" t="inlineStr">
        <is>
          <t>Sep-2022</t>
        </is>
      </c>
      <c r="B32" s="7" t="inlineStr">
        <is>
          <t>Pillar 3 — not separately disclosed</t>
        </is>
      </c>
      <c r="C32" s="9" t="inlineStr">
        <is>
          <t>https://www.nomuranow.com/portal/site/public/en-gb/resources/upload/NBI-Interim-Report-Sep2022.pdf</t>
        </is>
      </c>
      <c r="D32" s="7" t="inlineStr">
        <is>
          <t>p.4, regulatory disclosure section</t>
        </is>
      </c>
    </row>
    <row r="34" ht="104" customHeight="1">
      <c r="A34" s="8" t="inlineStr">
        <is>
          <t>Note: The September 2021 Nomura Europe Holdings plc Pillar 3 report separately disclosed NBI as a material subsidiary. The 2022–2025 NBI interim reports are entity-level financial statements but do not contain a standalone Pillar 3 KM1 table; these interim financial-statement metrics are included for completeness, while later standalone Pillar 3 gaps are explicitly recorded.
SEP-2025 UPGRADED FROM ASSERTION TO SOURCED FINDING, 2026-09-18 (GA-005). The five "Pillar 3 — not separately disclosed" rows for Sep-2025 previously rested on the absence of a standalone NBI interim Pillar 3. The parent's own 30 September 2025 semi-annual Pillar 3 has since been recovered (https://www.nomuranow.com/portal/site/public/en-gb/resources/upload/Nomura-Europe-Holdings-plc-Group-Semi-Annual-Pillar-3-Disclosures-300925.pdf, 42 pages, Last-Modified 9 Feb 2026, verified HTTP 200 / application/pdf / %PDF) and read. Its Scope of Application, printed p.3, states that the Group's other regulated subsidiaries "are not considered to be large subsidiaries as of 30th September 2025 and are therefore not disclosed in this document. This includes Nomura Bank International Plc ('NBI')". It prints UK KM1 for the Group (printed p.4) and for NIP (printed p.5) only, with no NBI column anywhere. So the Sep-2025 non-disclosure is now an affirmative, dated statement by the parent rather than an inference from an absent document. The same wording appears in the 31 December 2025 quarterly edition, the newest parent edition of any frequency.</t>
        </is>
      </c>
    </row>
  </sheetData>
  <mergeCells count="1">
    <mergeCell ref="A34:H34"/>
  </mergeCells>
  <hyperlinks>
    <hyperlink xmlns:r="http://schemas.openxmlformats.org/officeDocument/2006/relationships" ref="D5" r:id="rId1"/>
    <hyperlink xmlns:r="http://schemas.openxmlformats.org/officeDocument/2006/relationships" ref="E5" r:id="rId2"/>
    <hyperlink xmlns:r="http://schemas.openxmlformats.org/officeDocument/2006/relationships" ref="F5" r:id="rId3"/>
    <hyperlink xmlns:r="http://schemas.openxmlformats.org/officeDocument/2006/relationships" ref="G5" r:id="rId4"/>
    <hyperlink xmlns:r="http://schemas.openxmlformats.org/officeDocument/2006/relationships" ref="H5" r:id="rId5"/>
    <hyperlink xmlns:r="http://schemas.openxmlformats.org/officeDocument/2006/relationships" ref="D6" r:id="rId6"/>
    <hyperlink xmlns:r="http://schemas.openxmlformats.org/officeDocument/2006/relationships" ref="E6" r:id="rId7"/>
    <hyperlink xmlns:r="http://schemas.openxmlformats.org/officeDocument/2006/relationships" ref="F6" r:id="rId8"/>
    <hyperlink xmlns:r="http://schemas.openxmlformats.org/officeDocument/2006/relationships" ref="G6" r:id="rId9"/>
    <hyperlink xmlns:r="http://schemas.openxmlformats.org/officeDocument/2006/relationships" ref="H6" r:id="rId10"/>
    <hyperlink xmlns:r="http://schemas.openxmlformats.org/officeDocument/2006/relationships" ref="D7" r:id="rId11"/>
    <hyperlink xmlns:r="http://schemas.openxmlformats.org/officeDocument/2006/relationships" ref="E7" r:id="rId12"/>
    <hyperlink xmlns:r="http://schemas.openxmlformats.org/officeDocument/2006/relationships" ref="F7" r:id="rId13"/>
    <hyperlink xmlns:r="http://schemas.openxmlformats.org/officeDocument/2006/relationships" ref="G7" r:id="rId14"/>
    <hyperlink xmlns:r="http://schemas.openxmlformats.org/officeDocument/2006/relationships" ref="H7" r:id="rId15"/>
    <hyperlink xmlns:r="http://schemas.openxmlformats.org/officeDocument/2006/relationships" ref="D8" r:id="rId16"/>
    <hyperlink xmlns:r="http://schemas.openxmlformats.org/officeDocument/2006/relationships" ref="E8" r:id="rId17"/>
    <hyperlink xmlns:r="http://schemas.openxmlformats.org/officeDocument/2006/relationships" ref="F8" r:id="rId18"/>
    <hyperlink xmlns:r="http://schemas.openxmlformats.org/officeDocument/2006/relationships" ref="G8" r:id="rId19"/>
    <hyperlink xmlns:r="http://schemas.openxmlformats.org/officeDocument/2006/relationships" ref="H8" r:id="rId20"/>
    <hyperlink xmlns:r="http://schemas.openxmlformats.org/officeDocument/2006/relationships" ref="D9" r:id="rId21"/>
    <hyperlink xmlns:r="http://schemas.openxmlformats.org/officeDocument/2006/relationships" ref="E9" r:id="rId22"/>
    <hyperlink xmlns:r="http://schemas.openxmlformats.org/officeDocument/2006/relationships" ref="F9" r:id="rId23"/>
    <hyperlink xmlns:r="http://schemas.openxmlformats.org/officeDocument/2006/relationships" ref="G9" r:id="rId24"/>
    <hyperlink xmlns:r="http://schemas.openxmlformats.org/officeDocument/2006/relationships" ref="H9" r:id="rId25"/>
    <hyperlink xmlns:r="http://schemas.openxmlformats.org/officeDocument/2006/relationships" ref="D10" r:id="rId26"/>
    <hyperlink xmlns:r="http://schemas.openxmlformats.org/officeDocument/2006/relationships" ref="E10" r:id="rId27"/>
    <hyperlink xmlns:r="http://schemas.openxmlformats.org/officeDocument/2006/relationships" ref="F10" r:id="rId28"/>
    <hyperlink xmlns:r="http://schemas.openxmlformats.org/officeDocument/2006/relationships" ref="G10" r:id="rId29"/>
    <hyperlink xmlns:r="http://schemas.openxmlformats.org/officeDocument/2006/relationships" ref="H10" r:id="rId30"/>
    <hyperlink xmlns:r="http://schemas.openxmlformats.org/officeDocument/2006/relationships" ref="D11" r:id="rId31"/>
    <hyperlink xmlns:r="http://schemas.openxmlformats.org/officeDocument/2006/relationships" ref="E11" r:id="rId32"/>
    <hyperlink xmlns:r="http://schemas.openxmlformats.org/officeDocument/2006/relationships" ref="F11" r:id="rId33"/>
    <hyperlink xmlns:r="http://schemas.openxmlformats.org/officeDocument/2006/relationships" ref="G11" r:id="rId34"/>
    <hyperlink xmlns:r="http://schemas.openxmlformats.org/officeDocument/2006/relationships" ref="H11" r:id="rId35"/>
    <hyperlink xmlns:r="http://schemas.openxmlformats.org/officeDocument/2006/relationships" ref="D12" r:id="rId36"/>
    <hyperlink xmlns:r="http://schemas.openxmlformats.org/officeDocument/2006/relationships" ref="E12" r:id="rId37"/>
    <hyperlink xmlns:r="http://schemas.openxmlformats.org/officeDocument/2006/relationships" ref="F12" r:id="rId38"/>
    <hyperlink xmlns:r="http://schemas.openxmlformats.org/officeDocument/2006/relationships" ref="G12" r:id="rId39"/>
    <hyperlink xmlns:r="http://schemas.openxmlformats.org/officeDocument/2006/relationships" ref="H12" r:id="rId40"/>
    <hyperlink xmlns:r="http://schemas.openxmlformats.org/officeDocument/2006/relationships" ref="D13" r:id="rId41"/>
    <hyperlink xmlns:r="http://schemas.openxmlformats.org/officeDocument/2006/relationships" ref="E13" r:id="rId42"/>
    <hyperlink xmlns:r="http://schemas.openxmlformats.org/officeDocument/2006/relationships" ref="F13" r:id="rId43"/>
    <hyperlink xmlns:r="http://schemas.openxmlformats.org/officeDocument/2006/relationships" ref="G13" r:id="rId44"/>
    <hyperlink xmlns:r="http://schemas.openxmlformats.org/officeDocument/2006/relationships" ref="H13" r:id="rId45"/>
    <hyperlink xmlns:r="http://schemas.openxmlformats.org/officeDocument/2006/relationships" ref="C18" r:id="rId46"/>
    <hyperlink xmlns:r="http://schemas.openxmlformats.org/officeDocument/2006/relationships" ref="C19" r:id="rId47"/>
    <hyperlink xmlns:r="http://schemas.openxmlformats.org/officeDocument/2006/relationships" ref="C20" r:id="rId48"/>
    <hyperlink xmlns:r="http://schemas.openxmlformats.org/officeDocument/2006/relationships" ref="C21" r:id="rId49"/>
    <hyperlink xmlns:r="http://schemas.openxmlformats.org/officeDocument/2006/relationships" ref="C22" r:id="rId50"/>
    <hyperlink xmlns:r="http://schemas.openxmlformats.org/officeDocument/2006/relationships" ref="C23" r:id="rId51"/>
    <hyperlink xmlns:r="http://schemas.openxmlformats.org/officeDocument/2006/relationships" ref="C24" r:id="rId52"/>
    <hyperlink xmlns:r="http://schemas.openxmlformats.org/officeDocument/2006/relationships" ref="C25" r:id="rId53"/>
    <hyperlink xmlns:r="http://schemas.openxmlformats.org/officeDocument/2006/relationships" ref="C26" r:id="rId54"/>
    <hyperlink xmlns:r="http://schemas.openxmlformats.org/officeDocument/2006/relationships" ref="C27" r:id="rId55"/>
    <hyperlink xmlns:r="http://schemas.openxmlformats.org/officeDocument/2006/relationships" ref="C28" r:id="rId56"/>
    <hyperlink xmlns:r="http://schemas.openxmlformats.org/officeDocument/2006/relationships" ref="C29" r:id="rId57"/>
    <hyperlink xmlns:r="http://schemas.openxmlformats.org/officeDocument/2006/relationships" ref="C30" r:id="rId58"/>
    <hyperlink xmlns:r="http://schemas.openxmlformats.org/officeDocument/2006/relationships" ref="C31" r:id="rId59"/>
    <hyperlink xmlns:r="http://schemas.openxmlformats.org/officeDocument/2006/relationships" ref="C32" r:id="rId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2026-10-26T09:36:12Z</dcterms:created>
  <dcterms:modified xmlns:dcterms="http://purl.org/dc/terms/" xmlns:xsi="http://www.w3.org/2001/XMLSchema-instance" xsi:type="dcterms:W3CDTF">2026-10-26T09:36:12Z</dcterms:modified>
</cp:coreProperties>
</file>