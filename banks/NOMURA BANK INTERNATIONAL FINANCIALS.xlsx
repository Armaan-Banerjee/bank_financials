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6B2D5C"/>
        <bgColor rgb="006B2D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ser>
          <idx val="3"/>
          <order val="3"/>
          <tx>
            <strRef>
              <f>'Overview'!S16</f>
            </strRef>
          </tx>
          <spPr>
            <a:ln xmlns:a="http://schemas.openxmlformats.org/drawingml/2006/main">
              <a:prstDash val="solid"/>
            </a:ln>
          </spPr>
          <cat>
            <numRef>
              <f>'Overview'!$T$12:$Y$12</f>
            </numRef>
          </cat>
          <val>
            <numRef>
              <f>'Overview'!$T$16:$Y$16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'Overview'!AB20</f>
            </strRef>
          </tx>
          <spPr>
            <a:ln xmlns:a="http://schemas.openxmlformats.org/drawingml/2006/main">
              <a:prstDash val="solid"/>
            </a:ln>
          </spPr>
          <cat>
            <numRef>
              <f>'Overview'!$AC$19:$AH$19</f>
            </numRef>
          </cat>
          <val>
            <numRef>
              <f>'Overview'!$AC$20:$AH$20</f>
            </numRef>
          </val>
        </ser>
        <ser>
          <idx val="1"/>
          <order val="1"/>
          <tx>
            <strRef>
              <f>'Overview'!AB21</f>
            </strRef>
          </tx>
          <spPr>
            <a:ln xmlns:a="http://schemas.openxmlformats.org/drawingml/2006/main">
              <a:prstDash val="solid"/>
            </a:ln>
          </spPr>
          <cat>
            <numRef>
              <f>'Overview'!$AC$19:$AH$19</f>
            </numRef>
          </cat>
          <val>
            <numRef>
              <f>'Overview'!$AC$21:$AH$21</f>
            </numRef>
          </val>
        </ser>
        <ser>
          <idx val="2"/>
          <order val="2"/>
          <tx>
            <strRef>
              <f>'Overview'!AB22</f>
            </strRef>
          </tx>
          <spPr>
            <a:ln xmlns:a="http://schemas.openxmlformats.org/drawingml/2006/main">
              <a:prstDash val="solid"/>
            </a:ln>
          </spPr>
          <cat>
            <numRef>
              <f>'Overview'!$AC$19:$AH$19</f>
            </numRef>
          </cat>
          <val>
            <numRef>
              <f>'Overview'!$AC$22:$AH$22</f>
            </numRef>
          </val>
        </ser>
        <ser>
          <idx val="3"/>
          <order val="3"/>
          <tx>
            <strRef>
              <f>'Overview'!AB23</f>
            </strRef>
          </tx>
          <spPr>
            <a:ln xmlns:a="http://schemas.openxmlformats.org/drawingml/2006/main">
              <a:prstDash val="solid"/>
            </a:ln>
          </spPr>
          <cat>
            <numRef>
              <f>'Overview'!$AC$19:$AH$19</f>
            </numRef>
          </cat>
          <val>
            <numRef>
              <f>'Overview'!$AC$23:$AH$23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'Overview'!AK27</f>
            </strRef>
          </tx>
          <spPr>
            <a:ln xmlns:a="http://schemas.openxmlformats.org/drawingml/2006/main">
              <a:prstDash val="solid"/>
            </a:ln>
          </spPr>
          <cat>
            <numRef>
              <f>'Overview'!$AL$26:$AQ$26</f>
            </numRef>
          </cat>
          <val>
            <numRef>
              <f>'Overview'!$AL$27:$AQ$27</f>
            </numRef>
          </val>
        </ser>
        <ser>
          <idx val="1"/>
          <order val="1"/>
          <tx>
            <strRef>
              <f>'Overview'!AK28</f>
            </strRef>
          </tx>
          <spPr>
            <a:ln xmlns:a="http://schemas.openxmlformats.org/drawingml/2006/main">
              <a:prstDash val="solid"/>
            </a:ln>
          </spPr>
          <cat>
            <numRef>
              <f>'Overview'!$AL$26:$AQ$26</f>
            </numRef>
          </cat>
          <val>
            <numRef>
              <f>'Overview'!$AL$28:$AQ$28</f>
            </numRef>
          </val>
        </ser>
        <ser>
          <idx val="2"/>
          <order val="2"/>
          <tx>
            <strRef>
              <f>'Overview'!AK29</f>
            </strRef>
          </tx>
          <spPr>
            <a:ln xmlns:a="http://schemas.openxmlformats.org/drawingml/2006/main">
              <a:prstDash val="solid"/>
            </a:ln>
          </spPr>
          <cat>
            <numRef>
              <f>'Overview'!$AL$26:$AQ$26</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nomuranow.com/portal/site/public/en-gb/resources/upload/NBI-Interim-Report-Sep2025.pdf" TargetMode="External" Id="rId1"/><Relationship Type="http://schemas.openxmlformats.org/officeDocument/2006/relationships/hyperlink" Target="https://www.nomuranow.com/portal/site/public/en-gb/resources/upload/NBI-Interims-September-2024-Accounts-Branded.pdf" TargetMode="External" Id="rId2"/><Relationship Type="http://schemas.openxmlformats.org/officeDocument/2006/relationships/hyperlink" Target="https://www.nomuranow.com/portal/site/public/en-gb/resources/upload/NBI-Interim-Report-Sep2023.pdf" TargetMode="External" Id="rId3"/><Relationship Type="http://schemas.openxmlformats.org/officeDocument/2006/relationships/hyperlink" Target="https://www.nomuranow.com/portal/site/public/en-gb/resources/upload/NBI-Interim-Report-Sep2022.pdf" TargetMode="External" Id="rId4"/><Relationship Type="http://schemas.openxmlformats.org/officeDocument/2006/relationships/hyperlink" Target="https://www.nomuranow.com/portal/site/public/en-gb/resources/upload/NBI-Interim-Report-Sep2021.pdf" TargetMode="External" Id="rId5"/><Relationship Type="http://schemas.openxmlformats.org/officeDocument/2006/relationships/hyperlink" Target="https://www.nomuranow.com/portal/site/public/en-gb/resources/upload/NBI-Interim-Report-Sep2025.pdf" TargetMode="External" Id="rId6"/><Relationship Type="http://schemas.openxmlformats.org/officeDocument/2006/relationships/hyperlink" Target="https://www.nomuranow.com/portal/site/public/en-gb/resources/upload/NBI-Interims-September-2024-Accounts-Branded.pdf" TargetMode="External" Id="rId7"/><Relationship Type="http://schemas.openxmlformats.org/officeDocument/2006/relationships/hyperlink" Target="https://www.nomuranow.com/portal/site/public/en-gb/resources/upload/NBI-Interim-Report-Sep2023.pdf" TargetMode="External" Id="rId8"/><Relationship Type="http://schemas.openxmlformats.org/officeDocument/2006/relationships/hyperlink" Target="https://www.nomuranow.com/portal/site/public/en-gb/resources/upload/NBI-Interim-Report-Sep2022.pdf" TargetMode="External" Id="rId9"/><Relationship Type="http://schemas.openxmlformats.org/officeDocument/2006/relationships/hyperlink" Target="https://www.nomuranow.com/portal/site/public/en-gb/resources/upload/NBI-Interim-Report-Sep2021.pdf" TargetMode="External" Id="rId10"/><Relationship Type="http://schemas.openxmlformats.org/officeDocument/2006/relationships/hyperlink" Target="https://www.nomuranow.com/portal/site/public/en-gb/resources/upload/NBI-Interim-Report-Sep2025.pdf" TargetMode="External" Id="rId11"/><Relationship Type="http://schemas.openxmlformats.org/officeDocument/2006/relationships/hyperlink" Target="https://www.nomuranow.com/portal/site/public/en-gb/resources/upload/NBI-Interims-September-2024-Accounts-Branded.pdf" TargetMode="External" Id="rId12"/><Relationship Type="http://schemas.openxmlformats.org/officeDocument/2006/relationships/hyperlink" Target="https://www.nomuranow.com/portal/site/public/en-gb/resources/upload/NBI-Interim-Report-Sep2023.pdf" TargetMode="External" Id="rId13"/><Relationship Type="http://schemas.openxmlformats.org/officeDocument/2006/relationships/hyperlink" Target="https://www.nomuranow.com/portal/site/public/en-gb/resources/upload/NBI-Interim-Report-Sep2022.pdf" TargetMode="External" Id="rId14"/><Relationship Type="http://schemas.openxmlformats.org/officeDocument/2006/relationships/hyperlink" Target="https://www.nomuranow.com/portal/site/public/en-gb/resources/upload/NBI-Interim-Report-Sep2021.pdf" TargetMode="External" Id="rId15"/><Relationship Type="http://schemas.openxmlformats.org/officeDocument/2006/relationships/hyperlink" Target="https://www.nomuranow.com/portal/site/public/en-gb/resources/upload/NBI-Interim-Report-Sep2025.pdf" TargetMode="External" Id="rId16"/><Relationship Type="http://schemas.openxmlformats.org/officeDocument/2006/relationships/hyperlink" Target="https://www.nomuranow.com/portal/site/public/en-gb/resources/upload/NBI-Interims-September-2024-Accounts-Branded.pdf" TargetMode="External" Id="rId17"/><Relationship Type="http://schemas.openxmlformats.org/officeDocument/2006/relationships/hyperlink" Target="https://www.nomuranow.com/portal/site/public/en-gb/resources/upload/NBI-Interim-Report-Sep2023.pdf" TargetMode="External" Id="rId18"/><Relationship Type="http://schemas.openxmlformats.org/officeDocument/2006/relationships/hyperlink" Target="https://www.nomuranow.com/portal/site/public/en-gb/resources/upload/NBI-Interim-Report-Sep2022.pdf" TargetMode="External" Id="rId19"/><Relationship Type="http://schemas.openxmlformats.org/officeDocument/2006/relationships/hyperlink" Target="https://www.nomuranow.com/portal/site/public/en-gb/resources/upload/NBI-Interim-Report-Sep2021.pdf" TargetMode="External" Id="rId20"/><Relationship Type="http://schemas.openxmlformats.org/officeDocument/2006/relationships/hyperlink" Target="https://www.nomuranow.com/portal/site/public/en-gb/resources/upload/NBI-Interim-Report-Sep2025.pdf" TargetMode="External" Id="rId21"/><Relationship Type="http://schemas.openxmlformats.org/officeDocument/2006/relationships/hyperlink" Target="https://www.nomuranow.com/portal/site/public/en-gb/resources/upload/NBI-Interims-September-2024-Accounts-Branded.pdf" TargetMode="External" Id="rId22"/><Relationship Type="http://schemas.openxmlformats.org/officeDocument/2006/relationships/hyperlink" Target="https://www.nomuranow.com/portal/site/public/en-gb/resources/upload/NBI-Interim-Report-Sep2023.pdf" TargetMode="External" Id="rId23"/><Relationship Type="http://schemas.openxmlformats.org/officeDocument/2006/relationships/hyperlink" Target="https://www.nomuranow.com/portal/site/public/en-gb/resources/upload/NBI-Interim-Report-Sep2022.pdf" TargetMode="External" Id="rId24"/><Relationship Type="http://schemas.openxmlformats.org/officeDocument/2006/relationships/hyperlink" Target="https://www.nomuranow.com/portal/site/public/en-gb/resources/upload/nomura-europe-holdings-plc-semi-annual-pillar-3-disclosures-300921.pdf" TargetMode="External" Id="rId25"/><Relationship Type="http://schemas.openxmlformats.org/officeDocument/2006/relationships/hyperlink" Target="https://www.nomuranow.com/portal/site/public/en-gb/resources/upload/NBI-Interim-Report-Sep2025.pdf" TargetMode="External" Id="rId26"/><Relationship Type="http://schemas.openxmlformats.org/officeDocument/2006/relationships/hyperlink" Target="https://www.nomuranow.com/portal/site/public/en-gb/resources/upload/NBI-Interims-September-2024-Accounts-Branded.pdf" TargetMode="External" Id="rId27"/><Relationship Type="http://schemas.openxmlformats.org/officeDocument/2006/relationships/hyperlink" Target="https://www.nomuranow.com/portal/site/public/en-gb/resources/upload/NBI-Interim-Report-Sep2023.pdf" TargetMode="External" Id="rId28"/><Relationship Type="http://schemas.openxmlformats.org/officeDocument/2006/relationships/hyperlink" Target="https://www.nomuranow.com/portal/site/public/en-gb/resources/upload/NBI-Interim-Report-Sep2022.pdf" TargetMode="External" Id="rId29"/><Relationship Type="http://schemas.openxmlformats.org/officeDocument/2006/relationships/hyperlink" Target="https://www.nomuranow.com/portal/site/public/en-gb/resources/upload/nomura-europe-holdings-plc-semi-annual-pillar-3-disclosures-300921.pdf" TargetMode="External" Id="rId30"/><Relationship Type="http://schemas.openxmlformats.org/officeDocument/2006/relationships/hyperlink" Target="https://www.nomuranow.com/portal/site/public/en-gb/resources/upload/NBI-Interim-Report-Sep2025.pdf" TargetMode="External" Id="rId31"/><Relationship Type="http://schemas.openxmlformats.org/officeDocument/2006/relationships/hyperlink" Target="https://www.nomuranow.com/portal/site/public/en-gb/resources/upload/NBI-Interims-September-2024-Accounts-Branded.pdf" TargetMode="External" Id="rId32"/><Relationship Type="http://schemas.openxmlformats.org/officeDocument/2006/relationships/hyperlink" Target="https://www.nomuranow.com/portal/site/public/en-gb/resources/upload/NBI-Interim-Report-Sep2023.pdf" TargetMode="External" Id="rId33"/><Relationship Type="http://schemas.openxmlformats.org/officeDocument/2006/relationships/hyperlink" Target="https://www.nomuranow.com/portal/site/public/en-gb/resources/upload/NBI-Interim-Report-Sep2022.pdf" TargetMode="External" Id="rId34"/><Relationship Type="http://schemas.openxmlformats.org/officeDocument/2006/relationships/hyperlink" Target="https://www.nomuranow.com/portal/site/public/en-gb/resources/upload/nomura-europe-holdings-plc-semi-annual-pillar-3-disclosures-300921.pdf" TargetMode="External" Id="rId35"/><Relationship Type="http://schemas.openxmlformats.org/officeDocument/2006/relationships/hyperlink" Target="https://www.nomuranow.com/portal/site/public/en-gb/resources/upload/NBI-Interim-Report-Sep2025.pdf" TargetMode="External" Id="rId36"/><Relationship Type="http://schemas.openxmlformats.org/officeDocument/2006/relationships/hyperlink" Target="https://www.nomuranow.com/portal/site/public/en-gb/resources/upload/NBI-Interims-September-2024-Accounts-Branded.pdf" TargetMode="External" Id="rId37"/><Relationship Type="http://schemas.openxmlformats.org/officeDocument/2006/relationships/hyperlink" Target="https://www.nomuranow.com/portal/site/public/en-gb/resources/upload/NBI-Interim-Report-Sep2023.pdf" TargetMode="External" Id="rId38"/><Relationship Type="http://schemas.openxmlformats.org/officeDocument/2006/relationships/hyperlink" Target="https://www.nomuranow.com/portal/site/public/en-gb/resources/upload/NBI-Interim-Report-Sep2022.pdf" TargetMode="External" Id="rId39"/><Relationship Type="http://schemas.openxmlformats.org/officeDocument/2006/relationships/hyperlink" Target="https://www.nomuranow.com/portal/site/public/en-gb/resources/upload/nomura-europe-holdings-plc-semi-annual-pillar-3-disclosures-300921.pdf" TargetMode="External" Id="rId40"/><Relationship Type="http://schemas.openxmlformats.org/officeDocument/2006/relationships/hyperlink" Target="https://www.nomuranow.com/portal/site/public/en-gb/resources/upload/NBI-Interim-Report-Sep2025.pdf" TargetMode="External" Id="rId41"/><Relationship Type="http://schemas.openxmlformats.org/officeDocument/2006/relationships/hyperlink" Target="https://www.nomuranow.com/portal/site/public/en-gb/resources/upload/NBI-Interims-September-2024-Accounts-Branded.pdf" TargetMode="External" Id="rId42"/><Relationship Type="http://schemas.openxmlformats.org/officeDocument/2006/relationships/hyperlink" Target="https://www.nomuranow.com/portal/site/public/en-gb/resources/upload/NBI-Interim-Report-Sep2023.pdf" TargetMode="External" Id="rId43"/><Relationship Type="http://schemas.openxmlformats.org/officeDocument/2006/relationships/hyperlink" Target="https://www.nomuranow.com/portal/site/public/en-gb/resources/upload/NBI-Interim-Report-Sep2022.pdf" TargetMode="External" Id="rId44"/><Relationship Type="http://schemas.openxmlformats.org/officeDocument/2006/relationships/hyperlink" Target="https://www.nomuranow.com/portal/site/public/en-gb/resources/upload/nomura-europe-holdings-plc-semi-annual-pillar-3-disclosures-300921.pdf" TargetMode="External" Id="rId45"/><Relationship Type="http://schemas.openxmlformats.org/officeDocument/2006/relationships/hyperlink" Target="https://www.nomuranow.com/portal/site/public/en-gb/resources/upload/NBI-Interim-Report-Sep2025.pdf" TargetMode="External" Id="rId46"/><Relationship Type="http://schemas.openxmlformats.org/officeDocument/2006/relationships/hyperlink" Target="https://www.nomuranow.com/portal/site/public/en-gb/resources/upload/NBI-Interim-Report-Sep2025.pdf" TargetMode="External" Id="rId47"/><Relationship Type="http://schemas.openxmlformats.org/officeDocument/2006/relationships/hyperlink" Target="https://www.nomuranow.com/portal/site/public/en-gb/resources/upload/NBI-Interims-September-2024-Accounts-Branded.pdf" TargetMode="External" Id="rId48"/><Relationship Type="http://schemas.openxmlformats.org/officeDocument/2006/relationships/hyperlink" Target="https://www.nomuranow.com/portal/site/public/en-gb/resources/upload/NBI-Interims-September-2024-Accounts-Branded.pdf" TargetMode="External" Id="rId49"/><Relationship Type="http://schemas.openxmlformats.org/officeDocument/2006/relationships/hyperlink" Target="https://www.nomuranow.com/portal/site/public/en-gb/resources/upload/NBI-Interim-Report-Sep2023.pdf" TargetMode="External" Id="rId50"/><Relationship Type="http://schemas.openxmlformats.org/officeDocument/2006/relationships/hyperlink" Target="https://www.nomuranow.com/portal/site/public/en-gb/resources/upload/NBI-Interim-Report-Sep2023.pdf" TargetMode="External" Id="rId51"/><Relationship Type="http://schemas.openxmlformats.org/officeDocument/2006/relationships/hyperlink" Target="https://www.nomuranow.com/portal/site/public/en-gb/resources/upload/NBI-Interim-Report-Sep2022.pdf" TargetMode="External" Id="rId52"/><Relationship Type="http://schemas.openxmlformats.org/officeDocument/2006/relationships/hyperlink" Target="https://www.nomuranow.com/portal/site/public/en-gb/resources/upload/NBI-Interim-Report-Sep2022.pdf" TargetMode="External" Id="rId53"/><Relationship Type="http://schemas.openxmlformats.org/officeDocument/2006/relationships/hyperlink" Target="https://www.nomuranow.com/portal/site/public/en-gb/resources/upload/NBI-Interim-Report-Sep2021.pdf" TargetMode="External" Id="rId54"/><Relationship Type="http://schemas.openxmlformats.org/officeDocument/2006/relationships/hyperlink" Target="https://www.nomuranow.com/portal/site/public/en-gb/resources/upload/NBI-Interim-Report-Sep2021.pdf" TargetMode="External" Id="rId55"/><Relationship Type="http://schemas.openxmlformats.org/officeDocument/2006/relationships/hyperlink" Target="https://www.nomuranow.com/portal/site/public/en-gb/resources/upload/nomura-europe-holdings-plc-semi-annual-pillar-3-disclosures-300921.pdf" TargetMode="External" Id="rId56"/><Relationship Type="http://schemas.openxmlformats.org/officeDocument/2006/relationships/hyperlink" Target="https://www.nomuranow.com/portal/site/public/en-gb/resources/upload/NBI-Interim-Report-Sep2025.pdf" TargetMode="External" Id="rId57"/><Relationship Type="http://schemas.openxmlformats.org/officeDocument/2006/relationships/hyperlink" Target="https://www.nomuranow.com/portal/site/public/en-gb/resources/upload/NBI-Interims-September-2024-Accounts-Branded.pdf" TargetMode="External" Id="rId58"/><Relationship Type="http://schemas.openxmlformats.org/officeDocument/2006/relationships/hyperlink" Target="https://www.nomuranow.com/portal/site/public/en-gb/resources/upload/NBI-Interim-Report-Sep2023.pdf" TargetMode="External" Id="rId59"/><Relationship Type="http://schemas.openxmlformats.org/officeDocument/2006/relationships/hyperlink" Target="https://www.nomuranow.com/portal/site/public/en-gb/resources/upload/NBI-Interim-Report-Sep2022.pdf" TargetMode="External" Id="rId60"/></Relationships>
</file>

<file path=xl/worksheets/sheet1.xml><?xml version="1.0" encoding="utf-8"?>
<worksheet xmlns="http://schemas.openxmlformats.org/spreadsheetml/2006/main">
  <sheetPr>
    <outlinePr summaryBelow="1" summaryRight="1"/>
    <pageSetUpPr/>
  </sheetPr>
  <dimension ref="A1:AQ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c r="A1" s="1" t="inlineStr">
        <is>
          <t>Nomura Bank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K5" t="inlineStr">
        <is>
          <t>FY2021</t>
        </is>
      </c>
      <c r="L5" t="inlineStr">
        <is>
          <t>FY2022</t>
        </is>
      </c>
      <c r="M5" t="inlineStr">
        <is>
          <t>FY2023</t>
        </is>
      </c>
      <c r="N5" t="inlineStr">
        <is>
          <t>FY2024</t>
        </is>
      </c>
      <c r="O5" t="inlineStr">
        <is>
          <t>FY2025</t>
        </is>
      </c>
      <c r="P5" t="inlineStr">
        <is>
          <t>FY2026</t>
        </is>
      </c>
    </row>
    <row r="6">
      <c r="A6" s="5" t="inlineStr">
        <is>
          <t>Total Assets</t>
        </is>
      </c>
      <c r="B6" s="5" t="n">
        <v>9284526</v>
      </c>
      <c r="C6" s="5" t="n">
        <v>7722511</v>
      </c>
      <c r="D6" s="5" t="n">
        <v>6422803</v>
      </c>
      <c r="E6" s="5" t="n">
        <v>5845949</v>
      </c>
      <c r="F6" s="5" t="n">
        <v>5873933</v>
      </c>
      <c r="G6" s="5" t="n">
        <v>6608950</v>
      </c>
      <c r="J6" t="inlineStr">
        <is>
          <t>Total Assets</t>
        </is>
      </c>
      <c r="K6" t="n">
        <v>6608950</v>
      </c>
      <c r="L6" t="n">
        <v>5873933</v>
      </c>
      <c r="M6" t="n">
        <v>5845949</v>
      </c>
      <c r="N6" t="n">
        <v>6422803</v>
      </c>
      <c r="O6" t="n">
        <v>7722511</v>
      </c>
      <c r="P6" t="n">
        <v>9284526</v>
      </c>
    </row>
    <row r="7">
      <c r="A7" s="5" t="inlineStr">
        <is>
          <t>Loans and advances to affiliates</t>
        </is>
      </c>
      <c r="B7" s="5" t="n">
        <v>6428499</v>
      </c>
      <c r="C7" s="5" t="n">
        <v>4956351</v>
      </c>
      <c r="D7" s="5" t="n">
        <v>3650595</v>
      </c>
      <c r="E7" s="5" t="n">
        <v>3228350</v>
      </c>
      <c r="F7" s="5" t="n">
        <v>2620602</v>
      </c>
      <c r="G7" s="5" t="n">
        <v>1608289</v>
      </c>
      <c r="J7" t="inlineStr">
        <is>
          <t>Loans and advances to affiliates</t>
        </is>
      </c>
      <c r="K7" t="n">
        <v>1608289</v>
      </c>
      <c r="L7" t="n">
        <v>2620602</v>
      </c>
      <c r="M7" t="n">
        <v>3228350</v>
      </c>
      <c r="N7" t="n">
        <v>3650595</v>
      </c>
      <c r="O7" t="n">
        <v>4956351</v>
      </c>
      <c r="P7" t="n">
        <v>6428499</v>
      </c>
    </row>
    <row r="8">
      <c r="A8" s="5" t="inlineStr">
        <is>
          <t>Total Liabilities</t>
        </is>
      </c>
      <c r="B8" s="5" t="n">
        <v>9112270</v>
      </c>
      <c r="C8" s="5" t="n">
        <v>7459750</v>
      </c>
      <c r="D8" s="5" t="n">
        <v>6170135</v>
      </c>
      <c r="E8" s="5" t="n">
        <v>5458781</v>
      </c>
      <c r="F8" s="5" t="n">
        <v>5610516</v>
      </c>
      <c r="G8" s="5" t="n">
        <v>6440731</v>
      </c>
      <c r="J8" t="inlineStr">
        <is>
          <t>Total Liabilities</t>
        </is>
      </c>
      <c r="K8" t="n">
        <v>6440731</v>
      </c>
      <c r="L8" t="n">
        <v>5610516</v>
      </c>
      <c r="M8" t="n">
        <v>5458781</v>
      </c>
      <c r="N8" t="n">
        <v>6170135</v>
      </c>
      <c r="O8" t="n">
        <v>7459750</v>
      </c>
      <c r="P8" t="n">
        <v>9112270</v>
      </c>
    </row>
    <row r="9">
      <c r="A9" s="5" t="inlineStr">
        <is>
          <t>Total Equity</t>
        </is>
      </c>
      <c r="B9" s="5" t="n">
        <v>172256</v>
      </c>
      <c r="C9" s="5" t="n">
        <v>262761</v>
      </c>
      <c r="D9" s="5" t="n">
        <v>252668</v>
      </c>
      <c r="E9" s="5" t="n">
        <v>387168</v>
      </c>
      <c r="F9" s="5" t="n">
        <v>263417</v>
      </c>
      <c r="G9" s="5" t="n">
        <v>168219</v>
      </c>
      <c r="J9" t="inlineStr">
        <is>
          <t>Total Equity</t>
        </is>
      </c>
      <c r="K9" t="n">
        <v>168219</v>
      </c>
      <c r="L9" t="n">
        <v>263417</v>
      </c>
      <c r="M9" t="n">
        <v>387168</v>
      </c>
      <c r="N9" t="n">
        <v>252668</v>
      </c>
      <c r="O9" t="n">
        <v>262761</v>
      </c>
      <c r="P9" t="n">
        <v>172256</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T12" t="inlineStr">
        <is>
          <t>FY2021</t>
        </is>
      </c>
      <c r="U12" t="inlineStr">
        <is>
          <t>FY2022</t>
        </is>
      </c>
      <c r="V12" t="inlineStr">
        <is>
          <t>FY2023</t>
        </is>
      </c>
      <c r="W12" t="inlineStr">
        <is>
          <t>FY2024</t>
        </is>
      </c>
      <c r="X12" t="inlineStr">
        <is>
          <t>FY2025</t>
        </is>
      </c>
      <c r="Y12" t="inlineStr">
        <is>
          <t>FY2026</t>
        </is>
      </c>
    </row>
    <row r="13">
      <c r="A13" s="5" t="inlineStr">
        <is>
          <t>Net interest income</t>
        </is>
      </c>
      <c r="B13" s="5" t="n">
        <v>318967</v>
      </c>
      <c r="C13" s="5" t="n">
        <v>299129</v>
      </c>
      <c r="D13" s="5" t="n">
        <v>259304</v>
      </c>
      <c r="E13" s="5" t="n">
        <v>106354</v>
      </c>
      <c r="F13" s="5" t="n">
        <v>19795</v>
      </c>
      <c r="G13" s="5" t="n">
        <v>26675</v>
      </c>
      <c r="S13" t="inlineStr">
        <is>
          <t>Net interest income</t>
        </is>
      </c>
      <c r="T13" t="n">
        <v>26675</v>
      </c>
      <c r="U13" t="n">
        <v>19795</v>
      </c>
      <c r="V13" t="n">
        <v>106354</v>
      </c>
      <c r="W13" t="n">
        <v>259304</v>
      </c>
      <c r="X13" t="n">
        <v>299129</v>
      </c>
      <c r="Y13" t="n">
        <v>318967</v>
      </c>
    </row>
    <row r="14">
      <c r="A14" s="5" t="inlineStr">
        <is>
          <t>Total operating income</t>
        </is>
      </c>
      <c r="B14" s="5" t="n">
        <v>23146</v>
      </c>
      <c r="C14" s="5" t="n">
        <v>21490</v>
      </c>
      <c r="D14" s="5" t="n">
        <v>17970</v>
      </c>
      <c r="E14" s="5" t="n">
        <v>44271</v>
      </c>
      <c r="F14" s="5" t="n">
        <v>31398</v>
      </c>
      <c r="G14" s="5" t="n">
        <v>28507</v>
      </c>
      <c r="S14" t="inlineStr">
        <is>
          <t>Total operating income</t>
        </is>
      </c>
      <c r="T14" t="n">
        <v>28507</v>
      </c>
      <c r="U14" t="n">
        <v>31398</v>
      </c>
      <c r="V14" t="n">
        <v>44271</v>
      </c>
      <c r="W14" t="n">
        <v>17970</v>
      </c>
      <c r="X14" t="n">
        <v>21490</v>
      </c>
      <c r="Y14" t="n">
        <v>23146</v>
      </c>
    </row>
    <row r="15">
      <c r="A15" s="5" t="inlineStr">
        <is>
          <t>General and administrative expenses</t>
        </is>
      </c>
      <c r="B15" s="5" t="n">
        <v>-8616</v>
      </c>
      <c r="C15" s="5" t="n">
        <v>-9035</v>
      </c>
      <c r="D15" s="5" t="n">
        <v>-8391</v>
      </c>
      <c r="E15" s="5" t="n">
        <v>-35479</v>
      </c>
      <c r="F15" s="5" t="n">
        <v>-11655</v>
      </c>
      <c r="G15" s="5" t="n">
        <v>-14680</v>
      </c>
      <c r="S15" t="inlineStr">
        <is>
          <t>General and administrative expenses</t>
        </is>
      </c>
      <c r="T15" t="n">
        <v>-14680</v>
      </c>
      <c r="U15" t="n">
        <v>-11655</v>
      </c>
      <c r="V15" t="n">
        <v>-35479</v>
      </c>
      <c r="W15" t="n">
        <v>-8391</v>
      </c>
      <c r="X15" t="n">
        <v>-9035</v>
      </c>
      <c r="Y15" t="n">
        <v>-8616</v>
      </c>
    </row>
    <row r="16">
      <c r="A16" s="5" t="inlineStr">
        <is>
          <t>Profit for the year</t>
        </is>
      </c>
      <c r="B16" s="5" t="n">
        <v>9865</v>
      </c>
      <c r="C16" s="5" t="n">
        <v>9370</v>
      </c>
      <c r="D16" s="5" t="n">
        <v>7175</v>
      </c>
      <c r="E16" s="5" t="n">
        <v>7048</v>
      </c>
      <c r="F16" s="5" t="n">
        <v>15542</v>
      </c>
      <c r="G16" s="5" t="n">
        <v>11348</v>
      </c>
      <c r="S16" t="inlineStr">
        <is>
          <t>Profit for the year</t>
        </is>
      </c>
      <c r="T16" t="n">
        <v>11348</v>
      </c>
      <c r="U16" t="n">
        <v>15542</v>
      </c>
      <c r="V16" t="n">
        <v>7048</v>
      </c>
      <c r="W16" t="n">
        <v>7175</v>
      </c>
      <c r="X16" t="n">
        <v>9370</v>
      </c>
      <c r="Y16" t="n">
        <v>9865</v>
      </c>
    </row>
    <row r="18">
      <c r="A18" s="3" t="inlineStr">
        <is>
          <t>Statement of Changes in Equity Summary ($'000)</t>
        </is>
      </c>
    </row>
    <row r="19">
      <c r="A19" s="4" t="inlineStr">
        <is>
          <t>Line item</t>
        </is>
      </c>
      <c r="B19" s="4" t="inlineStr">
        <is>
          <t>FY2026</t>
        </is>
      </c>
      <c r="C19" s="4" t="inlineStr">
        <is>
          <t>FY2025</t>
        </is>
      </c>
      <c r="D19" s="4" t="inlineStr">
        <is>
          <t>FY2024</t>
        </is>
      </c>
      <c r="E19" s="4" t="inlineStr">
        <is>
          <t>FY2023</t>
        </is>
      </c>
      <c r="F19" s="4" t="inlineStr">
        <is>
          <t>FY2022</t>
        </is>
      </c>
      <c r="G19" s="4" t="inlineStr">
        <is>
          <t>FY2021</t>
        </is>
      </c>
      <c r="AC19" t="inlineStr">
        <is>
          <t>FY2021</t>
        </is>
      </c>
      <c r="AD19" t="inlineStr">
        <is>
          <t>FY2022</t>
        </is>
      </c>
      <c r="AE19" t="inlineStr">
        <is>
          <t>FY2023</t>
        </is>
      </c>
      <c r="AF19" t="inlineStr">
        <is>
          <t>FY2024</t>
        </is>
      </c>
      <c r="AG19" t="inlineStr">
        <is>
          <t>FY2025</t>
        </is>
      </c>
      <c r="AH19" t="inlineStr">
        <is>
          <t>FY2026</t>
        </is>
      </c>
    </row>
    <row r="20">
      <c r="A20" s="5" t="inlineStr">
        <is>
          <t>Opening equity</t>
        </is>
      </c>
      <c r="B20" s="5" t="n">
        <v>262761</v>
      </c>
      <c r="C20" s="5" t="n">
        <v>252668</v>
      </c>
      <c r="D20" s="5" t="n">
        <v>387168</v>
      </c>
      <c r="E20" s="5" t="n">
        <v>263417</v>
      </c>
      <c r="F20" s="5" t="n">
        <v>168219</v>
      </c>
      <c r="G20" s="5" t="n">
        <v>341809</v>
      </c>
      <c r="AB20" t="inlineStr">
        <is>
          <t>Opening equity</t>
        </is>
      </c>
      <c r="AC20" t="n">
        <v>341809</v>
      </c>
      <c r="AD20" t="n">
        <v>168219</v>
      </c>
      <c r="AE20" t="n">
        <v>263417</v>
      </c>
      <c r="AF20" t="n">
        <v>387168</v>
      </c>
      <c r="AG20" t="n">
        <v>252668</v>
      </c>
      <c r="AH20" t="n">
        <v>262761</v>
      </c>
    </row>
    <row r="21">
      <c r="A21" s="5" t="inlineStr">
        <is>
          <t>Total comprehensive income/(loss) for the year</t>
        </is>
      </c>
      <c r="B21" s="5" t="n">
        <v>-82005</v>
      </c>
      <c r="C21" s="5" t="n">
        <v>10093</v>
      </c>
      <c r="D21" s="5" t="n">
        <v>-129500</v>
      </c>
      <c r="E21" s="5" t="n">
        <v>133751</v>
      </c>
      <c r="F21" s="5" t="n">
        <v>105198</v>
      </c>
      <c r="G21" s="5" t="n">
        <v>-161590</v>
      </c>
      <c r="AB21" t="inlineStr">
        <is>
          <t>Total comprehensive income/(loss) for the year</t>
        </is>
      </c>
      <c r="AC21" t="n">
        <v>-161590</v>
      </c>
      <c r="AD21" t="n">
        <v>105198</v>
      </c>
      <c r="AE21" t="n">
        <v>133751</v>
      </c>
      <c r="AF21" t="n">
        <v>-129500</v>
      </c>
      <c r="AG21" t="n">
        <v>10093</v>
      </c>
      <c r="AH21" t="n">
        <v>-82005</v>
      </c>
    </row>
    <row r="22">
      <c r="A22" s="5" t="inlineStr">
        <is>
          <t>Other equity movements, net</t>
        </is>
      </c>
      <c r="B22" s="5" t="n">
        <v>-8500</v>
      </c>
      <c r="C22" s="5" t="n">
        <v>0</v>
      </c>
      <c r="D22" s="5" t="n">
        <v>-5000</v>
      </c>
      <c r="E22" s="5" t="n">
        <v>-10000</v>
      </c>
      <c r="F22" s="5" t="n">
        <v>-10000</v>
      </c>
      <c r="G22" s="5" t="n">
        <v>-12000</v>
      </c>
      <c r="AB22" t="inlineStr">
        <is>
          <t>Other equity movements, net</t>
        </is>
      </c>
      <c r="AC22" t="n">
        <v>-12000</v>
      </c>
      <c r="AD22" t="n">
        <v>-10000</v>
      </c>
      <c r="AE22" t="n">
        <v>-10000</v>
      </c>
      <c r="AF22" t="n">
        <v>-5000</v>
      </c>
      <c r="AG22" t="n">
        <v>0</v>
      </c>
      <c r="AH22" t="n">
        <v>-8500</v>
      </c>
    </row>
    <row r="23">
      <c r="A23" s="5" t="inlineStr">
        <is>
          <t>Closing equity</t>
        </is>
      </c>
      <c r="B23" s="5" t="n">
        <v>172256</v>
      </c>
      <c r="C23" s="5" t="n">
        <v>262761</v>
      </c>
      <c r="D23" s="5" t="n">
        <v>252668</v>
      </c>
      <c r="E23" s="5" t="n">
        <v>387168</v>
      </c>
      <c r="F23" s="5" t="n">
        <v>263417</v>
      </c>
      <c r="G23" s="5" t="n">
        <v>168219</v>
      </c>
      <c r="AB23" t="inlineStr">
        <is>
          <t>Closing equity</t>
        </is>
      </c>
      <c r="AC23" t="n">
        <v>168219</v>
      </c>
      <c r="AD23" t="n">
        <v>263417</v>
      </c>
      <c r="AE23" t="n">
        <v>387168</v>
      </c>
      <c r="AF23" t="n">
        <v>252668</v>
      </c>
      <c r="AG23" t="n">
        <v>262761</v>
      </c>
      <c r="AH23" t="n">
        <v>172256</v>
      </c>
    </row>
    <row r="25">
      <c r="A25" s="3" t="inlineStr">
        <is>
          <t>Cash Flow Summary ($'000)</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AL26" t="inlineStr">
        <is>
          <t>FY2021</t>
        </is>
      </c>
      <c r="AM26" t="inlineStr">
        <is>
          <t>FY2022</t>
        </is>
      </c>
      <c r="AN26" t="inlineStr">
        <is>
          <t>FY2023</t>
        </is>
      </c>
      <c r="AO26" t="inlineStr">
        <is>
          <t>FY2024</t>
        </is>
      </c>
      <c r="AP26" t="inlineStr">
        <is>
          <t>FY2025</t>
        </is>
      </c>
      <c r="AQ26" t="inlineStr">
        <is>
          <t>FY2026</t>
        </is>
      </c>
    </row>
    <row r="27">
      <c r="A27" s="5" t="inlineStr">
        <is>
          <t>Net cash flow from operating activities</t>
        </is>
      </c>
      <c r="B27" s="5" t="n">
        <v>-1173913</v>
      </c>
      <c r="C27" s="5" t="n">
        <v>-1060963</v>
      </c>
      <c r="D27" s="5" t="n">
        <v>-425579</v>
      </c>
      <c r="E27" s="5" t="n">
        <v>-343288</v>
      </c>
      <c r="F27" s="5" t="n">
        <v>-606420</v>
      </c>
      <c r="G27" s="5" t="n">
        <v>-371462</v>
      </c>
      <c r="AK27" t="inlineStr">
        <is>
          <t>Net cash flow from operating activities</t>
        </is>
      </c>
      <c r="AL27" t="n">
        <v>-371462</v>
      </c>
      <c r="AM27" t="n">
        <v>-606420</v>
      </c>
      <c r="AN27" t="n">
        <v>-343288</v>
      </c>
      <c r="AO27" t="n">
        <v>-425579</v>
      </c>
      <c r="AP27" t="n">
        <v>-1060963</v>
      </c>
      <c r="AQ27" t="n">
        <v>-1173913</v>
      </c>
    </row>
    <row r="28">
      <c r="A28" s="5" t="inlineStr">
        <is>
          <t>Net cash flows from financing activities</t>
        </is>
      </c>
      <c r="B28" s="5" t="n">
        <v>1173318</v>
      </c>
      <c r="C28" s="5" t="n">
        <v>1061929</v>
      </c>
      <c r="D28" s="5" t="n">
        <v>418559</v>
      </c>
      <c r="E28" s="5" t="n">
        <v>349607</v>
      </c>
      <c r="F28" s="5" t="n">
        <v>604884</v>
      </c>
      <c r="G28" s="5" t="n">
        <v>357302</v>
      </c>
      <c r="AK28" t="inlineStr">
        <is>
          <t>Net cash flows from financing activities</t>
        </is>
      </c>
      <c r="AL28" t="n">
        <v>357302</v>
      </c>
      <c r="AM28" t="n">
        <v>604884</v>
      </c>
      <c r="AN28" t="n">
        <v>349607</v>
      </c>
      <c r="AO28" t="n">
        <v>418559</v>
      </c>
      <c r="AP28" t="n">
        <v>1061929</v>
      </c>
      <c r="AQ28" t="n">
        <v>1173318</v>
      </c>
    </row>
    <row r="29">
      <c r="A29" s="5" t="inlineStr">
        <is>
          <t>Cash and cash equivalents at end of year</t>
        </is>
      </c>
      <c r="B29" s="5" t="n">
        <v>1132</v>
      </c>
      <c r="C29" s="5" t="n">
        <v>1727</v>
      </c>
      <c r="D29" s="5" t="n">
        <v>761</v>
      </c>
      <c r="E29" s="5" t="n">
        <v>7781</v>
      </c>
      <c r="F29" s="5" t="n">
        <v>1462</v>
      </c>
      <c r="G29" s="5" t="n">
        <v>2998</v>
      </c>
      <c r="AK29" t="inlineStr">
        <is>
          <t>Cash and cash equivalents at end of year</t>
        </is>
      </c>
      <c r="AL29" t="n">
        <v>2998</v>
      </c>
      <c r="AM29" t="n">
        <v>1462</v>
      </c>
      <c r="AN29" t="n">
        <v>7781</v>
      </c>
      <c r="AO29" t="n">
        <v>761</v>
      </c>
      <c r="AP29" t="n">
        <v>1727</v>
      </c>
      <c r="AQ29" t="n">
        <v>1132</v>
      </c>
    </row>
    <row r="31">
      <c r="A31" s="3" t="inlineStr">
        <is>
          <t>Pillar 3 Key Metrics: not applicable — no ratios are disclosed for this entity (see the individual Pillar 3 metric sheets).</t>
        </is>
      </c>
    </row>
    <row r="33" ht="45" customHeight="1">
      <c r="A33" s="6" t="inlineStr">
        <is>
          <t>Note: Nomura Bank International plc's entity-level annual reports disclose Tier 1 capital and total capital resources but do not numerically disclose the standard capital, leverage, liquidity, or MREL ratios, and no RWA figure of any kind is published. See the corresponding metric sheets for explicit non-disclosure notes.</t>
        </is>
      </c>
    </row>
  </sheetData>
  <mergeCells count="1">
    <mergeCell ref="A33:G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Statement of Financial Position</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Assets</t>
        </is>
      </c>
      <c r="B4" s="7" t="n"/>
      <c r="C4" s="7" t="n"/>
      <c r="D4" s="7" t="n"/>
      <c r="E4" s="7" t="n"/>
      <c r="F4" s="7" t="n"/>
      <c r="G4" s="7" t="n"/>
    </row>
    <row r="5">
      <c r="A5" s="7" t="inlineStr">
        <is>
          <t>Cash and cash equivalents</t>
        </is>
      </c>
      <c r="B5" s="7" t="n">
        <v>1132</v>
      </c>
      <c r="C5" s="7" t="n">
        <v>1727</v>
      </c>
      <c r="D5" s="7" t="n">
        <v>761</v>
      </c>
      <c r="E5" s="7" t="n">
        <v>7781</v>
      </c>
      <c r="F5" s="7" t="n">
        <v>1462</v>
      </c>
      <c r="G5" s="7" t="n">
        <v>2998</v>
      </c>
    </row>
    <row r="6">
      <c r="A6" s="7" t="inlineStr">
        <is>
          <t>Derivative financial instruments (asset)</t>
        </is>
      </c>
      <c r="B6" s="7" t="n">
        <v>613989</v>
      </c>
      <c r="C6" s="7" t="n">
        <v>432715</v>
      </c>
      <c r="D6" s="7" t="n">
        <v>290645</v>
      </c>
      <c r="E6" s="7" t="n">
        <v>149851</v>
      </c>
      <c r="F6" s="7" t="n">
        <v>440933</v>
      </c>
      <c r="G6" s="7" t="n">
        <v>1473660</v>
      </c>
    </row>
    <row r="7">
      <c r="A7" s="7" t="inlineStr">
        <is>
          <t>Loans and advances to affiliates</t>
        </is>
      </c>
      <c r="B7" s="7" t="n">
        <v>6428499</v>
      </c>
      <c r="C7" s="7" t="n">
        <v>4956351</v>
      </c>
      <c r="D7" s="7" t="n">
        <v>3650595</v>
      </c>
      <c r="E7" s="7" t="n">
        <v>3228350</v>
      </c>
      <c r="F7" s="7" t="n">
        <v>2620602</v>
      </c>
      <c r="G7" s="7" t="n">
        <v>1608289</v>
      </c>
    </row>
    <row r="8">
      <c r="A8" s="7" t="inlineStr">
        <is>
          <t>Securities purchased under agreements to resell</t>
        </is>
      </c>
      <c r="B8" s="7" t="n">
        <v>2175544</v>
      </c>
      <c r="C8" s="7" t="n">
        <v>2259073</v>
      </c>
      <c r="D8" s="7" t="n">
        <v>2413684</v>
      </c>
      <c r="E8" s="7" t="n">
        <v>2434880</v>
      </c>
      <c r="F8" s="7" t="n">
        <v>2799330</v>
      </c>
      <c r="G8" s="7" t="n">
        <v>3485060</v>
      </c>
    </row>
    <row r="9">
      <c r="A9" s="7" t="inlineStr">
        <is>
          <t>Loans and advances to others</t>
        </is>
      </c>
      <c r="B9" s="7" t="n">
        <v>1546</v>
      </c>
      <c r="C9" s="7" t="n">
        <v>1850</v>
      </c>
      <c r="D9" s="7" t="n">
        <v>2144</v>
      </c>
      <c r="E9" s="7" t="n">
        <v>2462</v>
      </c>
      <c r="F9" s="7" t="n">
        <v>417</v>
      </c>
      <c r="G9" s="7" t="n">
        <v>1580</v>
      </c>
    </row>
    <row r="10">
      <c r="A10" s="7" t="inlineStr">
        <is>
          <t>Prepayments and accrued income</t>
        </is>
      </c>
      <c r="B10" s="7" t="n">
        <v>54187</v>
      </c>
      <c r="C10" s="7" t="n">
        <v>64844</v>
      </c>
      <c r="D10" s="7" t="n">
        <v>57011</v>
      </c>
      <c r="E10" s="7" t="n">
        <v>21899</v>
      </c>
      <c r="F10" s="7" t="n">
        <v>4371</v>
      </c>
      <c r="G10" s="7" t="n">
        <v>5161</v>
      </c>
    </row>
    <row r="11">
      <c r="A11" s="7" t="inlineStr">
        <is>
          <t>Other assets</t>
        </is>
      </c>
      <c r="B11" s="7" t="n">
        <v>7016</v>
      </c>
      <c r="C11" s="7" t="n">
        <v>3652</v>
      </c>
      <c r="D11" s="7" t="n">
        <v>6032</v>
      </c>
      <c r="E11" s="7" t="n">
        <v>399</v>
      </c>
      <c r="F11" s="7" t="n">
        <v>5146</v>
      </c>
      <c r="G11" s="7" t="n">
        <v>7476</v>
      </c>
    </row>
    <row r="12">
      <c r="A12" s="7" t="inlineStr">
        <is>
          <t>Right-of-use assets</t>
        </is>
      </c>
      <c r="B12" s="7" t="n"/>
      <c r="C12" s="7" t="n"/>
      <c r="D12" s="7" t="n">
        <v>0</v>
      </c>
      <c r="E12" s="7" t="n">
        <v>316</v>
      </c>
      <c r="F12" s="7" t="n">
        <v>396</v>
      </c>
      <c r="G12" s="7" t="n">
        <v>91</v>
      </c>
    </row>
    <row r="13">
      <c r="A13" s="7" t="inlineStr">
        <is>
          <t>Financial investments (mandatorily at fair value through profit or loss)</t>
        </is>
      </c>
      <c r="B13" s="7" t="n">
        <v>14</v>
      </c>
      <c r="C13" s="7" t="n">
        <v>13</v>
      </c>
      <c r="D13" s="7" t="n">
        <v>11</v>
      </c>
      <c r="E13" s="7" t="n">
        <v>11</v>
      </c>
      <c r="F13" s="7" t="n">
        <v>20</v>
      </c>
      <c r="G13" s="7" t="n">
        <v>20</v>
      </c>
    </row>
    <row r="14">
      <c r="A14" s="7" t="inlineStr">
        <is>
          <t>Deferred tax asset</t>
        </is>
      </c>
      <c r="B14" s="7" t="n">
        <v>2599</v>
      </c>
      <c r="C14" s="7" t="n">
        <v>2286</v>
      </c>
      <c r="D14" s="7" t="n">
        <v>1920</v>
      </c>
      <c r="E14" s="7" t="n"/>
      <c r="F14" s="7" t="n">
        <v>1256</v>
      </c>
      <c r="G14" s="7" t="n">
        <v>24615</v>
      </c>
    </row>
    <row r="15">
      <c r="A15" s="5" t="inlineStr">
        <is>
          <t>Total Assets</t>
        </is>
      </c>
      <c r="B15" s="5" t="n">
        <v>9284526</v>
      </c>
      <c r="C15" s="5" t="n">
        <v>7722511</v>
      </c>
      <c r="D15" s="5" t="n">
        <v>6422803</v>
      </c>
      <c r="E15" s="5" t="n">
        <v>5845949</v>
      </c>
      <c r="F15" s="5" t="n">
        <v>5873933</v>
      </c>
      <c r="G15" s="5" t="n">
        <v>6608950</v>
      </c>
    </row>
    <row r="16">
      <c r="A16" s="5" t="inlineStr">
        <is>
          <t>Liabilities</t>
        </is>
      </c>
      <c r="B16" s="7" t="n"/>
      <c r="C16" s="7" t="n"/>
      <c r="D16" s="7" t="n"/>
      <c r="E16" s="7" t="n"/>
      <c r="F16" s="7" t="n"/>
      <c r="G16" s="7" t="n"/>
    </row>
    <row r="17">
      <c r="A17" s="7" t="inlineStr">
        <is>
          <t>Customer accounts/deposits</t>
        </is>
      </c>
      <c r="B17" s="7" t="n">
        <v>50000</v>
      </c>
      <c r="C17" s="7" t="n">
        <v>10000</v>
      </c>
      <c r="D17" s="7" t="n"/>
      <c r="E17" s="7" t="n"/>
      <c r="F17" s="7" t="n">
        <v>0</v>
      </c>
      <c r="G17" s="7" t="n">
        <v>166</v>
      </c>
    </row>
    <row r="18">
      <c r="A18" s="7" t="inlineStr">
        <is>
          <t>Derivative financial instruments (liability)</t>
        </is>
      </c>
      <c r="B18" s="7" t="n">
        <v>1051395</v>
      </c>
      <c r="C18" s="7" t="n">
        <v>1058579</v>
      </c>
      <c r="D18" s="7" t="n">
        <v>941237</v>
      </c>
      <c r="E18" s="7" t="n">
        <v>876358</v>
      </c>
      <c r="F18" s="7" t="n">
        <v>723515</v>
      </c>
      <c r="G18" s="7" t="n">
        <v>1449591</v>
      </c>
    </row>
    <row r="19">
      <c r="A19" s="7" t="inlineStr">
        <is>
          <t>Accruals and deferred income</t>
        </is>
      </c>
      <c r="B19" s="7" t="n">
        <v>55479</v>
      </c>
      <c r="C19" s="7" t="n">
        <v>37979</v>
      </c>
      <c r="D19" s="7" t="n">
        <v>32526</v>
      </c>
      <c r="E19" s="7" t="n">
        <v>56730</v>
      </c>
      <c r="F19" s="7" t="n">
        <v>16550</v>
      </c>
      <c r="G19" s="7" t="n">
        <v>17834</v>
      </c>
    </row>
    <row r="20">
      <c r="A20" s="7" t="inlineStr">
        <is>
          <t>Borrowings from affiliates</t>
        </is>
      </c>
      <c r="B20" s="7" t="n">
        <v>222856</v>
      </c>
      <c r="C20" s="7" t="n">
        <v>125488</v>
      </c>
      <c r="D20" s="7" t="n">
        <v>118366</v>
      </c>
      <c r="E20" s="7" t="n">
        <v>121244</v>
      </c>
      <c r="F20" s="7" t="n">
        <v>274421</v>
      </c>
      <c r="G20" s="7" t="n">
        <v>329333</v>
      </c>
    </row>
    <row r="21">
      <c r="A21" s="7" t="inlineStr">
        <is>
          <t>Borrowings from others</t>
        </is>
      </c>
      <c r="B21" s="7" t="n"/>
      <c r="C21" s="7" t="n"/>
      <c r="D21" s="7" t="n">
        <v>0</v>
      </c>
      <c r="E21" s="7" t="n">
        <v>761</v>
      </c>
      <c r="F21" s="7" t="n">
        <v>610</v>
      </c>
      <c r="G21" s="7" t="n">
        <v>8728</v>
      </c>
    </row>
    <row r="22">
      <c r="A22" s="7" t="inlineStr">
        <is>
          <t>Commercial papers issued</t>
        </is>
      </c>
      <c r="B22" s="7" t="n">
        <v>505372</v>
      </c>
      <c r="C22" s="7" t="n">
        <v>682741</v>
      </c>
      <c r="D22" s="7" t="n">
        <v>815131</v>
      </c>
      <c r="E22" s="7" t="n">
        <v>789011</v>
      </c>
      <c r="F22" s="7" t="n">
        <v>794070</v>
      </c>
      <c r="G22" s="7" t="n">
        <v>798480</v>
      </c>
    </row>
    <row r="23">
      <c r="A23" s="7" t="inlineStr">
        <is>
          <t>Bonds and medium-term notes</t>
        </is>
      </c>
      <c r="B23" s="7" t="n">
        <v>7219566</v>
      </c>
      <c r="C23" s="7" t="n">
        <v>5539325</v>
      </c>
      <c r="D23" s="7" t="n">
        <v>4258572</v>
      </c>
      <c r="E23" s="7" t="n">
        <v>3578986</v>
      </c>
      <c r="F23" s="7" t="n">
        <v>3793645</v>
      </c>
      <c r="G23" s="7" t="n">
        <v>3834998</v>
      </c>
    </row>
    <row r="24">
      <c r="A24" s="7" t="inlineStr">
        <is>
          <t>Group relief payable</t>
        </is>
      </c>
      <c r="B24" s="7" t="n">
        <v>6088</v>
      </c>
      <c r="C24" s="7" t="n">
        <v>5564</v>
      </c>
      <c r="D24" s="7" t="n">
        <v>4231</v>
      </c>
      <c r="E24" s="7" t="n">
        <v>7478</v>
      </c>
      <c r="F24" s="7" t="n">
        <v>5793</v>
      </c>
      <c r="G24" s="7" t="n"/>
    </row>
    <row r="25">
      <c r="A25" s="7" t="inlineStr">
        <is>
          <t>Corporate tax liability</t>
        </is>
      </c>
      <c r="B25" s="7" t="n"/>
      <c r="C25" s="7" t="n"/>
      <c r="D25" s="7" t="n">
        <v>0</v>
      </c>
      <c r="E25" s="7" t="n">
        <v>787</v>
      </c>
      <c r="F25" s="7" t="n">
        <v>837</v>
      </c>
      <c r="G25" s="7" t="n">
        <v>1487</v>
      </c>
    </row>
    <row r="26">
      <c r="A26" s="7" t="inlineStr">
        <is>
          <t>Other liabilities</t>
        </is>
      </c>
      <c r="B26" s="7" t="n">
        <v>1514</v>
      </c>
      <c r="C26" s="7" t="n">
        <v>74</v>
      </c>
      <c r="D26" s="7" t="n">
        <v>72</v>
      </c>
      <c r="E26" s="7" t="n">
        <v>364</v>
      </c>
      <c r="F26" s="7" t="n">
        <v>1075</v>
      </c>
      <c r="G26" s="7" t="n">
        <v>114</v>
      </c>
    </row>
    <row r="27">
      <c r="A27" s="7" t="inlineStr">
        <is>
          <t>Deferred tax liability</t>
        </is>
      </c>
      <c r="B27" s="7" t="n"/>
      <c r="C27" s="7" t="n"/>
      <c r="D27" s="7" t="n">
        <v>0</v>
      </c>
      <c r="E27" s="7" t="n">
        <v>27062</v>
      </c>
      <c r="F27" s="7" t="n"/>
      <c r="G27" s="7" t="n"/>
    </row>
    <row r="28">
      <c r="A28" s="5" t="inlineStr">
        <is>
          <t>Total Liabilities</t>
        </is>
      </c>
      <c r="B28" s="5" t="n">
        <v>9112270</v>
      </c>
      <c r="C28" s="5" t="n">
        <v>7459750</v>
      </c>
      <c r="D28" s="5" t="n">
        <v>6170135</v>
      </c>
      <c r="E28" s="5" t="n">
        <v>5458781</v>
      </c>
      <c r="F28" s="5" t="n">
        <v>5610516</v>
      </c>
      <c r="G28" s="5" t="n">
        <v>6440731</v>
      </c>
    </row>
    <row r="29">
      <c r="A29" s="5" t="inlineStr">
        <is>
          <t>Shareholders' funds</t>
        </is>
      </c>
      <c r="B29" s="7" t="n"/>
      <c r="C29" s="7" t="n"/>
      <c r="D29" s="7" t="n"/>
      <c r="E29" s="7" t="n"/>
      <c r="F29" s="7" t="n"/>
      <c r="G29" s="7" t="n"/>
    </row>
    <row r="30">
      <c r="A30" s="7" t="inlineStr">
        <is>
          <t>Called up share capital</t>
        </is>
      </c>
      <c r="B30" s="7" t="n">
        <v>255000</v>
      </c>
      <c r="C30" s="7" t="n">
        <v>255000</v>
      </c>
      <c r="D30" s="7" t="n">
        <v>255000</v>
      </c>
      <c r="E30" s="7" t="n">
        <v>255000</v>
      </c>
      <c r="F30" s="7" t="n">
        <v>255000</v>
      </c>
      <c r="G30" s="7" t="n">
        <v>255000</v>
      </c>
    </row>
    <row r="31">
      <c r="A31" s="7" t="inlineStr">
        <is>
          <t>Retained earnings</t>
        </is>
      </c>
      <c r="B31" s="7" t="n">
        <v>27726</v>
      </c>
      <c r="C31" s="7" t="n">
        <v>34894</v>
      </c>
      <c r="D31" s="7" t="n">
        <v>26080</v>
      </c>
      <c r="E31" s="7" t="n">
        <v>30560</v>
      </c>
      <c r="F31" s="7" t="n">
        <v>33222</v>
      </c>
      <c r="G31" s="7" t="n">
        <v>21879</v>
      </c>
    </row>
    <row r="32">
      <c r="A32" s="7" t="inlineStr">
        <is>
          <t>Own credit reserve</t>
        </is>
      </c>
      <c r="B32" s="7" t="n">
        <v>-110470</v>
      </c>
      <c r="C32" s="7" t="n">
        <v>-27133</v>
      </c>
      <c r="D32" s="7" t="n">
        <v>-28412</v>
      </c>
      <c r="E32" s="7" t="n">
        <v>101608</v>
      </c>
      <c r="F32" s="7" t="n">
        <v>-24805</v>
      </c>
      <c r="G32" s="7" t="n">
        <v>-108660</v>
      </c>
    </row>
    <row r="33">
      <c r="A33" s="5" t="inlineStr">
        <is>
          <t>Total Equity</t>
        </is>
      </c>
      <c r="B33" s="5" t="n">
        <v>172256</v>
      </c>
      <c r="C33" s="5" t="n">
        <v>262761</v>
      </c>
      <c r="D33" s="5" t="n">
        <v>252668</v>
      </c>
      <c r="E33" s="5" t="n">
        <v>387168</v>
      </c>
      <c r="F33" s="5" t="n">
        <v>263417</v>
      </c>
      <c r="G33" s="5" t="n">
        <v>168219</v>
      </c>
    </row>
    <row r="34">
      <c r="A34" s="5" t="inlineStr">
        <is>
          <t>Total Liabilities and Equity</t>
        </is>
      </c>
      <c r="B34" s="5" t="n">
        <v>9284526</v>
      </c>
      <c r="C34" s="5" t="n">
        <v>7722511</v>
      </c>
      <c r="D34" s="5" t="n">
        <v>6422803</v>
      </c>
      <c r="E34" s="5" t="n">
        <v>5845949</v>
      </c>
      <c r="F34" s="5" t="n">
        <v>5873933</v>
      </c>
      <c r="G34" s="5" t="n">
        <v>6608950</v>
      </c>
    </row>
    <row r="36" ht="280" customHeight="1">
      <c r="A3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1">
    <mergeCell ref="A36:G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Income Statement and Statement of Comprehensive Income</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Income</t>
        </is>
      </c>
      <c r="B4" s="7" t="n"/>
      <c r="C4" s="7" t="n"/>
      <c r="D4" s="7" t="n"/>
      <c r="E4" s="7" t="n"/>
      <c r="F4" s="7" t="n"/>
      <c r="G4" s="7" t="n"/>
    </row>
    <row r="5">
      <c r="A5" s="7" t="inlineStr">
        <is>
          <t>Interest income calculated using effective interest method</t>
        </is>
      </c>
      <c r="B5" s="7" t="n">
        <v>251525</v>
      </c>
      <c r="C5" s="7" t="n">
        <v>220848</v>
      </c>
      <c r="D5" s="7" t="n">
        <v>180718</v>
      </c>
      <c r="E5" s="7" t="n">
        <v>64139</v>
      </c>
      <c r="F5" s="7" t="n">
        <v>12320</v>
      </c>
      <c r="G5" s="7" t="n">
        <v>17163</v>
      </c>
    </row>
    <row r="6">
      <c r="A6" s="7" t="inlineStr">
        <is>
          <t>Other interest and similar income</t>
        </is>
      </c>
      <c r="B6" s="7" t="n">
        <v>87187</v>
      </c>
      <c r="C6" s="7" t="n">
        <v>110413</v>
      </c>
      <c r="D6" s="7" t="n">
        <v>112645</v>
      </c>
      <c r="E6" s="7" t="n">
        <v>49998</v>
      </c>
      <c r="F6" s="7" t="n">
        <v>12771</v>
      </c>
      <c r="G6" s="7" t="n">
        <v>16026</v>
      </c>
    </row>
    <row r="7">
      <c r="A7" s="7" t="inlineStr">
        <is>
          <t>Interest expense calculated using effective interest method</t>
        </is>
      </c>
      <c r="B7" s="7" t="n">
        <v>-16406</v>
      </c>
      <c r="C7" s="7" t="n">
        <v>-27677</v>
      </c>
      <c r="D7" s="7" t="n">
        <v>-29736</v>
      </c>
      <c r="E7" s="7" t="n">
        <v>-7783</v>
      </c>
      <c r="F7" s="7" t="n">
        <v>-823</v>
      </c>
      <c r="G7" s="7" t="n">
        <v>-566</v>
      </c>
    </row>
    <row r="8">
      <c r="A8" s="7" t="inlineStr">
        <is>
          <t>Other interest and similar expenses</t>
        </is>
      </c>
      <c r="B8" s="7" t="n">
        <v>-3339</v>
      </c>
      <c r="C8" s="7" t="n">
        <v>-4455</v>
      </c>
      <c r="D8" s="7" t="n">
        <v>-4323</v>
      </c>
      <c r="E8" s="7" t="n"/>
      <c r="F8" s="7" t="n">
        <v>-4473</v>
      </c>
      <c r="G8" s="7" t="n">
        <v>-5948</v>
      </c>
    </row>
    <row r="9">
      <c r="A9" s="5" t="inlineStr">
        <is>
          <t>Net interest income</t>
        </is>
      </c>
      <c r="B9" s="5" t="n">
        <v>318967</v>
      </c>
      <c r="C9" s="5" t="n">
        <v>299129</v>
      </c>
      <c r="D9" s="5" t="n">
        <v>259304</v>
      </c>
      <c r="E9" s="5" t="n">
        <v>106354</v>
      </c>
      <c r="F9" s="5" t="n">
        <v>19795</v>
      </c>
      <c r="G9" s="5" t="n">
        <v>26675</v>
      </c>
    </row>
    <row r="10">
      <c r="A10" s="7" t="inlineStr">
        <is>
          <t>Fee and commission income</t>
        </is>
      </c>
      <c r="B10" s="7" t="n">
        <v>34649</v>
      </c>
      <c r="C10" s="7" t="n">
        <v>20044</v>
      </c>
      <c r="D10" s="7" t="n">
        <v>11994</v>
      </c>
      <c r="E10" s="7" t="n">
        <v>43462</v>
      </c>
      <c r="F10" s="7" t="n">
        <v>41653</v>
      </c>
      <c r="G10" s="7" t="n">
        <v>52332</v>
      </c>
    </row>
    <row r="11">
      <c r="A11" s="7" t="inlineStr">
        <is>
          <t>Fee and commission expense</t>
        </is>
      </c>
      <c r="B11" s="7" t="n">
        <v>-1598</v>
      </c>
      <c r="C11" s="7" t="n">
        <v>-1514</v>
      </c>
      <c r="D11" s="7" t="n">
        <v>-1455</v>
      </c>
      <c r="E11" s="7" t="n">
        <v>-1326</v>
      </c>
      <c r="F11" s="7" t="n">
        <v>-1342</v>
      </c>
      <c r="G11" s="7" t="n">
        <v>-2939</v>
      </c>
    </row>
    <row r="12">
      <c r="A12" s="7" t="inlineStr">
        <is>
          <t>Gains and losses from financial instruments at fair value through profit or loss</t>
        </is>
      </c>
      <c r="B12" s="7" t="n">
        <v>-328872</v>
      </c>
      <c r="C12" s="7" t="n">
        <v>-296169</v>
      </c>
      <c r="D12" s="7" t="n">
        <v>-251873</v>
      </c>
      <c r="E12" s="7" t="n">
        <v>-104219</v>
      </c>
      <c r="F12" s="7" t="n">
        <v>-28708</v>
      </c>
      <c r="G12" s="7" t="n">
        <v>-47561</v>
      </c>
    </row>
    <row r="13">
      <c r="A13" s="5" t="inlineStr">
        <is>
          <t>Total operating income</t>
        </is>
      </c>
      <c r="B13" s="5" t="n">
        <v>23146</v>
      </c>
      <c r="C13" s="5" t="n">
        <v>21490</v>
      </c>
      <c r="D13" s="5" t="n">
        <v>17970</v>
      </c>
      <c r="E13" s="5" t="n">
        <v>44271</v>
      </c>
      <c r="F13" s="5" t="n">
        <v>31398</v>
      </c>
      <c r="G13" s="5" t="n">
        <v>28507</v>
      </c>
    </row>
    <row r="14">
      <c r="A14" s="5" t="inlineStr">
        <is>
          <t>General and administrative expenses</t>
        </is>
      </c>
      <c r="B14" s="5" t="n">
        <v>-8616</v>
      </c>
      <c r="C14" s="5" t="n">
        <v>-9035</v>
      </c>
      <c r="D14" s="5" t="n">
        <v>-8391</v>
      </c>
      <c r="E14" s="5" t="n">
        <v>-35479</v>
      </c>
      <c r="F14" s="5" t="n">
        <v>-11655</v>
      </c>
      <c r="G14" s="5" t="n">
        <v>-14680</v>
      </c>
    </row>
    <row r="15">
      <c r="A15" s="7" t="inlineStr">
        <is>
          <t>Credit impairment release/(charge)</t>
        </is>
      </c>
      <c r="B15" s="7" t="n">
        <v>-1353</v>
      </c>
      <c r="C15" s="7" t="n">
        <v>38</v>
      </c>
      <c r="D15" s="7" t="n">
        <v>-34</v>
      </c>
      <c r="E15" s="7" t="n">
        <v>-91</v>
      </c>
      <c r="F15" s="7" t="n">
        <v>-554</v>
      </c>
      <c r="G15" s="7" t="n">
        <v>46</v>
      </c>
    </row>
    <row r="16">
      <c r="A16" s="5" t="inlineStr">
        <is>
          <t>Profit before tax</t>
        </is>
      </c>
      <c r="B16" s="5" t="n">
        <v>13177</v>
      </c>
      <c r="C16" s="5" t="n">
        <v>12493</v>
      </c>
      <c r="D16" s="5" t="n">
        <v>9545</v>
      </c>
      <c r="E16" s="5" t="n">
        <v>8701</v>
      </c>
      <c r="F16" s="5" t="n">
        <v>19189</v>
      </c>
      <c r="G16" s="5" t="n">
        <v>13873</v>
      </c>
    </row>
    <row r="17">
      <c r="A17" s="7" t="inlineStr">
        <is>
          <t>Tax charge on profit on ordinary activities</t>
        </is>
      </c>
      <c r="B17" s="7" t="n">
        <v>-3312</v>
      </c>
      <c r="C17" s="7" t="n">
        <v>-3123</v>
      </c>
      <c r="D17" s="7" t="n">
        <v>-2370</v>
      </c>
      <c r="E17" s="7" t="n">
        <v>-1653</v>
      </c>
      <c r="F17" s="7" t="n">
        <v>-3647</v>
      </c>
      <c r="G17" s="7" t="n">
        <v>-2525</v>
      </c>
    </row>
    <row r="18">
      <c r="A18" s="5" t="inlineStr">
        <is>
          <t>Profit for the year</t>
        </is>
      </c>
      <c r="B18" s="5" t="n">
        <v>9865</v>
      </c>
      <c r="C18" s="5" t="n">
        <v>9370</v>
      </c>
      <c r="D18" s="5" t="n">
        <v>7175</v>
      </c>
      <c r="E18" s="5" t="n">
        <v>7048</v>
      </c>
      <c r="F18" s="5" t="n">
        <v>15542</v>
      </c>
      <c r="G18" s="5" t="n">
        <v>11348</v>
      </c>
    </row>
    <row r="19">
      <c r="A19" s="5" t="inlineStr">
        <is>
          <t>Other comprehensive income</t>
        </is>
      </c>
      <c r="B19" s="7" t="n"/>
      <c r="C19" s="7" t="n"/>
      <c r="D19" s="7" t="n"/>
      <c r="E19" s="7" t="n"/>
      <c r="F19" s="7" t="n"/>
      <c r="G19" s="7" t="n"/>
    </row>
    <row r="20">
      <c r="A20" s="7" t="inlineStr">
        <is>
          <t>Fair value changes on financial liabilities at FVTPL attributable to own credit risk (net of tax)</t>
        </is>
      </c>
      <c r="B20" s="7" t="n">
        <v>-91870</v>
      </c>
      <c r="C20" s="7" t="n">
        <v>723</v>
      </c>
      <c r="D20" s="7" t="n">
        <v>-136675</v>
      </c>
      <c r="E20" s="7" t="n">
        <v>126703</v>
      </c>
      <c r="F20" s="7" t="n">
        <v>89656</v>
      </c>
      <c r="G20" s="7" t="n">
        <v>-172938</v>
      </c>
    </row>
    <row r="21">
      <c r="A21" s="5" t="inlineStr">
        <is>
          <t>Total comprehensive income/(loss) for the year</t>
        </is>
      </c>
      <c r="B21" s="5" t="n">
        <v>-82005</v>
      </c>
      <c r="C21" s="5" t="n">
        <v>10093</v>
      </c>
      <c r="D21" s="5" t="n">
        <v>-129500</v>
      </c>
      <c r="E21" s="5" t="n">
        <v>133751</v>
      </c>
      <c r="F21" s="5" t="n">
        <v>105198</v>
      </c>
      <c r="G21" s="5" t="n">
        <v>-161590</v>
      </c>
    </row>
    <row r="23" ht="280" customHeight="1">
      <c r="A23"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1">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workbookViewId="0">
      <pane ySplit="4" topLeftCell="A5" activePane="bottomLeft" state="frozen"/>
      <selection pane="bottomLeft" activeCell="A1" sqref="A1"/>
    </sheetView>
  </sheetViews>
  <sheetFormatPr baseColWidth="8" defaultRowHeight="15"/>
  <cols>
    <col width="98" customWidth="1" min="1" max="1"/>
    <col width="15" customWidth="1" min="2" max="2"/>
    <col width="15" customWidth="1" min="3" max="3"/>
    <col width="15" customWidth="1" min="4" max="4"/>
    <col width="15" customWidth="1" min="5" max="5"/>
  </cols>
  <sheetData>
    <row r="1">
      <c r="A1" s="1" t="inlineStr">
        <is>
          <t>Nomura Bank International plc — Statement of Changes in Equity</t>
        </is>
      </c>
    </row>
    <row r="2">
      <c r="A2" s="2" t="inlineStr">
        <is>
          <t>Standalone Bank basis, $'000, chronological (oldest to newest)</t>
        </is>
      </c>
    </row>
    <row r="3">
      <c r="A3" s="4" t="inlineStr">
        <is>
          <t>Movement</t>
        </is>
      </c>
      <c r="B3" s="4" t="inlineStr">
        <is>
          <t>Called-up Share Capital</t>
        </is>
      </c>
      <c r="C3" s="4" t="inlineStr">
        <is>
          <t>Retained Earnings</t>
        </is>
      </c>
      <c r="D3" s="4" t="inlineStr">
        <is>
          <t>Own Credit Reserve</t>
        </is>
      </c>
      <c r="E3" s="4" t="inlineStr">
        <is>
          <t>Total</t>
        </is>
      </c>
    </row>
    <row r="4">
      <c r="A4" s="5" t="inlineStr">
        <is>
          <t>As at 1 April 2020</t>
        </is>
      </c>
      <c r="B4" s="5" t="n">
        <v>255000</v>
      </c>
      <c r="C4" s="5" t="n">
        <v>23137</v>
      </c>
      <c r="D4" s="5" t="n">
        <v>63672</v>
      </c>
      <c r="E4" s="5" t="n">
        <v>341809</v>
      </c>
    </row>
    <row r="5">
      <c r="A5" s="7" t="inlineStr">
        <is>
          <t>Dividends paid during the year</t>
        </is>
      </c>
      <c r="B5" s="7" t="n"/>
      <c r="C5" s="7" t="n">
        <v>-12000</v>
      </c>
      <c r="D5" s="7" t="n"/>
      <c r="E5" s="7" t="n">
        <v>-12000</v>
      </c>
    </row>
    <row r="6">
      <c r="A6" s="7" t="inlineStr">
        <is>
          <t>Transferred from own credit reserve to retained earnings</t>
        </is>
      </c>
      <c r="B6" s="7" t="n"/>
      <c r="C6" s="7" t="n">
        <v>-606</v>
      </c>
      <c r="D6" s="7" t="n">
        <v>606</v>
      </c>
      <c r="E6" s="7" t="n">
        <v>0</v>
      </c>
    </row>
    <row r="7">
      <c r="A7" s="7" t="inlineStr">
        <is>
          <t>Profit for the year</t>
        </is>
      </c>
      <c r="B7" s="7" t="n"/>
      <c r="C7" s="7" t="n">
        <v>11348</v>
      </c>
      <c r="D7" s="7" t="n"/>
      <c r="E7" s="7" t="n">
        <v>11348</v>
      </c>
    </row>
    <row r="8">
      <c r="A8" s="7" t="inlineStr">
        <is>
          <t>Other comprehensive loss (net of tax)</t>
        </is>
      </c>
      <c r="B8" s="7" t="n"/>
      <c r="C8" s="7" t="n"/>
      <c r="D8" s="7" t="n">
        <v>-172938</v>
      </c>
      <c r="E8" s="7" t="n">
        <v>-172938</v>
      </c>
    </row>
    <row r="9">
      <c r="A9" s="5" t="inlineStr">
        <is>
          <t>At 31 March 2021</t>
        </is>
      </c>
      <c r="B9" s="5" t="n">
        <v>255000</v>
      </c>
      <c r="C9" s="5" t="n">
        <v>21879</v>
      </c>
      <c r="D9" s="5" t="n">
        <v>-108660</v>
      </c>
      <c r="E9" s="5" t="n">
        <v>168219</v>
      </c>
    </row>
    <row r="10">
      <c r="A10" s="7" t="inlineStr">
        <is>
          <t>Dividends paid during the year</t>
        </is>
      </c>
      <c r="B10" s="7" t="n"/>
      <c r="C10" s="7" t="n">
        <v>-10000</v>
      </c>
      <c r="D10" s="7" t="n"/>
      <c r="E10" s="7" t="n">
        <v>-10000</v>
      </c>
    </row>
    <row r="11">
      <c r="A11" s="7" t="inlineStr">
        <is>
          <t>Transferred from own credit reserve to retained earnings</t>
        </is>
      </c>
      <c r="B11" s="7" t="n"/>
      <c r="C11" s="7" t="n">
        <v>5801</v>
      </c>
      <c r="D11" s="7" t="n">
        <v>-5801</v>
      </c>
      <c r="E11" s="7" t="n">
        <v>0</v>
      </c>
    </row>
    <row r="12">
      <c r="A12" s="7" t="inlineStr">
        <is>
          <t>Profit for the year</t>
        </is>
      </c>
      <c r="B12" s="7" t="n"/>
      <c r="C12" s="7" t="n">
        <v>15542</v>
      </c>
      <c r="D12" s="7" t="n"/>
      <c r="E12" s="7" t="n">
        <v>15542</v>
      </c>
    </row>
    <row r="13">
      <c r="A13" s="7" t="inlineStr">
        <is>
          <t>Other comprehensive income (net of tax)</t>
        </is>
      </c>
      <c r="B13" s="7" t="n"/>
      <c r="C13" s="7" t="n"/>
      <c r="D13" s="7" t="n">
        <v>89656</v>
      </c>
      <c r="E13" s="7" t="n">
        <v>89656</v>
      </c>
    </row>
    <row r="14">
      <c r="A14" s="5" t="inlineStr">
        <is>
          <t>At 31 March 2022</t>
        </is>
      </c>
      <c r="B14" s="5" t="n">
        <v>255000</v>
      </c>
      <c r="C14" s="5" t="n">
        <v>33222</v>
      </c>
      <c r="D14" s="5" t="n">
        <v>-24805</v>
      </c>
      <c r="E14" s="5" t="n">
        <v>263417</v>
      </c>
    </row>
    <row r="15">
      <c r="A15" s="7" t="inlineStr">
        <is>
          <t>Dividends paid during the year</t>
        </is>
      </c>
      <c r="B15" s="7" t="n"/>
      <c r="C15" s="7" t="n">
        <v>-10000</v>
      </c>
      <c r="D15" s="7" t="n"/>
      <c r="E15" s="7" t="n">
        <v>-10000</v>
      </c>
    </row>
    <row r="16">
      <c r="A16" s="7" t="inlineStr">
        <is>
          <t>Transferred from own credit reserve to retained earnings</t>
        </is>
      </c>
      <c r="B16" s="7" t="n"/>
      <c r="C16" s="7" t="n">
        <v>290</v>
      </c>
      <c r="D16" s="7" t="n">
        <v>-290</v>
      </c>
      <c r="E16" s="7" t="n">
        <v>0</v>
      </c>
    </row>
    <row r="17">
      <c r="A17" s="7" t="inlineStr">
        <is>
          <t>Profit for the year</t>
        </is>
      </c>
      <c r="B17" s="7" t="n"/>
      <c r="C17" s="7" t="n">
        <v>7048</v>
      </c>
      <c r="D17" s="7" t="n"/>
      <c r="E17" s="7" t="n">
        <v>7048</v>
      </c>
    </row>
    <row r="18">
      <c r="A18" s="7" t="inlineStr">
        <is>
          <t>Other comprehensive income (net of tax)</t>
        </is>
      </c>
      <c r="B18" s="7" t="n"/>
      <c r="C18" s="7" t="n"/>
      <c r="D18" s="7" t="n">
        <v>126703</v>
      </c>
      <c r="E18" s="7" t="n">
        <v>126703</v>
      </c>
    </row>
    <row r="19">
      <c r="A19" s="5" t="inlineStr">
        <is>
          <t>At 31 March 2023</t>
        </is>
      </c>
      <c r="B19" s="5" t="n">
        <v>255000</v>
      </c>
      <c r="C19" s="5" t="n">
        <v>30560</v>
      </c>
      <c r="D19" s="5" t="n">
        <v>101608</v>
      </c>
      <c r="E19" s="5" t="n">
        <v>387168</v>
      </c>
    </row>
    <row r="20">
      <c r="A20" s="7" t="inlineStr">
        <is>
          <t>Dividends paid during the year</t>
        </is>
      </c>
      <c r="B20" s="7" t="n"/>
      <c r="C20" s="7" t="n">
        <v>-5000</v>
      </c>
      <c r="D20" s="7" t="n"/>
      <c r="E20" s="7" t="n">
        <v>-5000</v>
      </c>
    </row>
    <row r="21">
      <c r="A21" s="7" t="inlineStr">
        <is>
          <t>Transferred from own credit reserve to retained earnings</t>
        </is>
      </c>
      <c r="B21" s="7" t="n"/>
      <c r="C21" s="7" t="n">
        <v>-6655</v>
      </c>
      <c r="D21" s="7" t="n">
        <v>6655</v>
      </c>
      <c r="E21" s="7" t="n">
        <v>0</v>
      </c>
    </row>
    <row r="22">
      <c r="A22" s="7" t="inlineStr">
        <is>
          <t>Profit for the year</t>
        </is>
      </c>
      <c r="B22" s="7" t="n"/>
      <c r="C22" s="7" t="n">
        <v>7175</v>
      </c>
      <c r="D22" s="7" t="n"/>
      <c r="E22" s="7" t="n">
        <v>7175</v>
      </c>
    </row>
    <row r="23">
      <c r="A23" s="7" t="inlineStr">
        <is>
          <t>Other comprehensive loss (net of tax)</t>
        </is>
      </c>
      <c r="B23" s="7" t="n"/>
      <c r="C23" s="7" t="n"/>
      <c r="D23" s="7" t="n">
        <v>-136675</v>
      </c>
      <c r="E23" s="7" t="n">
        <v>-136675</v>
      </c>
    </row>
    <row r="24">
      <c r="A24" s="5" t="inlineStr">
        <is>
          <t>At 31 March 2024</t>
        </is>
      </c>
      <c r="B24" s="5" t="n">
        <v>255000</v>
      </c>
      <c r="C24" s="5" t="n">
        <v>26080</v>
      </c>
      <c r="D24" s="5" t="n">
        <v>-28412</v>
      </c>
      <c r="E24" s="5" t="n">
        <v>252668</v>
      </c>
    </row>
    <row r="25">
      <c r="A25" s="7" t="inlineStr">
        <is>
          <t>Transferred from own credit reserve to retained earnings</t>
        </is>
      </c>
      <c r="B25" s="7" t="n"/>
      <c r="C25" s="7" t="n">
        <v>-555</v>
      </c>
      <c r="D25" s="7" t="n">
        <v>555</v>
      </c>
      <c r="E25" s="7" t="n">
        <v>0</v>
      </c>
    </row>
    <row r="26">
      <c r="A26" s="7" t="inlineStr">
        <is>
          <t>Profit for the year</t>
        </is>
      </c>
      <c r="B26" s="7" t="n"/>
      <c r="C26" s="7" t="n">
        <v>9370</v>
      </c>
      <c r="D26" s="7" t="n"/>
      <c r="E26" s="7" t="n">
        <v>9370</v>
      </c>
    </row>
    <row r="27">
      <c r="A27" s="7" t="inlineStr">
        <is>
          <t>Other comprehensive income (net of tax)</t>
        </is>
      </c>
      <c r="B27" s="7" t="n"/>
      <c r="C27" s="7" t="n"/>
      <c r="D27" s="7" t="n">
        <v>723</v>
      </c>
      <c r="E27" s="7" t="n">
        <v>723</v>
      </c>
    </row>
    <row r="28">
      <c r="A28" s="5" t="inlineStr">
        <is>
          <t>At 31 March 2025 (Equity statement's own figures - see source note on the $1k rounding gap vs the Balance Sheet)</t>
        </is>
      </c>
      <c r="B28" s="5" t="n">
        <v>255000</v>
      </c>
      <c r="C28" s="5" t="n">
        <v>34895</v>
      </c>
      <c r="D28" s="5" t="n">
        <v>-27134</v>
      </c>
      <c r="E28" s="5" t="n">
        <v>262761</v>
      </c>
    </row>
    <row r="29">
      <c r="A29" s="7" t="inlineStr">
        <is>
          <t>Dividends paid during the year</t>
        </is>
      </c>
      <c r="B29" s="7" t="n"/>
      <c r="C29" s="7" t="n">
        <v>-8500</v>
      </c>
      <c r="D29" s="7" t="n"/>
      <c r="E29" s="7" t="n">
        <v>-8500</v>
      </c>
    </row>
    <row r="30">
      <c r="A30" s="7" t="inlineStr">
        <is>
          <t>Transferred from own credit reserve to retained earnings</t>
        </is>
      </c>
      <c r="B30" s="7" t="n"/>
      <c r="C30" s="7" t="n">
        <v>-8534</v>
      </c>
      <c r="D30" s="7" t="n">
        <v>8534</v>
      </c>
      <c r="E30" s="7" t="n">
        <v>0</v>
      </c>
    </row>
    <row r="31">
      <c r="A31" s="7" t="inlineStr">
        <is>
          <t>Profit for the year</t>
        </is>
      </c>
      <c r="B31" s="7" t="n"/>
      <c r="C31" s="7" t="n">
        <v>9865</v>
      </c>
      <c r="D31" s="7" t="n"/>
      <c r="E31" s="7" t="n">
        <v>9865</v>
      </c>
    </row>
    <row r="32">
      <c r="A32" s="7" t="inlineStr">
        <is>
          <t>Other comprehensive loss (net of tax)</t>
        </is>
      </c>
      <c r="B32" s="7" t="n"/>
      <c r="C32" s="7" t="n"/>
      <c r="D32" s="7" t="n">
        <v>-91870</v>
      </c>
      <c r="E32" s="7" t="n">
        <v>-91870</v>
      </c>
    </row>
    <row r="33">
      <c r="A33" s="5" t="inlineStr">
        <is>
          <t>At 31 March 2026</t>
        </is>
      </c>
      <c r="B33" s="5" t="n">
        <v>255000</v>
      </c>
      <c r="C33" s="5" t="n">
        <v>27726</v>
      </c>
      <c r="D33" s="5" t="n">
        <v>-110470</v>
      </c>
      <c r="E33" s="5" t="n">
        <v>172256</v>
      </c>
    </row>
    <row r="35" ht="280" customHeight="1">
      <c r="A35"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1">
    <mergeCell ref="A35:E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Statement of Cash Flows</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Operating activities</t>
        </is>
      </c>
      <c r="B4" s="7" t="n"/>
      <c r="C4" s="7" t="n"/>
      <c r="D4" s="7" t="n"/>
      <c r="E4" s="7" t="n"/>
      <c r="F4" s="7" t="n"/>
      <c r="G4" s="7" t="n"/>
    </row>
    <row r="5">
      <c r="A5" s="7" t="inlineStr">
        <is>
          <t>Profit before taxation</t>
        </is>
      </c>
      <c r="B5" s="7" t="n">
        <v>13177</v>
      </c>
      <c r="C5" s="7" t="n">
        <v>12493</v>
      </c>
      <c r="D5" s="7" t="n">
        <v>9544</v>
      </c>
      <c r="E5" s="7" t="n">
        <v>8701</v>
      </c>
      <c r="F5" s="7" t="n">
        <v>19189</v>
      </c>
      <c r="G5" s="7" t="n">
        <v>13873</v>
      </c>
    </row>
    <row r="6">
      <c r="A6" s="7" t="inlineStr">
        <is>
          <t>Depreciation</t>
        </is>
      </c>
      <c r="B6" s="7" t="n"/>
      <c r="C6" s="7" t="n">
        <v>0</v>
      </c>
      <c r="D6" s="7" t="n">
        <v>17</v>
      </c>
      <c r="E6" s="7" t="n">
        <v>80</v>
      </c>
      <c r="F6" s="7" t="n">
        <v>105</v>
      </c>
      <c r="G6" s="7" t="n">
        <v>113</v>
      </c>
    </row>
    <row r="7">
      <c r="A7" s="7" t="inlineStr">
        <is>
          <t>Net gain/loss including FX gain/loss on bonds and medium term notes</t>
        </is>
      </c>
      <c r="B7" s="7" t="n">
        <v>177065</v>
      </c>
      <c r="C7" s="7" t="n">
        <v>56668</v>
      </c>
      <c r="D7" s="7" t="n">
        <v>95274</v>
      </c>
      <c r="E7" s="7" t="n"/>
      <c r="F7" s="7" t="n"/>
      <c r="G7" s="7" t="n"/>
    </row>
    <row r="8">
      <c r="A8" s="7" t="inlineStr">
        <is>
          <t>Interest and FX gain/loss on commercial papers</t>
        </is>
      </c>
      <c r="B8" s="7" t="n">
        <v>51562</v>
      </c>
      <c r="C8" s="7" t="n">
        <v>30018</v>
      </c>
      <c r="D8" s="7" t="n">
        <v>21359</v>
      </c>
      <c r="E8" s="7" t="n"/>
      <c r="F8" s="7" t="n"/>
      <c r="G8" s="7" t="n"/>
    </row>
    <row r="9">
      <c r="A9" s="7" t="inlineStr">
        <is>
          <t>Provisions</t>
        </is>
      </c>
      <c r="B9" s="7" t="n">
        <v>1353</v>
      </c>
      <c r="C9" s="7" t="n">
        <v>-38</v>
      </c>
      <c r="D9" s="7" t="n">
        <v>34</v>
      </c>
      <c r="E9" s="7" t="n"/>
      <c r="F9" s="7" t="n"/>
      <c r="G9" s="7" t="n"/>
    </row>
    <row r="10">
      <c r="A10" s="7" t="inlineStr">
        <is>
          <t>Net change in derivative assets</t>
        </is>
      </c>
      <c r="B10" s="7" t="n">
        <v>-181274</v>
      </c>
      <c r="C10" s="7" t="n">
        <v>-142070</v>
      </c>
      <c r="D10" s="7" t="n">
        <v>-140794</v>
      </c>
      <c r="E10" s="7" t="n">
        <v>291082</v>
      </c>
      <c r="F10" s="7" t="n">
        <v>1032728</v>
      </c>
      <c r="G10" s="7" t="n">
        <v>421444</v>
      </c>
    </row>
    <row r="11">
      <c r="A11" s="7" t="inlineStr">
        <is>
          <t>Net change in loans and advances to affiliates</t>
        </is>
      </c>
      <c r="B11" s="7" t="n">
        <v>-1472975</v>
      </c>
      <c r="C11" s="7" t="n">
        <v>-1305745</v>
      </c>
      <c r="D11" s="7" t="n">
        <v>-422254</v>
      </c>
      <c r="E11" s="7" t="n">
        <v>-607748</v>
      </c>
      <c r="F11" s="7" t="n">
        <v>-1012313</v>
      </c>
      <c r="G11" s="7" t="n">
        <v>-857200</v>
      </c>
    </row>
    <row r="12">
      <c r="A12" s="7" t="inlineStr">
        <is>
          <t>Net change in securities purchased under agreements to resell</t>
        </is>
      </c>
      <c r="B12" s="7" t="n">
        <v>83529</v>
      </c>
      <c r="C12" s="7" t="n">
        <v>154611</v>
      </c>
      <c r="D12" s="7" t="n">
        <v>21196</v>
      </c>
      <c r="E12" s="7" t="n">
        <v>364450</v>
      </c>
      <c r="F12" s="7" t="n">
        <v>685731</v>
      </c>
      <c r="G12" s="7" t="n">
        <v>891295</v>
      </c>
    </row>
    <row r="13">
      <c r="A13" s="7" t="inlineStr">
        <is>
          <t>Net change in loans and advances to others</t>
        </is>
      </c>
      <c r="B13" s="7" t="n">
        <v>304</v>
      </c>
      <c r="C13" s="7" t="n">
        <v>294</v>
      </c>
      <c r="D13" s="7" t="n">
        <v>318</v>
      </c>
      <c r="E13" s="7" t="n">
        <v>-2045</v>
      </c>
      <c r="F13" s="7" t="n">
        <v>1163</v>
      </c>
      <c r="G13" s="7" t="n">
        <v>64842</v>
      </c>
    </row>
    <row r="14">
      <c r="A14" s="7" t="inlineStr">
        <is>
          <t>Net changes in prepayments and accrued income</t>
        </is>
      </c>
      <c r="B14" s="7" t="n">
        <v>10657</v>
      </c>
      <c r="C14" s="7" t="n">
        <v>-7833</v>
      </c>
      <c r="D14" s="7" t="n">
        <v>-35111</v>
      </c>
      <c r="E14" s="7" t="n">
        <v>-17528</v>
      </c>
      <c r="F14" s="7" t="n">
        <v>791</v>
      </c>
      <c r="G14" s="7" t="n">
        <v>-1791</v>
      </c>
    </row>
    <row r="15">
      <c r="A15" s="7" t="inlineStr">
        <is>
          <t>Net change in other assets</t>
        </is>
      </c>
      <c r="B15" s="7" t="n">
        <v>-3364</v>
      </c>
      <c r="C15" s="7" t="n">
        <v>2380</v>
      </c>
      <c r="D15" s="7" t="n">
        <v>-5633</v>
      </c>
      <c r="E15" s="7" t="n">
        <v>4747</v>
      </c>
      <c r="F15" s="7" t="n">
        <v>2330</v>
      </c>
      <c r="G15" s="7" t="n">
        <v>17160</v>
      </c>
    </row>
    <row r="16">
      <c r="A16" s="7" t="inlineStr">
        <is>
          <t>Net change in financial investments</t>
        </is>
      </c>
      <c r="B16" s="7" t="n">
        <v>-1</v>
      </c>
      <c r="C16" s="7" t="n">
        <v>-2</v>
      </c>
      <c r="D16" s="7" t="n">
        <v>0</v>
      </c>
      <c r="E16" s="7" t="n">
        <v>9</v>
      </c>
      <c r="F16" s="7" t="n">
        <v>0</v>
      </c>
      <c r="G16" s="7" t="n">
        <v>-2</v>
      </c>
    </row>
    <row r="17">
      <c r="A17" s="7" t="inlineStr">
        <is>
          <t>Net change in customer accounts</t>
        </is>
      </c>
      <c r="B17" s="7" t="n">
        <v>40000</v>
      </c>
      <c r="C17" s="7" t="n">
        <v>10000</v>
      </c>
      <c r="D17" s="7" t="n">
        <v>-761</v>
      </c>
      <c r="E17" s="7" t="n">
        <v>0</v>
      </c>
      <c r="F17" s="7" t="n">
        <v>-166</v>
      </c>
      <c r="G17" s="7" t="n">
        <v>10</v>
      </c>
    </row>
    <row r="18">
      <c r="A18" s="7" t="inlineStr">
        <is>
          <t>Net change in derivative liabilities</t>
        </is>
      </c>
      <c r="B18" s="7" t="n">
        <v>-7184</v>
      </c>
      <c r="C18" s="7" t="n">
        <v>117342</v>
      </c>
      <c r="D18" s="7" t="n">
        <v>64879</v>
      </c>
      <c r="E18" s="7" t="n">
        <v>152843</v>
      </c>
      <c r="F18" s="7" t="n">
        <v>-726077</v>
      </c>
      <c r="G18" s="7" t="n">
        <v>-480143</v>
      </c>
    </row>
    <row r="19">
      <c r="A19" s="7" t="inlineStr">
        <is>
          <t>Net change in accruals and deferred income</t>
        </is>
      </c>
      <c r="B19" s="7" t="n">
        <v>17500</v>
      </c>
      <c r="C19" s="7" t="n">
        <v>5453</v>
      </c>
      <c r="D19" s="7" t="n">
        <v>-24204</v>
      </c>
      <c r="E19" s="7" t="n">
        <v>40180</v>
      </c>
      <c r="F19" s="7" t="n">
        <v>-1286</v>
      </c>
      <c r="G19" s="7" t="n">
        <v>3734</v>
      </c>
    </row>
    <row r="20">
      <c r="A20" s="7" t="inlineStr">
        <is>
          <t>Net change in borrowings from affiliates</t>
        </is>
      </c>
      <c r="B20" s="7" t="n">
        <v>97368</v>
      </c>
      <c r="C20" s="7" t="n">
        <v>7122</v>
      </c>
      <c r="D20" s="7" t="n">
        <v>-2879</v>
      </c>
      <c r="E20" s="7" t="n">
        <v>-153177</v>
      </c>
      <c r="F20" s="7" t="n">
        <v>-54912</v>
      </c>
      <c r="G20" s="7" t="n">
        <v>1757</v>
      </c>
    </row>
    <row r="21">
      <c r="A21" s="7" t="inlineStr">
        <is>
          <t>Net change in borrowings from others</t>
        </is>
      </c>
      <c r="B21" s="7" t="n"/>
      <c r="C21" s="7" t="n"/>
      <c r="D21" s="7" t="n"/>
      <c r="E21" s="7" t="n">
        <v>151</v>
      </c>
      <c r="F21" s="7" t="n">
        <v>-8118</v>
      </c>
      <c r="G21" s="7" t="n">
        <v>-29299</v>
      </c>
    </row>
    <row r="22">
      <c r="A22" s="7" t="inlineStr">
        <is>
          <t>Net change in commercial papers issued</t>
        </is>
      </c>
      <c r="B22" s="7" t="n"/>
      <c r="C22" s="7" t="n"/>
      <c r="D22" s="7" t="n"/>
      <c r="E22" s="7" t="n">
        <v>-19080</v>
      </c>
      <c r="F22" s="7" t="n">
        <v>-53485</v>
      </c>
      <c r="G22" s="7" t="n">
        <v>-1255</v>
      </c>
    </row>
    <row r="23">
      <c r="A23" s="7" t="inlineStr">
        <is>
          <t>Net change in securities sold under agreements to repurchase</t>
        </is>
      </c>
      <c r="B23" s="7" t="n"/>
      <c r="C23" s="7" t="n"/>
      <c r="D23" s="7" t="n"/>
      <c r="E23" s="7" t="n"/>
      <c r="F23" s="7" t="n"/>
      <c r="G23" s="7" t="n">
        <v>-425000</v>
      </c>
    </row>
    <row r="24">
      <c r="A24" s="7" t="inlineStr">
        <is>
          <t>Net change in bonds and medium-term notes</t>
        </is>
      </c>
      <c r="B24" s="7" t="n"/>
      <c r="C24" s="7" t="n"/>
      <c r="D24" s="7" t="n"/>
      <c r="E24" s="7" t="n">
        <v>-405274</v>
      </c>
      <c r="F24" s="7" t="n">
        <v>-492696</v>
      </c>
      <c r="G24" s="7" t="n">
        <v>12330</v>
      </c>
    </row>
    <row r="25">
      <c r="A25" s="7" t="inlineStr">
        <is>
          <t>Net change in other liabilities</t>
        </is>
      </c>
      <c r="B25" s="7" t="n">
        <v>916</v>
      </c>
      <c r="C25" s="7" t="n">
        <v>28</v>
      </c>
      <c r="D25" s="7" t="n">
        <v>-11</v>
      </c>
      <c r="E25" s="7" t="n">
        <v>-679</v>
      </c>
      <c r="F25" s="7" t="n">
        <v>596</v>
      </c>
      <c r="G25" s="7" t="n">
        <v>-43</v>
      </c>
    </row>
    <row r="26">
      <c r="A26" s="7" t="inlineStr">
        <is>
          <t>Income tax and group relief paid</t>
        </is>
      </c>
      <c r="B26" s="7" t="n">
        <v>-2546</v>
      </c>
      <c r="C26" s="7" t="n">
        <v>-1684</v>
      </c>
      <c r="D26" s="7" t="n">
        <v>-6553</v>
      </c>
      <c r="E26" s="7" t="n">
        <v>0</v>
      </c>
      <c r="F26" s="7" t="n">
        <v>0</v>
      </c>
      <c r="G26" s="7" t="n">
        <v>-3287</v>
      </c>
    </row>
    <row r="27">
      <c r="A27" s="5" t="inlineStr">
        <is>
          <t>Net cash flow from operating activities</t>
        </is>
      </c>
      <c r="B27" s="5" t="n">
        <v>-1173913</v>
      </c>
      <c r="C27" s="5" t="n">
        <v>-1060963</v>
      </c>
      <c r="D27" s="5" t="n">
        <v>-425579</v>
      </c>
      <c r="E27" s="5" t="n">
        <v>-343288</v>
      </c>
      <c r="F27" s="5" t="n">
        <v>-606420</v>
      </c>
      <c r="G27" s="5" t="n">
        <v>-371462</v>
      </c>
    </row>
    <row r="28">
      <c r="A28" s="5" t="inlineStr">
        <is>
          <t>Cash flows from financing activities</t>
        </is>
      </c>
      <c r="B28" s="7" t="n"/>
      <c r="C28" s="7" t="n"/>
      <c r="D28" s="7" t="n"/>
      <c r="E28" s="7" t="n"/>
      <c r="F28" s="7" t="n"/>
      <c r="G28" s="7" t="n"/>
    </row>
    <row r="29">
      <c r="A29" s="7" t="inlineStr">
        <is>
          <t>Proceeds from issuance of bonds and commercial papers</t>
        </is>
      </c>
      <c r="B29" s="7" t="n">
        <v>4228662</v>
      </c>
      <c r="C29" s="7" t="n">
        <v>2784772</v>
      </c>
      <c r="D29" s="7" t="n">
        <v>2939680</v>
      </c>
      <c r="E29" s="7" t="n">
        <v>3368550</v>
      </c>
      <c r="F29" s="7" t="n">
        <v>3257272</v>
      </c>
      <c r="G29" s="7" t="n">
        <v>3408164</v>
      </c>
    </row>
    <row r="30">
      <c r="A30" s="7" t="inlineStr">
        <is>
          <t>Repayments of bonds and commercial papers</t>
        </is>
      </c>
      <c r="B30" s="7" t="n">
        <v>-3046844</v>
      </c>
      <c r="C30" s="7" t="n">
        <v>-1722843</v>
      </c>
      <c r="D30" s="7" t="n">
        <v>-2516103</v>
      </c>
      <c r="E30" s="7" t="n">
        <v>-3008861</v>
      </c>
      <c r="F30" s="7" t="n">
        <v>-2642274</v>
      </c>
      <c r="G30" s="7" t="n">
        <v>-3038749</v>
      </c>
    </row>
    <row r="31">
      <c r="A31" s="7" t="inlineStr">
        <is>
          <t>Dividends paid</t>
        </is>
      </c>
      <c r="B31" s="7" t="n">
        <v>-8500</v>
      </c>
      <c r="C31" s="7" t="n">
        <v>0</v>
      </c>
      <c r="D31" s="7" t="n">
        <v>-5000</v>
      </c>
      <c r="E31" s="7" t="n">
        <v>-10000</v>
      </c>
      <c r="F31" s="7" t="n">
        <v>-10000</v>
      </c>
      <c r="G31" s="7" t="n">
        <v>-12000</v>
      </c>
    </row>
    <row r="32">
      <c r="A32" s="7" t="inlineStr">
        <is>
          <t>Payment of principal portion of lease liabilities</t>
        </is>
      </c>
      <c r="B32" s="7" t="n"/>
      <c r="C32" s="7" t="n">
        <v>0</v>
      </c>
      <c r="D32" s="7" t="n">
        <v>-18</v>
      </c>
      <c r="E32" s="7" t="n">
        <v>-82</v>
      </c>
      <c r="F32" s="7" t="n">
        <v>-114</v>
      </c>
      <c r="G32" s="7" t="n">
        <v>-113</v>
      </c>
    </row>
    <row r="33">
      <c r="A33" s="5" t="inlineStr">
        <is>
          <t>Net cash flows from financing activities</t>
        </is>
      </c>
      <c r="B33" s="5" t="n">
        <v>1173318</v>
      </c>
      <c r="C33" s="5" t="n">
        <v>1061929</v>
      </c>
      <c r="D33" s="5" t="n">
        <v>418559</v>
      </c>
      <c r="E33" s="5" t="n">
        <v>349607</v>
      </c>
      <c r="F33" s="5" t="n">
        <v>604884</v>
      </c>
      <c r="G33" s="5" t="n">
        <v>357302</v>
      </c>
    </row>
    <row r="34">
      <c r="A34" s="5" t="inlineStr">
        <is>
          <t>Net increase/(decrease) in cash and cash equivalents</t>
        </is>
      </c>
      <c r="B34" s="5" t="n">
        <v>-595</v>
      </c>
      <c r="C34" s="5" t="n">
        <v>966</v>
      </c>
      <c r="D34" s="5" t="n">
        <v>-7020</v>
      </c>
      <c r="E34" s="5" t="n">
        <v>6319</v>
      </c>
      <c r="F34" s="5" t="n">
        <v>-1536</v>
      </c>
      <c r="G34" s="5" t="n">
        <v>-14160</v>
      </c>
    </row>
    <row r="35">
      <c r="A35" s="7" t="inlineStr">
        <is>
          <t>Cash and cash equivalents at the beginning of the year</t>
        </is>
      </c>
      <c r="B35" s="7" t="n">
        <v>1727</v>
      </c>
      <c r="C35" s="7" t="n">
        <v>761</v>
      </c>
      <c r="D35" s="7" t="n">
        <v>7781</v>
      </c>
      <c r="E35" s="7" t="n">
        <v>1462</v>
      </c>
      <c r="F35" s="7" t="n">
        <v>2998</v>
      </c>
      <c r="G35" s="7" t="n">
        <v>17158</v>
      </c>
    </row>
    <row r="36">
      <c r="A36" s="5" t="inlineStr">
        <is>
          <t>Cash and cash equivalents at the end of the year</t>
        </is>
      </c>
      <c r="B36" s="5" t="n">
        <v>1132</v>
      </c>
      <c r="C36" s="5" t="n">
        <v>1727</v>
      </c>
      <c r="D36" s="5" t="n">
        <v>761</v>
      </c>
      <c r="E36" s="5" t="n">
        <v>7781</v>
      </c>
      <c r="F36" s="5" t="n">
        <v>1462</v>
      </c>
      <c r="G36" s="5" t="n">
        <v>2998</v>
      </c>
    </row>
    <row r="37">
      <c r="A37" s="7" t="inlineStr">
        <is>
          <t>Interest paid</t>
        </is>
      </c>
      <c r="B37" s="7" t="n">
        <v>-5105</v>
      </c>
      <c r="C37" s="7" t="n">
        <v>-5305</v>
      </c>
      <c r="D37" s="7" t="n">
        <v>-5334</v>
      </c>
      <c r="E37" s="7" t="n">
        <v>-7193</v>
      </c>
      <c r="F37" s="7" t="n">
        <v>-5543</v>
      </c>
      <c r="G37" s="7" t="n">
        <v>-5978</v>
      </c>
    </row>
    <row r="38">
      <c r="A38" s="7" t="inlineStr">
        <is>
          <t>Interest received</t>
        </is>
      </c>
      <c r="B38" s="7" t="n">
        <v>350157</v>
      </c>
      <c r="C38" s="7" t="n">
        <v>323619</v>
      </c>
      <c r="D38" s="7" t="n">
        <v>258954</v>
      </c>
      <c r="E38" s="7" t="n">
        <v>95480</v>
      </c>
      <c r="F38" s="7" t="n">
        <v>27216</v>
      </c>
      <c r="G38" s="7" t="n">
        <v>31357</v>
      </c>
    </row>
    <row r="40" ht="220" customHeight="1">
      <c r="A40"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t>
        </is>
      </c>
    </row>
  </sheetData>
  <mergeCells count="1">
    <mergeCell ref="A40:G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Asset Quality</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Credit exposure (Balance Sheet basis)</t>
        </is>
      </c>
      <c r="B4" s="7" t="n"/>
      <c r="C4" s="7" t="n"/>
      <c r="D4" s="7" t="n"/>
      <c r="E4" s="7" t="n"/>
      <c r="F4" s="7" t="n"/>
      <c r="G4" s="7" t="n"/>
    </row>
    <row r="5">
      <c r="A5" s="7" t="inlineStr">
        <is>
          <t>Loans and advances to affiliates</t>
        </is>
      </c>
      <c r="B5" s="7" t="n">
        <v>6428499</v>
      </c>
      <c r="C5" s="7" t="n">
        <v>4956351</v>
      </c>
      <c r="D5" s="7" t="n">
        <v>3650595</v>
      </c>
      <c r="E5" s="7" t="n">
        <v>3228350</v>
      </c>
      <c r="F5" s="7" t="n">
        <v>2620602</v>
      </c>
      <c r="G5" s="7" t="n">
        <v>1608289</v>
      </c>
    </row>
    <row r="6">
      <c r="A6" s="7" t="inlineStr">
        <is>
          <t>Loans and advances to others</t>
        </is>
      </c>
      <c r="B6" s="7" t="n">
        <v>1546</v>
      </c>
      <c r="C6" s="7" t="n">
        <v>1850</v>
      </c>
      <c r="D6" s="7" t="n">
        <v>2144</v>
      </c>
      <c r="E6" s="7" t="n">
        <v>2462</v>
      </c>
      <c r="F6" s="7" t="n">
        <v>417</v>
      </c>
      <c r="G6" s="7" t="n">
        <v>1580</v>
      </c>
    </row>
    <row r="7">
      <c r="A7" s="5" t="inlineStr">
        <is>
          <t>Total loans and advances</t>
        </is>
      </c>
      <c r="B7" s="5" t="n">
        <v>6430045</v>
      </c>
      <c r="C7" s="5" t="n">
        <v>4958201</v>
      </c>
      <c r="D7" s="5" t="n">
        <v>3652739</v>
      </c>
      <c r="E7" s="5" t="n">
        <v>3230812</v>
      </c>
      <c r="F7" s="5" t="n">
        <v>2621019</v>
      </c>
      <c r="G7" s="5" t="n">
        <v>1609869</v>
      </c>
    </row>
    <row r="8">
      <c r="A8" s="5" t="inlineStr">
        <is>
          <t>Credit impairment (Income Statement basis)</t>
        </is>
      </c>
      <c r="B8" s="7" t="n"/>
      <c r="C8" s="7" t="n"/>
      <c r="D8" s="7" t="n"/>
      <c r="E8" s="7" t="n"/>
      <c r="F8" s="7" t="n"/>
      <c r="G8" s="7" t="n"/>
    </row>
    <row r="9">
      <c r="A9" s="7" t="inlineStr">
        <is>
          <t>Credit impairment release/(charge) for the year</t>
        </is>
      </c>
      <c r="B9" s="7" t="n">
        <v>-1353</v>
      </c>
      <c r="C9" s="7" t="n">
        <v>38</v>
      </c>
      <c r="D9" s="7" t="n">
        <v>-34</v>
      </c>
      <c r="E9" s="7" t="n">
        <v>-91</v>
      </c>
      <c r="F9" s="7" t="n">
        <v>-554</v>
      </c>
      <c r="G9" s="7" t="n">
        <v>46</v>
      </c>
    </row>
    <row r="10">
      <c r="A10" s="5" t="inlineStr">
        <is>
          <t>IFRS 9 staging</t>
        </is>
      </c>
      <c r="B10" s="7" t="n"/>
      <c r="C10" s="7" t="n"/>
      <c r="D10" s="7" t="n"/>
      <c r="E10" s="7" t="n"/>
      <c r="F10" s="7" t="n"/>
      <c r="G10" s="7" t="n"/>
    </row>
    <row r="11">
      <c r="A11" s="7" t="inlineStr">
        <is>
          <t>Stage 1 / Stage 2 / Stage 3 split</t>
        </is>
      </c>
      <c r="B11" s="7" t="inlineStr">
        <is>
          <t>Not publicly disclosed</t>
        </is>
      </c>
      <c r="C11" s="7" t="inlineStr">
        <is>
          <t>Not publicly disclosed</t>
        </is>
      </c>
      <c r="D11" s="7" t="inlineStr">
        <is>
          <t>Not publicly disclosed</t>
        </is>
      </c>
      <c r="E11" s="7" t="inlineStr">
        <is>
          <t>Not publicly disclosed</t>
        </is>
      </c>
      <c r="F11" s="7" t="inlineStr">
        <is>
          <t>Not publicly disclosed</t>
        </is>
      </c>
      <c r="G11" s="7" t="inlineStr">
        <is>
          <t>Not publicly disclosed</t>
        </is>
      </c>
    </row>
    <row r="13" ht="200" customHeight="1">
      <c r="A13"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
ASSET QUALITY NOTE: the Bank's lending is almost entirely intercompany (Loans and advances to affiliates); the accounting policy note (p.42) describes a 3-stage IFRS 9 staging framework qualitatively, but no numeric Stage 1/2/3 split or counterparty-rating table is disclosed anywhere in the 5 annual reports checked - only the aggregate 'Credit impairment release/(charge)' P&amp;L line.</t>
        </is>
      </c>
    </row>
  </sheetData>
  <mergeCells count="1">
    <mergeCell ref="A13:G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Common Equity Tier 1 capital</t>
        </is>
      </c>
      <c r="B4" s="7" t="n"/>
      <c r="C4" s="7" t="n"/>
      <c r="D4" s="7" t="n"/>
      <c r="E4" s="7" t="n"/>
      <c r="F4" s="7" t="n"/>
      <c r="G4" s="7" t="n">
        <v>267000</v>
      </c>
    </row>
    <row r="5" ht="60" customHeight="1">
      <c r="A5" s="6" t="inlineStr">
        <is>
          <t>Note: FY2021 recovered 2026-09-12 from the parent's Pillar 3 CC1 table, NBI's own column (reported in $m, shown here as $'000: $267m). NOTE A GENUINE BASIS DIFFERENCE, not a transcription error: the Annual Report's own Note 15 states Tier 1 capital of $276,772k for the same date, $9.8m higher, because the regulatory CC1 figure applies prudential filters and deductions (prudent valuation, deferred tax, own-credit adjustment) that the accounts-based note does not. Both are reproduced as their own source states them rather than reconciled. FY2025-FY2022 are blank because the parent's Pillar 3 stopped disclosing NBI from its 31 March 2022 edition onward, and NBI's own Annual Report never discloses a CET1 figure - a genuine end of disclosure, confirmed 2026-09-15 against the later editions themselves. See the source note.
DERIVATION DELIBERATELY REFUSED for FY2022-FY2026 - read this before 'filling' these cells. It is tempting to set CET1 capital equal to the disclosed Tier 1 capital, because the Bank's own capital note states that 'The Bank does not currently maintain Tier 2 capital'. That statement does exactly one thing: it establishes that Total capital resources equals Tier 1 capital, which is why the Total Capital sheet legitimately carries the same figures. It does NOT establish that CET1 equals Tier 1. Tier 1 capital is CET1 plus Additional Tier 1, and the absence of Tier 2 says nothing at all about the presence or absence of AT1. No Nomura Bank International document states that the Bank holds no AT1 instrument, and no document discloses a CET1 figure for these years. Writing CET1 = Tier 1 would therefore be an assumption dressed as a transcription, and it would be wrong in exactly the way this project's first rule forbids.
Note that the one year where both figures ARE independently disclosed shows they genuinely differ for this entity: at 31 March 2021 the parent's CC1 table gives NBI CET1 of $267m while the Bank's own capital note gives Tier 1 capital of $276,772k - a $9.8m gap arising from prudential filters and deductions applied in the regulatory return but not in the accounts-based note. That is direct evidence that the two measures are not interchangeable for this bank, quite apart from the AT1 point.
The blank cell is the correct and informative answer here. It says the figure was never published; a filled cell would say something that no document says.</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Common Equity Tier 1 ratio</t>
        </is>
      </c>
      <c r="B4" s="7" t="n"/>
      <c r="C4" s="7" t="n"/>
      <c r="D4" s="7" t="n"/>
      <c r="E4" s="7" t="n"/>
      <c r="F4" s="7" t="n"/>
      <c r="G4" s="7" t="inlineStr">
        <is>
          <t>279.68%</t>
        </is>
      </c>
    </row>
    <row r="5" ht="60" customHeight="1">
      <c r="A5" s="6" t="inlineStr">
        <is>
          <t>Note: FY2021 as directly disclosed in the parent's Pillar 3 CC1 table, NBI column. The very high ratio is consistent with that document's own statement that NBI's risk-weighted assets are immaterial to the Group. FY2025-FY2022 blank because the parent ceased disclosing NBI from its 31 March 2022 Pillar 3 edition onward (confirmed 2026-09-15 by reading those editions) and no ratio appears in NBI's own accounts - see source note.</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Tier 1 capital</t>
        </is>
      </c>
      <c r="B4" s="7" t="n">
        <v>281438</v>
      </c>
      <c r="C4" s="7" t="n">
        <v>281414</v>
      </c>
      <c r="D4" s="7" t="n">
        <v>281296</v>
      </c>
      <c r="E4" s="7" t="n">
        <v>280841</v>
      </c>
      <c r="F4" s="7" t="n">
        <v>287698</v>
      </c>
      <c r="G4" s="7" t="n">
        <v>276772</v>
      </c>
    </row>
    <row r="5" ht="60" customHeight="1">
      <c r="A5" s="6" t="inlineStr">
        <is>
          <t>Note: All six years come from the Bank's OWN annual reports - entity basis throughout, no parent figure substituted - in the 'UK Regulatory Capital' table inside the Capital Management Policy note (note 16 in the FY2022 and FY2023 reports, renumbered note 15 from FY2024). Every figure was re-read from the source PDFs on 2026-09-15 and the full chain of prior-year comparatives reconciles with no restatement anywhere: AR2022 (PDF p.89) gives 287,698 with a 31 March 2021 comparative of 276,772; AR2023 (PDF p.86) gives 280,841 with 287,698; AR2024 (PDF p.86) gives 281,296 with 280,841; AR2025 (PDF p.80) gives 281,414 with 281,296; AR2026 (PDF p.85) gives 281,438 with 281,414. Each edition's comparative reproduces the previous edition's own published figure exactly, so the validation gate passes across all five links.
AUDIT CAVEAT, as the Bank itself flags it: the FY2026 report footnotes this table 'Tier 1 capital is not subject to audit'. The figure is transcribed as published, with that caveat attached rather than silently dropped.
BASIS CAVEAT: this is an accounts-based capital note, not a Pillar 3 CC1 return. Where both exist for the same date - 31 March 2021 - they differ: the parent's CC1 gives NBI CET1 of $267m against this note's Tier 1 of $276,772k, because the regulatory return applies prudential filters (prudent valuation, deferred tax, own-credit adjustment) that the accounts-based note does not. The two are shown on their own sheets on their own bases and are not reconciled to each other.</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Tier 1 capital ratio</t>
        </is>
      </c>
      <c r="B4" s="7" t="n"/>
      <c r="C4" s="7" t="n"/>
      <c r="D4" s="7" t="n"/>
      <c r="E4" s="7" t="n"/>
      <c r="F4" s="7" t="n"/>
      <c r="G4" s="7" t="inlineStr">
        <is>
          <t>279.68%</t>
        </is>
      </c>
    </row>
    <row r="5" ht="60" customHeight="1">
      <c r="A5" s="6" t="inlineStr">
        <is>
          <t>Note: FY2021 equals the CET1 ratio: the parent's Pillar 3 CC1 table states in its own footnote 6 that "Tier 1 capital ratio is equal to the Common Equity Tier 1 ratio", and NBI holds no Additional Tier 1 instrument. FY2025-FY2022 blank because the parent ceased disclosing NBI from its 31 March 2022 Pillar 3 edition onward (confirmed 2026-09-15 by reading those editions) and no ratio appears in NBI's own accounts - see source note.</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capital resources</t>
        </is>
      </c>
      <c r="B4" s="7" t="n">
        <v>281438</v>
      </c>
      <c r="C4" s="7" t="n">
        <v>281414</v>
      </c>
      <c r="D4" s="7" t="n">
        <v>281296</v>
      </c>
      <c r="E4" s="7" t="n">
        <v>280841</v>
      </c>
      <c r="F4" s="7" t="n">
        <v>287698</v>
      </c>
      <c r="G4" s="7" t="n">
        <v>276772</v>
      </c>
    </row>
    <row r="5" ht="60" customHeight="1">
      <c r="A5" s="6" t="inlineStr">
        <is>
          <t>Note: These are NOT derived from the Tier 1 sheet. Each year's 'UK Regulatory Capital' table prints 'Tier 1 capital' and 'Total capital resources' as two separate, separately stated lines, and both are transcribed from the table as published; they happen to be equal because, as the same note says in its own words, 'The Bank does not currently maintain Tier 2 capital'. That statement supports this equality and nothing further - in particular it does NOT license setting CET1 equal to Tier 1, since it says nothing about Additional Tier 1; see the CET1 Capital sheet's note.
All six years come from the Bank's OWN annual reports - entity basis throughout, no parent figure substituted - in the 'UK Regulatory Capital' table inside the Capital Management Policy note (note 16 in the FY2022 and FY2023 reports, renumbered note 15 from FY2024). Every figure was re-read from the source PDFs on 2026-09-15 and the full chain of prior-year comparatives reconciles with no restatement anywhere: AR2022 (PDF p.89) gives 287,698 with a 31 March 2021 comparative of 276,772; AR2023 (PDF p.86) gives 280,841 with 287,698; AR2024 (PDF p.86) gives 281,296 with 280,841; AR2025 (PDF p.80) gives 281,414 with 281,296; AR2026 (PDF p.85) gives 281,438 with 281,414. Each edition's comparative reproduces the previous edition's own published figure exactly, so the validation gate passes across all five links.
AUDIT CAVEAT, as the Bank itself flags it: the FY2026 report footnotes this table 'Tier 1 capital is not subject to audit'. The figure is transcribed as published, with that caveat attached rather than silently dropped.
BASIS CAVEAT: this is an accounts-based capital note, not a Pillar 3 CC1 return. Where both exist for the same date - 31 March 2021 - they differ: the parent's CC1 gives NBI CET1 of $267m against this note's Tier 1 of $276,772k, because the regulatory return applies prudential filters (prudent valuation, deferred tax, own-credit adjustment) that the accounts-based note does not. The two are shown on their own sheets on their own bases and are not reconciled to each other.</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capital as a percentage of total risk exposure amounts</t>
        </is>
      </c>
      <c r="B4" s="7" t="n"/>
      <c r="C4" s="7" t="n"/>
      <c r="D4" s="7" t="n"/>
      <c r="E4" s="7" t="n"/>
      <c r="F4" s="7" t="n"/>
      <c r="G4" s="7" t="inlineStr">
        <is>
          <t>279.68%</t>
        </is>
      </c>
    </row>
    <row r="5" ht="60" customHeight="1">
      <c r="A5" s="6" t="inlineStr">
        <is>
          <t>Note: FY2021 as directly disclosed in the parent's Pillar 3 CC1 table, NBI column; equal to the CET1 ratio because NBI holds no Tier 2 capital (the CC1 table shows a dash on NBI's Tier 2 row, consistent with the Annual Report's own statement). FY2025-FY2022 blank because the parent ceased disclosing NBI from its 31 March 2022 Pillar 3 edition onward (confirmed 2026-09-15 by reading those editions) and no ratio appears in NBI's own accounts - see source note.</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Total RWAs</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RWAs</t>
        </is>
      </c>
      <c r="B4" s="7" t="inlineStr">
        <is>
          <t>Not publicly disclosed</t>
        </is>
      </c>
      <c r="C4" s="7" t="inlineStr">
        <is>
          <t>Not publicly disclosed</t>
        </is>
      </c>
      <c r="D4" s="7" t="inlineStr">
        <is>
          <t>Not publicly disclosed</t>
        </is>
      </c>
      <c r="E4" s="7" t="inlineStr">
        <is>
          <t>Not publicly disclosed</t>
        </is>
      </c>
      <c r="F4" s="7" t="inlineStr">
        <is>
          <t>Not publicly disclosed</t>
        </is>
      </c>
      <c r="G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TOTAL RWAs: genuinely never disclosed for this entity, in either the Annual Reports or the parent's Pillar 3 - the latter states NBI's RWAs are immaterial to the Group and so limits NBI's disclosure to Article 437 (Own Funds) only. An FY2021 figure of roughly $95m is arithmetically implied by the disclosed CET1 of $267m at the disclosed 279.68% ratio, but that is a back-solved inference from two rounded inputs, not a disclosed number, so it is deliberately NOT entered here.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(p.16),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The FY2025 and FY2026 editions are not published at the expected addresses at all: nomura-europe-holdings-plc-annual-pillar-3-disclosures-310325.pdf and -310326.pdf both return HTTP 404 under BOTH the /portal/site/public/ and /portal/site/login/ path prefixes (all four combinations tested 2026-09-15). So for FY2025 and FY2026 there is not even a group document to exclude NBI from.
NET EFFECT: the NEHS significant-subsidiary route yields NBI figures for FY2021 and for FY2021 only. FY2022 through FY2024 are a SOURCED structural negative (the group report exists, names NBI, and says in terms that it is not disclosing it); FY2025 and FY2026 are an enumerated negative (no group report at those addresses). Neither is an access problem, and neither should be re-chased.</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RWA Breakdown</t>
        </is>
      </c>
    </row>
    <row r="2">
      <c r="A2" s="2" t="inlineStr">
        <is>
          <t>See source note - no RWA figure of any kind is published for this entity.</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7" t="inlineStr">
        <is>
          <t>RWA Breakdown by risk category</t>
        </is>
      </c>
      <c r="B4" s="7" t="inlineStr">
        <is>
          <t>Not publicly disclosed</t>
        </is>
      </c>
      <c r="C4" s="7" t="inlineStr">
        <is>
          <t>Not publicly disclosed</t>
        </is>
      </c>
      <c r="D4" s="7" t="inlineStr">
        <is>
          <t>Not publicly disclosed</t>
        </is>
      </c>
      <c r="E4" s="7" t="inlineStr">
        <is>
          <t>Not publicly disclosed</t>
        </is>
      </c>
      <c r="F4" s="7" t="inlineStr">
        <is>
          <t>Not publicly disclosed</t>
        </is>
      </c>
      <c r="G4" s="7" t="inlineStr">
        <is>
          <t>Not publicly disclosed</t>
        </is>
      </c>
    </row>
    <row r="6" ht="22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Total RWAs itself is not numerically disclosed in the five entity-level annual reports checked (confirmed by reading each report's capital management/regulatory capital note, e.g. Note 15 at AR2025 p.79), so no category-level RWA Breakdown exists to transcribe; no values are inferred from group-level Nomura Europe disclosures.</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Leverage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c r="G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(p.16),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The FY2025 and FY2026 editions are not published at the expected addresses at all: nomura-europe-holdings-plc-annual-pillar-3-disclosures-310325.pdf and -310326.pdf both return HTTP 404 under BOTH the /portal/site/public/ and /portal/site/login/ path prefixes (all four combinations tested 2026-09-15). So for FY2025 and FY2026 there is not even a group document to exclude NBI from.
NET EFFECT: the NEHS significant-subsidiary route yields NBI figures for FY2021 and for FY2021 only. FY2022 through FY2024 are a SOURCED structural negative (the group report exists, names NBI, and says in terms that it is not disclosing it); FY2025 and FY2026 are an enumerated negative (no group report at those addresses). Neither is an access problem, and neither should be re-chased.</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LCR</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LCR</t>
        </is>
      </c>
      <c r="B4" s="7" t="inlineStr">
        <is>
          <t>Not publicly disclosed</t>
        </is>
      </c>
      <c r="C4" s="7" t="inlineStr">
        <is>
          <t>Not publicly disclosed</t>
        </is>
      </c>
      <c r="D4" s="7" t="inlineStr">
        <is>
          <t>Not publicly disclosed</t>
        </is>
      </c>
      <c r="E4" s="7" t="inlineStr">
        <is>
          <t>Not publicly disclosed</t>
        </is>
      </c>
      <c r="F4" s="7" t="inlineStr">
        <is>
          <t>Not publicly disclosed</t>
        </is>
      </c>
      <c r="G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(p.16),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The FY2025 and FY2026 editions are not published at the expected addresses at all: nomura-europe-holdings-plc-annual-pillar-3-disclosures-310325.pdf and -310326.pdf both return HTTP 404 under BOTH the /portal/site/public/ and /portal/site/login/ path prefixes (all four combinations tested 2026-09-15). So for FY2025 and FY2026 there is not even a group document to exclude NBI from.
NET EFFECT: the NEHS significant-subsidiary route yields NBI figures for FY2021 and for FY2021 only. FY2022 through FY2024 are a SOURCED structural negative (the group report exists, names NBI, and says in terms that it is not disclosing it); FY2025 and FY2026 are an enumerated negative (no group report at those addresses). Neither is an access problem, and neither should be re-chased.</t>
        </is>
      </c>
    </row>
  </sheetData>
  <mergeCells count="1">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NSFR</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NSFR</t>
        </is>
      </c>
      <c r="B4" s="7" t="inlineStr">
        <is>
          <t>Not publicly disclosed</t>
        </is>
      </c>
      <c r="C4" s="7" t="inlineStr">
        <is>
          <t>Not publicly disclosed</t>
        </is>
      </c>
      <c r="D4" s="7" t="inlineStr">
        <is>
          <t>Not publicly disclosed</t>
        </is>
      </c>
      <c r="E4" s="7" t="inlineStr">
        <is>
          <t>Not publicly disclosed</t>
        </is>
      </c>
      <c r="F4" s="7" t="inlineStr">
        <is>
          <t>Not publicly disclosed</t>
        </is>
      </c>
      <c r="G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(p.16),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The FY2025 and FY2026 editions are not published at the expected addresses at all: nomura-europe-holdings-plc-annual-pillar-3-disclosures-310325.pdf and -310326.pdf both return HTTP 404 under BOTH the /portal/site/public/ and /portal/site/login/ path prefixes (all four combinations tested 2026-09-15). So for FY2025 and FY2026 there is not even a group document to exclude NBI from.
NET EFFECT: the NEHS significant-subsidiary route yields NBI figures for FY2021 and for FY2021 only. FY2022 through FY2024 are a SOURCED structural negative (the group report exists, names NBI, and says in terms that it is not disclosing it); FY2025 and FY2026 are an enumerated negative (no group report at those addresses). Neither is an access problem, and neither should be re-chased.</t>
        </is>
      </c>
    </row>
  </sheetData>
  <mergeCells count="1">
    <mergeCell ref="A6:G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c r="G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(p.16),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The FY2025 and FY2026 editions are not published at the expected addresses at all: nomura-europe-holdings-plc-annual-pillar-3-disclosures-310325.pdf and -310326.pdf both return HTTP 404 under BOTH the /portal/site/public/ and /portal/site/login/ path prefixes (all four combinations tested 2026-09-15). So for FY2025 and FY2026 there is not even a group document to exclude NBI from.
NET EFFECT: the NEHS significant-subsidiary route yields NBI figures for FY2021 and for FY2021 only. FY2022 through FY2024 are a SOURCED structural negative (the group report exists, names NBI, and says in terms that it is not disclosing it); FY2025 and FY2026 are an enumerated negative (no group report at those addresses). Neither is an access problem, and neither should be re-chased.</t>
        </is>
      </c>
    </row>
  </sheetData>
  <mergeCells count="1">
    <mergeCell ref="A6:G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Nomura Bank International plc — Interim Pillar 3</t>
        </is>
      </c>
    </row>
    <row r="2">
      <c r="A2" s="2" t="inlineStr">
        <is>
          <t>September interim disclosures; standalone Bank basis</t>
        </is>
      </c>
    </row>
    <row r="4">
      <c r="A4" s="4" t="inlineStr">
        <is>
          <t>Metric</t>
        </is>
      </c>
      <c r="B4" s="4" t="inlineStr">
        <is>
          <t>Unit</t>
        </is>
      </c>
      <c r="C4" s="4" t="inlineStr">
        <is>
          <t>Basis</t>
        </is>
      </c>
      <c r="D4" s="4" t="inlineStr">
        <is>
          <t>Sep-2025</t>
        </is>
      </c>
      <c r="E4" s="4" t="inlineStr">
        <is>
          <t>Sep-2024</t>
        </is>
      </c>
      <c r="F4" s="4" t="inlineStr">
        <is>
          <t>Sep-2023</t>
        </is>
      </c>
      <c r="G4" s="4" t="inlineStr">
        <is>
          <t>Sep-2022</t>
        </is>
      </c>
      <c r="H4" s="4" t="inlineStr">
        <is>
          <t>Sep-2021</t>
        </is>
      </c>
    </row>
    <row r="5">
      <c r="A5" s="7" t="inlineStr">
        <is>
          <t>Profit before tax</t>
        </is>
      </c>
      <c r="B5" s="7" t="inlineStr">
        <is>
          <t>$'000</t>
        </is>
      </c>
      <c r="C5" s="7" t="inlineStr">
        <is>
          <t>Standalone Bank</t>
        </is>
      </c>
      <c r="D5" s="9" t="n">
        <v>6697</v>
      </c>
      <c r="E5" s="9" t="n">
        <v>6377</v>
      </c>
      <c r="F5" s="9" t="n">
        <v>4228</v>
      </c>
      <c r="G5" s="9" t="n">
        <v>4341</v>
      </c>
      <c r="H5" s="9" t="n">
        <v>9579</v>
      </c>
    </row>
    <row r="6">
      <c r="A6" s="7" t="inlineStr">
        <is>
          <t>Profit for the period</t>
        </is>
      </c>
      <c r="B6" s="7" t="inlineStr">
        <is>
          <t>$'000</t>
        </is>
      </c>
      <c r="C6" s="7" t="inlineStr">
        <is>
          <t>Standalone Bank</t>
        </is>
      </c>
      <c r="D6" s="9" t="n">
        <v>5023</v>
      </c>
      <c r="E6" s="9" t="n">
        <v>4783</v>
      </c>
      <c r="F6" s="9" t="n">
        <v>3187</v>
      </c>
      <c r="G6" s="9" t="n">
        <v>3516</v>
      </c>
      <c r="H6" s="9" t="n">
        <v>7759</v>
      </c>
    </row>
    <row r="7">
      <c r="A7" s="7" t="inlineStr">
        <is>
          <t>Total assets</t>
        </is>
      </c>
      <c r="B7" s="7" t="inlineStr">
        <is>
          <t>$'000</t>
        </is>
      </c>
      <c r="C7" s="7" t="inlineStr">
        <is>
          <t>Standalone Bank</t>
        </is>
      </c>
      <c r="D7" s="9" t="n">
        <v>9206874</v>
      </c>
      <c r="E7" s="9" t="n">
        <v>7151199</v>
      </c>
      <c r="F7" s="9" t="n">
        <v>6422803</v>
      </c>
      <c r="G7" s="9" t="n">
        <v>5427698</v>
      </c>
      <c r="H7" s="9" t="n">
        <v>6349266</v>
      </c>
    </row>
    <row r="8">
      <c r="A8" s="7" t="inlineStr">
        <is>
          <t>Total equity</t>
        </is>
      </c>
      <c r="B8" s="7" t="inlineStr">
        <is>
          <t>$'000</t>
        </is>
      </c>
      <c r="C8" s="7" t="inlineStr">
        <is>
          <t>Standalone Bank</t>
        </is>
      </c>
      <c r="D8" s="9" t="n">
        <v>126721</v>
      </c>
      <c r="E8" s="9" t="n">
        <v>271396</v>
      </c>
      <c r="F8" s="9" t="n">
        <v>296505</v>
      </c>
      <c r="G8" s="9" t="n">
        <v>356030</v>
      </c>
      <c r="H8" s="9" t="n">
        <v>171698</v>
      </c>
    </row>
    <row r="9">
      <c r="A9" s="7" t="inlineStr">
        <is>
          <t>CET1 Capital</t>
        </is>
      </c>
      <c r="B9" s="7" t="inlineStr">
        <is>
          <t>$m</t>
        </is>
      </c>
      <c r="C9" s="7" t="inlineStr">
        <is>
          <t>Standalone Bank</t>
        </is>
      </c>
      <c r="D9" s="9" t="inlineStr">
        <is>
          <t>Not disclosed</t>
        </is>
      </c>
      <c r="E9" s="9" t="inlineStr">
        <is>
          <t>Not disclosed</t>
        </is>
      </c>
      <c r="F9" s="9" t="inlineStr">
        <is>
          <t>Not disclosed</t>
        </is>
      </c>
      <c r="G9" s="9" t="inlineStr">
        <is>
          <t>Not disclosed</t>
        </is>
      </c>
      <c r="H9" s="9" t="n">
        <v>159</v>
      </c>
    </row>
    <row r="10">
      <c r="A10" s="7" t="inlineStr">
        <is>
          <t>Tier 1 Capital</t>
        </is>
      </c>
      <c r="B10" s="7" t="inlineStr">
        <is>
          <t>$m</t>
        </is>
      </c>
      <c r="C10" s="7" t="inlineStr">
        <is>
          <t>Standalone Bank</t>
        </is>
      </c>
      <c r="D10" s="9" t="inlineStr">
        <is>
          <t>Not disclosed</t>
        </is>
      </c>
      <c r="E10" s="9" t="inlineStr">
        <is>
          <t>Not disclosed</t>
        </is>
      </c>
      <c r="F10" s="9" t="inlineStr">
        <is>
          <t>Not disclosed</t>
        </is>
      </c>
      <c r="G10" s="9" t="inlineStr">
        <is>
          <t>Not disclosed</t>
        </is>
      </c>
      <c r="H10" s="9" t="n">
        <v>267</v>
      </c>
    </row>
    <row r="11">
      <c r="A11" s="7" t="inlineStr">
        <is>
          <t>Total Capital</t>
        </is>
      </c>
      <c r="B11" s="7" t="inlineStr">
        <is>
          <t>$m</t>
        </is>
      </c>
      <c r="C11" s="7" t="inlineStr">
        <is>
          <t>Standalone Bank</t>
        </is>
      </c>
      <c r="D11" s="9" t="inlineStr">
        <is>
          <t>Not disclosed</t>
        </is>
      </c>
      <c r="E11" s="9" t="inlineStr">
        <is>
          <t>Not disclosed</t>
        </is>
      </c>
      <c r="F11" s="9" t="inlineStr">
        <is>
          <t>Not disclosed</t>
        </is>
      </c>
      <c r="G11" s="9" t="inlineStr">
        <is>
          <t>Not disclosed</t>
        </is>
      </c>
      <c r="H11" s="9" t="n">
        <v>267</v>
      </c>
    </row>
    <row r="12">
      <c r="A12" s="7" t="inlineStr">
        <is>
          <t>Tier 1 Ratio</t>
        </is>
      </c>
      <c r="B12" s="7" t="inlineStr">
        <is>
          <t>%</t>
        </is>
      </c>
      <c r="C12" s="7" t="inlineStr">
        <is>
          <t>Standalone Bank</t>
        </is>
      </c>
      <c r="D12" s="9" t="inlineStr">
        <is>
          <t>Not disclosed</t>
        </is>
      </c>
      <c r="E12" s="9" t="inlineStr">
        <is>
          <t>Not disclosed</t>
        </is>
      </c>
      <c r="F12" s="9" t="inlineStr">
        <is>
          <t>Not disclosed</t>
        </is>
      </c>
      <c r="G12" s="9" t="inlineStr">
        <is>
          <t>Not disclosed</t>
        </is>
      </c>
      <c r="H12" s="9" t="n">
        <v>293.99</v>
      </c>
    </row>
    <row r="13">
      <c r="A13" s="7" t="inlineStr">
        <is>
          <t>Total Capital Ratio</t>
        </is>
      </c>
      <c r="B13" s="7" t="inlineStr">
        <is>
          <t>%</t>
        </is>
      </c>
      <c r="C13" s="7" t="inlineStr">
        <is>
          <t>Standalone Bank</t>
        </is>
      </c>
      <c r="D13" s="9" t="inlineStr">
        <is>
          <t>Not disclosed</t>
        </is>
      </c>
      <c r="E13" s="9" t="inlineStr">
        <is>
          <t>Not disclosed</t>
        </is>
      </c>
      <c r="F13" s="9" t="inlineStr">
        <is>
          <t>Not disclosed</t>
        </is>
      </c>
      <c r="G13" s="9" t="inlineStr">
        <is>
          <t>Not disclosed</t>
        </is>
      </c>
      <c r="H13" s="9" t="n">
        <v>293.99</v>
      </c>
    </row>
    <row r="16">
      <c r="A16" s="2" t="inlineStr">
        <is>
          <t>Source register</t>
        </is>
      </c>
    </row>
    <row r="17">
      <c r="A17" s="4" t="inlineStr">
        <is>
          <t>Period</t>
        </is>
      </c>
      <c r="B17" s="4" t="inlineStr">
        <is>
          <t>Disclosure type</t>
        </is>
      </c>
      <c r="C17" s="4" t="inlineStr">
        <is>
          <t>Source document</t>
        </is>
      </c>
      <c r="D17" s="4" t="inlineStr">
        <is>
          <t>Page / table</t>
        </is>
      </c>
    </row>
    <row r="18">
      <c r="A18" s="7" t="inlineStr">
        <is>
          <t>Sep-2025</t>
        </is>
      </c>
      <c r="B18" s="7" t="inlineStr">
        <is>
          <t>Interim financial statement</t>
        </is>
      </c>
      <c r="C18" s="9" t="inlineStr">
        <is>
          <t>https://www.nomuranow.com/portal/site/public/en-gb/resources/upload/NBI-Interim-Report-Sep2025.pdf</t>
        </is>
      </c>
      <c r="D18" s="7" t="inlineStr">
        <is>
          <t>p.11</t>
        </is>
      </c>
    </row>
    <row r="19">
      <c r="A19" s="7" t="inlineStr">
        <is>
          <t>Sep-2025</t>
        </is>
      </c>
      <c r="B19" s="7" t="inlineStr">
        <is>
          <t>Interim financial statement</t>
        </is>
      </c>
      <c r="C19" s="9" t="inlineStr">
        <is>
          <t>https://www.nomuranow.com/portal/site/public/en-gb/resources/upload/NBI-Interim-Report-Sep2025.pdf</t>
        </is>
      </c>
      <c r="D19" s="7" t="inlineStr">
        <is>
          <t>p.10</t>
        </is>
      </c>
    </row>
    <row r="20">
      <c r="A20" s="7" t="inlineStr">
        <is>
          <t>Sep-2024</t>
        </is>
      </c>
      <c r="B20" s="7" t="inlineStr">
        <is>
          <t>Interim financial statement</t>
        </is>
      </c>
      <c r="C20" s="9" t="inlineStr">
        <is>
          <t>https://www.nomuranow.com/portal/site/public/en-gb/resources/upload/NBI-Interims-September-2024-Accounts-Branded.pdf</t>
        </is>
      </c>
      <c r="D20" s="7" t="inlineStr">
        <is>
          <t>p.9</t>
        </is>
      </c>
    </row>
    <row r="21">
      <c r="A21" s="7" t="inlineStr">
        <is>
          <t>Sep-2024</t>
        </is>
      </c>
      <c r="B21" s="7" t="inlineStr">
        <is>
          <t>Interim financial statement</t>
        </is>
      </c>
      <c r="C21" s="9" t="inlineStr">
        <is>
          <t>https://www.nomuranow.com/portal/site/public/en-gb/resources/upload/NBI-Interims-September-2024-Accounts-Branded.pdf</t>
        </is>
      </c>
      <c r="D21" s="7" t="inlineStr">
        <is>
          <t>p.12</t>
        </is>
      </c>
    </row>
    <row r="22">
      <c r="A22" s="7" t="inlineStr">
        <is>
          <t>Sep-2023</t>
        </is>
      </c>
      <c r="B22" s="7" t="inlineStr">
        <is>
          <t>Interim financial statement</t>
        </is>
      </c>
      <c r="C22" s="9" t="inlineStr">
        <is>
          <t>https://www.nomuranow.com/portal/site/public/en-gb/resources/upload/NBI-Interim-Report-Sep2023.pdf</t>
        </is>
      </c>
      <c r="D22" s="7" t="inlineStr">
        <is>
          <t>p.11</t>
        </is>
      </c>
    </row>
    <row r="23">
      <c r="A23" s="7" t="inlineStr">
        <is>
          <t>Sep-2023</t>
        </is>
      </c>
      <c r="B23" s="7" t="inlineStr">
        <is>
          <t>Interim financial statement</t>
        </is>
      </c>
      <c r="C23" s="9" t="inlineStr">
        <is>
          <t>https://www.nomuranow.com/portal/site/public/en-gb/resources/upload/NBI-Interim-Report-Sep2023.pdf</t>
        </is>
      </c>
      <c r="D23" s="7" t="inlineStr">
        <is>
          <t>p.14</t>
        </is>
      </c>
    </row>
    <row r="24">
      <c r="A24" s="7" t="inlineStr">
        <is>
          <t>Sep-2022</t>
        </is>
      </c>
      <c r="B24" s="7" t="inlineStr">
        <is>
          <t>Interim financial statement</t>
        </is>
      </c>
      <c r="C24" s="9" t="inlineStr">
        <is>
          <t>https://www.nomuranow.com/portal/site/public/en-gb/resources/upload/NBI-Interim-Report-Sep2022.pdf</t>
        </is>
      </c>
      <c r="D24" s="7" t="inlineStr">
        <is>
          <t>p.11</t>
        </is>
      </c>
    </row>
    <row r="25">
      <c r="A25" s="7" t="inlineStr">
        <is>
          <t>Sep-2022</t>
        </is>
      </c>
      <c r="B25" s="7" t="inlineStr">
        <is>
          <t>Interim financial statement</t>
        </is>
      </c>
      <c r="C25" s="9" t="inlineStr">
        <is>
          <t>https://www.nomuranow.com/portal/site/public/en-gb/resources/upload/NBI-Interim-Report-Sep2022.pdf</t>
        </is>
      </c>
      <c r="D25" s="7" t="inlineStr">
        <is>
          <t>p.14</t>
        </is>
      </c>
    </row>
    <row r="26">
      <c r="A26" s="7" t="inlineStr">
        <is>
          <t>Sep-2021</t>
        </is>
      </c>
      <c r="B26" s="7" t="inlineStr">
        <is>
          <t>Interim financial statement</t>
        </is>
      </c>
      <c r="C26" s="9" t="inlineStr">
        <is>
          <t>https://www.nomuranow.com/portal/site/public/en-gb/resources/upload/NBI-Interim-Report-Sep2021.pdf</t>
        </is>
      </c>
      <c r="D26" s="7" t="inlineStr">
        <is>
          <t>p.12</t>
        </is>
      </c>
    </row>
    <row r="27">
      <c r="A27" s="7" t="inlineStr">
        <is>
          <t>Sep-2021</t>
        </is>
      </c>
      <c r="B27" s="7" t="inlineStr">
        <is>
          <t>Interim financial statement</t>
        </is>
      </c>
      <c r="C27" s="9" t="inlineStr">
        <is>
          <t>https://www.nomuranow.com/portal/site/public/en-gb/resources/upload/NBI-Interim-Report-Sep2021.pdf</t>
        </is>
      </c>
      <c r="D27" s="7" t="inlineStr">
        <is>
          <t>p.15</t>
        </is>
      </c>
    </row>
    <row r="28">
      <c r="A28" s="7" t="inlineStr">
        <is>
          <t>Sep-2021</t>
        </is>
      </c>
      <c r="B28" s="7" t="inlineStr">
        <is>
          <t>Pillar 3 — standalone subsidiary table</t>
        </is>
      </c>
      <c r="C28" s="9" t="inlineStr">
        <is>
          <t>https://www.nomuranow.com/portal/site/public/en-gb/resources/upload/nomura-europe-holdings-plc-semi-annual-pillar-3-disclosures-300921.pdf</t>
        </is>
      </c>
      <c r="D28" s="7" t="inlineStr">
        <is>
          <t>p.4, CC1</t>
        </is>
      </c>
    </row>
    <row r="29">
      <c r="A29" s="7" t="inlineStr">
        <is>
          <t>Sep-2025</t>
        </is>
      </c>
      <c r="B29" s="7" t="inlineStr">
        <is>
          <t>Pillar 3 — not separately disclosed</t>
        </is>
      </c>
      <c r="C29" s="9" t="inlineStr">
        <is>
          <t>https://www.nomuranow.com/portal/site/public/en-gb/resources/upload/NBI-Interim-Report-Sep2025.pdf</t>
        </is>
      </c>
      <c r="D29" s="7" t="inlineStr">
        <is>
          <t>p.4, regulatory disclosure section</t>
        </is>
      </c>
    </row>
    <row r="30">
      <c r="A30" s="7" t="inlineStr">
        <is>
          <t>Sep-2024</t>
        </is>
      </c>
      <c r="B30" s="7" t="inlineStr">
        <is>
          <t>Pillar 3 — not separately disclosed</t>
        </is>
      </c>
      <c r="C30" s="9" t="inlineStr">
        <is>
          <t>https://www.nomuranow.com/portal/site/public/en-gb/resources/upload/NBI-Interims-September-2024-Accounts-Branded.pdf</t>
        </is>
      </c>
      <c r="D30" s="7" t="inlineStr">
        <is>
          <t>p.4, regulatory disclosure section</t>
        </is>
      </c>
    </row>
    <row r="31">
      <c r="A31" s="7" t="inlineStr">
        <is>
          <t>Sep-2023</t>
        </is>
      </c>
      <c r="B31" s="7" t="inlineStr">
        <is>
          <t>Pillar 3 — not separately disclosed</t>
        </is>
      </c>
      <c r="C31" s="9" t="inlineStr">
        <is>
          <t>https://www.nomuranow.com/portal/site/public/en-gb/resources/upload/NBI-Interim-Report-Sep2023.pdf</t>
        </is>
      </c>
      <c r="D31" s="7" t="inlineStr">
        <is>
          <t>p.4, regulatory disclosure section</t>
        </is>
      </c>
    </row>
    <row r="32">
      <c r="A32" s="7" t="inlineStr">
        <is>
          <t>Sep-2022</t>
        </is>
      </c>
      <c r="B32" s="7" t="inlineStr">
        <is>
          <t>Pillar 3 — not separately disclosed</t>
        </is>
      </c>
      <c r="C32" s="9" t="inlineStr">
        <is>
          <t>https://www.nomuranow.com/portal/site/public/en-gb/resources/upload/NBI-Interim-Report-Sep2022.pdf</t>
        </is>
      </c>
      <c r="D32" s="7" t="inlineStr">
        <is>
          <t>p.4, regulatory disclosure section</t>
        </is>
      </c>
    </row>
    <row r="34" ht="60" customHeight="1">
      <c r="A34" s="10" t="inlineStr">
        <is>
          <t>Note: The September 2021 Nomura Europe Holdings plc Pillar 3 report separately disclosed NBI as a material subsidiary. The 2022–2025 NBI interim reports are entity-level financial statements but do not contain a standalone Pillar 3 KM1 table; these interim financial-statement metrics are included for completeness, while later standalone Pillar 3 gaps are explicitly recorded.</t>
        </is>
      </c>
    </row>
  </sheetData>
  <mergeCells count="1">
    <mergeCell ref="A34:H3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E8" r:id="rId17"/>
    <hyperlink xmlns:r="http://schemas.openxmlformats.org/officeDocument/2006/relationships" ref="F8" r:id="rId18"/>
    <hyperlink xmlns:r="http://schemas.openxmlformats.org/officeDocument/2006/relationships" ref="G8" r:id="rId19"/>
    <hyperlink xmlns:r="http://schemas.openxmlformats.org/officeDocument/2006/relationships" ref="H8" r:id="rId20"/>
    <hyperlink xmlns:r="http://schemas.openxmlformats.org/officeDocument/2006/relationships" ref="D9" r:id="rId21"/>
    <hyperlink xmlns:r="http://schemas.openxmlformats.org/officeDocument/2006/relationships" ref="E9" r:id="rId22"/>
    <hyperlink xmlns:r="http://schemas.openxmlformats.org/officeDocument/2006/relationships" ref="F9" r:id="rId23"/>
    <hyperlink xmlns:r="http://schemas.openxmlformats.org/officeDocument/2006/relationships" ref="G9" r:id="rId24"/>
    <hyperlink xmlns:r="http://schemas.openxmlformats.org/officeDocument/2006/relationships" ref="H9" r:id="rId25"/>
    <hyperlink xmlns:r="http://schemas.openxmlformats.org/officeDocument/2006/relationships" ref="D10" r:id="rId26"/>
    <hyperlink xmlns:r="http://schemas.openxmlformats.org/officeDocument/2006/relationships" ref="E10" r:id="rId27"/>
    <hyperlink xmlns:r="http://schemas.openxmlformats.org/officeDocument/2006/relationships" ref="F10" r:id="rId28"/>
    <hyperlink xmlns:r="http://schemas.openxmlformats.org/officeDocument/2006/relationships" ref="G10" r:id="rId29"/>
    <hyperlink xmlns:r="http://schemas.openxmlformats.org/officeDocument/2006/relationships" ref="H10" r:id="rId30"/>
    <hyperlink xmlns:r="http://schemas.openxmlformats.org/officeDocument/2006/relationships" ref="D11" r:id="rId31"/>
    <hyperlink xmlns:r="http://schemas.openxmlformats.org/officeDocument/2006/relationships" ref="E11" r:id="rId32"/>
    <hyperlink xmlns:r="http://schemas.openxmlformats.org/officeDocument/2006/relationships" ref="F11" r:id="rId33"/>
    <hyperlink xmlns:r="http://schemas.openxmlformats.org/officeDocument/2006/relationships" ref="G11" r:id="rId34"/>
    <hyperlink xmlns:r="http://schemas.openxmlformats.org/officeDocument/2006/relationships" ref="H11" r:id="rId35"/>
    <hyperlink xmlns:r="http://schemas.openxmlformats.org/officeDocument/2006/relationships" ref="D12" r:id="rId36"/>
    <hyperlink xmlns:r="http://schemas.openxmlformats.org/officeDocument/2006/relationships" ref="E12" r:id="rId37"/>
    <hyperlink xmlns:r="http://schemas.openxmlformats.org/officeDocument/2006/relationships" ref="F12" r:id="rId38"/>
    <hyperlink xmlns:r="http://schemas.openxmlformats.org/officeDocument/2006/relationships" ref="G12" r:id="rId39"/>
    <hyperlink xmlns:r="http://schemas.openxmlformats.org/officeDocument/2006/relationships" ref="H12" r:id="rId40"/>
    <hyperlink xmlns:r="http://schemas.openxmlformats.org/officeDocument/2006/relationships" ref="D13" r:id="rId41"/>
    <hyperlink xmlns:r="http://schemas.openxmlformats.org/officeDocument/2006/relationships" ref="E13" r:id="rId42"/>
    <hyperlink xmlns:r="http://schemas.openxmlformats.org/officeDocument/2006/relationships" ref="F13" r:id="rId43"/>
    <hyperlink xmlns:r="http://schemas.openxmlformats.org/officeDocument/2006/relationships" ref="G13" r:id="rId44"/>
    <hyperlink xmlns:r="http://schemas.openxmlformats.org/officeDocument/2006/relationships" ref="H13" r:id="rId45"/>
    <hyperlink xmlns:r="http://schemas.openxmlformats.org/officeDocument/2006/relationships" ref="C18" r:id="rId46"/>
    <hyperlink xmlns:r="http://schemas.openxmlformats.org/officeDocument/2006/relationships" ref="C19" r:id="rId47"/>
    <hyperlink xmlns:r="http://schemas.openxmlformats.org/officeDocument/2006/relationships" ref="C20" r:id="rId48"/>
    <hyperlink xmlns:r="http://schemas.openxmlformats.org/officeDocument/2006/relationships" ref="C21" r:id="rId49"/>
    <hyperlink xmlns:r="http://schemas.openxmlformats.org/officeDocument/2006/relationships" ref="C22" r:id="rId50"/>
    <hyperlink xmlns:r="http://schemas.openxmlformats.org/officeDocument/2006/relationships" ref="C23" r:id="rId51"/>
    <hyperlink xmlns:r="http://schemas.openxmlformats.org/officeDocument/2006/relationships" ref="C24" r:id="rId52"/>
    <hyperlink xmlns:r="http://schemas.openxmlformats.org/officeDocument/2006/relationships" ref="C25" r:id="rId53"/>
    <hyperlink xmlns:r="http://schemas.openxmlformats.org/officeDocument/2006/relationships" ref="C26" r:id="rId54"/>
    <hyperlink xmlns:r="http://schemas.openxmlformats.org/officeDocument/2006/relationships" ref="C27" r:id="rId55"/>
    <hyperlink xmlns:r="http://schemas.openxmlformats.org/officeDocument/2006/relationships" ref="C28" r:id="rId56"/>
    <hyperlink xmlns:r="http://schemas.openxmlformats.org/officeDocument/2006/relationships" ref="C29" r:id="rId57"/>
    <hyperlink xmlns:r="http://schemas.openxmlformats.org/officeDocument/2006/relationships" ref="C30" r:id="rId58"/>
    <hyperlink xmlns:r="http://schemas.openxmlformats.org/officeDocument/2006/relationships" ref="C31" r:id="rId59"/>
    <hyperlink xmlns:r="http://schemas.openxmlformats.org/officeDocument/2006/relationships" ref="C32" r:id="rId6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2026-09-15T19:20:51Z</dcterms:created>
  <dcterms:modified xmlns:dcterms="http://purl.org/dc/terms/" xmlns:xsi="http://www.w3.org/2001/XMLSchema-instance" xsi:type="dcterms:W3CDTF">2026-09-15T19:20:51Z</dcterms:modified>
</cp:coreProperties>
</file>