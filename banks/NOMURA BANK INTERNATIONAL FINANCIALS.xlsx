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6B2D5C"/>
        <bgColor rgb="006B2D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p>
            <a:pPr>
              <a:defRPr/>
            </a:pPr>
            <a:r>
              <a:t>Nomura Bank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Nomura Bank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a:prstDash val="solid"/>
            </a:ln>
          </spPr>
          <cat>
            <numRef>
              <f>'Overview'!$R$12:$V$12</f>
            </numRef>
          </cat>
          <val>
            <numRef>
              <f>'Overview'!$R$13:$V$13</f>
            </numRef>
          </val>
        </ser>
        <ser>
          <idx val="1"/>
          <order val="1"/>
          <tx>
            <strRef>
              <f>'Overview'!Q14</f>
            </strRef>
          </tx>
          <spPr>
            <a:ln>
              <a:prstDash val="solid"/>
            </a:ln>
          </spPr>
          <cat>
            <numRef>
              <f>'Overview'!$R$12:$V$12</f>
            </numRef>
          </cat>
          <val>
            <numRef>
              <f>'Overview'!$R$14:$V$14</f>
            </numRef>
          </val>
        </ser>
        <ser>
          <idx val="2"/>
          <order val="2"/>
          <tx>
            <strRef>
              <f>'Overview'!Q15</f>
            </strRef>
          </tx>
          <spPr>
            <a:ln>
              <a:prstDash val="solid"/>
            </a:ln>
          </spPr>
          <cat>
            <numRef>
              <f>'Overview'!$R$12:$V$12</f>
            </numRef>
          </cat>
          <val>
            <numRef>
              <f>'Overview'!$R$15:$V$15</f>
            </numRef>
          </val>
        </ser>
        <ser>
          <idx val="3"/>
          <order val="3"/>
          <tx>
            <strRef>
              <f>'Overview'!Q16</f>
            </strRef>
          </tx>
          <spPr>
            <a:l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Nomura Bank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a:prstDash val="solid"/>
            </a:ln>
          </spPr>
          <cat>
            <numRef>
              <f>'Overview'!$Z$19:$AD$19</f>
            </numRef>
          </cat>
          <val>
            <numRef>
              <f>'Overview'!$Z$20:$AD$20</f>
            </numRef>
          </val>
        </ser>
        <ser>
          <idx val="1"/>
          <order val="1"/>
          <tx>
            <strRef>
              <f>'Overview'!Y21</f>
            </strRef>
          </tx>
          <spPr>
            <a:ln>
              <a:prstDash val="solid"/>
            </a:ln>
          </spPr>
          <cat>
            <numRef>
              <f>'Overview'!$Z$19:$AD$19</f>
            </numRef>
          </cat>
          <val>
            <numRef>
              <f>'Overview'!$Z$21:$AD$21</f>
            </numRef>
          </val>
        </ser>
        <ser>
          <idx val="2"/>
          <order val="2"/>
          <tx>
            <strRef>
              <f>'Overview'!Y22</f>
            </strRef>
          </tx>
          <spPr>
            <a:ln>
              <a:prstDash val="solid"/>
            </a:ln>
          </spPr>
          <cat>
            <numRef>
              <f>'Overview'!$Z$19:$AD$19</f>
            </numRef>
          </cat>
          <val>
            <numRef>
              <f>'Overview'!$Z$22:$AD$22</f>
            </numRef>
          </val>
        </ser>
        <ser>
          <idx val="3"/>
          <order val="3"/>
          <tx>
            <strRef>
              <f>'Overview'!Y23</f>
            </strRef>
          </tx>
          <spPr>
            <a:l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Nomura Bank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a:prstDash val="solid"/>
            </a:ln>
          </spPr>
          <cat>
            <numRef>
              <f>'Overview'!$AH$26:$AL$26</f>
            </numRef>
          </cat>
          <val>
            <numRef>
              <f>'Overview'!$AH$27:$AL$27</f>
            </numRef>
          </val>
        </ser>
        <ser>
          <idx val="1"/>
          <order val="1"/>
          <tx>
            <strRef>
              <f>'Overview'!AG28</f>
            </strRef>
          </tx>
          <spPr>
            <a:ln>
              <a:prstDash val="solid"/>
            </a:ln>
          </spPr>
          <cat>
            <numRef>
              <f>'Overview'!$AH$26:$AL$26</f>
            </numRef>
          </cat>
          <val>
            <numRef>
              <f>'Overview'!$AH$28:$AL$28</f>
            </numRef>
          </val>
        </ser>
        <ser>
          <idx val="2"/>
          <order val="2"/>
          <tx>
            <strRef>
              <f>'Overview'!AG29</f>
            </strRef>
          </tx>
          <spPr>
            <a:ln>
              <a:prstDash val="solid"/>
            </a:ln>
          </spPr>
          <cat>
            <numRef>
              <f>'Overview'!$AH$26:$AL$26</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35</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57</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79</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101</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19.xml.rels><Relationships xmlns="http://schemas.openxmlformats.org/package/2006/relationships"><Relationship Type="http://schemas.openxmlformats.org/officeDocument/2006/relationships/hyperlink" Target="https://www.nomuranow.com/portal/site/public/en-gb/resources/upload/NBI-Interim-Report-Sep2025.pdf" TargetMode="External" Id="rId1" /><Relationship Type="http://schemas.openxmlformats.org/officeDocument/2006/relationships/hyperlink" Target="https://www.nomuranow.com/portal/site/public/en-gb/resources/upload/NBI-Interims-September-2024-Accounts-Branded.pdf" TargetMode="External" Id="rId2" /><Relationship Type="http://schemas.openxmlformats.org/officeDocument/2006/relationships/hyperlink" Target="https://www.nomuranow.com/portal/site/public/en-gb/resources/upload/NBI-Interim-Report-Sep2023.pdf" TargetMode="External" Id="rId3" /><Relationship Type="http://schemas.openxmlformats.org/officeDocument/2006/relationships/hyperlink" Target="https://www.nomuranow.com/portal/site/public/en-gb/resources/upload/NBI-Interim-Report-Sep2022.pdf" TargetMode="External" Id="rId4" /><Relationship Type="http://schemas.openxmlformats.org/officeDocument/2006/relationships/hyperlink" Target="https://www.nomuranow.com/portal/site/public/en-gb/resources/upload/NBI-Interim-Report-Sep2021.pdf" TargetMode="External" Id="rId5" /><Relationship Type="http://schemas.openxmlformats.org/officeDocument/2006/relationships/hyperlink" Target="https://www.nomuranow.com/portal/site/public/en-gb/resources/upload/NBI-Interim-Report-Sep2025.pdf" TargetMode="External" Id="rId6" /><Relationship Type="http://schemas.openxmlformats.org/officeDocument/2006/relationships/hyperlink" Target="https://www.nomuranow.com/portal/site/public/en-gb/resources/upload/NBI-Interims-September-2024-Accounts-Branded.pdf" TargetMode="External" Id="rId7" /><Relationship Type="http://schemas.openxmlformats.org/officeDocument/2006/relationships/hyperlink" Target="https://www.nomuranow.com/portal/site/public/en-gb/resources/upload/NBI-Interim-Report-Sep2023.pdf" TargetMode="External" Id="rId8" /><Relationship Type="http://schemas.openxmlformats.org/officeDocument/2006/relationships/hyperlink" Target="https://www.nomuranow.com/portal/site/public/en-gb/resources/upload/NBI-Interim-Report-Sep2022.pdf" TargetMode="External" Id="rId9" /><Relationship Type="http://schemas.openxmlformats.org/officeDocument/2006/relationships/hyperlink" Target="https://www.nomuranow.com/portal/site/public/en-gb/resources/upload/NBI-Interim-Report-Sep2021.pdf" TargetMode="External" Id="rId10" /><Relationship Type="http://schemas.openxmlformats.org/officeDocument/2006/relationships/hyperlink" Target="https://www.nomuranow.com/portal/site/public/en-gb/resources/upload/NBI-Interim-Report-Sep2025.pdf" TargetMode="External" Id="rId11" /><Relationship Type="http://schemas.openxmlformats.org/officeDocument/2006/relationships/hyperlink" Target="https://www.nomuranow.com/portal/site/public/en-gb/resources/upload/NBI-Interims-September-2024-Accounts-Branded.pdf" TargetMode="External" Id="rId12" /><Relationship Type="http://schemas.openxmlformats.org/officeDocument/2006/relationships/hyperlink" Target="https://www.nomuranow.com/portal/site/public/en-gb/resources/upload/NBI-Interim-Report-Sep2023.pdf" TargetMode="External" Id="rId13" /><Relationship Type="http://schemas.openxmlformats.org/officeDocument/2006/relationships/hyperlink" Target="https://www.nomuranow.com/portal/site/public/en-gb/resources/upload/NBI-Interim-Report-Sep2022.pdf" TargetMode="External" Id="rId14" /><Relationship Type="http://schemas.openxmlformats.org/officeDocument/2006/relationships/hyperlink" Target="https://www.nomuranow.com/portal/site/public/en-gb/resources/upload/NBI-Interim-Report-Sep2021.pdf" TargetMode="External" Id="rId15" /><Relationship Type="http://schemas.openxmlformats.org/officeDocument/2006/relationships/hyperlink" Target="https://www.nomuranow.com/portal/site/public/en-gb/resources/upload/NBI-Interim-Report-Sep2025.pdf" TargetMode="External" Id="rId16" /><Relationship Type="http://schemas.openxmlformats.org/officeDocument/2006/relationships/hyperlink" Target="https://www.nomuranow.com/portal/site/public/en-gb/resources/upload/NBI-Interims-September-2024-Accounts-Branded.pdf" TargetMode="External" Id="rId17" /><Relationship Type="http://schemas.openxmlformats.org/officeDocument/2006/relationships/hyperlink" Target="https://www.nomuranow.com/portal/site/public/en-gb/resources/upload/NBI-Interim-Report-Sep2023.pdf" TargetMode="External" Id="rId18" /><Relationship Type="http://schemas.openxmlformats.org/officeDocument/2006/relationships/hyperlink" Target="https://www.nomuranow.com/portal/site/public/en-gb/resources/upload/NBI-Interim-Report-Sep2022.pdf" TargetMode="External" Id="rId19" /><Relationship Type="http://schemas.openxmlformats.org/officeDocument/2006/relationships/hyperlink" Target="https://www.nomuranow.com/portal/site/public/en-gb/resources/upload/NBI-Interim-Report-Sep2021.pdf" TargetMode="External" Id="rId20" /><Relationship Type="http://schemas.openxmlformats.org/officeDocument/2006/relationships/hyperlink" Target="https://www.nomuranow.com/portal/site/public/en-gb/resources/upload/NBI-Interim-Report-Sep2025.pdf" TargetMode="External" Id="rId21" /><Relationship Type="http://schemas.openxmlformats.org/officeDocument/2006/relationships/hyperlink" Target="https://www.nomuranow.com/portal/site/public/en-gb/resources/upload/NBI-Interims-September-2024-Accounts-Branded.pdf" TargetMode="External" Id="rId22" /><Relationship Type="http://schemas.openxmlformats.org/officeDocument/2006/relationships/hyperlink" Target="https://www.nomuranow.com/portal/site/public/en-gb/resources/upload/NBI-Interim-Report-Sep2023.pdf" TargetMode="External" Id="rId23" /><Relationship Type="http://schemas.openxmlformats.org/officeDocument/2006/relationships/hyperlink" Target="https://www.nomuranow.com/portal/site/public/en-gb/resources/upload/NBI-Interim-Report-Sep2022.pdf" TargetMode="External" Id="rId24" /><Relationship Type="http://schemas.openxmlformats.org/officeDocument/2006/relationships/hyperlink" Target="https://www.nomuranow.com/portal/site/public/en-gb/resources/upload/nomura-europe-holdings-plc-semi-annual-pillar-3-disclosures-300921.pdf" TargetMode="External" Id="rId25" /><Relationship Type="http://schemas.openxmlformats.org/officeDocument/2006/relationships/hyperlink" Target="https://www.nomuranow.com/portal/site/public/en-gb/resources/upload/NBI-Interim-Report-Sep2025.pdf" TargetMode="External" Id="rId26" /><Relationship Type="http://schemas.openxmlformats.org/officeDocument/2006/relationships/hyperlink" Target="https://www.nomuranow.com/portal/site/public/en-gb/resources/upload/NBI-Interims-September-2024-Accounts-Branded.pdf" TargetMode="External" Id="rId27" /><Relationship Type="http://schemas.openxmlformats.org/officeDocument/2006/relationships/hyperlink" Target="https://www.nomuranow.com/portal/site/public/en-gb/resources/upload/NBI-Interim-Report-Sep2023.pdf" TargetMode="External" Id="rId28" /><Relationship Type="http://schemas.openxmlformats.org/officeDocument/2006/relationships/hyperlink" Target="https://www.nomuranow.com/portal/site/public/en-gb/resources/upload/NBI-Interim-Report-Sep2022.pdf" TargetMode="External" Id="rId29" /><Relationship Type="http://schemas.openxmlformats.org/officeDocument/2006/relationships/hyperlink" Target="https://www.nomuranow.com/portal/site/public/en-gb/resources/upload/nomura-europe-holdings-plc-semi-annual-pillar-3-disclosures-300921.pdf" TargetMode="External" Id="rId30" /><Relationship Type="http://schemas.openxmlformats.org/officeDocument/2006/relationships/hyperlink" Target="https://www.nomuranow.com/portal/site/public/en-gb/resources/upload/NBI-Interim-Report-Sep2025.pdf" TargetMode="External" Id="rId31" /><Relationship Type="http://schemas.openxmlformats.org/officeDocument/2006/relationships/hyperlink" Target="https://www.nomuranow.com/portal/site/public/en-gb/resources/upload/NBI-Interims-September-2024-Accounts-Branded.pdf" TargetMode="External" Id="rId32" /><Relationship Type="http://schemas.openxmlformats.org/officeDocument/2006/relationships/hyperlink" Target="https://www.nomuranow.com/portal/site/public/en-gb/resources/upload/NBI-Interim-Report-Sep2023.pdf" TargetMode="External" Id="rId33" /><Relationship Type="http://schemas.openxmlformats.org/officeDocument/2006/relationships/hyperlink" Target="https://www.nomuranow.com/portal/site/public/en-gb/resources/upload/NBI-Interim-Report-Sep2022.pdf" TargetMode="External" Id="rId34" /><Relationship Type="http://schemas.openxmlformats.org/officeDocument/2006/relationships/hyperlink" Target="https://www.nomuranow.com/portal/site/public/en-gb/resources/upload/nomura-europe-holdings-plc-semi-annual-pillar-3-disclosures-300921.pdf" TargetMode="External" Id="rId35" /><Relationship Type="http://schemas.openxmlformats.org/officeDocument/2006/relationships/hyperlink" Target="https://www.nomuranow.com/portal/site/public/en-gb/resources/upload/NBI-Interim-Report-Sep2025.pdf" TargetMode="External" Id="rId36" /><Relationship Type="http://schemas.openxmlformats.org/officeDocument/2006/relationships/hyperlink" Target="https://www.nomuranow.com/portal/site/public/en-gb/resources/upload/NBI-Interims-September-2024-Accounts-Branded.pdf" TargetMode="External" Id="rId37" /><Relationship Type="http://schemas.openxmlformats.org/officeDocument/2006/relationships/hyperlink" Target="https://www.nomuranow.com/portal/site/public/en-gb/resources/upload/NBI-Interim-Report-Sep2023.pdf" TargetMode="External" Id="rId38" /><Relationship Type="http://schemas.openxmlformats.org/officeDocument/2006/relationships/hyperlink" Target="https://www.nomuranow.com/portal/site/public/en-gb/resources/upload/NBI-Interim-Report-Sep2022.pdf" TargetMode="External" Id="rId39" /><Relationship Type="http://schemas.openxmlformats.org/officeDocument/2006/relationships/hyperlink" Target="https://www.nomuranow.com/portal/site/public/en-gb/resources/upload/nomura-europe-holdings-plc-semi-annual-pillar-3-disclosures-300921.pdf" TargetMode="External" Id="rId40" /><Relationship Type="http://schemas.openxmlformats.org/officeDocument/2006/relationships/hyperlink" Target="https://www.nomuranow.com/portal/site/public/en-gb/resources/upload/NBI-Interim-Report-Sep2025.pdf" TargetMode="External" Id="rId41" /><Relationship Type="http://schemas.openxmlformats.org/officeDocument/2006/relationships/hyperlink" Target="https://www.nomuranow.com/portal/site/public/en-gb/resources/upload/NBI-Interims-September-2024-Accounts-Branded.pdf" TargetMode="External" Id="rId42" /><Relationship Type="http://schemas.openxmlformats.org/officeDocument/2006/relationships/hyperlink" Target="https://www.nomuranow.com/portal/site/public/en-gb/resources/upload/NBI-Interim-Report-Sep2023.pdf" TargetMode="External" Id="rId43" /><Relationship Type="http://schemas.openxmlformats.org/officeDocument/2006/relationships/hyperlink" Target="https://www.nomuranow.com/portal/site/public/en-gb/resources/upload/NBI-Interim-Report-Sep2022.pdf" TargetMode="External" Id="rId44" /><Relationship Type="http://schemas.openxmlformats.org/officeDocument/2006/relationships/hyperlink" Target="https://www.nomuranow.com/portal/site/public/en-gb/resources/upload/nomura-europe-holdings-plc-semi-annual-pillar-3-disclosures-300921.pdf" TargetMode="External" Id="rId45" /><Relationship Type="http://schemas.openxmlformats.org/officeDocument/2006/relationships/hyperlink" Target="https://www.nomuranow.com/portal/site/public/en-gb/resources/upload/NBI-Interim-Report-Sep2025.pdf" TargetMode="External" Id="rId46" /><Relationship Type="http://schemas.openxmlformats.org/officeDocument/2006/relationships/hyperlink" Target="https://www.nomuranow.com/portal/site/public/en-gb/resources/upload/NBI-Interim-Report-Sep2025.pdf" TargetMode="External" Id="rId47" /><Relationship Type="http://schemas.openxmlformats.org/officeDocument/2006/relationships/hyperlink" Target="https://www.nomuranow.com/portal/site/public/en-gb/resources/upload/NBI-Interims-September-2024-Accounts-Branded.pdf" TargetMode="External" Id="rId48" /><Relationship Type="http://schemas.openxmlformats.org/officeDocument/2006/relationships/hyperlink" Target="https://www.nomuranow.com/portal/site/public/en-gb/resources/upload/NBI-Interims-September-2024-Accounts-Branded.pdf" TargetMode="External" Id="rId49" /><Relationship Type="http://schemas.openxmlformats.org/officeDocument/2006/relationships/hyperlink" Target="https://www.nomuranow.com/portal/site/public/en-gb/resources/upload/NBI-Interim-Report-Sep2023.pdf" TargetMode="External" Id="rId50" /><Relationship Type="http://schemas.openxmlformats.org/officeDocument/2006/relationships/hyperlink" Target="https://www.nomuranow.com/portal/site/public/en-gb/resources/upload/NBI-Interim-Report-Sep2023.pdf" TargetMode="External" Id="rId51" /><Relationship Type="http://schemas.openxmlformats.org/officeDocument/2006/relationships/hyperlink" Target="https://www.nomuranow.com/portal/site/public/en-gb/resources/upload/NBI-Interim-Report-Sep2022.pdf" TargetMode="External" Id="rId52" /><Relationship Type="http://schemas.openxmlformats.org/officeDocument/2006/relationships/hyperlink" Target="https://www.nomuranow.com/portal/site/public/en-gb/resources/upload/NBI-Interim-Report-Sep2022.pdf" TargetMode="External" Id="rId53" /><Relationship Type="http://schemas.openxmlformats.org/officeDocument/2006/relationships/hyperlink" Target="https://www.nomuranow.com/portal/site/public/en-gb/resources/upload/NBI-Interim-Report-Sep2021.pdf" TargetMode="External" Id="rId54" /><Relationship Type="http://schemas.openxmlformats.org/officeDocument/2006/relationships/hyperlink" Target="https://www.nomuranow.com/portal/site/public/en-gb/resources/upload/NBI-Interim-Report-Sep2021.pdf" TargetMode="External" Id="rId55" /><Relationship Type="http://schemas.openxmlformats.org/officeDocument/2006/relationships/hyperlink" Target="https://www.nomuranow.com/portal/site/public/en-gb/resources/upload/nomura-europe-holdings-plc-semi-annual-pillar-3-disclosures-300921.pdf" TargetMode="External" Id="rId56" /><Relationship Type="http://schemas.openxmlformats.org/officeDocument/2006/relationships/hyperlink" Target="https://www.nomuranow.com/portal/site/public/en-gb/resources/upload/NBI-Interim-Report-Sep2025.pdf" TargetMode="External" Id="rId57" /><Relationship Type="http://schemas.openxmlformats.org/officeDocument/2006/relationships/hyperlink" Target="https://www.nomuranow.com/portal/site/public/en-gb/resources/upload/NBI-Interims-September-2024-Accounts-Branded.pdf" TargetMode="External" Id="rId58" /><Relationship Type="http://schemas.openxmlformats.org/officeDocument/2006/relationships/hyperlink" Target="https://www.nomuranow.com/portal/site/public/en-gb/resources/upload/NBI-Interim-Report-Sep2023.pdf" TargetMode="External" Id="rId59" /><Relationship Type="http://schemas.openxmlformats.org/officeDocument/2006/relationships/hyperlink" Target="https://www.nomuranow.com/portal/site/public/en-gb/resources/upload/NBI-Interim-Report-Sep2022.pdf" TargetMode="External" Id="rId60" /></Relationships>
</file>

<file path=xl/worksheets/sheet1.xml><?xml version="1.0" encoding="utf-8"?>
<worksheet xmlns="http://schemas.openxmlformats.org/spreadsheetml/2006/main">
  <sheetPr>
    <outlinePr summaryBelow="1" summaryRight="1"/>
    <pageSetUpPr/>
  </sheetPr>
  <dimension ref="A1:AL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Nomura Bank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7722511</v>
      </c>
      <c r="C6" s="5" t="n">
        <v>6422803</v>
      </c>
      <c r="D6" s="5" t="n">
        <v>5845949</v>
      </c>
      <c r="E6" s="5" t="n">
        <v>5873933</v>
      </c>
      <c r="F6" s="5" t="n">
        <v>6608950</v>
      </c>
      <c r="I6" t="inlineStr">
        <is>
          <t>Total Assets</t>
        </is>
      </c>
      <c r="J6" t="n">
        <v>6608950</v>
      </c>
      <c r="K6" t="n">
        <v>5873933</v>
      </c>
      <c r="L6" t="n">
        <v>5845949</v>
      </c>
      <c r="M6" t="n">
        <v>6422803</v>
      </c>
      <c r="N6" t="n">
        <v>7722511</v>
      </c>
    </row>
    <row r="7">
      <c r="A7" s="5" t="inlineStr">
        <is>
          <t>Loans and advances to affiliates</t>
        </is>
      </c>
      <c r="B7" s="5" t="n">
        <v>4956351</v>
      </c>
      <c r="C7" s="5" t="n">
        <v>3650595</v>
      </c>
      <c r="D7" s="5" t="n">
        <v>3228350</v>
      </c>
      <c r="E7" s="5" t="n">
        <v>2620602</v>
      </c>
      <c r="F7" s="5" t="n">
        <v>1608289</v>
      </c>
      <c r="I7" t="inlineStr">
        <is>
          <t>Loans and advances to affiliates</t>
        </is>
      </c>
      <c r="J7" t="n">
        <v>1608289</v>
      </c>
      <c r="K7" t="n">
        <v>2620602</v>
      </c>
      <c r="L7" t="n">
        <v>3228350</v>
      </c>
      <c r="M7" t="n">
        <v>3650595</v>
      </c>
      <c r="N7" t="n">
        <v>4956351</v>
      </c>
    </row>
    <row r="8">
      <c r="A8" s="5" t="inlineStr">
        <is>
          <t>Total Liabilities</t>
        </is>
      </c>
      <c r="B8" s="5" t="n">
        <v>7459750</v>
      </c>
      <c r="C8" s="5" t="n">
        <v>6170135</v>
      </c>
      <c r="D8" s="5" t="n">
        <v>5458781</v>
      </c>
      <c r="E8" s="5" t="n">
        <v>5610516</v>
      </c>
      <c r="F8" s="5" t="n">
        <v>6440731</v>
      </c>
      <c r="I8" t="inlineStr">
        <is>
          <t>Total Liabilities</t>
        </is>
      </c>
      <c r="J8" t="n">
        <v>6440731</v>
      </c>
      <c r="K8" t="n">
        <v>5610516</v>
      </c>
      <c r="L8" t="n">
        <v>5458781</v>
      </c>
      <c r="M8" t="n">
        <v>6170135</v>
      </c>
      <c r="N8" t="n">
        <v>7459750</v>
      </c>
    </row>
    <row r="9">
      <c r="A9" s="5" t="inlineStr">
        <is>
          <t>Total Equity</t>
        </is>
      </c>
      <c r="B9" s="5" t="n">
        <v>262761</v>
      </c>
      <c r="C9" s="5" t="n">
        <v>252668</v>
      </c>
      <c r="D9" s="5" t="n">
        <v>387168</v>
      </c>
      <c r="E9" s="5" t="n">
        <v>263417</v>
      </c>
      <c r="F9" s="5" t="n">
        <v>168219</v>
      </c>
      <c r="I9" t="inlineStr">
        <is>
          <t>Total Equity</t>
        </is>
      </c>
      <c r="J9" t="n">
        <v>168219</v>
      </c>
      <c r="K9" t="n">
        <v>263417</v>
      </c>
      <c r="L9" t="n">
        <v>387168</v>
      </c>
      <c r="M9" t="n">
        <v>252668</v>
      </c>
      <c r="N9" t="n">
        <v>262761</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299129</v>
      </c>
      <c r="C13" s="5" t="n">
        <v>259304</v>
      </c>
      <c r="D13" s="5" t="n">
        <v>106354</v>
      </c>
      <c r="E13" s="5" t="n">
        <v>19795</v>
      </c>
      <c r="F13" s="5" t="n">
        <v>26675</v>
      </c>
      <c r="Q13" t="inlineStr">
        <is>
          <t>Net interest income</t>
        </is>
      </c>
      <c r="R13" t="n">
        <v>26675</v>
      </c>
      <c r="S13" t="n">
        <v>19795</v>
      </c>
      <c r="T13" t="n">
        <v>106354</v>
      </c>
      <c r="U13" t="n">
        <v>259304</v>
      </c>
      <c r="V13" t="n">
        <v>299129</v>
      </c>
    </row>
    <row r="14">
      <c r="A14" s="5" t="inlineStr">
        <is>
          <t>Total operating income</t>
        </is>
      </c>
      <c r="B14" s="5" t="n">
        <v>21490</v>
      </c>
      <c r="C14" s="5" t="n">
        <v>17970</v>
      </c>
      <c r="D14" s="5" t="n">
        <v>44271</v>
      </c>
      <c r="E14" s="5" t="n">
        <v>31398</v>
      </c>
      <c r="F14" s="5" t="n">
        <v>28507</v>
      </c>
      <c r="Q14" t="inlineStr">
        <is>
          <t>Total operating income</t>
        </is>
      </c>
      <c r="R14" t="n">
        <v>28507</v>
      </c>
      <c r="S14" t="n">
        <v>31398</v>
      </c>
      <c r="T14" t="n">
        <v>44271</v>
      </c>
      <c r="U14" t="n">
        <v>17970</v>
      </c>
      <c r="V14" t="n">
        <v>21490</v>
      </c>
    </row>
    <row r="15">
      <c r="A15" s="5" t="inlineStr">
        <is>
          <t>General and administrative expenses</t>
        </is>
      </c>
      <c r="B15" s="5" t="n">
        <v>-9035</v>
      </c>
      <c r="C15" s="5" t="n">
        <v>-8391</v>
      </c>
      <c r="D15" s="5" t="n">
        <v>-35479</v>
      </c>
      <c r="E15" s="5" t="n">
        <v>-11655</v>
      </c>
      <c r="F15" s="5" t="n">
        <v>-14680</v>
      </c>
      <c r="Q15" t="inlineStr">
        <is>
          <t>General and administrative expenses</t>
        </is>
      </c>
      <c r="R15" t="n">
        <v>-14680</v>
      </c>
      <c r="S15" t="n">
        <v>-11655</v>
      </c>
      <c r="T15" t="n">
        <v>-35479</v>
      </c>
      <c r="U15" t="n">
        <v>-8391</v>
      </c>
      <c r="V15" t="n">
        <v>-9035</v>
      </c>
    </row>
    <row r="16">
      <c r="A16" s="5" t="inlineStr">
        <is>
          <t>Profit for the year</t>
        </is>
      </c>
      <c r="B16" s="5" t="n">
        <v>9370</v>
      </c>
      <c r="C16" s="5" t="n">
        <v>7175</v>
      </c>
      <c r="D16" s="5" t="n">
        <v>7048</v>
      </c>
      <c r="E16" s="5" t="n">
        <v>15542</v>
      </c>
      <c r="F16" s="5" t="n">
        <v>11348</v>
      </c>
      <c r="Q16" t="inlineStr">
        <is>
          <t>Profit for the year</t>
        </is>
      </c>
      <c r="R16" t="n">
        <v>11348</v>
      </c>
      <c r="S16" t="n">
        <v>15542</v>
      </c>
      <c r="T16" t="n">
        <v>7048</v>
      </c>
      <c r="U16" t="n">
        <v>7175</v>
      </c>
      <c r="V16" t="n">
        <v>9370</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252668</v>
      </c>
      <c r="C20" s="5" t="n">
        <v>387168</v>
      </c>
      <c r="D20" s="5" t="n">
        <v>263417</v>
      </c>
      <c r="E20" s="5" t="n">
        <v>168219</v>
      </c>
      <c r="F20" s="5" t="n">
        <v>341809</v>
      </c>
      <c r="Y20" t="inlineStr">
        <is>
          <t>Opening equity</t>
        </is>
      </c>
      <c r="Z20" t="n">
        <v>341809</v>
      </c>
      <c r="AA20" t="n">
        <v>168219</v>
      </c>
      <c r="AB20" t="n">
        <v>263417</v>
      </c>
      <c r="AC20" t="n">
        <v>387168</v>
      </c>
      <c r="AD20" t="n">
        <v>252668</v>
      </c>
    </row>
    <row r="21">
      <c r="A21" s="5" t="inlineStr">
        <is>
          <t>Total comprehensive income/(loss) for the year</t>
        </is>
      </c>
      <c r="B21" s="5" t="n">
        <v>10093</v>
      </c>
      <c r="C21" s="5" t="n">
        <v>-129500</v>
      </c>
      <c r="D21" s="5" t="n">
        <v>133751</v>
      </c>
      <c r="E21" s="5" t="n">
        <v>105198</v>
      </c>
      <c r="F21" s="5" t="n">
        <v>-161590</v>
      </c>
      <c r="Y21" t="inlineStr">
        <is>
          <t>Total comprehensive income/(loss) for the year</t>
        </is>
      </c>
      <c r="Z21" t="n">
        <v>-161590</v>
      </c>
      <c r="AA21" t="n">
        <v>105198</v>
      </c>
      <c r="AB21" t="n">
        <v>133751</v>
      </c>
      <c r="AC21" t="n">
        <v>-129500</v>
      </c>
      <c r="AD21" t="n">
        <v>10093</v>
      </c>
    </row>
    <row r="22">
      <c r="A22" s="5" t="inlineStr">
        <is>
          <t>Other equity movements, net</t>
        </is>
      </c>
      <c r="B22" s="5" t="n">
        <v>0</v>
      </c>
      <c r="C22" s="5" t="n">
        <v>-5000</v>
      </c>
      <c r="D22" s="5" t="n">
        <v>-10000</v>
      </c>
      <c r="E22" s="5" t="n">
        <v>-10000</v>
      </c>
      <c r="F22" s="5" t="n">
        <v>-12000</v>
      </c>
      <c r="Y22" t="inlineStr">
        <is>
          <t>Other equity movements, net</t>
        </is>
      </c>
      <c r="Z22" t="n">
        <v>-12000</v>
      </c>
      <c r="AA22" t="n">
        <v>-10000</v>
      </c>
      <c r="AB22" t="n">
        <v>-10000</v>
      </c>
      <c r="AC22" t="n">
        <v>-5000</v>
      </c>
      <c r="AD22" t="n">
        <v>0</v>
      </c>
    </row>
    <row r="23">
      <c r="A23" s="5" t="inlineStr">
        <is>
          <t>Closing equity</t>
        </is>
      </c>
      <c r="B23" s="5" t="n">
        <v>262761</v>
      </c>
      <c r="C23" s="5" t="n">
        <v>252668</v>
      </c>
      <c r="D23" s="5" t="n">
        <v>387168</v>
      </c>
      <c r="E23" s="5" t="n">
        <v>263417</v>
      </c>
      <c r="F23" s="5" t="n">
        <v>168219</v>
      </c>
      <c r="Y23" t="inlineStr">
        <is>
          <t>Closing equity</t>
        </is>
      </c>
      <c r="Z23" t="n">
        <v>168219</v>
      </c>
      <c r="AA23" t="n">
        <v>263417</v>
      </c>
      <c r="AB23" t="n">
        <v>387168</v>
      </c>
      <c r="AC23" t="n">
        <v>252668</v>
      </c>
      <c r="AD23" t="n">
        <v>262761</v>
      </c>
    </row>
    <row r="25">
      <c r="A25" s="3" t="inlineStr">
        <is>
          <t>Cash Flow Summary ($'000)</t>
        </is>
      </c>
    </row>
    <row r="26">
      <c r="A26" s="4" t="inlineStr">
        <is>
          <t>Line item</t>
        </is>
      </c>
      <c r="B26" s="4" t="inlineStr">
        <is>
          <t>FY2025</t>
        </is>
      </c>
      <c r="C26" s="4" t="inlineStr">
        <is>
          <t>FY2024</t>
        </is>
      </c>
      <c r="D26" s="4" t="inlineStr">
        <is>
          <t>FY2023</t>
        </is>
      </c>
      <c r="E26" s="4" t="inlineStr">
        <is>
          <t>FY2022</t>
        </is>
      </c>
      <c r="F26" s="4" t="inlineStr">
        <is>
          <t>FY2021</t>
        </is>
      </c>
      <c r="AH26" t="inlineStr">
        <is>
          <t>FY2021</t>
        </is>
      </c>
      <c r="AI26" t="inlineStr">
        <is>
          <t>FY2022</t>
        </is>
      </c>
      <c r="AJ26" t="inlineStr">
        <is>
          <t>FY2023</t>
        </is>
      </c>
      <c r="AK26" t="inlineStr">
        <is>
          <t>FY2024</t>
        </is>
      </c>
      <c r="AL26" t="inlineStr">
        <is>
          <t>FY2025</t>
        </is>
      </c>
    </row>
    <row r="27">
      <c r="A27" s="5" t="inlineStr">
        <is>
          <t>Net cash flow from operating activities</t>
        </is>
      </c>
      <c r="B27" s="5" t="n">
        <v>-1060963</v>
      </c>
      <c r="C27" s="5" t="n">
        <v>-425579</v>
      </c>
      <c r="D27" s="5" t="n">
        <v>-343288</v>
      </c>
      <c r="E27" s="5" t="n">
        <v>-606420</v>
      </c>
      <c r="F27" s="5" t="n">
        <v>-371462</v>
      </c>
      <c r="AG27" t="inlineStr">
        <is>
          <t>Net cash flow from operating activities</t>
        </is>
      </c>
      <c r="AH27" t="n">
        <v>-371462</v>
      </c>
      <c r="AI27" t="n">
        <v>-606420</v>
      </c>
      <c r="AJ27" t="n">
        <v>-343288</v>
      </c>
      <c r="AK27" t="n">
        <v>-425579</v>
      </c>
      <c r="AL27" t="n">
        <v>-1060963</v>
      </c>
    </row>
    <row r="28">
      <c r="A28" s="5" t="inlineStr">
        <is>
          <t>Net cash flows from financing activities</t>
        </is>
      </c>
      <c r="B28" s="5" t="n">
        <v>1061929</v>
      </c>
      <c r="C28" s="5" t="n">
        <v>418559</v>
      </c>
      <c r="D28" s="5" t="n">
        <v>349607</v>
      </c>
      <c r="E28" s="5" t="n">
        <v>604884</v>
      </c>
      <c r="F28" s="5" t="n">
        <v>357302</v>
      </c>
      <c r="AG28" t="inlineStr">
        <is>
          <t>Net cash flows from financing activities</t>
        </is>
      </c>
      <c r="AH28" t="n">
        <v>357302</v>
      </c>
      <c r="AI28" t="n">
        <v>604884</v>
      </c>
      <c r="AJ28" t="n">
        <v>349607</v>
      </c>
      <c r="AK28" t="n">
        <v>418559</v>
      </c>
      <c r="AL28" t="n">
        <v>1061929</v>
      </c>
    </row>
    <row r="29">
      <c r="A29" s="5" t="inlineStr">
        <is>
          <t>Cash and cash equivalents at end of year</t>
        </is>
      </c>
      <c r="B29" s="5" t="n">
        <v>1727</v>
      </c>
      <c r="C29" s="5" t="n">
        <v>761</v>
      </c>
      <c r="D29" s="5" t="n">
        <v>7781</v>
      </c>
      <c r="E29" s="5" t="n">
        <v>1462</v>
      </c>
      <c r="F29" s="5" t="n">
        <v>2998</v>
      </c>
      <c r="AG29" t="inlineStr">
        <is>
          <t>Cash and cash equivalents at end of year</t>
        </is>
      </c>
      <c r="AH29" t="n">
        <v>2998</v>
      </c>
      <c r="AI29" t="n">
        <v>1462</v>
      </c>
      <c r="AJ29" t="n">
        <v>7781</v>
      </c>
      <c r="AK29" t="n">
        <v>761</v>
      </c>
      <c r="AL29" t="n">
        <v>1727</v>
      </c>
    </row>
    <row r="31">
      <c r="A31" s="3" t="inlineStr">
        <is>
          <t>Pillar 3 Key Metrics: not applicable — no ratios are disclosed for this entity (see the individual Pillar 3 metric sheets).</t>
        </is>
      </c>
    </row>
    <row r="33" ht="45" customHeight="1">
      <c r="A33" s="6" t="inlineStr">
        <is>
          <t>Note: Nomura Bank International plc's entity-level annual reports disclose Tier 1 capital and total capital resources but do not numerically disclose the standard capital, leverage, liquidity, or MREL ratios, and no RWA figure of any kind is published. See the corresponding metric sheets for explicit non-disclosure notes.</t>
        </is>
      </c>
    </row>
  </sheetData>
  <mergeCells count="1">
    <mergeCell ref="A33:F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Nomura Bank International plc — Statement of Financial Position</t>
        </is>
      </c>
    </row>
    <row r="2">
      <c r="A2" s="2" t="inlineStr">
        <is>
          <t>Standalone Bank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7" t="n"/>
      <c r="C4" s="7" t="n"/>
      <c r="D4" s="7" t="n"/>
      <c r="E4" s="7" t="n"/>
      <c r="F4" s="7" t="n"/>
    </row>
    <row r="5">
      <c r="A5" s="7" t="inlineStr">
        <is>
          <t>Cash and cash equivalents</t>
        </is>
      </c>
      <c r="B5" s="7" t="n">
        <v>1727</v>
      </c>
      <c r="C5" s="7" t="n">
        <v>761</v>
      </c>
      <c r="D5" s="7" t="n">
        <v>7781</v>
      </c>
      <c r="E5" s="7" t="n">
        <v>1462</v>
      </c>
      <c r="F5" s="7" t="n">
        <v>2998</v>
      </c>
    </row>
    <row r="6">
      <c r="A6" s="7" t="inlineStr">
        <is>
          <t>Derivative financial instruments (asset)</t>
        </is>
      </c>
      <c r="B6" s="7" t="n">
        <v>432715</v>
      </c>
      <c r="C6" s="7" t="n">
        <v>290645</v>
      </c>
      <c r="D6" s="7" t="n">
        <v>149851</v>
      </c>
      <c r="E6" s="7" t="n">
        <v>440933</v>
      </c>
      <c r="F6" s="7" t="n">
        <v>1473660</v>
      </c>
    </row>
    <row r="7">
      <c r="A7" s="7" t="inlineStr">
        <is>
          <t>Loans and advances to affiliates</t>
        </is>
      </c>
      <c r="B7" s="7" t="n">
        <v>4956351</v>
      </c>
      <c r="C7" s="7" t="n">
        <v>3650595</v>
      </c>
      <c r="D7" s="7" t="n">
        <v>3228350</v>
      </c>
      <c r="E7" s="7" t="n">
        <v>2620602</v>
      </c>
      <c r="F7" s="7" t="n">
        <v>1608289</v>
      </c>
    </row>
    <row r="8">
      <c r="A8" s="7" t="inlineStr">
        <is>
          <t>Securities purchased under agreements to resell</t>
        </is>
      </c>
      <c r="B8" s="7" t="n">
        <v>2259073</v>
      </c>
      <c r="C8" s="7" t="n">
        <v>2413684</v>
      </c>
      <c r="D8" s="7" t="n">
        <v>2434880</v>
      </c>
      <c r="E8" s="7" t="n">
        <v>2799330</v>
      </c>
      <c r="F8" s="7" t="n">
        <v>3485060</v>
      </c>
    </row>
    <row r="9">
      <c r="A9" s="7" t="inlineStr">
        <is>
          <t>Loans and advances to others</t>
        </is>
      </c>
      <c r="B9" s="7" t="n">
        <v>1850</v>
      </c>
      <c r="C9" s="7" t="n">
        <v>2144</v>
      </c>
      <c r="D9" s="7" t="n">
        <v>2462</v>
      </c>
      <c r="E9" s="7" t="n">
        <v>417</v>
      </c>
      <c r="F9" s="7" t="n">
        <v>1580</v>
      </c>
    </row>
    <row r="10">
      <c r="A10" s="7" t="inlineStr">
        <is>
          <t>Prepayments and accrued income</t>
        </is>
      </c>
      <c r="B10" s="7" t="n">
        <v>64844</v>
      </c>
      <c r="C10" s="7" t="n">
        <v>57011</v>
      </c>
      <c r="D10" s="7" t="n">
        <v>21899</v>
      </c>
      <c r="E10" s="7" t="n">
        <v>4371</v>
      </c>
      <c r="F10" s="7" t="n">
        <v>5161</v>
      </c>
    </row>
    <row r="11">
      <c r="A11" s="7" t="inlineStr">
        <is>
          <t>Other assets</t>
        </is>
      </c>
      <c r="B11" s="7" t="n">
        <v>3652</v>
      </c>
      <c r="C11" s="7" t="n">
        <v>6032</v>
      </c>
      <c r="D11" s="7" t="n">
        <v>399</v>
      </c>
      <c r="E11" s="7" t="n">
        <v>5146</v>
      </c>
      <c r="F11" s="7" t="n">
        <v>7476</v>
      </c>
    </row>
    <row r="12">
      <c r="A12" s="7" t="inlineStr">
        <is>
          <t>Right-of-use assets</t>
        </is>
      </c>
      <c r="B12" s="7" t="n"/>
      <c r="C12" s="7" t="n">
        <v>0</v>
      </c>
      <c r="D12" s="7" t="n">
        <v>316</v>
      </c>
      <c r="E12" s="7" t="n">
        <v>396</v>
      </c>
      <c r="F12" s="7" t="n">
        <v>91</v>
      </c>
    </row>
    <row r="13">
      <c r="A13" s="7" t="inlineStr">
        <is>
          <t>Financial investments</t>
        </is>
      </c>
      <c r="B13" s="7" t="n">
        <v>13</v>
      </c>
      <c r="C13" s="7" t="n">
        <v>11</v>
      </c>
      <c r="D13" s="7" t="n">
        <v>11</v>
      </c>
      <c r="E13" s="7" t="n">
        <v>20</v>
      </c>
      <c r="F13" s="7" t="n">
        <v>20</v>
      </c>
    </row>
    <row r="14">
      <c r="A14" s="7" t="inlineStr">
        <is>
          <t>Deferred tax asset</t>
        </is>
      </c>
      <c r="B14" s="7" t="n">
        <v>2286</v>
      </c>
      <c r="C14" s="7" t="n">
        <v>1920</v>
      </c>
      <c r="D14" s="7" t="n"/>
      <c r="E14" s="7" t="n">
        <v>1256</v>
      </c>
      <c r="F14" s="7" t="n">
        <v>24615</v>
      </c>
    </row>
    <row r="15">
      <c r="A15" s="5" t="inlineStr">
        <is>
          <t>Total Assets</t>
        </is>
      </c>
      <c r="B15" s="5" t="n">
        <v>7722511</v>
      </c>
      <c r="C15" s="5" t="n">
        <v>6422803</v>
      </c>
      <c r="D15" s="5" t="n">
        <v>5845949</v>
      </c>
      <c r="E15" s="5" t="n">
        <v>5873933</v>
      </c>
      <c r="F15" s="5" t="n">
        <v>6608950</v>
      </c>
    </row>
    <row r="16">
      <c r="A16" s="5" t="inlineStr">
        <is>
          <t>Liabilities</t>
        </is>
      </c>
      <c r="B16" s="7" t="n"/>
      <c r="C16" s="7" t="n"/>
      <c r="D16" s="7" t="n"/>
      <c r="E16" s="7" t="n"/>
      <c r="F16" s="7" t="n"/>
    </row>
    <row r="17">
      <c r="A17" s="7" t="inlineStr">
        <is>
          <t>Customer accounts/deposits</t>
        </is>
      </c>
      <c r="B17" s="7" t="n">
        <v>10000</v>
      </c>
      <c r="C17" s="7" t="n"/>
      <c r="D17" s="7" t="n"/>
      <c r="E17" s="7" t="n">
        <v>0</v>
      </c>
      <c r="F17" s="7" t="n">
        <v>166</v>
      </c>
    </row>
    <row r="18">
      <c r="A18" s="7" t="inlineStr">
        <is>
          <t>Derivative financial instruments (liability)</t>
        </is>
      </c>
      <c r="B18" s="7" t="n">
        <v>1058579</v>
      </c>
      <c r="C18" s="7" t="n">
        <v>941237</v>
      </c>
      <c r="D18" s="7" t="n">
        <v>876358</v>
      </c>
      <c r="E18" s="7" t="n">
        <v>723515</v>
      </c>
      <c r="F18" s="7" t="n">
        <v>1449591</v>
      </c>
    </row>
    <row r="19">
      <c r="A19" s="7" t="inlineStr">
        <is>
          <t>Accruals and deferred income</t>
        </is>
      </c>
      <c r="B19" s="7" t="n">
        <v>37979</v>
      </c>
      <c r="C19" s="7" t="n">
        <v>32526</v>
      </c>
      <c r="D19" s="7" t="n">
        <v>56730</v>
      </c>
      <c r="E19" s="7" t="n">
        <v>16550</v>
      </c>
      <c r="F19" s="7" t="n">
        <v>17834</v>
      </c>
    </row>
    <row r="20">
      <c r="A20" s="7" t="inlineStr">
        <is>
          <t>Borrowings from affiliates</t>
        </is>
      </c>
      <c r="B20" s="7" t="n">
        <v>125488</v>
      </c>
      <c r="C20" s="7" t="n">
        <v>118366</v>
      </c>
      <c r="D20" s="7" t="n">
        <v>121244</v>
      </c>
      <c r="E20" s="7" t="n">
        <v>274421</v>
      </c>
      <c r="F20" s="7" t="n">
        <v>329333</v>
      </c>
    </row>
    <row r="21">
      <c r="A21" s="7" t="inlineStr">
        <is>
          <t>Borrowings from others</t>
        </is>
      </c>
      <c r="B21" s="7" t="n"/>
      <c r="C21" s="7" t="n">
        <v>0</v>
      </c>
      <c r="D21" s="7" t="n">
        <v>761</v>
      </c>
      <c r="E21" s="7" t="n">
        <v>610</v>
      </c>
      <c r="F21" s="7" t="n">
        <v>8728</v>
      </c>
    </row>
    <row r="22">
      <c r="A22" s="7" t="inlineStr">
        <is>
          <t>Commercial papers issued</t>
        </is>
      </c>
      <c r="B22" s="7" t="n">
        <v>682741</v>
      </c>
      <c r="C22" s="7" t="n">
        <v>815131</v>
      </c>
      <c r="D22" s="7" t="n">
        <v>789011</v>
      </c>
      <c r="E22" s="7" t="n">
        <v>794070</v>
      </c>
      <c r="F22" s="7" t="n">
        <v>798480</v>
      </c>
    </row>
    <row r="23">
      <c r="A23" s="7" t="inlineStr">
        <is>
          <t>Bonds and medium-term notes</t>
        </is>
      </c>
      <c r="B23" s="7" t="n">
        <v>5539325</v>
      </c>
      <c r="C23" s="7" t="n">
        <v>4258572</v>
      </c>
      <c r="D23" s="7" t="n">
        <v>3578986</v>
      </c>
      <c r="E23" s="7" t="n">
        <v>3793645</v>
      </c>
      <c r="F23" s="7" t="n">
        <v>3834998</v>
      </c>
    </row>
    <row r="24">
      <c r="A24" s="7" t="inlineStr">
        <is>
          <t>Group relief payable</t>
        </is>
      </c>
      <c r="B24" s="7" t="n">
        <v>5564</v>
      </c>
      <c r="C24" s="7" t="n">
        <v>4231</v>
      </c>
      <c r="D24" s="7" t="n">
        <v>7478</v>
      </c>
      <c r="E24" s="7" t="n">
        <v>5793</v>
      </c>
      <c r="F24" s="7" t="n"/>
    </row>
    <row r="25">
      <c r="A25" s="7" t="inlineStr">
        <is>
          <t>Corporate tax liability</t>
        </is>
      </c>
      <c r="B25" s="7" t="n"/>
      <c r="C25" s="7" t="n">
        <v>0</v>
      </c>
      <c r="D25" s="7" t="n">
        <v>787</v>
      </c>
      <c r="E25" s="7" t="n">
        <v>837</v>
      </c>
      <c r="F25" s="7" t="n">
        <v>1487</v>
      </c>
    </row>
    <row r="26">
      <c r="A26" s="7" t="inlineStr">
        <is>
          <t>Other liabilities</t>
        </is>
      </c>
      <c r="B26" s="7" t="n">
        <v>74</v>
      </c>
      <c r="C26" s="7" t="n">
        <v>72</v>
      </c>
      <c r="D26" s="7" t="n">
        <v>364</v>
      </c>
      <c r="E26" s="7" t="n">
        <v>1075</v>
      </c>
      <c r="F26" s="7" t="n">
        <v>114</v>
      </c>
    </row>
    <row r="27">
      <c r="A27" s="7" t="inlineStr">
        <is>
          <t>Deferred tax liability</t>
        </is>
      </c>
      <c r="B27" s="7" t="n"/>
      <c r="C27" s="7" t="n">
        <v>0</v>
      </c>
      <c r="D27" s="7" t="n">
        <v>27062</v>
      </c>
      <c r="E27" s="7" t="n"/>
      <c r="F27" s="7" t="n"/>
    </row>
    <row r="28">
      <c r="A28" s="5" t="inlineStr">
        <is>
          <t>Total Liabilities</t>
        </is>
      </c>
      <c r="B28" s="5" t="n">
        <v>7459750</v>
      </c>
      <c r="C28" s="5" t="n">
        <v>6170135</v>
      </c>
      <c r="D28" s="5" t="n">
        <v>5458781</v>
      </c>
      <c r="E28" s="5" t="n">
        <v>5610516</v>
      </c>
      <c r="F28" s="5" t="n">
        <v>6440731</v>
      </c>
    </row>
    <row r="29">
      <c r="A29" s="5" t="inlineStr">
        <is>
          <t>Shareholders' funds</t>
        </is>
      </c>
      <c r="B29" s="7" t="n"/>
      <c r="C29" s="7" t="n"/>
      <c r="D29" s="7" t="n"/>
      <c r="E29" s="7" t="n"/>
      <c r="F29" s="7" t="n"/>
    </row>
    <row r="30">
      <c r="A30" s="7" t="inlineStr">
        <is>
          <t>Called up share capital</t>
        </is>
      </c>
      <c r="B30" s="7" t="n">
        <v>255000</v>
      </c>
      <c r="C30" s="7" t="n">
        <v>255000</v>
      </c>
      <c r="D30" s="7" t="n">
        <v>255000</v>
      </c>
      <c r="E30" s="7" t="n">
        <v>255000</v>
      </c>
      <c r="F30" s="7" t="n">
        <v>255000</v>
      </c>
    </row>
    <row r="31">
      <c r="A31" s="7" t="inlineStr">
        <is>
          <t>Retained earnings</t>
        </is>
      </c>
      <c r="B31" s="7" t="n">
        <v>34894</v>
      </c>
      <c r="C31" s="7" t="n">
        <v>26080</v>
      </c>
      <c r="D31" s="7" t="n">
        <v>30560</v>
      </c>
      <c r="E31" s="7" t="n">
        <v>33222</v>
      </c>
      <c r="F31" s="7" t="n">
        <v>21879</v>
      </c>
    </row>
    <row r="32">
      <c r="A32" s="7" t="inlineStr">
        <is>
          <t>Own credit reserve</t>
        </is>
      </c>
      <c r="B32" s="7" t="n">
        <v>-27133</v>
      </c>
      <c r="C32" s="7" t="n">
        <v>-28412</v>
      </c>
      <c r="D32" s="7" t="n">
        <v>101608</v>
      </c>
      <c r="E32" s="7" t="n">
        <v>-24805</v>
      </c>
      <c r="F32" s="7" t="n">
        <v>-108660</v>
      </c>
    </row>
    <row r="33">
      <c r="A33" s="5" t="inlineStr">
        <is>
          <t>Total Equity</t>
        </is>
      </c>
      <c r="B33" s="5" t="n">
        <v>262761</v>
      </c>
      <c r="C33" s="5" t="n">
        <v>252668</v>
      </c>
      <c r="D33" s="5" t="n">
        <v>387168</v>
      </c>
      <c r="E33" s="5" t="n">
        <v>263417</v>
      </c>
      <c r="F33" s="5" t="n">
        <v>168219</v>
      </c>
    </row>
    <row r="34">
      <c r="A34" s="5" t="inlineStr">
        <is>
          <t>Total Liabilities and Equity</t>
        </is>
      </c>
      <c r="B34" s="5" t="n">
        <v>7722511</v>
      </c>
      <c r="C34" s="5" t="n">
        <v>6422803</v>
      </c>
      <c r="D34" s="5" t="n">
        <v>5845949</v>
      </c>
      <c r="E34" s="5" t="n">
        <v>5873933</v>
      </c>
      <c r="F34" s="5" t="n">
        <v>6608950</v>
      </c>
    </row>
    <row r="36" ht="280" customHeight="1">
      <c r="A3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5 years' Balance Sheet/P&amp;L/Equity figures were independently cross-checked against the following year's comparative column and tie exactly - zero plug rows were needed. All amounts are $'000.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Nomura Bank International plc — Income Statement and Statement of Comprehensive Income</t>
        </is>
      </c>
    </row>
    <row r="2">
      <c r="A2" s="2" t="inlineStr">
        <is>
          <t>Standalone Bank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7" t="n"/>
      <c r="C4" s="7" t="n"/>
      <c r="D4" s="7" t="n"/>
      <c r="E4" s="7" t="n"/>
      <c r="F4" s="7" t="n"/>
    </row>
    <row r="5">
      <c r="A5" s="7" t="inlineStr">
        <is>
          <t>Interest income calculated using effective interest method</t>
        </is>
      </c>
      <c r="B5" s="7" t="n">
        <v>220848</v>
      </c>
      <c r="C5" s="7" t="n">
        <v>180718</v>
      </c>
      <c r="D5" s="7" t="n">
        <v>64139</v>
      </c>
      <c r="E5" s="7" t="n">
        <v>12320</v>
      </c>
      <c r="F5" s="7" t="n">
        <v>17163</v>
      </c>
    </row>
    <row r="6">
      <c r="A6" s="7" t="inlineStr">
        <is>
          <t>Other interest and similar income</t>
        </is>
      </c>
      <c r="B6" s="7" t="n">
        <v>110413</v>
      </c>
      <c r="C6" s="7" t="n">
        <v>112645</v>
      </c>
      <c r="D6" s="7" t="n">
        <v>49998</v>
      </c>
      <c r="E6" s="7" t="n">
        <v>12771</v>
      </c>
      <c r="F6" s="7" t="n">
        <v>16026</v>
      </c>
    </row>
    <row r="7">
      <c r="A7" s="7" t="inlineStr">
        <is>
          <t>Interest expense calculated using effective interest method</t>
        </is>
      </c>
      <c r="B7" s="7" t="n">
        <v>-27677</v>
      </c>
      <c r="C7" s="7" t="n">
        <v>-29736</v>
      </c>
      <c r="D7" s="7" t="n">
        <v>-7783</v>
      </c>
      <c r="E7" s="7" t="n">
        <v>-823</v>
      </c>
      <c r="F7" s="7" t="n">
        <v>-566</v>
      </c>
    </row>
    <row r="8">
      <c r="A8" s="7" t="inlineStr">
        <is>
          <t>Other interest and similar expenses</t>
        </is>
      </c>
      <c r="B8" s="7" t="n">
        <v>-4455</v>
      </c>
      <c r="C8" s="7" t="n">
        <v>-4323</v>
      </c>
      <c r="D8" s="7" t="n"/>
      <c r="E8" s="7" t="n">
        <v>-4473</v>
      </c>
      <c r="F8" s="7" t="n">
        <v>-5948</v>
      </c>
    </row>
    <row r="9">
      <c r="A9" s="5" t="inlineStr">
        <is>
          <t>Net interest income</t>
        </is>
      </c>
      <c r="B9" s="5" t="n">
        <v>299129</v>
      </c>
      <c r="C9" s="5" t="n">
        <v>259304</v>
      </c>
      <c r="D9" s="5" t="n">
        <v>106354</v>
      </c>
      <c r="E9" s="5" t="n">
        <v>19795</v>
      </c>
      <c r="F9" s="5" t="n">
        <v>26675</v>
      </c>
    </row>
    <row r="10">
      <c r="A10" s="7" t="inlineStr">
        <is>
          <t>Fee and commission income</t>
        </is>
      </c>
      <c r="B10" s="7" t="n">
        <v>20044</v>
      </c>
      <c r="C10" s="7" t="n">
        <v>11994</v>
      </c>
      <c r="D10" s="7" t="n">
        <v>43462</v>
      </c>
      <c r="E10" s="7" t="n">
        <v>41653</v>
      </c>
      <c r="F10" s="7" t="n">
        <v>52332</v>
      </c>
    </row>
    <row r="11">
      <c r="A11" s="7" t="inlineStr">
        <is>
          <t>Fee and commission expense</t>
        </is>
      </c>
      <c r="B11" s="7" t="n">
        <v>-1514</v>
      </c>
      <c r="C11" s="7" t="n">
        <v>-1455</v>
      </c>
      <c r="D11" s="7" t="n">
        <v>-1326</v>
      </c>
      <c r="E11" s="7" t="n">
        <v>-1342</v>
      </c>
      <c r="F11" s="7" t="n">
        <v>-2939</v>
      </c>
    </row>
    <row r="12">
      <c r="A12" s="7" t="inlineStr">
        <is>
          <t>Gains and losses from financial instruments at fair value through profit or loss</t>
        </is>
      </c>
      <c r="B12" s="7" t="n">
        <v>-296169</v>
      </c>
      <c r="C12" s="7" t="n">
        <v>-251873</v>
      </c>
      <c r="D12" s="7" t="n">
        <v>-104219</v>
      </c>
      <c r="E12" s="7" t="n">
        <v>-28708</v>
      </c>
      <c r="F12" s="7" t="n">
        <v>-47561</v>
      </c>
    </row>
    <row r="13">
      <c r="A13" s="5" t="inlineStr">
        <is>
          <t>Total operating income</t>
        </is>
      </c>
      <c r="B13" s="5" t="n">
        <v>21490</v>
      </c>
      <c r="C13" s="5" t="n">
        <v>17970</v>
      </c>
      <c r="D13" s="5" t="n">
        <v>44271</v>
      </c>
      <c r="E13" s="5" t="n">
        <v>31398</v>
      </c>
      <c r="F13" s="5" t="n">
        <v>28507</v>
      </c>
    </row>
    <row r="14">
      <c r="A14" s="7" t="inlineStr">
        <is>
          <t>General and administrative expenses</t>
        </is>
      </c>
      <c r="B14" s="7" t="n">
        <v>-9035</v>
      </c>
      <c r="C14" s="7" t="n">
        <v>-8391</v>
      </c>
      <c r="D14" s="7" t="n">
        <v>-35479</v>
      </c>
      <c r="E14" s="7" t="n">
        <v>-11655</v>
      </c>
      <c r="F14" s="7" t="n">
        <v>-14680</v>
      </c>
    </row>
    <row r="15">
      <c r="A15" s="7" t="inlineStr">
        <is>
          <t>Credit impairment release/(charge)</t>
        </is>
      </c>
      <c r="B15" s="7" t="n">
        <v>38</v>
      </c>
      <c r="C15" s="7" t="n">
        <v>-34</v>
      </c>
      <c r="D15" s="7" t="n">
        <v>-91</v>
      </c>
      <c r="E15" s="7" t="n">
        <v>-554</v>
      </c>
      <c r="F15" s="7" t="n">
        <v>46</v>
      </c>
    </row>
    <row r="16">
      <c r="A16" s="5" t="inlineStr">
        <is>
          <t>Profit before tax</t>
        </is>
      </c>
      <c r="B16" s="5" t="n">
        <v>12493</v>
      </c>
      <c r="C16" s="5" t="n">
        <v>9545</v>
      </c>
      <c r="D16" s="5" t="n">
        <v>8701</v>
      </c>
      <c r="E16" s="5" t="n">
        <v>19189</v>
      </c>
      <c r="F16" s="5" t="n">
        <v>13873</v>
      </c>
    </row>
    <row r="17">
      <c r="A17" s="7" t="inlineStr">
        <is>
          <t>Tax charge on profit on ordinary activities</t>
        </is>
      </c>
      <c r="B17" s="7" t="n">
        <v>-3123</v>
      </c>
      <c r="C17" s="7" t="n">
        <v>-2370</v>
      </c>
      <c r="D17" s="7" t="n">
        <v>-1653</v>
      </c>
      <c r="E17" s="7" t="n">
        <v>-3647</v>
      </c>
      <c r="F17" s="7" t="n">
        <v>-2525</v>
      </c>
    </row>
    <row r="18">
      <c r="A18" s="5" t="inlineStr">
        <is>
          <t>Profit for the year</t>
        </is>
      </c>
      <c r="B18" s="5" t="n">
        <v>9370</v>
      </c>
      <c r="C18" s="5" t="n">
        <v>7175</v>
      </c>
      <c r="D18" s="5" t="n">
        <v>7048</v>
      </c>
      <c r="E18" s="5" t="n">
        <v>15542</v>
      </c>
      <c r="F18" s="5" t="n">
        <v>11348</v>
      </c>
    </row>
    <row r="19">
      <c r="A19" s="5" t="inlineStr">
        <is>
          <t>Other comprehensive income</t>
        </is>
      </c>
      <c r="B19" s="7" t="n"/>
      <c r="C19" s="7" t="n"/>
      <c r="D19" s="7" t="n"/>
      <c r="E19" s="7" t="n"/>
      <c r="F19" s="7" t="n"/>
    </row>
    <row r="20">
      <c r="A20" s="7" t="inlineStr">
        <is>
          <t>Fair value changes on financial liabilities at FVTPL attributable to own credit risk (net of tax)</t>
        </is>
      </c>
      <c r="B20" s="7" t="n">
        <v>723</v>
      </c>
      <c r="C20" s="7" t="n">
        <v>-136675</v>
      </c>
      <c r="D20" s="7" t="n">
        <v>126703</v>
      </c>
      <c r="E20" s="7" t="n">
        <v>89656</v>
      </c>
      <c r="F20" s="7" t="n">
        <v>-172938</v>
      </c>
    </row>
    <row r="21">
      <c r="A21" s="5" t="inlineStr">
        <is>
          <t>Total comprehensive income/(loss) for the year</t>
        </is>
      </c>
      <c r="B21" s="5" t="n">
        <v>10093</v>
      </c>
      <c r="C21" s="5" t="n">
        <v>-129500</v>
      </c>
      <c r="D21" s="5" t="n">
        <v>133751</v>
      </c>
      <c r="E21" s="5" t="n">
        <v>105198</v>
      </c>
      <c r="F21" s="5" t="n">
        <v>-161590</v>
      </c>
    </row>
    <row r="23" ht="280" customHeight="1">
      <c r="A23"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5 years' Balance Sheet/P&amp;L/Equity figures were independently cross-checked against the following year's comparative column and tie exactly - zero plug rows were needed. All amounts are $'000.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98" customWidth="1" min="1" max="1"/>
    <col width="15" customWidth="1" min="2" max="2"/>
    <col width="15" customWidth="1" min="3" max="3"/>
    <col width="15" customWidth="1" min="4" max="4"/>
    <col width="15" customWidth="1" min="5" max="5"/>
  </cols>
  <sheetData>
    <row r="1">
      <c r="A1" s="1" t="inlineStr">
        <is>
          <t>Nomura Bank International plc — Statement of Changes in Equity</t>
        </is>
      </c>
    </row>
    <row r="2">
      <c r="A2" s="2" t="inlineStr">
        <is>
          <t>Standalone Bank basis, $'000, chronological (oldest to newest)</t>
        </is>
      </c>
    </row>
    <row r="3">
      <c r="A3" s="4" t="inlineStr">
        <is>
          <t>Movement</t>
        </is>
      </c>
      <c r="B3" s="4" t="inlineStr">
        <is>
          <t>Called-up Share Capital</t>
        </is>
      </c>
      <c r="C3" s="4" t="inlineStr">
        <is>
          <t>Retained Earnings</t>
        </is>
      </c>
      <c r="D3" s="4" t="inlineStr">
        <is>
          <t>Own Credit Reserve</t>
        </is>
      </c>
      <c r="E3" s="4" t="inlineStr">
        <is>
          <t>Total</t>
        </is>
      </c>
    </row>
    <row r="4">
      <c r="A4" s="5" t="inlineStr">
        <is>
          <t>As at 1 April 2020</t>
        </is>
      </c>
      <c r="B4" s="5" t="n">
        <v>255000</v>
      </c>
      <c r="C4" s="5" t="n">
        <v>23137</v>
      </c>
      <c r="D4" s="5" t="n">
        <v>63672</v>
      </c>
      <c r="E4" s="5" t="n">
        <v>341809</v>
      </c>
    </row>
    <row r="5">
      <c r="A5" s="7" t="inlineStr">
        <is>
          <t>Dividends paid during the year</t>
        </is>
      </c>
      <c r="B5" s="7" t="n"/>
      <c r="C5" s="7" t="n">
        <v>-12000</v>
      </c>
      <c r="D5" s="7" t="n"/>
      <c r="E5" s="7" t="n">
        <v>-12000</v>
      </c>
    </row>
    <row r="6">
      <c r="A6" s="7" t="inlineStr">
        <is>
          <t>Transferred from own credit reserve to retained earnings</t>
        </is>
      </c>
      <c r="B6" s="7" t="n"/>
      <c r="C6" s="7" t="n">
        <v>-606</v>
      </c>
      <c r="D6" s="7" t="n">
        <v>606</v>
      </c>
      <c r="E6" s="7" t="n">
        <v>0</v>
      </c>
    </row>
    <row r="7">
      <c r="A7" s="7" t="inlineStr">
        <is>
          <t>Profit for the year</t>
        </is>
      </c>
      <c r="B7" s="7" t="n"/>
      <c r="C7" s="7" t="n">
        <v>11348</v>
      </c>
      <c r="D7" s="7" t="n"/>
      <c r="E7" s="7" t="n">
        <v>11348</v>
      </c>
    </row>
    <row r="8">
      <c r="A8" s="7" t="inlineStr">
        <is>
          <t>Other comprehensive loss (net of tax)</t>
        </is>
      </c>
      <c r="B8" s="7" t="n"/>
      <c r="C8" s="7" t="n"/>
      <c r="D8" s="7" t="n">
        <v>-172938</v>
      </c>
      <c r="E8" s="7" t="n">
        <v>-172938</v>
      </c>
    </row>
    <row r="9">
      <c r="A9" s="5" t="inlineStr">
        <is>
          <t>At 31 March 2021</t>
        </is>
      </c>
      <c r="B9" s="5" t="n">
        <v>255000</v>
      </c>
      <c r="C9" s="5" t="n">
        <v>21879</v>
      </c>
      <c r="D9" s="5" t="n">
        <v>-108660</v>
      </c>
      <c r="E9" s="5" t="n">
        <v>168219</v>
      </c>
    </row>
    <row r="10">
      <c r="A10" s="7" t="inlineStr">
        <is>
          <t>Dividends paid during the year</t>
        </is>
      </c>
      <c r="B10" s="7" t="n"/>
      <c r="C10" s="7" t="n">
        <v>-10000</v>
      </c>
      <c r="D10" s="7" t="n"/>
      <c r="E10" s="7" t="n">
        <v>-10000</v>
      </c>
    </row>
    <row r="11">
      <c r="A11" s="7" t="inlineStr">
        <is>
          <t>Transferred from own credit reserve to retained earnings</t>
        </is>
      </c>
      <c r="B11" s="7" t="n"/>
      <c r="C11" s="7" t="n">
        <v>5801</v>
      </c>
      <c r="D11" s="7" t="n">
        <v>-5801</v>
      </c>
      <c r="E11" s="7" t="n">
        <v>0</v>
      </c>
    </row>
    <row r="12">
      <c r="A12" s="7" t="inlineStr">
        <is>
          <t>Profit for the year</t>
        </is>
      </c>
      <c r="B12" s="7" t="n"/>
      <c r="C12" s="7" t="n">
        <v>15542</v>
      </c>
      <c r="D12" s="7" t="n"/>
      <c r="E12" s="7" t="n">
        <v>15542</v>
      </c>
    </row>
    <row r="13">
      <c r="A13" s="7" t="inlineStr">
        <is>
          <t>Other comprehensive income (net of tax)</t>
        </is>
      </c>
      <c r="B13" s="7" t="n"/>
      <c r="C13" s="7" t="n"/>
      <c r="D13" s="7" t="n">
        <v>89656</v>
      </c>
      <c r="E13" s="7" t="n">
        <v>89656</v>
      </c>
    </row>
    <row r="14">
      <c r="A14" s="5" t="inlineStr">
        <is>
          <t>At 31 March 2022</t>
        </is>
      </c>
      <c r="B14" s="5" t="n">
        <v>255000</v>
      </c>
      <c r="C14" s="5" t="n">
        <v>33222</v>
      </c>
      <c r="D14" s="5" t="n">
        <v>-24805</v>
      </c>
      <c r="E14" s="5" t="n">
        <v>263417</v>
      </c>
    </row>
    <row r="15">
      <c r="A15" s="7" t="inlineStr">
        <is>
          <t>Dividends paid during the year</t>
        </is>
      </c>
      <c r="B15" s="7" t="n"/>
      <c r="C15" s="7" t="n">
        <v>-10000</v>
      </c>
      <c r="D15" s="7" t="n"/>
      <c r="E15" s="7" t="n">
        <v>-10000</v>
      </c>
    </row>
    <row r="16">
      <c r="A16" s="7" t="inlineStr">
        <is>
          <t>Transferred from own credit reserve to retained earnings</t>
        </is>
      </c>
      <c r="B16" s="7" t="n"/>
      <c r="C16" s="7" t="n">
        <v>290</v>
      </c>
      <c r="D16" s="7" t="n">
        <v>-290</v>
      </c>
      <c r="E16" s="7" t="n">
        <v>0</v>
      </c>
    </row>
    <row r="17">
      <c r="A17" s="7" t="inlineStr">
        <is>
          <t>Profit for the year</t>
        </is>
      </c>
      <c r="B17" s="7" t="n"/>
      <c r="C17" s="7" t="n">
        <v>7048</v>
      </c>
      <c r="D17" s="7" t="n"/>
      <c r="E17" s="7" t="n">
        <v>7048</v>
      </c>
    </row>
    <row r="18">
      <c r="A18" s="7" t="inlineStr">
        <is>
          <t>Other comprehensive income (net of tax)</t>
        </is>
      </c>
      <c r="B18" s="7" t="n"/>
      <c r="C18" s="7" t="n"/>
      <c r="D18" s="7" t="n">
        <v>126703</v>
      </c>
      <c r="E18" s="7" t="n">
        <v>126703</v>
      </c>
    </row>
    <row r="19">
      <c r="A19" s="5" t="inlineStr">
        <is>
          <t>At 31 March 2023</t>
        </is>
      </c>
      <c r="B19" s="5" t="n">
        <v>255000</v>
      </c>
      <c r="C19" s="5" t="n">
        <v>30560</v>
      </c>
      <c r="D19" s="5" t="n">
        <v>101608</v>
      </c>
      <c r="E19" s="5" t="n">
        <v>387168</v>
      </c>
    </row>
    <row r="20">
      <c r="A20" s="7" t="inlineStr">
        <is>
          <t>Dividends paid during the year</t>
        </is>
      </c>
      <c r="B20" s="7" t="n"/>
      <c r="C20" s="7" t="n">
        <v>-5000</v>
      </c>
      <c r="D20" s="7" t="n"/>
      <c r="E20" s="7" t="n">
        <v>-5000</v>
      </c>
    </row>
    <row r="21">
      <c r="A21" s="7" t="inlineStr">
        <is>
          <t>Transferred from own credit reserve to retained earnings</t>
        </is>
      </c>
      <c r="B21" s="7" t="n"/>
      <c r="C21" s="7" t="n">
        <v>-6655</v>
      </c>
      <c r="D21" s="7" t="n">
        <v>6655</v>
      </c>
      <c r="E21" s="7" t="n">
        <v>0</v>
      </c>
    </row>
    <row r="22">
      <c r="A22" s="7" t="inlineStr">
        <is>
          <t>Profit for the year</t>
        </is>
      </c>
      <c r="B22" s="7" t="n"/>
      <c r="C22" s="7" t="n">
        <v>7175</v>
      </c>
      <c r="D22" s="7" t="n"/>
      <c r="E22" s="7" t="n">
        <v>7175</v>
      </c>
    </row>
    <row r="23">
      <c r="A23" s="7" t="inlineStr">
        <is>
          <t>Other comprehensive loss (net of tax)</t>
        </is>
      </c>
      <c r="B23" s="7" t="n"/>
      <c r="C23" s="7" t="n"/>
      <c r="D23" s="7" t="n">
        <v>-136675</v>
      </c>
      <c r="E23" s="7" t="n">
        <v>-136675</v>
      </c>
    </row>
    <row r="24">
      <c r="A24" s="5" t="inlineStr">
        <is>
          <t>At 31 March 2024</t>
        </is>
      </c>
      <c r="B24" s="5" t="n">
        <v>255000</v>
      </c>
      <c r="C24" s="5" t="n">
        <v>26080</v>
      </c>
      <c r="D24" s="5" t="n">
        <v>-28412</v>
      </c>
      <c r="E24" s="5" t="n">
        <v>252668</v>
      </c>
    </row>
    <row r="25">
      <c r="A25" s="7" t="inlineStr">
        <is>
          <t>Transferred from own credit reserve to retained earnings</t>
        </is>
      </c>
      <c r="B25" s="7" t="n"/>
      <c r="C25" s="7" t="n">
        <v>-555</v>
      </c>
      <c r="D25" s="7" t="n">
        <v>555</v>
      </c>
      <c r="E25" s="7" t="n">
        <v>0</v>
      </c>
    </row>
    <row r="26">
      <c r="A26" s="7" t="inlineStr">
        <is>
          <t>Profit for the year</t>
        </is>
      </c>
      <c r="B26" s="7" t="n"/>
      <c r="C26" s="7" t="n">
        <v>9370</v>
      </c>
      <c r="D26" s="7" t="n"/>
      <c r="E26" s="7" t="n">
        <v>9370</v>
      </c>
    </row>
    <row r="27">
      <c r="A27" s="7" t="inlineStr">
        <is>
          <t>Other comprehensive income (net of tax)</t>
        </is>
      </c>
      <c r="B27" s="7" t="n"/>
      <c r="C27" s="7" t="n"/>
      <c r="D27" s="7" t="n">
        <v>723</v>
      </c>
      <c r="E27" s="7" t="n">
        <v>723</v>
      </c>
    </row>
    <row r="28">
      <c r="A28" s="5" t="inlineStr">
        <is>
          <t>At 31 March 2025 (Equity statement's own figures - see source note on the $1k rounding gap vs the Balance Sheet)</t>
        </is>
      </c>
      <c r="B28" s="5" t="n">
        <v>255000</v>
      </c>
      <c r="C28" s="5" t="n">
        <v>34895</v>
      </c>
      <c r="D28" s="5" t="n">
        <v>-27134</v>
      </c>
      <c r="E28" s="5" t="n">
        <v>262761</v>
      </c>
    </row>
    <row r="30" ht="280" customHeight="1">
      <c r="A30"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5 years' Balance Sheet/P&amp;L/Equity figures were independently cross-checked against the following year's comparative column and tie exactly - zero plug rows were needed. All amounts are $'000.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t>
        </is>
      </c>
    </row>
  </sheetData>
  <mergeCells count="1">
    <mergeCell ref="A30:E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Nomura Bank International plc — Statement of Cash Flows</t>
        </is>
      </c>
    </row>
    <row r="2">
      <c r="A2" s="2" t="inlineStr">
        <is>
          <t>Standalone Bank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7" t="n"/>
      <c r="C4" s="7" t="n"/>
      <c r="D4" s="7" t="n"/>
      <c r="E4" s="7" t="n"/>
      <c r="F4" s="7" t="n"/>
    </row>
    <row r="5">
      <c r="A5" s="7" t="inlineStr">
        <is>
          <t>Profit before taxation</t>
        </is>
      </c>
      <c r="B5" s="7" t="n">
        <v>12493</v>
      </c>
      <c r="C5" s="7" t="n">
        <v>9544</v>
      </c>
      <c r="D5" s="7" t="n">
        <v>8701</v>
      </c>
      <c r="E5" s="7" t="n">
        <v>19189</v>
      </c>
      <c r="F5" s="7" t="n">
        <v>13873</v>
      </c>
    </row>
    <row r="6">
      <c r="A6" s="7" t="inlineStr">
        <is>
          <t>Depreciation</t>
        </is>
      </c>
      <c r="B6" s="7" t="n">
        <v>0</v>
      </c>
      <c r="C6" s="7" t="n">
        <v>17</v>
      </c>
      <c r="D6" s="7" t="n">
        <v>80</v>
      </c>
      <c r="E6" s="7" t="n">
        <v>105</v>
      </c>
      <c r="F6" s="7" t="n">
        <v>113</v>
      </c>
    </row>
    <row r="7">
      <c r="A7" s="7" t="inlineStr">
        <is>
          <t>Net gain/loss including FX gain/loss on bonds and medium term notes</t>
        </is>
      </c>
      <c r="B7" s="7" t="n">
        <v>56668</v>
      </c>
      <c r="C7" s="7" t="n">
        <v>95274</v>
      </c>
      <c r="D7" s="7" t="n"/>
      <c r="E7" s="7" t="n"/>
      <c r="F7" s="7" t="n"/>
    </row>
    <row r="8">
      <c r="A8" s="7" t="inlineStr">
        <is>
          <t>Interest and FX gain/loss on commercial papers</t>
        </is>
      </c>
      <c r="B8" s="7" t="n">
        <v>30018</v>
      </c>
      <c r="C8" s="7" t="n">
        <v>21359</v>
      </c>
      <c r="D8" s="7" t="n"/>
      <c r="E8" s="7" t="n"/>
      <c r="F8" s="7" t="n"/>
    </row>
    <row r="9">
      <c r="A9" s="7" t="inlineStr">
        <is>
          <t>Provisions</t>
        </is>
      </c>
      <c r="B9" s="7" t="n">
        <v>-38</v>
      </c>
      <c r="C9" s="7" t="n">
        <v>34</v>
      </c>
      <c r="D9" s="7" t="n"/>
      <c r="E9" s="7" t="n"/>
      <c r="F9" s="7" t="n"/>
    </row>
    <row r="10">
      <c r="A10" s="7" t="inlineStr">
        <is>
          <t>Net change in derivative assets</t>
        </is>
      </c>
      <c r="B10" s="7" t="n">
        <v>-142070</v>
      </c>
      <c r="C10" s="7" t="n">
        <v>-140794</v>
      </c>
      <c r="D10" s="7" t="n">
        <v>291082</v>
      </c>
      <c r="E10" s="7" t="n">
        <v>1032728</v>
      </c>
      <c r="F10" s="7" t="n">
        <v>421444</v>
      </c>
    </row>
    <row r="11">
      <c r="A11" s="7" t="inlineStr">
        <is>
          <t>Net change in loans and advances to affiliates</t>
        </is>
      </c>
      <c r="B11" s="7" t="n">
        <v>-1305745</v>
      </c>
      <c r="C11" s="7" t="n">
        <v>-422254</v>
      </c>
      <c r="D11" s="7" t="n">
        <v>-607748</v>
      </c>
      <c r="E11" s="7" t="n">
        <v>-1012313</v>
      </c>
      <c r="F11" s="7" t="n">
        <v>-857200</v>
      </c>
    </row>
    <row r="12">
      <c r="A12" s="7" t="inlineStr">
        <is>
          <t>Net change in securities purchased under agreements to resell</t>
        </is>
      </c>
      <c r="B12" s="7" t="n">
        <v>154611</v>
      </c>
      <c r="C12" s="7" t="n">
        <v>21196</v>
      </c>
      <c r="D12" s="7" t="n">
        <v>364450</v>
      </c>
      <c r="E12" s="7" t="n">
        <v>685731</v>
      </c>
      <c r="F12" s="7" t="n">
        <v>891295</v>
      </c>
    </row>
    <row r="13">
      <c r="A13" s="7" t="inlineStr">
        <is>
          <t>Net change in loans and advances to others</t>
        </is>
      </c>
      <c r="B13" s="7" t="n">
        <v>294</v>
      </c>
      <c r="C13" s="7" t="n">
        <v>318</v>
      </c>
      <c r="D13" s="7" t="n">
        <v>-2045</v>
      </c>
      <c r="E13" s="7" t="n">
        <v>1163</v>
      </c>
      <c r="F13" s="7" t="n">
        <v>64842</v>
      </c>
    </row>
    <row r="14">
      <c r="A14" s="7" t="inlineStr">
        <is>
          <t>Net changes in prepayments and accrued income</t>
        </is>
      </c>
      <c r="B14" s="7" t="n">
        <v>-7833</v>
      </c>
      <c r="C14" s="7" t="n">
        <v>-35111</v>
      </c>
      <c r="D14" s="7" t="n">
        <v>-17528</v>
      </c>
      <c r="E14" s="7" t="n">
        <v>791</v>
      </c>
      <c r="F14" s="7" t="n">
        <v>-1791</v>
      </c>
    </row>
    <row r="15">
      <c r="A15" s="7" t="inlineStr">
        <is>
          <t>Net change in other assets</t>
        </is>
      </c>
      <c r="B15" s="7" t="n">
        <v>2380</v>
      </c>
      <c r="C15" s="7" t="n">
        <v>-5633</v>
      </c>
      <c r="D15" s="7" t="n">
        <v>4747</v>
      </c>
      <c r="E15" s="7" t="n">
        <v>2330</v>
      </c>
      <c r="F15" s="7" t="n">
        <v>17160</v>
      </c>
    </row>
    <row r="16">
      <c r="A16" s="7" t="inlineStr">
        <is>
          <t>Net change in financial investments</t>
        </is>
      </c>
      <c r="B16" s="7" t="n">
        <v>-2</v>
      </c>
      <c r="C16" s="7" t="n">
        <v>0</v>
      </c>
      <c r="D16" s="7" t="n">
        <v>9</v>
      </c>
      <c r="E16" s="7" t="n">
        <v>0</v>
      </c>
      <c r="F16" s="7" t="n">
        <v>-2</v>
      </c>
    </row>
    <row r="17">
      <c r="A17" s="7" t="inlineStr">
        <is>
          <t>Net change in customer accounts</t>
        </is>
      </c>
      <c r="B17" s="7" t="n">
        <v>10000</v>
      </c>
      <c r="C17" s="7" t="n">
        <v>-761</v>
      </c>
      <c r="D17" s="7" t="n">
        <v>0</v>
      </c>
      <c r="E17" s="7" t="n">
        <v>-166</v>
      </c>
      <c r="F17" s="7" t="n">
        <v>10</v>
      </c>
    </row>
    <row r="18">
      <c r="A18" s="7" t="inlineStr">
        <is>
          <t>Net change in derivative liabilities</t>
        </is>
      </c>
      <c r="B18" s="7" t="n">
        <v>117342</v>
      </c>
      <c r="C18" s="7" t="n">
        <v>64879</v>
      </c>
      <c r="D18" s="7" t="n">
        <v>152843</v>
      </c>
      <c r="E18" s="7" t="n">
        <v>-726077</v>
      </c>
      <c r="F18" s="7" t="n">
        <v>-480143</v>
      </c>
    </row>
    <row r="19">
      <c r="A19" s="7" t="inlineStr">
        <is>
          <t>Net change in accruals and deferred income</t>
        </is>
      </c>
      <c r="B19" s="7" t="n">
        <v>5453</v>
      </c>
      <c r="C19" s="7" t="n">
        <v>-24204</v>
      </c>
      <c r="D19" s="7" t="n">
        <v>40180</v>
      </c>
      <c r="E19" s="7" t="n">
        <v>-1286</v>
      </c>
      <c r="F19" s="7" t="n">
        <v>3734</v>
      </c>
    </row>
    <row r="20">
      <c r="A20" s="7" t="inlineStr">
        <is>
          <t>Net change in borrowings from affiliates</t>
        </is>
      </c>
      <c r="B20" s="7" t="n">
        <v>7122</v>
      </c>
      <c r="C20" s="7" t="n">
        <v>-2879</v>
      </c>
      <c r="D20" s="7" t="n">
        <v>-153177</v>
      </c>
      <c r="E20" s="7" t="n">
        <v>-54912</v>
      </c>
      <c r="F20" s="7" t="n">
        <v>1757</v>
      </c>
    </row>
    <row r="21">
      <c r="A21" s="7" t="inlineStr">
        <is>
          <t>Net change in borrowings from others</t>
        </is>
      </c>
      <c r="B21" s="7" t="n"/>
      <c r="C21" s="7" t="n"/>
      <c r="D21" s="7" t="n">
        <v>151</v>
      </c>
      <c r="E21" s="7" t="n">
        <v>-8118</v>
      </c>
      <c r="F21" s="7" t="n">
        <v>-29299</v>
      </c>
    </row>
    <row r="22">
      <c r="A22" s="7" t="inlineStr">
        <is>
          <t>Net change in commercial papers issued</t>
        </is>
      </c>
      <c r="B22" s="7" t="n"/>
      <c r="C22" s="7" t="n"/>
      <c r="D22" s="7" t="n">
        <v>-19080</v>
      </c>
      <c r="E22" s="7" t="n">
        <v>-53485</v>
      </c>
      <c r="F22" s="7" t="n">
        <v>-1255</v>
      </c>
    </row>
    <row r="23">
      <c r="A23" s="7" t="inlineStr">
        <is>
          <t>Net change in securities sold under agreements to repurchase</t>
        </is>
      </c>
      <c r="B23" s="7" t="n"/>
      <c r="C23" s="7" t="n"/>
      <c r="D23" s="7" t="n"/>
      <c r="E23" s="7" t="n"/>
      <c r="F23" s="7" t="n">
        <v>-425000</v>
      </c>
    </row>
    <row r="24">
      <c r="A24" s="7" t="inlineStr">
        <is>
          <t>Net change in bonds and medium-term notes</t>
        </is>
      </c>
      <c r="B24" s="7" t="n"/>
      <c r="C24" s="7" t="n"/>
      <c r="D24" s="7" t="n">
        <v>-405274</v>
      </c>
      <c r="E24" s="7" t="n">
        <v>-492696</v>
      </c>
      <c r="F24" s="7" t="n">
        <v>12330</v>
      </c>
    </row>
    <row r="25">
      <c r="A25" s="7" t="inlineStr">
        <is>
          <t>Net change in other liabilities</t>
        </is>
      </c>
      <c r="B25" s="7" t="n">
        <v>28</v>
      </c>
      <c r="C25" s="7" t="n">
        <v>-11</v>
      </c>
      <c r="D25" s="7" t="n">
        <v>-679</v>
      </c>
      <c r="E25" s="7" t="n">
        <v>596</v>
      </c>
      <c r="F25" s="7" t="n">
        <v>-43</v>
      </c>
    </row>
    <row r="26">
      <c r="A26" s="7" t="inlineStr">
        <is>
          <t>Income tax and group relief paid</t>
        </is>
      </c>
      <c r="B26" s="7" t="n">
        <v>-1684</v>
      </c>
      <c r="C26" s="7" t="n">
        <v>-6553</v>
      </c>
      <c r="D26" s="7" t="n">
        <v>0</v>
      </c>
      <c r="E26" s="7" t="n">
        <v>0</v>
      </c>
      <c r="F26" s="7" t="n">
        <v>-3287</v>
      </c>
    </row>
    <row r="27">
      <c r="A27" s="5" t="inlineStr">
        <is>
          <t>Net cash flow from operating activities</t>
        </is>
      </c>
      <c r="B27" s="5" t="n">
        <v>-1060963</v>
      </c>
      <c r="C27" s="5" t="n">
        <v>-425579</v>
      </c>
      <c r="D27" s="5" t="n">
        <v>-343288</v>
      </c>
      <c r="E27" s="5" t="n">
        <v>-606420</v>
      </c>
      <c r="F27" s="5" t="n">
        <v>-371462</v>
      </c>
    </row>
    <row r="28">
      <c r="A28" s="5" t="inlineStr">
        <is>
          <t>Cash flows from financing activities</t>
        </is>
      </c>
      <c r="B28" s="7" t="n"/>
      <c r="C28" s="7" t="n"/>
      <c r="D28" s="7" t="n"/>
      <c r="E28" s="7" t="n"/>
      <c r="F28" s="7" t="n"/>
    </row>
    <row r="29">
      <c r="A29" s="7" t="inlineStr">
        <is>
          <t>Proceeds from issuance of bonds and commercial papers</t>
        </is>
      </c>
      <c r="B29" s="7" t="n">
        <v>2784772</v>
      </c>
      <c r="C29" s="7" t="n">
        <v>2939680</v>
      </c>
      <c r="D29" s="7" t="n">
        <v>3368550</v>
      </c>
      <c r="E29" s="7" t="n">
        <v>3257272</v>
      </c>
      <c r="F29" s="7" t="n">
        <v>3408164</v>
      </c>
    </row>
    <row r="30">
      <c r="A30" s="7" t="inlineStr">
        <is>
          <t>Repayments of bonds and commercial papers</t>
        </is>
      </c>
      <c r="B30" s="7" t="n">
        <v>-1722843</v>
      </c>
      <c r="C30" s="7" t="n">
        <v>-2516103</v>
      </c>
      <c r="D30" s="7" t="n">
        <v>-3008861</v>
      </c>
      <c r="E30" s="7" t="n">
        <v>-2642274</v>
      </c>
      <c r="F30" s="7" t="n">
        <v>-3038749</v>
      </c>
    </row>
    <row r="31">
      <c r="A31" s="7" t="inlineStr">
        <is>
          <t>Dividends paid</t>
        </is>
      </c>
      <c r="B31" s="7" t="n">
        <v>0</v>
      </c>
      <c r="C31" s="7" t="n">
        <v>-5000</v>
      </c>
      <c r="D31" s="7" t="n">
        <v>-10000</v>
      </c>
      <c r="E31" s="7" t="n">
        <v>-10000</v>
      </c>
      <c r="F31" s="7" t="n">
        <v>-12000</v>
      </c>
    </row>
    <row r="32">
      <c r="A32" s="7" t="inlineStr">
        <is>
          <t>Payment of principal portion of lease liabilities</t>
        </is>
      </c>
      <c r="B32" s="7" t="n">
        <v>0</v>
      </c>
      <c r="C32" s="7" t="n">
        <v>-18</v>
      </c>
      <c r="D32" s="7" t="n">
        <v>-82</v>
      </c>
      <c r="E32" s="7" t="n">
        <v>-114</v>
      </c>
      <c r="F32" s="7" t="n">
        <v>-113</v>
      </c>
    </row>
    <row r="33">
      <c r="A33" s="5" t="inlineStr">
        <is>
          <t>Net cash flows from financing activities</t>
        </is>
      </c>
      <c r="B33" s="5" t="n">
        <v>1061929</v>
      </c>
      <c r="C33" s="5" t="n">
        <v>418559</v>
      </c>
      <c r="D33" s="5" t="n">
        <v>349607</v>
      </c>
      <c r="E33" s="5" t="n">
        <v>604884</v>
      </c>
      <c r="F33" s="5" t="n">
        <v>357302</v>
      </c>
    </row>
    <row r="34">
      <c r="A34" s="5" t="inlineStr">
        <is>
          <t>Net increase/(decrease) in cash and cash equivalents</t>
        </is>
      </c>
      <c r="B34" s="5" t="n">
        <v>966</v>
      </c>
      <c r="C34" s="5" t="n">
        <v>-7020</v>
      </c>
      <c r="D34" s="5" t="n">
        <v>6319</v>
      </c>
      <c r="E34" s="5" t="n">
        <v>-1536</v>
      </c>
      <c r="F34" s="5" t="n">
        <v>-14160</v>
      </c>
    </row>
    <row r="35">
      <c r="A35" s="7" t="inlineStr">
        <is>
          <t>Cash and cash equivalents at the beginning of the year</t>
        </is>
      </c>
      <c r="B35" s="7" t="n">
        <v>761</v>
      </c>
      <c r="C35" s="7" t="n">
        <v>7781</v>
      </c>
      <c r="D35" s="7" t="n">
        <v>1462</v>
      </c>
      <c r="E35" s="7" t="n">
        <v>2998</v>
      </c>
      <c r="F35" s="7" t="n">
        <v>17158</v>
      </c>
    </row>
    <row r="36">
      <c r="A36" s="5" t="inlineStr">
        <is>
          <t>Cash and cash equivalents at the end of the year</t>
        </is>
      </c>
      <c r="B36" s="5" t="n">
        <v>1727</v>
      </c>
      <c r="C36" s="5" t="n">
        <v>761</v>
      </c>
      <c r="D36" s="5" t="n">
        <v>7781</v>
      </c>
      <c r="E36" s="5" t="n">
        <v>1462</v>
      </c>
      <c r="F36" s="5" t="n">
        <v>2998</v>
      </c>
    </row>
    <row r="37">
      <c r="A37" s="7" t="inlineStr">
        <is>
          <t>Interest paid</t>
        </is>
      </c>
      <c r="B37" s="7" t="n">
        <v>-5305</v>
      </c>
      <c r="C37" s="7" t="n">
        <v>-5334</v>
      </c>
      <c r="D37" s="7" t="n">
        <v>-7193</v>
      </c>
      <c r="E37" s="7" t="n">
        <v>-5543</v>
      </c>
      <c r="F37" s="7" t="n">
        <v>-5978</v>
      </c>
    </row>
    <row r="38">
      <c r="A38" s="7" t="inlineStr">
        <is>
          <t>Interest received</t>
        </is>
      </c>
      <c r="B38" s="7" t="n">
        <v>323619</v>
      </c>
      <c r="C38" s="7" t="n">
        <v>258954</v>
      </c>
      <c r="D38" s="7" t="n">
        <v>95480</v>
      </c>
      <c r="E38" s="7" t="n">
        <v>27216</v>
      </c>
      <c r="F38" s="7" t="n">
        <v>31357</v>
      </c>
    </row>
    <row r="40" ht="220" customHeight="1">
      <c r="A40"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t>
        </is>
      </c>
    </row>
  </sheetData>
  <mergeCells count="1">
    <mergeCell ref="A40:F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Nomura Bank International plc — Asset Quality</t>
        </is>
      </c>
    </row>
    <row r="2">
      <c r="A2" s="2" t="inlineStr">
        <is>
          <t>Standalone Bank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Credit exposure (Balance Sheet basis)</t>
        </is>
      </c>
      <c r="B4" s="7" t="n"/>
      <c r="C4" s="7" t="n"/>
      <c r="D4" s="7" t="n"/>
      <c r="E4" s="7" t="n"/>
      <c r="F4" s="7" t="n"/>
    </row>
    <row r="5">
      <c r="A5" s="7" t="inlineStr">
        <is>
          <t>Loans and advances to affiliates</t>
        </is>
      </c>
      <c r="B5" s="7" t="n">
        <v>4956351</v>
      </c>
      <c r="C5" s="7" t="n">
        <v>3650595</v>
      </c>
      <c r="D5" s="7" t="n">
        <v>3228350</v>
      </c>
      <c r="E5" s="7" t="n">
        <v>2620602</v>
      </c>
      <c r="F5" s="7" t="n">
        <v>1608289</v>
      </c>
    </row>
    <row r="6">
      <c r="A6" s="7" t="inlineStr">
        <is>
          <t>Loans and advances to others</t>
        </is>
      </c>
      <c r="B6" s="7" t="n">
        <v>1850</v>
      </c>
      <c r="C6" s="7" t="n">
        <v>2144</v>
      </c>
      <c r="D6" s="7" t="n">
        <v>2462</v>
      </c>
      <c r="E6" s="7" t="n">
        <v>417</v>
      </c>
      <c r="F6" s="7" t="n">
        <v>1580</v>
      </c>
    </row>
    <row r="7">
      <c r="A7" s="5" t="inlineStr">
        <is>
          <t>Total loans and advances</t>
        </is>
      </c>
      <c r="B7" s="5" t="n">
        <v>4958201</v>
      </c>
      <c r="C7" s="5" t="n">
        <v>3652739</v>
      </c>
      <c r="D7" s="5" t="n">
        <v>3230812</v>
      </c>
      <c r="E7" s="5" t="n">
        <v>2621019</v>
      </c>
      <c r="F7" s="5" t="n">
        <v>1609869</v>
      </c>
    </row>
    <row r="8">
      <c r="A8" s="5" t="inlineStr">
        <is>
          <t>Credit impairment (Income Statement basis)</t>
        </is>
      </c>
      <c r="B8" s="7" t="n"/>
      <c r="C8" s="7" t="n"/>
      <c r="D8" s="7" t="n"/>
      <c r="E8" s="7" t="n"/>
      <c r="F8" s="7" t="n"/>
    </row>
    <row r="9">
      <c r="A9" s="7" t="inlineStr">
        <is>
          <t>Credit impairment release/(charge) for the year</t>
        </is>
      </c>
      <c r="B9" s="7" t="n">
        <v>38</v>
      </c>
      <c r="C9" s="7" t="n">
        <v>-34</v>
      </c>
      <c r="D9" s="7" t="n">
        <v>-91</v>
      </c>
      <c r="E9" s="7" t="n">
        <v>-554</v>
      </c>
      <c r="F9" s="7" t="n">
        <v>46</v>
      </c>
    </row>
    <row r="10">
      <c r="A10" s="5" t="inlineStr">
        <is>
          <t>IFRS 9 staging</t>
        </is>
      </c>
      <c r="B10" s="7" t="n"/>
      <c r="C10" s="7" t="n"/>
      <c r="D10" s="7" t="n"/>
      <c r="E10" s="7" t="n"/>
      <c r="F10" s="7" t="n"/>
    </row>
    <row r="11">
      <c r="A11" s="7" t="inlineStr">
        <is>
          <t>Stage 1 / Stage 2 / Stage 3 split</t>
        </is>
      </c>
      <c r="B11" s="7" t="inlineStr">
        <is>
          <t>Not publicly disclosed</t>
        </is>
      </c>
      <c r="C11" s="7" t="inlineStr">
        <is>
          <t>Not publicly disclosed</t>
        </is>
      </c>
      <c r="D11" s="7" t="inlineStr">
        <is>
          <t>Not publicly disclosed</t>
        </is>
      </c>
      <c r="E11" s="7" t="inlineStr">
        <is>
          <t>Not publicly disclosed</t>
        </is>
      </c>
      <c r="F11" s="7" t="inlineStr">
        <is>
          <t>Not publicly disclosed</t>
        </is>
      </c>
    </row>
    <row r="13" ht="200" customHeight="1">
      <c r="A13"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5 years' Balance Sheet/P&amp;L/Equity figures were independently cross-checked against the following year's comparative column and tie exactly - zero plug rows were needed. All amounts are $'000.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ASSET QUALITY NOTE: the Bank's lending is almost entirely intercompany (Loans and advances to affiliates); the accounting policy note (p.42) describes a 3-stage IFRS 9 staging framework qualitatively, but no numeric Stage 1/2/3 split or counterparty-rating table is disclosed anywhere in the 5 annual reports checked - only the aggregate 'Credit impairment release/(charge)' P&amp;L line.</t>
        </is>
      </c>
    </row>
  </sheetData>
  <mergeCells count="1">
    <mergeCell ref="A13:F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Capital</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Nomura Bank International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t>
        </is>
      </c>
      <c r="B4" s="7" t="n">
        <v>281414</v>
      </c>
      <c r="C4" s="7" t="n">
        <v>281296</v>
      </c>
      <c r="D4" s="7" t="n">
        <v>280841</v>
      </c>
      <c r="E4" s="7" t="n">
        <v>287698</v>
      </c>
      <c r="F4" s="7" t="n">
        <v>276772</v>
      </c>
    </row>
    <row r="6" ht="18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Nomura Bank International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resources</t>
        </is>
      </c>
      <c r="B4" s="7" t="n">
        <v>281414</v>
      </c>
      <c r="C4" s="7" t="n">
        <v>281296</v>
      </c>
      <c r="D4" s="7" t="n">
        <v>280841</v>
      </c>
      <c r="E4" s="7" t="n">
        <v>287698</v>
      </c>
      <c r="F4" s="7" t="n">
        <v>276772</v>
      </c>
    </row>
    <row r="5" ht="60" customHeight="1">
      <c r="A5" s="6" t="inlineStr">
        <is>
          <t>Note: The Bank states that it does not maintain Tier 2 capital; total capital resources therefore equal disclosed Tier 1 capital in each year.</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RWAs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Nomura Bank International plc — RWA Breakdown</t>
        </is>
      </c>
    </row>
    <row r="2">
      <c r="A2" s="2" t="inlineStr">
        <is>
          <t>See source note - no RWA figure of any kind is published for this entity.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7" t="inlineStr">
        <is>
          <t>RWA Breakdown by risk category</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22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Total RWAs itself is not numerically disclosed in the five entity-level annual reports checked (confirmed by reading each report's capital management/regulatory capital note, e.g. Note 15 at AR2025 p.79), so no category-level RWA Breakdown exists to transcribe; no values are inferred from group-level Nomura Europe disclosures.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LCR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NSFR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Nomura Bank International plc — Interim Pillar 3</t>
        </is>
      </c>
    </row>
    <row r="2">
      <c r="A2" s="2" t="inlineStr">
        <is>
          <t>September interim disclosures; standalone Bank basis</t>
        </is>
      </c>
    </row>
    <row r="4">
      <c r="A4" s="4" t="inlineStr">
        <is>
          <t>Metric</t>
        </is>
      </c>
      <c r="B4" s="4" t="inlineStr">
        <is>
          <t>Unit</t>
        </is>
      </c>
      <c r="C4" s="4" t="inlineStr">
        <is>
          <t>Basis</t>
        </is>
      </c>
      <c r="D4" s="4" t="inlineStr">
        <is>
          <t>Sep-2025</t>
        </is>
      </c>
      <c r="E4" s="4" t="inlineStr">
        <is>
          <t>Sep-2024</t>
        </is>
      </c>
      <c r="F4" s="4" t="inlineStr">
        <is>
          <t>Sep-2023</t>
        </is>
      </c>
      <c r="G4" s="4" t="inlineStr">
        <is>
          <t>Sep-2022</t>
        </is>
      </c>
      <c r="H4" s="4" t="inlineStr">
        <is>
          <t>Sep-2021</t>
        </is>
      </c>
    </row>
    <row r="5">
      <c r="A5" s="7" t="inlineStr">
        <is>
          <t>Profit before tax</t>
        </is>
      </c>
      <c r="B5" s="7" t="inlineStr">
        <is>
          <t>$'000</t>
        </is>
      </c>
      <c r="C5" s="7" t="inlineStr">
        <is>
          <t>Standalone Bank</t>
        </is>
      </c>
      <c r="D5" s="9" t="n">
        <v>6697</v>
      </c>
      <c r="E5" s="9" t="n">
        <v>6377</v>
      </c>
      <c r="F5" s="9" t="n">
        <v>4228</v>
      </c>
      <c r="G5" s="9" t="n">
        <v>4341</v>
      </c>
      <c r="H5" s="9" t="n">
        <v>9579</v>
      </c>
    </row>
    <row r="6">
      <c r="A6" s="7" t="inlineStr">
        <is>
          <t>Profit for the period</t>
        </is>
      </c>
      <c r="B6" s="7" t="inlineStr">
        <is>
          <t>$'000</t>
        </is>
      </c>
      <c r="C6" s="7" t="inlineStr">
        <is>
          <t>Standalone Bank</t>
        </is>
      </c>
      <c r="D6" s="9" t="n">
        <v>5023</v>
      </c>
      <c r="E6" s="9" t="n">
        <v>4783</v>
      </c>
      <c r="F6" s="9" t="n">
        <v>3187</v>
      </c>
      <c r="G6" s="9" t="n">
        <v>3516</v>
      </c>
      <c r="H6" s="9" t="n">
        <v>7759</v>
      </c>
    </row>
    <row r="7">
      <c r="A7" s="7" t="inlineStr">
        <is>
          <t>Total assets</t>
        </is>
      </c>
      <c r="B7" s="7" t="inlineStr">
        <is>
          <t>$'000</t>
        </is>
      </c>
      <c r="C7" s="7" t="inlineStr">
        <is>
          <t>Standalone Bank</t>
        </is>
      </c>
      <c r="D7" s="9" t="n">
        <v>9206874</v>
      </c>
      <c r="E7" s="9" t="n">
        <v>7151199</v>
      </c>
      <c r="F7" s="9" t="n">
        <v>6422803</v>
      </c>
      <c r="G7" s="9" t="n">
        <v>5427698</v>
      </c>
      <c r="H7" s="9" t="n">
        <v>6349266</v>
      </c>
    </row>
    <row r="8">
      <c r="A8" s="7" t="inlineStr">
        <is>
          <t>Total equity</t>
        </is>
      </c>
      <c r="B8" s="7" t="inlineStr">
        <is>
          <t>$'000</t>
        </is>
      </c>
      <c r="C8" s="7" t="inlineStr">
        <is>
          <t>Standalone Bank</t>
        </is>
      </c>
      <c r="D8" s="9" t="n">
        <v>126721</v>
      </c>
      <c r="E8" s="9" t="n">
        <v>271396</v>
      </c>
      <c r="F8" s="9" t="n">
        <v>296505</v>
      </c>
      <c r="G8" s="9" t="n">
        <v>356030</v>
      </c>
      <c r="H8" s="9" t="n">
        <v>171698</v>
      </c>
    </row>
    <row r="9">
      <c r="A9" s="7" t="inlineStr">
        <is>
          <t>CET1 Capital</t>
        </is>
      </c>
      <c r="B9" s="7" t="inlineStr">
        <is>
          <t>$m</t>
        </is>
      </c>
      <c r="C9" s="7" t="inlineStr">
        <is>
          <t>Standalone Bank</t>
        </is>
      </c>
      <c r="D9" s="9" t="inlineStr">
        <is>
          <t>Not disclosed</t>
        </is>
      </c>
      <c r="E9" s="9" t="inlineStr">
        <is>
          <t>Not disclosed</t>
        </is>
      </c>
      <c r="F9" s="9" t="inlineStr">
        <is>
          <t>Not disclosed</t>
        </is>
      </c>
      <c r="G9" s="9" t="inlineStr">
        <is>
          <t>Not disclosed</t>
        </is>
      </c>
      <c r="H9" s="9" t="n">
        <v>159</v>
      </c>
    </row>
    <row r="10">
      <c r="A10" s="7" t="inlineStr">
        <is>
          <t>Tier 1 Capital</t>
        </is>
      </c>
      <c r="B10" s="7" t="inlineStr">
        <is>
          <t>$m</t>
        </is>
      </c>
      <c r="C10" s="7" t="inlineStr">
        <is>
          <t>Standalone Bank</t>
        </is>
      </c>
      <c r="D10" s="9" t="inlineStr">
        <is>
          <t>Not disclosed</t>
        </is>
      </c>
      <c r="E10" s="9" t="inlineStr">
        <is>
          <t>Not disclosed</t>
        </is>
      </c>
      <c r="F10" s="9" t="inlineStr">
        <is>
          <t>Not disclosed</t>
        </is>
      </c>
      <c r="G10" s="9" t="inlineStr">
        <is>
          <t>Not disclosed</t>
        </is>
      </c>
      <c r="H10" s="9" t="n">
        <v>267</v>
      </c>
    </row>
    <row r="11">
      <c r="A11" s="7" t="inlineStr">
        <is>
          <t>Total Capital</t>
        </is>
      </c>
      <c r="B11" s="7" t="inlineStr">
        <is>
          <t>$m</t>
        </is>
      </c>
      <c r="C11" s="7" t="inlineStr">
        <is>
          <t>Standalone Bank</t>
        </is>
      </c>
      <c r="D11" s="9" t="inlineStr">
        <is>
          <t>Not disclosed</t>
        </is>
      </c>
      <c r="E11" s="9" t="inlineStr">
        <is>
          <t>Not disclosed</t>
        </is>
      </c>
      <c r="F11" s="9" t="inlineStr">
        <is>
          <t>Not disclosed</t>
        </is>
      </c>
      <c r="G11" s="9" t="inlineStr">
        <is>
          <t>Not disclosed</t>
        </is>
      </c>
      <c r="H11" s="9" t="n">
        <v>267</v>
      </c>
    </row>
    <row r="12">
      <c r="A12" s="7" t="inlineStr">
        <is>
          <t>Tier 1 Ratio</t>
        </is>
      </c>
      <c r="B12" s="7" t="inlineStr">
        <is>
          <t>%</t>
        </is>
      </c>
      <c r="C12" s="7" t="inlineStr">
        <is>
          <t>Standalone Bank</t>
        </is>
      </c>
      <c r="D12" s="9" t="inlineStr">
        <is>
          <t>Not disclosed</t>
        </is>
      </c>
      <c r="E12" s="9" t="inlineStr">
        <is>
          <t>Not disclosed</t>
        </is>
      </c>
      <c r="F12" s="9" t="inlineStr">
        <is>
          <t>Not disclosed</t>
        </is>
      </c>
      <c r="G12" s="9" t="inlineStr">
        <is>
          <t>Not disclosed</t>
        </is>
      </c>
      <c r="H12" s="9" t="n">
        <v>293.99</v>
      </c>
    </row>
    <row r="13">
      <c r="A13" s="7" t="inlineStr">
        <is>
          <t>Total Capital Ratio</t>
        </is>
      </c>
      <c r="B13" s="7" t="inlineStr">
        <is>
          <t>%</t>
        </is>
      </c>
      <c r="C13" s="7" t="inlineStr">
        <is>
          <t>Standalone Bank</t>
        </is>
      </c>
      <c r="D13" s="9" t="inlineStr">
        <is>
          <t>Not disclosed</t>
        </is>
      </c>
      <c r="E13" s="9" t="inlineStr">
        <is>
          <t>Not disclosed</t>
        </is>
      </c>
      <c r="F13" s="9" t="inlineStr">
        <is>
          <t>Not disclosed</t>
        </is>
      </c>
      <c r="G13" s="9" t="inlineStr">
        <is>
          <t>Not disclosed</t>
        </is>
      </c>
      <c r="H13" s="9" t="n">
        <v>293.99</v>
      </c>
    </row>
    <row r="16">
      <c r="A16" s="2" t="inlineStr">
        <is>
          <t>Source register</t>
        </is>
      </c>
    </row>
    <row r="17">
      <c r="A17" s="4" t="inlineStr">
        <is>
          <t>Period</t>
        </is>
      </c>
      <c r="B17" s="4" t="inlineStr">
        <is>
          <t>Disclosure type</t>
        </is>
      </c>
      <c r="C17" s="4" t="inlineStr">
        <is>
          <t>Source document</t>
        </is>
      </c>
      <c r="D17" s="4" t="inlineStr">
        <is>
          <t>Page / table</t>
        </is>
      </c>
    </row>
    <row r="18">
      <c r="A18" s="7" t="inlineStr">
        <is>
          <t>Sep-2025</t>
        </is>
      </c>
      <c r="B18" s="7" t="inlineStr">
        <is>
          <t>Interim financial statement</t>
        </is>
      </c>
      <c r="C18" s="9" t="inlineStr">
        <is>
          <t>https://www.nomuranow.com/portal/site/public/en-gb/resources/upload/NBI-Interim-Report-Sep2025.pdf</t>
        </is>
      </c>
      <c r="D18" s="7" t="inlineStr">
        <is>
          <t>p.11</t>
        </is>
      </c>
    </row>
    <row r="19">
      <c r="A19" s="7" t="inlineStr">
        <is>
          <t>Sep-2025</t>
        </is>
      </c>
      <c r="B19" s="7" t="inlineStr">
        <is>
          <t>Interim financial statement</t>
        </is>
      </c>
      <c r="C19" s="9" t="inlineStr">
        <is>
          <t>https://www.nomuranow.com/portal/site/public/en-gb/resources/upload/NBI-Interim-Report-Sep2025.pdf</t>
        </is>
      </c>
      <c r="D19" s="7" t="inlineStr">
        <is>
          <t>p.10</t>
        </is>
      </c>
    </row>
    <row r="20">
      <c r="A20" s="7" t="inlineStr">
        <is>
          <t>Sep-2024</t>
        </is>
      </c>
      <c r="B20" s="7" t="inlineStr">
        <is>
          <t>Interim financial statement</t>
        </is>
      </c>
      <c r="C20" s="9" t="inlineStr">
        <is>
          <t>https://www.nomuranow.com/portal/site/public/en-gb/resources/upload/NBI-Interims-September-2024-Accounts-Branded.pdf</t>
        </is>
      </c>
      <c r="D20" s="7" t="inlineStr">
        <is>
          <t>p.9</t>
        </is>
      </c>
    </row>
    <row r="21">
      <c r="A21" s="7" t="inlineStr">
        <is>
          <t>Sep-2024</t>
        </is>
      </c>
      <c r="B21" s="7" t="inlineStr">
        <is>
          <t>Interim financial statement</t>
        </is>
      </c>
      <c r="C21" s="9" t="inlineStr">
        <is>
          <t>https://www.nomuranow.com/portal/site/public/en-gb/resources/upload/NBI-Interims-September-2024-Accounts-Branded.pdf</t>
        </is>
      </c>
      <c r="D21" s="7" t="inlineStr">
        <is>
          <t>p.12</t>
        </is>
      </c>
    </row>
    <row r="22">
      <c r="A22" s="7" t="inlineStr">
        <is>
          <t>Sep-2023</t>
        </is>
      </c>
      <c r="B22" s="7" t="inlineStr">
        <is>
          <t>Interim financial statement</t>
        </is>
      </c>
      <c r="C22" s="9" t="inlineStr">
        <is>
          <t>https://www.nomuranow.com/portal/site/public/en-gb/resources/upload/NBI-Interim-Report-Sep2023.pdf</t>
        </is>
      </c>
      <c r="D22" s="7" t="inlineStr">
        <is>
          <t>p.11</t>
        </is>
      </c>
    </row>
    <row r="23">
      <c r="A23" s="7" t="inlineStr">
        <is>
          <t>Sep-2023</t>
        </is>
      </c>
      <c r="B23" s="7" t="inlineStr">
        <is>
          <t>Interim financial statement</t>
        </is>
      </c>
      <c r="C23" s="9" t="inlineStr">
        <is>
          <t>https://www.nomuranow.com/portal/site/public/en-gb/resources/upload/NBI-Interim-Report-Sep2023.pdf</t>
        </is>
      </c>
      <c r="D23" s="7" t="inlineStr">
        <is>
          <t>p.14</t>
        </is>
      </c>
    </row>
    <row r="24">
      <c r="A24" s="7" t="inlineStr">
        <is>
          <t>Sep-2022</t>
        </is>
      </c>
      <c r="B24" s="7" t="inlineStr">
        <is>
          <t>Interim financial statement</t>
        </is>
      </c>
      <c r="C24" s="9" t="inlineStr">
        <is>
          <t>https://www.nomuranow.com/portal/site/public/en-gb/resources/upload/NBI-Interim-Report-Sep2022.pdf</t>
        </is>
      </c>
      <c r="D24" s="7" t="inlineStr">
        <is>
          <t>p.11</t>
        </is>
      </c>
    </row>
    <row r="25">
      <c r="A25" s="7" t="inlineStr">
        <is>
          <t>Sep-2022</t>
        </is>
      </c>
      <c r="B25" s="7" t="inlineStr">
        <is>
          <t>Interim financial statement</t>
        </is>
      </c>
      <c r="C25" s="9" t="inlineStr">
        <is>
          <t>https://www.nomuranow.com/portal/site/public/en-gb/resources/upload/NBI-Interim-Report-Sep2022.pdf</t>
        </is>
      </c>
      <c r="D25" s="7" t="inlineStr">
        <is>
          <t>p.14</t>
        </is>
      </c>
    </row>
    <row r="26">
      <c r="A26" s="7" t="inlineStr">
        <is>
          <t>Sep-2021</t>
        </is>
      </c>
      <c r="B26" s="7" t="inlineStr">
        <is>
          <t>Interim financial statement</t>
        </is>
      </c>
      <c r="C26" s="9" t="inlineStr">
        <is>
          <t>https://www.nomuranow.com/portal/site/public/en-gb/resources/upload/NBI-Interim-Report-Sep2021.pdf</t>
        </is>
      </c>
      <c r="D26" s="7" t="inlineStr">
        <is>
          <t>p.12</t>
        </is>
      </c>
    </row>
    <row r="27">
      <c r="A27" s="7" t="inlineStr">
        <is>
          <t>Sep-2021</t>
        </is>
      </c>
      <c r="B27" s="7" t="inlineStr">
        <is>
          <t>Interim financial statement</t>
        </is>
      </c>
      <c r="C27" s="9" t="inlineStr">
        <is>
          <t>https://www.nomuranow.com/portal/site/public/en-gb/resources/upload/NBI-Interim-Report-Sep2021.pdf</t>
        </is>
      </c>
      <c r="D27" s="7" t="inlineStr">
        <is>
          <t>p.15</t>
        </is>
      </c>
    </row>
    <row r="28">
      <c r="A28" s="7" t="inlineStr">
        <is>
          <t>Sep-2021</t>
        </is>
      </c>
      <c r="B28" s="7" t="inlineStr">
        <is>
          <t>Pillar 3 — standalone subsidiary table</t>
        </is>
      </c>
      <c r="C28" s="9" t="inlineStr">
        <is>
          <t>https://www.nomuranow.com/portal/site/public/en-gb/resources/upload/nomura-europe-holdings-plc-semi-annual-pillar-3-disclosures-300921.pdf</t>
        </is>
      </c>
      <c r="D28" s="7" t="inlineStr">
        <is>
          <t>p.4, CC1</t>
        </is>
      </c>
    </row>
    <row r="29">
      <c r="A29" s="7" t="inlineStr">
        <is>
          <t>Sep-2025</t>
        </is>
      </c>
      <c r="B29" s="7" t="inlineStr">
        <is>
          <t>Pillar 3 — not separately disclosed</t>
        </is>
      </c>
      <c r="C29" s="9" t="inlineStr">
        <is>
          <t>https://www.nomuranow.com/portal/site/public/en-gb/resources/upload/NBI-Interim-Report-Sep2025.pdf</t>
        </is>
      </c>
      <c r="D29" s="7" t="inlineStr">
        <is>
          <t>p.4, regulatory disclosure section</t>
        </is>
      </c>
    </row>
    <row r="30">
      <c r="A30" s="7" t="inlineStr">
        <is>
          <t>Sep-2024</t>
        </is>
      </c>
      <c r="B30" s="7" t="inlineStr">
        <is>
          <t>Pillar 3 — not separately disclosed</t>
        </is>
      </c>
      <c r="C30" s="9" t="inlineStr">
        <is>
          <t>https://www.nomuranow.com/portal/site/public/en-gb/resources/upload/NBI-Interims-September-2024-Accounts-Branded.pdf</t>
        </is>
      </c>
      <c r="D30" s="7" t="inlineStr">
        <is>
          <t>p.4, regulatory disclosure section</t>
        </is>
      </c>
    </row>
    <row r="31">
      <c r="A31" s="7" t="inlineStr">
        <is>
          <t>Sep-2023</t>
        </is>
      </c>
      <c r="B31" s="7" t="inlineStr">
        <is>
          <t>Pillar 3 — not separately disclosed</t>
        </is>
      </c>
      <c r="C31" s="9" t="inlineStr">
        <is>
          <t>https://www.nomuranow.com/portal/site/public/en-gb/resources/upload/NBI-Interim-Report-Sep2023.pdf</t>
        </is>
      </c>
      <c r="D31" s="7" t="inlineStr">
        <is>
          <t>p.4, regulatory disclosure section</t>
        </is>
      </c>
    </row>
    <row r="32">
      <c r="A32" s="7" t="inlineStr">
        <is>
          <t>Sep-2022</t>
        </is>
      </c>
      <c r="B32" s="7" t="inlineStr">
        <is>
          <t>Pillar 3 — not separately disclosed</t>
        </is>
      </c>
      <c r="C32" s="9" t="inlineStr">
        <is>
          <t>https://www.nomuranow.com/portal/site/public/en-gb/resources/upload/NBI-Interim-Report-Sep2022.pdf</t>
        </is>
      </c>
      <c r="D32" s="7" t="inlineStr">
        <is>
          <t>p.4, regulatory disclosure section</t>
        </is>
      </c>
    </row>
    <row r="34" ht="60" customHeight="1">
      <c r="A34" s="10" t="inlineStr">
        <is>
          <t>Note: The September 2021 Nomura Europe Holdings plc Pillar 3 report separately disclosed NBI as a material subsidiary. The 2022–2025 NBI interim reports are entity-level financial statements but do not contain a standalone Pillar 3 KM1 table; these interim financial-statement metrics are included for completeness, while later standalone Pillar 3 gaps are explicitly recorded.</t>
        </is>
      </c>
    </row>
  </sheetData>
  <mergeCells count="1">
    <mergeCell ref="A34:H3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D6" r:id="rId6"/>
    <hyperlink xmlns:r="http://schemas.openxmlformats.org/officeDocument/2006/relationships" ref="E6" r:id="rId7"/>
    <hyperlink xmlns:r="http://schemas.openxmlformats.org/officeDocument/2006/relationships" ref="F6" r:id="rId8"/>
    <hyperlink xmlns:r="http://schemas.openxmlformats.org/officeDocument/2006/relationships" ref="G6" r:id="rId9"/>
    <hyperlink xmlns:r="http://schemas.openxmlformats.org/officeDocument/2006/relationships" ref="H6" r:id="rId10"/>
    <hyperlink xmlns:r="http://schemas.openxmlformats.org/officeDocument/2006/relationships" ref="D7" r:id="rId11"/>
    <hyperlink xmlns:r="http://schemas.openxmlformats.org/officeDocument/2006/relationships" ref="E7" r:id="rId12"/>
    <hyperlink xmlns:r="http://schemas.openxmlformats.org/officeDocument/2006/relationships" ref="F7" r:id="rId13"/>
    <hyperlink xmlns:r="http://schemas.openxmlformats.org/officeDocument/2006/relationships" ref="G7" r:id="rId14"/>
    <hyperlink xmlns:r="http://schemas.openxmlformats.org/officeDocument/2006/relationships" ref="H7" r:id="rId15"/>
    <hyperlink xmlns:r="http://schemas.openxmlformats.org/officeDocument/2006/relationships" ref="D8" r:id="rId16"/>
    <hyperlink xmlns:r="http://schemas.openxmlformats.org/officeDocument/2006/relationships" ref="E8" r:id="rId17"/>
    <hyperlink xmlns:r="http://schemas.openxmlformats.org/officeDocument/2006/relationships" ref="F8" r:id="rId18"/>
    <hyperlink xmlns:r="http://schemas.openxmlformats.org/officeDocument/2006/relationships" ref="G8" r:id="rId19"/>
    <hyperlink xmlns:r="http://schemas.openxmlformats.org/officeDocument/2006/relationships" ref="H8" r:id="rId20"/>
    <hyperlink xmlns:r="http://schemas.openxmlformats.org/officeDocument/2006/relationships" ref="D9" r:id="rId21"/>
    <hyperlink xmlns:r="http://schemas.openxmlformats.org/officeDocument/2006/relationships" ref="E9" r:id="rId22"/>
    <hyperlink xmlns:r="http://schemas.openxmlformats.org/officeDocument/2006/relationships" ref="F9" r:id="rId23"/>
    <hyperlink xmlns:r="http://schemas.openxmlformats.org/officeDocument/2006/relationships" ref="G9" r:id="rId24"/>
    <hyperlink xmlns:r="http://schemas.openxmlformats.org/officeDocument/2006/relationships" ref="H9" r:id="rId25"/>
    <hyperlink xmlns:r="http://schemas.openxmlformats.org/officeDocument/2006/relationships" ref="D10" r:id="rId26"/>
    <hyperlink xmlns:r="http://schemas.openxmlformats.org/officeDocument/2006/relationships" ref="E10" r:id="rId27"/>
    <hyperlink xmlns:r="http://schemas.openxmlformats.org/officeDocument/2006/relationships" ref="F10" r:id="rId28"/>
    <hyperlink xmlns:r="http://schemas.openxmlformats.org/officeDocument/2006/relationships" ref="G10" r:id="rId29"/>
    <hyperlink xmlns:r="http://schemas.openxmlformats.org/officeDocument/2006/relationships" ref="H10" r:id="rId30"/>
    <hyperlink xmlns:r="http://schemas.openxmlformats.org/officeDocument/2006/relationships" ref="D11" r:id="rId31"/>
    <hyperlink xmlns:r="http://schemas.openxmlformats.org/officeDocument/2006/relationships" ref="E11" r:id="rId32"/>
    <hyperlink xmlns:r="http://schemas.openxmlformats.org/officeDocument/2006/relationships" ref="F11" r:id="rId33"/>
    <hyperlink xmlns:r="http://schemas.openxmlformats.org/officeDocument/2006/relationships" ref="G11" r:id="rId34"/>
    <hyperlink xmlns:r="http://schemas.openxmlformats.org/officeDocument/2006/relationships" ref="H11" r:id="rId35"/>
    <hyperlink xmlns:r="http://schemas.openxmlformats.org/officeDocument/2006/relationships" ref="D12" r:id="rId36"/>
    <hyperlink xmlns:r="http://schemas.openxmlformats.org/officeDocument/2006/relationships" ref="E12" r:id="rId37"/>
    <hyperlink xmlns:r="http://schemas.openxmlformats.org/officeDocument/2006/relationships" ref="F12" r:id="rId38"/>
    <hyperlink xmlns:r="http://schemas.openxmlformats.org/officeDocument/2006/relationships" ref="G12" r:id="rId39"/>
    <hyperlink xmlns:r="http://schemas.openxmlformats.org/officeDocument/2006/relationships" ref="H12" r:id="rId40"/>
    <hyperlink xmlns:r="http://schemas.openxmlformats.org/officeDocument/2006/relationships" ref="D13" r:id="rId41"/>
    <hyperlink xmlns:r="http://schemas.openxmlformats.org/officeDocument/2006/relationships" ref="E13" r:id="rId42"/>
    <hyperlink xmlns:r="http://schemas.openxmlformats.org/officeDocument/2006/relationships" ref="F13" r:id="rId43"/>
    <hyperlink xmlns:r="http://schemas.openxmlformats.org/officeDocument/2006/relationships" ref="G13" r:id="rId44"/>
    <hyperlink xmlns:r="http://schemas.openxmlformats.org/officeDocument/2006/relationships" ref="H13" r:id="rId45"/>
    <hyperlink xmlns:r="http://schemas.openxmlformats.org/officeDocument/2006/relationships" ref="C18" r:id="rId46"/>
    <hyperlink xmlns:r="http://schemas.openxmlformats.org/officeDocument/2006/relationships" ref="C19" r:id="rId47"/>
    <hyperlink xmlns:r="http://schemas.openxmlformats.org/officeDocument/2006/relationships" ref="C20" r:id="rId48"/>
    <hyperlink xmlns:r="http://schemas.openxmlformats.org/officeDocument/2006/relationships" ref="C21" r:id="rId49"/>
    <hyperlink xmlns:r="http://schemas.openxmlformats.org/officeDocument/2006/relationships" ref="C22" r:id="rId50"/>
    <hyperlink xmlns:r="http://schemas.openxmlformats.org/officeDocument/2006/relationships" ref="C23" r:id="rId51"/>
    <hyperlink xmlns:r="http://schemas.openxmlformats.org/officeDocument/2006/relationships" ref="C24" r:id="rId52"/>
    <hyperlink xmlns:r="http://schemas.openxmlformats.org/officeDocument/2006/relationships" ref="C25" r:id="rId53"/>
    <hyperlink xmlns:r="http://schemas.openxmlformats.org/officeDocument/2006/relationships" ref="C26" r:id="rId54"/>
    <hyperlink xmlns:r="http://schemas.openxmlformats.org/officeDocument/2006/relationships" ref="C27" r:id="rId55"/>
    <hyperlink xmlns:r="http://schemas.openxmlformats.org/officeDocument/2006/relationships" ref="C28" r:id="rId56"/>
    <hyperlink xmlns:r="http://schemas.openxmlformats.org/officeDocument/2006/relationships" ref="C29" r:id="rId57"/>
    <hyperlink xmlns:r="http://schemas.openxmlformats.org/officeDocument/2006/relationships" ref="C30" r:id="rId58"/>
    <hyperlink xmlns:r="http://schemas.openxmlformats.org/officeDocument/2006/relationships" ref="C31" r:id="rId59"/>
    <hyperlink xmlns:r="http://schemas.openxmlformats.org/officeDocument/2006/relationships" ref="C32" r:id="rId6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2026-09-06T08:35:13Z</dcterms:created>
  <dcterms:modified xsi:type="dcterms:W3CDTF">2026-09-06T08:35:13Z</dcterms:modified>
</cp:coreProperties>
</file>