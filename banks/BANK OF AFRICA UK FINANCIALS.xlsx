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3D5A80"/>
        <bgColor rgb="003D5A8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Africa United Kingdom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Africa United Kingdom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Africa United Kingdom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Africa United Kingdom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Africa United Kingdom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Bank of Africa United Kingdom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328964</v>
      </c>
      <c r="C6" s="5" t="n">
        <v>291532</v>
      </c>
      <c r="D6" s="5" t="n">
        <v>254441</v>
      </c>
      <c r="E6" s="5" t="n">
        <v>452390</v>
      </c>
      <c r="F6" s="5" t="n">
        <v>496686</v>
      </c>
      <c r="G6" s="5" t="n">
        <v>485372</v>
      </c>
      <c r="H6" s="5" t="n">
        <v>466248</v>
      </c>
      <c r="I6" s="5" t="n">
        <v>575063</v>
      </c>
      <c r="J6" s="5" t="n">
        <v>490960</v>
      </c>
      <c r="K6" s="5" t="n">
        <v>527718</v>
      </c>
      <c r="L6" s="5" t="n">
        <v>441682</v>
      </c>
      <c r="M6" s="5" t="n">
        <v>365352</v>
      </c>
      <c r="P6" t="inlineStr">
        <is>
          <t>Total assets</t>
        </is>
      </c>
      <c r="Q6" t="n">
        <v>365352</v>
      </c>
      <c r="R6" t="n">
        <v>441682</v>
      </c>
      <c r="S6" t="n">
        <v>527718</v>
      </c>
      <c r="T6" t="n">
        <v>490960</v>
      </c>
      <c r="U6" t="n">
        <v>575063</v>
      </c>
      <c r="V6" t="n">
        <v>466248</v>
      </c>
      <c r="W6" t="n">
        <v>485372</v>
      </c>
      <c r="X6" t="n">
        <v>496686</v>
      </c>
      <c r="Y6" t="n">
        <v>452390</v>
      </c>
      <c r="Z6" t="n">
        <v>254441</v>
      </c>
      <c r="AA6" t="n">
        <v>291532</v>
      </c>
      <c r="AB6" t="n">
        <v>328964</v>
      </c>
      <c r="BX6" t="inlineStr">
        <is>
          <t>CET1 Ratio</t>
        </is>
      </c>
      <c r="BY6" t="n">
        <v>13.3</v>
      </c>
      <c r="BZ6" t="n">
        <v>12.6</v>
      </c>
      <c r="CA6" t="n">
        <v>13</v>
      </c>
      <c r="CB6" t="n">
        <v>15.1</v>
      </c>
      <c r="CC6" t="n">
        <v>13.5</v>
      </c>
      <c r="CD6" t="n">
        <v>14.04</v>
      </c>
      <c r="CE6" t="n">
        <v>13.76</v>
      </c>
      <c r="CF6" t="n">
        <v>12.36</v>
      </c>
      <c r="CG6" t="n">
        <v>12.24</v>
      </c>
      <c r="CH6" t="n">
        <v>17.75</v>
      </c>
      <c r="CI6" t="n">
        <v>19.65</v>
      </c>
      <c r="CJ6" t="n">
        <v>17.46</v>
      </c>
    </row>
    <row r="7">
      <c r="A7" s="5" t="inlineStr">
        <is>
          <t>Loans and advances to customers</t>
        </is>
      </c>
      <c r="B7" s="5" t="n">
        <v>41952</v>
      </c>
      <c r="C7" s="5" t="n">
        <v>28985</v>
      </c>
      <c r="D7" s="5" t="n">
        <v>28332</v>
      </c>
      <c r="E7" s="5" t="n">
        <v>148285</v>
      </c>
      <c r="F7" s="5" t="n">
        <v>162016</v>
      </c>
      <c r="G7" s="5" t="n">
        <v>173173</v>
      </c>
      <c r="H7" s="5" t="n">
        <v>215391</v>
      </c>
      <c r="I7" s="5" t="n">
        <v>211596</v>
      </c>
      <c r="J7" s="5" t="n">
        <v>207964</v>
      </c>
      <c r="K7" s="5" t="n">
        <v>175945</v>
      </c>
      <c r="L7" s="5" t="n">
        <v>167713</v>
      </c>
      <c r="M7" s="5" t="n">
        <v>149257</v>
      </c>
      <c r="P7" t="inlineStr">
        <is>
          <t>Loans and advances to customers</t>
        </is>
      </c>
      <c r="Q7" t="n">
        <v>149257</v>
      </c>
      <c r="R7" t="n">
        <v>167713</v>
      </c>
      <c r="S7" t="n">
        <v>175945</v>
      </c>
      <c r="T7" t="n">
        <v>207964</v>
      </c>
      <c r="U7" t="n">
        <v>211596</v>
      </c>
      <c r="V7" t="n">
        <v>215391</v>
      </c>
      <c r="W7" t="n">
        <v>173173</v>
      </c>
      <c r="X7" t="n">
        <v>162016</v>
      </c>
      <c r="Y7" t="n">
        <v>148285</v>
      </c>
      <c r="Z7" t="n">
        <v>28332</v>
      </c>
      <c r="AA7" t="n">
        <v>28985</v>
      </c>
      <c r="AB7" t="n">
        <v>41952</v>
      </c>
      <c r="BX7" t="inlineStr">
        <is>
          <t>Total Capital Ratio</t>
        </is>
      </c>
      <c r="BY7" t="n">
        <v>17.9</v>
      </c>
      <c r="BZ7" t="n">
        <v>16.2</v>
      </c>
      <c r="CA7" t="n">
        <v>16.9</v>
      </c>
      <c r="CB7" t="n">
        <v>19</v>
      </c>
      <c r="CC7" t="n">
        <v>17</v>
      </c>
      <c r="CD7" t="n">
        <v>17.36</v>
      </c>
      <c r="CE7" t="n">
        <v>16.89</v>
      </c>
      <c r="CF7" t="n">
        <v>15.49</v>
      </c>
      <c r="CG7" t="n">
        <v>15.7</v>
      </c>
      <c r="CH7" t="n">
        <v>23.83</v>
      </c>
      <c r="CI7" t="n">
        <v>25.95</v>
      </c>
      <c r="CJ7" t="n">
        <v>24.03</v>
      </c>
    </row>
    <row r="8">
      <c r="A8" s="5" t="inlineStr">
        <is>
          <t>Due to customers</t>
        </is>
      </c>
      <c r="B8" s="5" t="n">
        <v>84367</v>
      </c>
      <c r="C8" s="5" t="n">
        <v>44717</v>
      </c>
      <c r="D8" s="5" t="n">
        <v>42227</v>
      </c>
      <c r="E8" s="5" t="n">
        <v>59541</v>
      </c>
      <c r="F8" s="5" t="n">
        <v>92028</v>
      </c>
      <c r="G8" s="5" t="n">
        <v>99556</v>
      </c>
      <c r="H8" s="5" t="n">
        <v>95291</v>
      </c>
      <c r="I8" s="5" t="n">
        <v>109231</v>
      </c>
      <c r="J8" s="5" t="n">
        <v>112349</v>
      </c>
      <c r="K8" s="5" t="n">
        <v>129706</v>
      </c>
      <c r="L8" s="5" t="n">
        <v>98537</v>
      </c>
      <c r="M8" s="5" t="n">
        <v>101419</v>
      </c>
      <c r="P8" t="inlineStr">
        <is>
          <t>Due to customers</t>
        </is>
      </c>
      <c r="Q8" t="n">
        <v>101419</v>
      </c>
      <c r="R8" t="n">
        <v>98537</v>
      </c>
      <c r="S8" t="n">
        <v>129706</v>
      </c>
      <c r="T8" t="n">
        <v>112349</v>
      </c>
      <c r="U8" t="n">
        <v>109231</v>
      </c>
      <c r="V8" t="n">
        <v>95291</v>
      </c>
      <c r="W8" t="n">
        <v>99556</v>
      </c>
      <c r="X8" t="n">
        <v>92028</v>
      </c>
      <c r="Y8" t="n">
        <v>59541</v>
      </c>
      <c r="Z8" t="n">
        <v>42227</v>
      </c>
      <c r="AA8" t="n">
        <v>44717</v>
      </c>
      <c r="AB8" t="n">
        <v>84367</v>
      </c>
      <c r="BX8" t="inlineStr">
        <is>
          <t>Leverage Ratio</t>
        </is>
      </c>
      <c r="CA8" t="n">
        <v>9.619999999999999</v>
      </c>
      <c r="CB8" t="n">
        <v>12.08</v>
      </c>
      <c r="CF8" t="n">
        <v>11.51</v>
      </c>
      <c r="CG8" t="n">
        <v>13.98</v>
      </c>
      <c r="CH8" t="n">
        <v>20.66</v>
      </c>
      <c r="CI8" t="n">
        <v>17.67</v>
      </c>
      <c r="CJ8" t="n">
        <v>14.25</v>
      </c>
    </row>
    <row r="9">
      <c r="A9" s="5" t="inlineStr">
        <is>
          <t>Total equity</t>
        </is>
      </c>
      <c r="B9" s="5" t="n">
        <v>70629</v>
      </c>
      <c r="C9" s="5" t="n">
        <v>68171</v>
      </c>
      <c r="D9" s="5" t="n">
        <v>65526</v>
      </c>
      <c r="E9" s="5" t="n">
        <v>75751</v>
      </c>
      <c r="F9" s="5" t="n">
        <v>82581</v>
      </c>
      <c r="G9" s="5" t="n">
        <v>82643</v>
      </c>
      <c r="H9" s="5" t="n">
        <v>80820</v>
      </c>
      <c r="I9" s="5" t="n">
        <v>75454</v>
      </c>
      <c r="J9" s="5" t="n">
        <v>77889</v>
      </c>
      <c r="K9" s="5" t="n">
        <v>71557</v>
      </c>
      <c r="L9" s="5" t="n">
        <v>60676</v>
      </c>
      <c r="M9" s="5" t="n">
        <v>54324</v>
      </c>
      <c r="P9" t="inlineStr">
        <is>
          <t>Total equity</t>
        </is>
      </c>
      <c r="Q9" t="n">
        <v>54324</v>
      </c>
      <c r="R9" t="n">
        <v>60676</v>
      </c>
      <c r="S9" t="n">
        <v>71557</v>
      </c>
      <c r="T9" t="n">
        <v>77889</v>
      </c>
      <c r="U9" t="n">
        <v>75454</v>
      </c>
      <c r="V9" t="n">
        <v>80820</v>
      </c>
      <c r="W9" t="n">
        <v>82643</v>
      </c>
      <c r="X9" t="n">
        <v>82581</v>
      </c>
      <c r="Y9" t="n">
        <v>75751</v>
      </c>
      <c r="Z9" t="n">
        <v>65526</v>
      </c>
      <c r="AA9" t="n">
        <v>68171</v>
      </c>
      <c r="AB9" t="n">
        <v>70629</v>
      </c>
      <c r="BX9" t="inlineStr">
        <is>
          <t>LCR</t>
        </is>
      </c>
      <c r="BZ9" t="n">
        <v>160</v>
      </c>
      <c r="CA9" t="n">
        <v>143</v>
      </c>
      <c r="CB9" t="n">
        <v>158</v>
      </c>
      <c r="CE9" t="n">
        <v>179</v>
      </c>
      <c r="CF9" t="n">
        <v>203</v>
      </c>
      <c r="CG9" t="n">
        <v>207</v>
      </c>
      <c r="CH9" t="n">
        <v>351</v>
      </c>
      <c r="CI9" t="n">
        <v>207</v>
      </c>
      <c r="CJ9" t="n">
        <v>152</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Net operating income</t>
        </is>
      </c>
      <c r="B13" s="5" t="n">
        <v>10040</v>
      </c>
      <c r="C13" s="5" t="n">
        <v>8598</v>
      </c>
      <c r="D13" s="5" t="n">
        <v>4178</v>
      </c>
      <c r="E13" s="5" t="n">
        <v>19505</v>
      </c>
      <c r="F13" s="5" t="n">
        <v>24597</v>
      </c>
      <c r="G13" s="5" t="n">
        <v>18707</v>
      </c>
      <c r="H13" s="5" t="n">
        <v>21424</v>
      </c>
      <c r="I13" s="5" t="n">
        <v>17468</v>
      </c>
      <c r="J13" s="5" t="n">
        <v>20330</v>
      </c>
      <c r="K13" s="5" t="n">
        <v>20578</v>
      </c>
      <c r="L13" s="5" t="n">
        <v>16164</v>
      </c>
      <c r="M13" s="5" t="n">
        <v>14148</v>
      </c>
      <c r="AE13" t="inlineStr">
        <is>
          <t>Net operating income</t>
        </is>
      </c>
      <c r="AF13" t="n">
        <v>14148</v>
      </c>
      <c r="AG13" t="n">
        <v>16164</v>
      </c>
      <c r="AH13" t="n">
        <v>20578</v>
      </c>
      <c r="AI13" t="n">
        <v>20330</v>
      </c>
      <c r="AJ13" t="n">
        <v>17468</v>
      </c>
      <c r="AK13" t="n">
        <v>21424</v>
      </c>
      <c r="AL13" t="n">
        <v>18707</v>
      </c>
      <c r="AM13" t="n">
        <v>24597</v>
      </c>
      <c r="AN13" t="n">
        <v>19505</v>
      </c>
      <c r="AO13" t="n">
        <v>4178</v>
      </c>
      <c r="AP13" t="n">
        <v>8598</v>
      </c>
      <c r="AQ13" t="n">
        <v>10040</v>
      </c>
    </row>
    <row r="14">
      <c r="A14" s="5" t="inlineStr">
        <is>
          <t>Total operating expenses</t>
        </is>
      </c>
      <c r="B14" s="5" t="n">
        <v>-10659</v>
      </c>
      <c r="C14" s="5" t="n">
        <v>-14904</v>
      </c>
      <c r="D14" s="5" t="n">
        <v>-17662</v>
      </c>
      <c r="E14" s="5" t="n">
        <v>-19458</v>
      </c>
      <c r="F14" s="5" t="n">
        <v>-17889</v>
      </c>
      <c r="G14" s="5" t="n">
        <v>-16851</v>
      </c>
      <c r="H14" s="5" t="n">
        <v>-16677</v>
      </c>
      <c r="I14" s="5" t="n">
        <v>-14900</v>
      </c>
      <c r="J14" s="5" t="n">
        <v>-12012</v>
      </c>
      <c r="K14" s="5" t="n">
        <v>-10632</v>
      </c>
      <c r="L14" s="5" t="n">
        <v>-10502</v>
      </c>
      <c r="M14" s="5" t="n">
        <v>-7959</v>
      </c>
      <c r="AE14" t="inlineStr">
        <is>
          <t>Total operating expenses</t>
        </is>
      </c>
      <c r="AF14" t="n">
        <v>-7959</v>
      </c>
      <c r="AG14" t="n">
        <v>-10502</v>
      </c>
      <c r="AH14" t="n">
        <v>-10632</v>
      </c>
      <c r="AI14" t="n">
        <v>-12012</v>
      </c>
      <c r="AJ14" t="n">
        <v>-14900</v>
      </c>
      <c r="AK14" t="n">
        <v>-16677</v>
      </c>
      <c r="AL14" t="n">
        <v>-16851</v>
      </c>
      <c r="AM14" t="n">
        <v>-17889</v>
      </c>
      <c r="AN14" t="n">
        <v>-19458</v>
      </c>
      <c r="AO14" t="n">
        <v>-17662</v>
      </c>
      <c r="AP14" t="n">
        <v>-14904</v>
      </c>
      <c r="AQ14" t="n">
        <v>-10659</v>
      </c>
    </row>
    <row r="15">
      <c r="A15" s="5" t="inlineStr">
        <is>
          <t>Profit/(Loss) for the year</t>
        </is>
      </c>
      <c r="B15" s="5" t="n">
        <v>2273</v>
      </c>
      <c r="C15" s="5" t="n">
        <v>1779</v>
      </c>
      <c r="D15" s="5" t="n">
        <v>-13999</v>
      </c>
      <c r="E15" s="5" t="n">
        <v>-3839</v>
      </c>
      <c r="F15" s="5" t="n">
        <v>5682</v>
      </c>
      <c r="G15" s="5" t="n">
        <v>1097</v>
      </c>
      <c r="H15" s="5" t="n">
        <v>2622</v>
      </c>
      <c r="I15" s="5" t="n">
        <v>2169</v>
      </c>
      <c r="J15" s="5" t="n">
        <v>5510</v>
      </c>
      <c r="K15" s="5" t="n">
        <v>8584</v>
      </c>
      <c r="L15" s="5" t="n">
        <v>7795</v>
      </c>
      <c r="M15" s="5" t="n">
        <v>5708</v>
      </c>
      <c r="AE15" t="inlineStr">
        <is>
          <t>Profit/(Loss) for the year</t>
        </is>
      </c>
      <c r="AF15" t="n">
        <v>5708</v>
      </c>
      <c r="AG15" t="n">
        <v>7795</v>
      </c>
      <c r="AH15" t="n">
        <v>8584</v>
      </c>
      <c r="AI15" t="n">
        <v>5510</v>
      </c>
      <c r="AJ15" t="n">
        <v>2169</v>
      </c>
      <c r="AK15" t="n">
        <v>2622</v>
      </c>
      <c r="AL15" t="n">
        <v>1097</v>
      </c>
      <c r="AM15" t="n">
        <v>5682</v>
      </c>
      <c r="AN15" t="n">
        <v>-3839</v>
      </c>
      <c r="AO15" t="n">
        <v>-13999</v>
      </c>
      <c r="AP15" t="n">
        <v>1779</v>
      </c>
      <c r="AQ15" t="n">
        <v>2273</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68171</v>
      </c>
      <c r="C19" s="5" t="n">
        <v>65526</v>
      </c>
      <c r="D19" s="5" t="n">
        <v>75034</v>
      </c>
      <c r="E19" s="5" t="n">
        <v>82581</v>
      </c>
      <c r="F19" s="5" t="n">
        <v>82378</v>
      </c>
      <c r="G19" s="5" t="n">
        <v>80820</v>
      </c>
      <c r="H19" s="5" t="n">
        <v>75488</v>
      </c>
      <c r="I19" s="5" t="n">
        <v>76434</v>
      </c>
      <c r="J19" s="5" t="n">
        <v>71557</v>
      </c>
      <c r="K19" s="5" t="n">
        <v>60676</v>
      </c>
      <c r="L19" s="5" t="n">
        <v>54324</v>
      </c>
      <c r="M19" s="5" t="n">
        <v>50403</v>
      </c>
      <c r="AT19" t="inlineStr">
        <is>
          <t>Opening equity</t>
        </is>
      </c>
      <c r="AU19" t="n">
        <v>50403</v>
      </c>
      <c r="AV19" t="n">
        <v>54324</v>
      </c>
      <c r="AW19" t="n">
        <v>60676</v>
      </c>
      <c r="AX19" t="n">
        <v>71557</v>
      </c>
      <c r="AY19" t="n">
        <v>76434</v>
      </c>
      <c r="AZ19" t="n">
        <v>75488</v>
      </c>
      <c r="BA19" t="n">
        <v>80820</v>
      </c>
      <c r="BB19" t="n">
        <v>82378</v>
      </c>
      <c r="BC19" t="n">
        <v>82581</v>
      </c>
      <c r="BD19" t="n">
        <v>75034</v>
      </c>
      <c r="BE19" t="n">
        <v>65526</v>
      </c>
      <c r="BF19" t="n">
        <v>68171</v>
      </c>
    </row>
    <row r="20">
      <c r="A20" s="5" t="inlineStr">
        <is>
          <t>Total comprehensive income/(loss) for the year</t>
        </is>
      </c>
      <c r="B20" s="5" t="n">
        <v>2458</v>
      </c>
      <c r="C20" s="5" t="n">
        <v>2645</v>
      </c>
      <c r="D20" s="5" t="n">
        <v>-9508</v>
      </c>
      <c r="E20" s="5" t="n">
        <v>-6830</v>
      </c>
      <c r="F20" s="5" t="n">
        <v>203</v>
      </c>
      <c r="G20" s="5" t="n">
        <v>1823</v>
      </c>
      <c r="H20" s="5" t="n">
        <v>5332</v>
      </c>
      <c r="I20" s="5" t="n">
        <v>501</v>
      </c>
      <c r="J20" s="5" t="n">
        <v>6332</v>
      </c>
      <c r="K20" s="5" t="n">
        <v>10881</v>
      </c>
      <c r="L20" s="5" t="n">
        <v>7441</v>
      </c>
      <c r="M20" s="5" t="n">
        <v>3921</v>
      </c>
      <c r="AT20" t="inlineStr">
        <is>
          <t>Total comprehensive income/(loss) for the year</t>
        </is>
      </c>
      <c r="AU20" t="n">
        <v>3921</v>
      </c>
      <c r="AV20" t="n">
        <v>7441</v>
      </c>
      <c r="AW20" t="n">
        <v>10881</v>
      </c>
      <c r="AX20" t="n">
        <v>6332</v>
      </c>
      <c r="AY20" t="n">
        <v>501</v>
      </c>
      <c r="AZ20" t="n">
        <v>5332</v>
      </c>
      <c r="BA20" t="n">
        <v>1823</v>
      </c>
      <c r="BB20" t="n">
        <v>203</v>
      </c>
      <c r="BC20" t="n">
        <v>-6830</v>
      </c>
      <c r="BD20" t="n">
        <v>-9508</v>
      </c>
      <c r="BE20" t="n">
        <v>2645</v>
      </c>
      <c r="BF20" t="n">
        <v>2458</v>
      </c>
    </row>
    <row r="21">
      <c r="A21" s="5" t="inlineStr">
        <is>
          <t>Other equity movements, net</t>
        </is>
      </c>
      <c r="B21" s="5" t="n">
        <v>0</v>
      </c>
      <c r="C21" s="5" t="n">
        <v>0</v>
      </c>
      <c r="D21" s="5" t="n">
        <v>0</v>
      </c>
      <c r="E21" s="5" t="n">
        <v>0</v>
      </c>
      <c r="F21" s="5" t="n">
        <v>0</v>
      </c>
      <c r="G21" s="5" t="n">
        <v>0</v>
      </c>
      <c r="H21" s="5" t="n">
        <v>0</v>
      </c>
      <c r="I21" s="5" t="n">
        <v>0</v>
      </c>
      <c r="J21" s="5" t="n">
        <v>0</v>
      </c>
      <c r="K21" s="5" t="n">
        <v>0</v>
      </c>
      <c r="L21" s="5" t="n">
        <v>0</v>
      </c>
      <c r="M21" s="5" t="n">
        <v>0</v>
      </c>
      <c r="AT21" t="inlineStr">
        <is>
          <t>Other equity movements, net</t>
        </is>
      </c>
      <c r="AU21" t="n">
        <v>0</v>
      </c>
      <c r="AV21" t="n">
        <v>0</v>
      </c>
      <c r="AW21" t="n">
        <v>0</v>
      </c>
      <c r="AX21" t="n">
        <v>0</v>
      </c>
      <c r="AY21" t="n">
        <v>0</v>
      </c>
      <c r="AZ21" t="n">
        <v>0</v>
      </c>
      <c r="BA21" t="n">
        <v>0</v>
      </c>
      <c r="BB21" t="n">
        <v>0</v>
      </c>
      <c r="BC21" t="n">
        <v>0</v>
      </c>
      <c r="BD21" t="n">
        <v>0</v>
      </c>
      <c r="BE21" t="n">
        <v>0</v>
      </c>
      <c r="BF21" t="n">
        <v>0</v>
      </c>
    </row>
    <row r="22">
      <c r="A22" s="5" t="inlineStr">
        <is>
          <t>Closing equity</t>
        </is>
      </c>
      <c r="B22" s="5" t="n">
        <v>70629</v>
      </c>
      <c r="C22" s="5" t="n">
        <v>68171</v>
      </c>
      <c r="D22" s="5" t="n">
        <v>65526</v>
      </c>
      <c r="E22" s="5" t="n">
        <v>75751</v>
      </c>
      <c r="F22" s="5" t="n">
        <v>82581</v>
      </c>
      <c r="G22" s="5" t="n">
        <v>82643</v>
      </c>
      <c r="H22" s="5" t="n">
        <v>80820</v>
      </c>
      <c r="I22" s="5" t="n">
        <v>75454</v>
      </c>
      <c r="J22" s="5" t="n">
        <v>77889</v>
      </c>
      <c r="K22" s="5" t="n">
        <v>71557</v>
      </c>
      <c r="L22" s="5" t="n">
        <v>60676</v>
      </c>
      <c r="M22" s="5" t="n">
        <v>54324</v>
      </c>
      <c r="AT22" t="inlineStr">
        <is>
          <t>Closing equity</t>
        </is>
      </c>
      <c r="AU22" t="n">
        <v>54324</v>
      </c>
      <c r="AV22" t="n">
        <v>60676</v>
      </c>
      <c r="AW22" t="n">
        <v>71557</v>
      </c>
      <c r="AX22" t="n">
        <v>77889</v>
      </c>
      <c r="AY22" t="n">
        <v>75454</v>
      </c>
      <c r="AZ22" t="n">
        <v>80820</v>
      </c>
      <c r="BA22" t="n">
        <v>82643</v>
      </c>
      <c r="BB22" t="n">
        <v>82581</v>
      </c>
      <c r="BC22" t="n">
        <v>75751</v>
      </c>
      <c r="BD22" t="n">
        <v>65526</v>
      </c>
      <c r="BE22" t="n">
        <v>68171</v>
      </c>
      <c r="BF22" t="n">
        <v>70629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flows from/(used in) operating activities</t>
        </is>
      </c>
      <c r="B26" s="5" t="n">
        <v>-23853</v>
      </c>
      <c r="C26" s="5" t="n">
        <v>10670</v>
      </c>
      <c r="D26" s="5" t="n">
        <v>-10115</v>
      </c>
      <c r="E26" s="5" t="n">
        <v>-27463</v>
      </c>
      <c r="F26" s="5" t="n">
        <v>60094</v>
      </c>
      <c r="G26" s="5" t="n">
        <v>-4205</v>
      </c>
      <c r="H26" s="5" t="n">
        <v>-77756</v>
      </c>
      <c r="I26" s="5" t="n">
        <v>64083</v>
      </c>
      <c r="J26" s="5" t="n">
        <v>-85771</v>
      </c>
      <c r="K26" s="5" t="n">
        <v>53990</v>
      </c>
      <c r="L26" s="5" t="n">
        <v>59479</v>
      </c>
      <c r="M26" s="5" t="n">
        <v>50546</v>
      </c>
      <c r="BI26" t="inlineStr">
        <is>
          <t>Net cash flows from/(used in) operating activities</t>
        </is>
      </c>
      <c r="BJ26" t="n">
        <v>50546</v>
      </c>
      <c r="BK26" t="n">
        <v>59479</v>
      </c>
      <c r="BL26" t="n">
        <v>53990</v>
      </c>
      <c r="BM26" t="n">
        <v>-85771</v>
      </c>
      <c r="BN26" t="n">
        <v>64083</v>
      </c>
      <c r="BO26" t="n">
        <v>-77756</v>
      </c>
      <c r="BP26" t="n">
        <v>-4205</v>
      </c>
      <c r="BQ26" t="n">
        <v>60094</v>
      </c>
      <c r="BR26" t="n">
        <v>-27463</v>
      </c>
      <c r="BS26" t="n">
        <v>-10115</v>
      </c>
      <c r="BT26" t="n">
        <v>10670</v>
      </c>
      <c r="BU26" t="n">
        <v>-23853</v>
      </c>
    </row>
    <row r="27">
      <c r="A27" s="5" t="inlineStr">
        <is>
          <t>Net cash flows from/(used in) investing activities</t>
        </is>
      </c>
      <c r="B27" s="5" t="n">
        <v>10389</v>
      </c>
      <c r="C27" s="5" t="n">
        <v>-13994</v>
      </c>
      <c r="D27" s="5" t="n">
        <v>-3057</v>
      </c>
      <c r="E27" s="5" t="n">
        <v>9089</v>
      </c>
      <c r="F27" s="5" t="n">
        <v>-43971</v>
      </c>
      <c r="G27" s="5" t="n">
        <v>30693</v>
      </c>
      <c r="H27" s="5" t="n">
        <v>35146</v>
      </c>
      <c r="I27" s="5" t="n">
        <v>-48205</v>
      </c>
      <c r="J27" s="5" t="n">
        <v>42174</v>
      </c>
      <c r="K27" s="5" t="n">
        <v>-52666</v>
      </c>
      <c r="L27" s="5" t="n">
        <v>-44402</v>
      </c>
      <c r="M27" s="5" t="n">
        <v>-25947</v>
      </c>
      <c r="BI27" t="inlineStr">
        <is>
          <t>Net cash flows from/(used in) investing activities</t>
        </is>
      </c>
      <c r="BJ27" t="n">
        <v>-25947</v>
      </c>
      <c r="BK27" t="n">
        <v>-44402</v>
      </c>
      <c r="BL27" t="n">
        <v>-52666</v>
      </c>
      <c r="BM27" t="n">
        <v>42174</v>
      </c>
      <c r="BN27" t="n">
        <v>-48205</v>
      </c>
      <c r="BO27" t="n">
        <v>35146</v>
      </c>
      <c r="BP27" t="n">
        <v>30693</v>
      </c>
      <c r="BQ27" t="n">
        <v>-43971</v>
      </c>
      <c r="BR27" t="n">
        <v>9089</v>
      </c>
      <c r="BS27" t="n">
        <v>-3057</v>
      </c>
      <c r="BT27" t="n">
        <v>-13994</v>
      </c>
      <c r="BU27" t="n">
        <v>10389</v>
      </c>
    </row>
    <row r="28">
      <c r="A28" s="5" t="inlineStr">
        <is>
          <t>Net cash flows from/(used in) financing activities</t>
        </is>
      </c>
      <c r="B28" s="5" t="n">
        <v>-89</v>
      </c>
      <c r="C28" s="5" t="n">
        <v>-181</v>
      </c>
      <c r="D28" s="5" t="n">
        <v>-797</v>
      </c>
      <c r="E28" s="5" t="n">
        <v>-1050</v>
      </c>
      <c r="F28" s="5" t="n">
        <v>-944</v>
      </c>
      <c r="G28" s="5" t="n">
        <v>-1107</v>
      </c>
      <c r="H28" s="5" t="n">
        <v>-877</v>
      </c>
      <c r="I28" s="5" t="n">
        <v>635</v>
      </c>
      <c r="J28" s="5" t="n">
        <v>629</v>
      </c>
      <c r="K28" s="5" t="n">
        <v>0</v>
      </c>
      <c r="L28" s="5" t="n">
        <v>0</v>
      </c>
      <c r="M28" s="5" t="n">
        <v>0</v>
      </c>
      <c r="BI28" t="inlineStr">
        <is>
          <t>Net cash flows from/(used in) financing activities</t>
        </is>
      </c>
      <c r="BJ28" t="n">
        <v>0</v>
      </c>
      <c r="BK28" t="n">
        <v>0</v>
      </c>
      <c r="BL28" t="n">
        <v>0</v>
      </c>
      <c r="BM28" t="n">
        <v>629</v>
      </c>
      <c r="BN28" t="n">
        <v>635</v>
      </c>
      <c r="BO28" t="n">
        <v>-877</v>
      </c>
      <c r="BP28" t="n">
        <v>-1107</v>
      </c>
      <c r="BQ28" t="n">
        <v>-944</v>
      </c>
      <c r="BR28" t="n">
        <v>-1050</v>
      </c>
      <c r="BS28" t="n">
        <v>-797</v>
      </c>
      <c r="BT28" t="n">
        <v>-181</v>
      </c>
      <c r="BU28" t="n">
        <v>-89</v>
      </c>
    </row>
    <row r="29">
      <c r="A29" s="5" t="inlineStr">
        <is>
          <t>Cash and cash equivalents as at 31 December</t>
        </is>
      </c>
      <c r="B29" s="5" t="n">
        <v>37517</v>
      </c>
      <c r="C29" s="5" t="n">
        <v>51070</v>
      </c>
      <c r="D29" s="5" t="n">
        <v>54575</v>
      </c>
      <c r="E29" s="5" t="n">
        <v>68544</v>
      </c>
      <c r="F29" s="5" t="n">
        <v>87968</v>
      </c>
      <c r="G29" s="5" t="n">
        <v>72789</v>
      </c>
      <c r="H29" s="5" t="n">
        <v>47408</v>
      </c>
      <c r="I29" s="5" t="n">
        <v>90895</v>
      </c>
      <c r="J29" s="5" t="n">
        <v>74382</v>
      </c>
      <c r="K29" s="5" t="n">
        <v>117350</v>
      </c>
      <c r="L29" s="5" t="n">
        <v>116026</v>
      </c>
      <c r="M29" s="5" t="n">
        <v>100949</v>
      </c>
      <c r="BI29" t="inlineStr">
        <is>
          <t>Cash and cash equivalents as at 31 December</t>
        </is>
      </c>
      <c r="BJ29" t="n">
        <v>100949</v>
      </c>
      <c r="BK29" t="n">
        <v>116026</v>
      </c>
      <c r="BL29" t="n">
        <v>117350</v>
      </c>
      <c r="BM29" t="n">
        <v>74382</v>
      </c>
      <c r="BN29" t="n">
        <v>90895</v>
      </c>
      <c r="BO29" t="n">
        <v>47408</v>
      </c>
      <c r="BP29" t="n">
        <v>72789</v>
      </c>
      <c r="BQ29" t="n">
        <v>87968</v>
      </c>
      <c r="BR29" t="n">
        <v>68544</v>
      </c>
      <c r="BS29" t="n">
        <v>54575</v>
      </c>
      <c r="BT29" t="n">
        <v>51070</v>
      </c>
      <c r="BU29" t="n">
        <v>37517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17.46%</t>
        </is>
      </c>
      <c r="C33" s="6" t="inlineStr">
        <is>
          <t>19.65%</t>
        </is>
      </c>
      <c r="D33" s="6" t="inlineStr">
        <is>
          <t>17.75%</t>
        </is>
      </c>
      <c r="E33" s="6" t="inlineStr">
        <is>
          <t>12.24%</t>
        </is>
      </c>
      <c r="F33" s="6" t="inlineStr">
        <is>
          <t>12.36%</t>
        </is>
      </c>
      <c r="G33" s="6" t="inlineStr">
        <is>
          <t>13.76%</t>
        </is>
      </c>
      <c r="H33" s="6" t="inlineStr">
        <is>
          <t>14.04%</t>
        </is>
      </c>
      <c r="I33" s="6" t="inlineStr">
        <is>
          <t>13.5%</t>
        </is>
      </c>
      <c r="J33" s="6" t="inlineStr">
        <is>
          <t>15.1%</t>
        </is>
      </c>
      <c r="K33" s="6" t="inlineStr">
        <is>
          <t>13.0%</t>
        </is>
      </c>
      <c r="L33" s="6" t="inlineStr">
        <is>
          <t>12.6%</t>
        </is>
      </c>
      <c r="M33" s="6" t="inlineStr">
        <is>
          <t>13.3%</t>
        </is>
      </c>
    </row>
    <row r="34">
      <c r="A34" s="6" t="inlineStr">
        <is>
          <t>Total Capital Ratio</t>
        </is>
      </c>
      <c r="B34" s="6" t="inlineStr">
        <is>
          <t>24.03%</t>
        </is>
      </c>
      <c r="C34" s="6" t="inlineStr">
        <is>
          <t>25.95%</t>
        </is>
      </c>
      <c r="D34" s="6" t="inlineStr">
        <is>
          <t>23.83%</t>
        </is>
      </c>
      <c r="E34" s="6" t="inlineStr">
        <is>
          <t>15.70%</t>
        </is>
      </c>
      <c r="F34" s="6" t="inlineStr">
        <is>
          <t>15.49%</t>
        </is>
      </c>
      <c r="G34" s="6" t="inlineStr">
        <is>
          <t>16.89%</t>
        </is>
      </c>
      <c r="H34" s="6" t="inlineStr">
        <is>
          <t>17.36%</t>
        </is>
      </c>
      <c r="I34" s="6" t="inlineStr">
        <is>
          <t>17.0%</t>
        </is>
      </c>
      <c r="J34" s="6" t="inlineStr">
        <is>
          <t>19.0%</t>
        </is>
      </c>
      <c r="K34" s="6" t="inlineStr">
        <is>
          <t>16.9%</t>
        </is>
      </c>
      <c r="L34" s="6" t="inlineStr">
        <is>
          <t>16.2%</t>
        </is>
      </c>
      <c r="M34" s="6" t="inlineStr">
        <is>
          <t>17.9%</t>
        </is>
      </c>
    </row>
    <row r="35">
      <c r="A35" s="6" t="inlineStr">
        <is>
          <t>Leverage Ratio</t>
        </is>
      </c>
      <c r="B35" s="6" t="inlineStr">
        <is>
          <t>14.25%</t>
        </is>
      </c>
      <c r="C35" s="6" t="inlineStr">
        <is>
          <t>17.67%</t>
        </is>
      </c>
      <c r="D35" s="6" t="inlineStr">
        <is>
          <t>20.66%</t>
        </is>
      </c>
      <c r="E35" s="6" t="inlineStr">
        <is>
          <t>13.98%</t>
        </is>
      </c>
      <c r="F35" s="6" t="inlineStr">
        <is>
          <t>11.51%</t>
        </is>
      </c>
      <c r="G35" s="6" t="n"/>
      <c r="H35" s="6" t="n"/>
      <c r="I35" s="6" t="n"/>
      <c r="J35" s="6" t="inlineStr">
        <is>
          <t>12.08%</t>
        </is>
      </c>
      <c r="K35" s="6" t="inlineStr">
        <is>
          <t>9.62%</t>
        </is>
      </c>
      <c r="L35" s="6" t="n"/>
      <c r="M35" s="6" t="n"/>
    </row>
    <row r="36">
      <c r="A36" s="6" t="inlineStr">
        <is>
          <t>LCR</t>
        </is>
      </c>
      <c r="B36" s="6" t="inlineStr">
        <is>
          <t>152%</t>
        </is>
      </c>
      <c r="C36" s="6" t="inlineStr">
        <is>
          <t>207%</t>
        </is>
      </c>
      <c r="D36" s="6" t="inlineStr">
        <is>
          <t>351%</t>
        </is>
      </c>
      <c r="E36" s="6" t="inlineStr">
        <is>
          <t>207%</t>
        </is>
      </c>
      <c r="F36" s="6" t="inlineStr">
        <is>
          <t>203%</t>
        </is>
      </c>
      <c r="G36" s="6" t="inlineStr">
        <is>
          <t>179% (average through the year, not point-in-time - see basis note)</t>
        </is>
      </c>
      <c r="H36" s="6" t="n"/>
      <c r="I36" s="6" t="n"/>
      <c r="J36" s="6" t="inlineStr">
        <is>
          <t>158%</t>
        </is>
      </c>
      <c r="K36" s="6" t="inlineStr">
        <is>
          <t>143%</t>
        </is>
      </c>
      <c r="L36" s="6" t="inlineStr">
        <is>
          <t>160%</t>
        </is>
      </c>
      <c r="M36" s="6" t="n"/>
    </row>
    <row r="38" ht="52" customHeight="1">
      <c r="A38" s="7" t="inlineStr">
        <is>
          <t>Note: Figures are duplicated from the detail sheets for at-a-glance trend viewing; see each sheet's own source citation for the underlying document/page, and the Cash Flow Statement / Statement of Changes in Equity sheets' source notes for the several genuine restatements affecting this workbook (FY2022, FY2017, and a further FY2020/FY2021 break - see entity note). FY2018-FY2020 have no standalone Pillar 3 DOCUMENT (a genuine gap in that document series), but their capital ratios and LCR are published in each year's own Annual Report and are carried on the detail sheets and here; only the leverage ratio is genuinely absent for those three years. FY2014-FY2020 Balance Sheet/P&amp;L/Cash Flow/Equity figures were added in the HD-017 historical-depth extension. NOTE THE FY2019 LOANS FIGURE differs between the Balance Sheet block above (215,391, the FY2020 report's restated comparative) and the Asset Quality sheet (216,052, the FY2019 report's own figure) - a real restatement, explained on the Asset Quality sheet's source note and deliberately not reconciled.</t>
        </is>
      </c>
    </row>
  </sheetData>
  <mergeCells count="1">
    <mergeCell ref="A38:M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Statement of Financial Position</t>
        </is>
      </c>
    </row>
    <row r="2">
      <c r="A2" s="2" t="inlineStr">
        <is>
          <t>Entity-level (solo) basis,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Assets</t>
        </is>
      </c>
      <c r="B4" s="6" t="n"/>
      <c r="C4" s="6" t="n"/>
      <c r="D4" s="6" t="n"/>
      <c r="E4" s="6" t="n"/>
      <c r="F4" s="6" t="n"/>
      <c r="G4" s="6" t="n"/>
      <c r="H4" s="6" t="n"/>
      <c r="I4" s="6" t="n"/>
      <c r="J4" s="6" t="n"/>
      <c r="K4" s="6" t="n"/>
      <c r="L4" s="6" t="n"/>
      <c r="M4" s="6" t="n"/>
    </row>
    <row r="5">
      <c r="A5" s="6" t="inlineStr">
        <is>
          <t>Cash and balances with central banks</t>
        </is>
      </c>
      <c r="B5" s="6" t="n">
        <v>3145</v>
      </c>
      <c r="C5" s="6" t="n">
        <v>15397</v>
      </c>
      <c r="D5" s="6" t="n">
        <v>27447</v>
      </c>
      <c r="E5" s="6" t="n">
        <v>45655</v>
      </c>
      <c r="F5" s="6" t="n">
        <v>43395</v>
      </c>
      <c r="G5" s="6" t="n">
        <v>42930</v>
      </c>
      <c r="H5" s="6" t="n">
        <v>3108</v>
      </c>
      <c r="I5" s="6" t="n">
        <v>17698</v>
      </c>
      <c r="J5" s="6" t="n">
        <v>17489</v>
      </c>
      <c r="K5" s="6" t="n">
        <v>13339</v>
      </c>
      <c r="L5" s="6" t="n">
        <v>4369</v>
      </c>
      <c r="M5" s="6" t="n">
        <v>1887</v>
      </c>
    </row>
    <row r="6">
      <c r="A6" s="6" t="inlineStr">
        <is>
          <t>Due from banks</t>
        </is>
      </c>
      <c r="B6" s="6" t="n">
        <v>112586</v>
      </c>
      <c r="C6" s="6" t="n">
        <v>66588</v>
      </c>
      <c r="D6" s="6" t="n">
        <v>40848</v>
      </c>
      <c r="E6" s="6" t="n">
        <v>90560</v>
      </c>
      <c r="F6" s="6" t="n">
        <v>121178</v>
      </c>
      <c r="G6" s="6" t="n">
        <v>138092</v>
      </c>
      <c r="H6" s="6" t="n">
        <v>85493</v>
      </c>
      <c r="I6" s="6" t="n">
        <v>157397</v>
      </c>
      <c r="J6" s="6" t="n">
        <v>120104</v>
      </c>
      <c r="K6" s="6" t="n">
        <v>149004</v>
      </c>
      <c r="L6" s="6" t="n">
        <v>136700</v>
      </c>
      <c r="M6" s="6" t="n">
        <v>123940</v>
      </c>
    </row>
    <row r="7">
      <c r="A7" s="6" t="inlineStr">
        <is>
          <t>Derivative assets</t>
        </is>
      </c>
      <c r="B7" s="6" t="n">
        <v>993</v>
      </c>
      <c r="C7" s="6" t="n">
        <v>546</v>
      </c>
      <c r="D7" s="6" t="n">
        <v>766</v>
      </c>
      <c r="E7" s="6" t="n">
        <v>42</v>
      </c>
      <c r="F7" s="6" t="n">
        <v>89</v>
      </c>
      <c r="G7" s="6" t="n">
        <v>433</v>
      </c>
      <c r="H7" s="6" t="n">
        <v>254</v>
      </c>
      <c r="I7" s="6" t="n">
        <v>231</v>
      </c>
      <c r="J7" s="6" t="n">
        <v>1140</v>
      </c>
      <c r="K7" s="6" t="n">
        <v>32</v>
      </c>
      <c r="L7" s="6" t="n">
        <v>222</v>
      </c>
      <c r="M7" s="6" t="n">
        <v>15</v>
      </c>
    </row>
    <row r="8">
      <c r="A8" s="6" t="inlineStr">
        <is>
          <t>Loans and advances to customers</t>
        </is>
      </c>
      <c r="B8" s="6" t="n">
        <v>41952</v>
      </c>
      <c r="C8" s="6" t="n">
        <v>28985</v>
      </c>
      <c r="D8" s="6" t="n">
        <v>28332</v>
      </c>
      <c r="E8" s="6" t="n">
        <v>148285</v>
      </c>
      <c r="F8" s="6" t="n">
        <v>162016</v>
      </c>
      <c r="G8" s="6" t="n">
        <v>173173</v>
      </c>
      <c r="H8" s="6" t="n">
        <v>215391</v>
      </c>
      <c r="I8" s="6" t="n">
        <v>211596</v>
      </c>
      <c r="J8" s="6" t="n">
        <v>207964</v>
      </c>
      <c r="K8" s="6" t="n">
        <v>175945</v>
      </c>
      <c r="L8" s="6" t="n">
        <v>167713</v>
      </c>
      <c r="M8" s="6" t="n">
        <v>149257</v>
      </c>
    </row>
    <row r="9">
      <c r="A9" s="6" t="inlineStr">
        <is>
          <t>Financial investments - Amortised Cost</t>
        </is>
      </c>
      <c r="B9" s="6" t="n">
        <v>66165</v>
      </c>
      <c r="C9" s="6" t="n">
        <v>80814</v>
      </c>
      <c r="D9" s="6" t="n">
        <v>82889</v>
      </c>
      <c r="E9" s="6" t="n">
        <v>89665</v>
      </c>
      <c r="F9" s="6" t="n">
        <v>87687</v>
      </c>
      <c r="G9" s="6" t="n"/>
      <c r="H9" s="6" t="n"/>
      <c r="I9" s="6" t="n">
        <v>48545</v>
      </c>
      <c r="J9" s="6" t="n"/>
      <c r="K9" s="6" t="n">
        <v>16846</v>
      </c>
      <c r="L9" s="6" t="n">
        <v>7337</v>
      </c>
      <c r="M9" s="6" t="n"/>
    </row>
    <row r="10">
      <c r="A10" s="6" t="inlineStr">
        <is>
          <t>Financial investments - FVOCI</t>
        </is>
      </c>
      <c r="B10" s="6" t="n">
        <v>63507</v>
      </c>
      <c r="C10" s="6" t="n">
        <v>57583</v>
      </c>
      <c r="D10" s="6" t="n">
        <v>37667</v>
      </c>
      <c r="E10" s="6" t="n">
        <v>43949</v>
      </c>
      <c r="F10" s="6" t="n">
        <v>52020</v>
      </c>
      <c r="G10" s="6" t="n">
        <v>100569</v>
      </c>
      <c r="H10" s="6" t="n">
        <v>131889</v>
      </c>
      <c r="I10" s="6" t="n">
        <v>113678</v>
      </c>
      <c r="J10" s="6" t="n">
        <v>117555</v>
      </c>
      <c r="K10" s="6" t="n">
        <v>144263</v>
      </c>
      <c r="L10" s="6" t="n">
        <v>102378</v>
      </c>
      <c r="M10" s="6" t="n">
        <v>66109</v>
      </c>
    </row>
    <row r="11">
      <c r="A11" s="6" t="inlineStr">
        <is>
          <t>Property, Plant and Equipment</t>
        </is>
      </c>
      <c r="B11" s="6" t="n">
        <v>476</v>
      </c>
      <c r="C11" s="6" t="n">
        <v>578</v>
      </c>
      <c r="D11" s="6" t="n"/>
      <c r="E11" s="6" t="n"/>
      <c r="F11" s="6" t="n"/>
      <c r="G11" s="6" t="n"/>
      <c r="H11" s="6" t="n"/>
      <c r="I11" s="6" t="n">
        <v>426</v>
      </c>
      <c r="J11" s="6" t="n">
        <v>333</v>
      </c>
      <c r="K11" s="6" t="n">
        <v>300</v>
      </c>
      <c r="L11" s="6" t="n">
        <v>226</v>
      </c>
      <c r="M11" s="6" t="n">
        <v>987</v>
      </c>
    </row>
    <row r="12">
      <c r="A12" s="6" t="inlineStr">
        <is>
          <t>Right-of-use Assets</t>
        </is>
      </c>
      <c r="B12" s="6" t="n">
        <v>1192</v>
      </c>
      <c r="C12" s="6" t="n">
        <v>1366</v>
      </c>
      <c r="D12" s="6" t="n"/>
      <c r="E12" s="6" t="n"/>
      <c r="F12" s="6" t="n"/>
      <c r="G12" s="6" t="n"/>
      <c r="H12" s="6" t="n"/>
      <c r="I12" s="6" t="n"/>
      <c r="J12" s="6" t="n"/>
      <c r="K12" s="6" t="n"/>
      <c r="L12" s="6" t="n"/>
      <c r="M12" s="6" t="n"/>
    </row>
    <row r="13">
      <c r="A13" s="6" t="inlineStr">
        <is>
          <t>Property, Plant and Equipment and Right-of-use Assets</t>
        </is>
      </c>
      <c r="B13" s="6" t="n"/>
      <c r="C13" s="6" t="n"/>
      <c r="D13" s="6" t="n">
        <v>1885</v>
      </c>
      <c r="E13" s="6" t="n">
        <v>1496</v>
      </c>
      <c r="F13" s="6" t="n">
        <v>2517</v>
      </c>
      <c r="G13" s="6" t="n">
        <v>3687</v>
      </c>
      <c r="H13" s="6" t="n">
        <v>5363</v>
      </c>
      <c r="I13" s="6" t="n"/>
      <c r="J13" s="6" t="n"/>
      <c r="K13" s="6" t="n"/>
      <c r="L13" s="6" t="n"/>
      <c r="M13" s="6" t="n"/>
    </row>
    <row r="14">
      <c r="A14" s="6" t="inlineStr">
        <is>
          <t>Goodwill</t>
        </is>
      </c>
      <c r="B14" s="6" t="n">
        <v>8766</v>
      </c>
      <c r="C14" s="6" t="n">
        <v>8304</v>
      </c>
      <c r="D14" s="6" t="n"/>
      <c r="E14" s="6" t="n"/>
      <c r="F14" s="6" t="n"/>
      <c r="G14" s="6" t="n"/>
      <c r="H14" s="6" t="n"/>
      <c r="I14" s="6" t="n"/>
      <c r="J14" s="6" t="n"/>
      <c r="K14" s="6" t="n"/>
      <c r="L14" s="6" t="n"/>
      <c r="M14" s="6" t="n"/>
    </row>
    <row r="15">
      <c r="A15" s="6" t="inlineStr">
        <is>
          <t>Other intangible assets</t>
        </is>
      </c>
      <c r="B15" s="6" t="n">
        <v>4969</v>
      </c>
      <c r="C15" s="6" t="n">
        <v>4941</v>
      </c>
      <c r="D15" s="6" t="n"/>
      <c r="E15" s="6" t="n"/>
      <c r="F15" s="6" t="n"/>
      <c r="G15" s="6" t="n"/>
      <c r="H15" s="6" t="n"/>
      <c r="I15" s="6" t="n"/>
      <c r="J15" s="6" t="n"/>
      <c r="K15" s="6" t="n"/>
      <c r="L15" s="6" t="n"/>
      <c r="M15" s="6" t="n"/>
    </row>
    <row r="16">
      <c r="A16" s="6" t="inlineStr">
        <is>
          <t>Goodwill and other intangible assets</t>
        </is>
      </c>
      <c r="B16" s="6" t="n"/>
      <c r="C16" s="6" t="n"/>
      <c r="D16" s="6" t="n">
        <v>12787</v>
      </c>
      <c r="E16" s="6" t="n">
        <v>11561</v>
      </c>
      <c r="F16" s="6" t="n">
        <v>9802</v>
      </c>
      <c r="G16" s="6" t="n">
        <v>10904</v>
      </c>
      <c r="H16" s="6" t="n">
        <v>11182</v>
      </c>
      <c r="I16" s="6" t="n">
        <v>12115</v>
      </c>
      <c r="J16" s="6" t="n">
        <v>11371</v>
      </c>
      <c r="K16" s="6" t="n">
        <v>10310</v>
      </c>
      <c r="L16" s="6" t="n">
        <v>8031</v>
      </c>
      <c r="M16" s="6" t="n">
        <v>7791</v>
      </c>
    </row>
    <row r="17">
      <c r="A17" s="6" t="inlineStr">
        <is>
          <t>Deferred tax assets</t>
        </is>
      </c>
      <c r="B17" s="6" t="n">
        <v>12597</v>
      </c>
      <c r="C17" s="6" t="n">
        <v>13428</v>
      </c>
      <c r="D17" s="6" t="n">
        <v>8822</v>
      </c>
      <c r="E17" s="6" t="n">
        <v>8781</v>
      </c>
      <c r="F17" s="6" t="n">
        <v>8191</v>
      </c>
      <c r="G17" s="6" t="n">
        <v>6626</v>
      </c>
      <c r="H17" s="6" t="n">
        <v>5851</v>
      </c>
      <c r="I17" s="6" t="n">
        <v>6640</v>
      </c>
      <c r="J17" s="6" t="n">
        <v>6531</v>
      </c>
      <c r="K17" s="6" t="n">
        <v>6966</v>
      </c>
      <c r="L17" s="6" t="n">
        <v>6418</v>
      </c>
      <c r="M17" s="6" t="n">
        <v>4893</v>
      </c>
    </row>
    <row r="18">
      <c r="A18" s="6" t="inlineStr">
        <is>
          <t>Other assets</t>
        </is>
      </c>
      <c r="B18" s="6" t="n">
        <v>12616</v>
      </c>
      <c r="C18" s="6" t="n">
        <v>13002</v>
      </c>
      <c r="D18" s="6" t="n">
        <v>12998</v>
      </c>
      <c r="E18" s="6" t="n">
        <v>12396</v>
      </c>
      <c r="F18" s="6" t="n">
        <v>9791</v>
      </c>
      <c r="G18" s="6" t="n">
        <v>8958</v>
      </c>
      <c r="H18" s="6" t="n">
        <v>7717</v>
      </c>
      <c r="I18" s="6" t="n">
        <v>6737</v>
      </c>
      <c r="J18" s="6" t="n">
        <v>8473</v>
      </c>
      <c r="K18" s="6" t="n">
        <v>10713</v>
      </c>
      <c r="L18" s="6" t="n">
        <v>8288</v>
      </c>
      <c r="M18" s="6" t="n">
        <v>10473</v>
      </c>
    </row>
    <row r="19">
      <c r="A19" s="5" t="inlineStr">
        <is>
          <t>Total assets</t>
        </is>
      </c>
      <c r="B19" s="5" t="n">
        <v>328964</v>
      </c>
      <c r="C19" s="5" t="n">
        <v>291532</v>
      </c>
      <c r="D19" s="5" t="n">
        <v>254441</v>
      </c>
      <c r="E19" s="5" t="n">
        <v>452390</v>
      </c>
      <c r="F19" s="5" t="n">
        <v>496686</v>
      </c>
      <c r="G19" s="5" t="n">
        <v>485372</v>
      </c>
      <c r="H19" s="5" t="n">
        <v>466248</v>
      </c>
      <c r="I19" s="5" t="n">
        <v>575063</v>
      </c>
      <c r="J19" s="5" t="n">
        <v>490960</v>
      </c>
      <c r="K19" s="5" t="n">
        <v>527718</v>
      </c>
      <c r="L19" s="5" t="n">
        <v>441682</v>
      </c>
      <c r="M19" s="5" t="n">
        <v>365352</v>
      </c>
    </row>
    <row r="20">
      <c r="A20" s="5" t="inlineStr">
        <is>
          <t>Liabilities</t>
        </is>
      </c>
      <c r="B20" s="6" t="n"/>
      <c r="C20" s="6" t="n"/>
      <c r="D20" s="6" t="n"/>
      <c r="E20" s="6" t="n"/>
      <c r="F20" s="6" t="n"/>
      <c r="G20" s="6" t="n"/>
      <c r="H20" s="6" t="n"/>
      <c r="I20" s="6" t="n"/>
      <c r="J20" s="6" t="n"/>
      <c r="K20" s="6" t="n"/>
      <c r="L20" s="6" t="n"/>
      <c r="M20" s="6" t="n"/>
    </row>
    <row r="21">
      <c r="A21" s="6" t="inlineStr">
        <is>
          <t>Due to banks</t>
        </is>
      </c>
      <c r="B21" s="6" t="n">
        <v>149668</v>
      </c>
      <c r="C21" s="6" t="n">
        <v>153081</v>
      </c>
      <c r="D21" s="6" t="n">
        <v>120940</v>
      </c>
      <c r="E21" s="6" t="n">
        <v>289489</v>
      </c>
      <c r="F21" s="6" t="n">
        <v>297704</v>
      </c>
      <c r="G21" s="6" t="n">
        <v>276280</v>
      </c>
      <c r="H21" s="6" t="n">
        <v>263150</v>
      </c>
      <c r="I21" s="6" t="n">
        <v>367631</v>
      </c>
      <c r="J21" s="6" t="n">
        <v>279739</v>
      </c>
      <c r="K21" s="6" t="n">
        <v>305077</v>
      </c>
      <c r="L21" s="6" t="n">
        <v>264777</v>
      </c>
      <c r="M21" s="6" t="n">
        <v>189419</v>
      </c>
    </row>
    <row r="22">
      <c r="A22" s="6" t="inlineStr">
        <is>
          <t>Derivative liabilities</t>
        </is>
      </c>
      <c r="B22" s="6" t="n">
        <v>26</v>
      </c>
      <c r="C22" s="6" t="n">
        <v>868</v>
      </c>
      <c r="D22" s="6" t="n">
        <v>69</v>
      </c>
      <c r="E22" s="6" t="n">
        <v>502</v>
      </c>
      <c r="F22" s="6" t="n">
        <v>25</v>
      </c>
      <c r="G22" s="6" t="n">
        <v>135</v>
      </c>
      <c r="H22" s="6" t="n">
        <v>34</v>
      </c>
      <c r="I22" s="6" t="n"/>
      <c r="J22" s="6" t="n">
        <v>74</v>
      </c>
      <c r="K22" s="6" t="n">
        <v>1298</v>
      </c>
      <c r="L22" s="6" t="n">
        <v>859</v>
      </c>
      <c r="M22" s="6" t="n">
        <v>4267</v>
      </c>
    </row>
    <row r="23">
      <c r="A23" s="6" t="inlineStr">
        <is>
          <t>Due to customers</t>
        </is>
      </c>
      <c r="B23" s="6" t="n">
        <v>84367</v>
      </c>
      <c r="C23" s="6" t="n">
        <v>44717</v>
      </c>
      <c r="D23" s="6" t="n">
        <v>42227</v>
      </c>
      <c r="E23" s="6" t="n">
        <v>59541</v>
      </c>
      <c r="F23" s="6" t="n">
        <v>92028</v>
      </c>
      <c r="G23" s="6" t="n">
        <v>99556</v>
      </c>
      <c r="H23" s="6" t="n">
        <v>95291</v>
      </c>
      <c r="I23" s="6" t="n">
        <v>109231</v>
      </c>
      <c r="J23" s="6" t="n">
        <v>112349</v>
      </c>
      <c r="K23" s="6" t="n">
        <v>129706</v>
      </c>
      <c r="L23" s="6" t="n">
        <v>98537</v>
      </c>
      <c r="M23" s="6" t="n">
        <v>101419</v>
      </c>
    </row>
    <row r="24">
      <c r="A24" s="6" t="inlineStr">
        <is>
          <t>Other liabilities</t>
        </is>
      </c>
      <c r="B24" s="6" t="n">
        <v>8317</v>
      </c>
      <c r="C24" s="6" t="n">
        <v>9171</v>
      </c>
      <c r="D24" s="6" t="n">
        <v>9623</v>
      </c>
      <c r="E24" s="6" t="n">
        <v>11254</v>
      </c>
      <c r="F24" s="6" t="n">
        <v>9316</v>
      </c>
      <c r="G24" s="6" t="n">
        <v>10641</v>
      </c>
      <c r="H24" s="6" t="n">
        <v>11722</v>
      </c>
      <c r="I24" s="6" t="n">
        <v>6453</v>
      </c>
      <c r="J24" s="6" t="n">
        <v>4837</v>
      </c>
      <c r="K24" s="6" t="n">
        <v>4577</v>
      </c>
      <c r="L24" s="6" t="n">
        <v>3517</v>
      </c>
      <c r="M24" s="6" t="n">
        <v>1785</v>
      </c>
    </row>
    <row r="25">
      <c r="A25" s="6" t="inlineStr">
        <is>
          <t>Provisions</t>
        </is>
      </c>
      <c r="B25" s="6" t="n">
        <v>334</v>
      </c>
      <c r="C25" s="6" t="n">
        <v>700</v>
      </c>
      <c r="D25" s="6" t="n">
        <v>500</v>
      </c>
      <c r="E25" s="6" t="n"/>
      <c r="F25" s="6" t="n"/>
      <c r="G25" s="6" t="n"/>
      <c r="H25" s="6" t="n"/>
      <c r="I25" s="6" t="n"/>
      <c r="J25" s="6" t="n"/>
      <c r="K25" s="6" t="n"/>
      <c r="L25" s="6" t="n"/>
      <c r="M25" s="6" t="n"/>
    </row>
    <row r="26">
      <c r="A26" s="6" t="inlineStr">
        <is>
          <t>Subordinated debt</t>
        </is>
      </c>
      <c r="B26" s="6" t="n">
        <v>15623</v>
      </c>
      <c r="C26" s="6" t="n">
        <v>14824</v>
      </c>
      <c r="D26" s="6" t="n">
        <v>15556</v>
      </c>
      <c r="E26" s="6" t="n">
        <v>15853</v>
      </c>
      <c r="F26" s="6" t="n">
        <v>15032</v>
      </c>
      <c r="G26" s="6" t="n">
        <v>16117</v>
      </c>
      <c r="H26" s="6" t="n">
        <v>15231</v>
      </c>
      <c r="I26" s="6" t="n">
        <v>16294</v>
      </c>
      <c r="J26" s="6" t="n">
        <v>16072</v>
      </c>
      <c r="K26" s="6" t="n">
        <v>15503</v>
      </c>
      <c r="L26" s="6" t="n">
        <v>13316</v>
      </c>
      <c r="M26" s="6" t="n">
        <v>14138</v>
      </c>
    </row>
    <row r="27">
      <c r="A27" s="5" t="inlineStr">
        <is>
          <t>Total liabilities</t>
        </is>
      </c>
      <c r="B27" s="5" t="n">
        <v>258335</v>
      </c>
      <c r="C27" s="5" t="n">
        <v>223361</v>
      </c>
      <c r="D27" s="5" t="n">
        <v>188915</v>
      </c>
      <c r="E27" s="5" t="n">
        <v>376639</v>
      </c>
      <c r="F27" s="5" t="n">
        <v>414105</v>
      </c>
      <c r="G27" s="5" t="n">
        <v>402729</v>
      </c>
      <c r="H27" s="5" t="n">
        <v>385428</v>
      </c>
      <c r="I27" s="5" t="n">
        <v>499609</v>
      </c>
      <c r="J27" s="5" t="n">
        <v>413071</v>
      </c>
      <c r="K27" s="5" t="n">
        <v>456161</v>
      </c>
      <c r="L27" s="5" t="n">
        <v>381006</v>
      </c>
      <c r="M27" s="5" t="n">
        <v>311028</v>
      </c>
    </row>
    <row r="28">
      <c r="A28" s="5" t="inlineStr">
        <is>
          <t>Equity attributable to equity holders</t>
        </is>
      </c>
      <c r="B28" s="6" t="n"/>
      <c r="C28" s="6" t="n"/>
      <c r="D28" s="6" t="n"/>
      <c r="E28" s="6" t="n"/>
      <c r="F28" s="6" t="n"/>
      <c r="G28" s="6" t="n"/>
      <c r="H28" s="6" t="n"/>
      <c r="I28" s="6" t="n"/>
      <c r="J28" s="6" t="n"/>
      <c r="K28" s="6" t="n"/>
      <c r="L28" s="6" t="n"/>
      <c r="M28" s="6" t="n"/>
    </row>
    <row r="29">
      <c r="A29" s="6" t="inlineStr">
        <is>
          <t>Share capital</t>
        </is>
      </c>
      <c r="B29" s="6" t="n">
        <v>102173</v>
      </c>
      <c r="C29" s="6" t="n">
        <v>102173</v>
      </c>
      <c r="D29" s="6" t="n">
        <v>102173</v>
      </c>
      <c r="E29" s="6" t="n">
        <v>102173</v>
      </c>
      <c r="F29" s="6" t="n">
        <v>102173</v>
      </c>
      <c r="G29" s="6" t="n">
        <v>102173</v>
      </c>
      <c r="H29" s="6" t="n">
        <v>102173</v>
      </c>
      <c r="I29" s="6" t="n">
        <v>102173</v>
      </c>
      <c r="J29" s="6" t="n">
        <v>102173</v>
      </c>
      <c r="K29" s="6" t="n">
        <v>102173</v>
      </c>
      <c r="L29" s="6" t="n">
        <v>102173</v>
      </c>
      <c r="M29" s="6" t="n">
        <v>102173</v>
      </c>
    </row>
    <row r="30">
      <c r="A30" s="6" t="inlineStr">
        <is>
          <t>Other reserves</t>
        </is>
      </c>
      <c r="B30" s="6" t="n">
        <v>-1303</v>
      </c>
      <c r="C30" s="6" t="n">
        <v>-1488</v>
      </c>
      <c r="D30" s="6" t="n">
        <v>-2354</v>
      </c>
      <c r="E30" s="6" t="n">
        <v>-6845</v>
      </c>
      <c r="F30" s="6" t="n">
        <v>-3854</v>
      </c>
      <c r="G30" s="6" t="n">
        <v>1890</v>
      </c>
      <c r="H30" s="6" t="n">
        <v>1172</v>
      </c>
      <c r="I30" s="6" t="n">
        <v>-1538</v>
      </c>
      <c r="J30" s="6" t="n">
        <v>130</v>
      </c>
      <c r="K30" s="6" t="n">
        <v>-692</v>
      </c>
      <c r="L30" s="6" t="n">
        <v>-2989</v>
      </c>
      <c r="M30" s="6" t="n">
        <v>-2635</v>
      </c>
    </row>
    <row r="31">
      <c r="A31" s="6" t="inlineStr">
        <is>
          <t>Accumulated losses</t>
        </is>
      </c>
      <c r="B31" s="6" t="n">
        <v>-30241</v>
      </c>
      <c r="C31" s="6" t="n">
        <v>-32514</v>
      </c>
      <c r="D31" s="6" t="n">
        <v>-34293</v>
      </c>
      <c r="E31" s="6" t="n">
        <v>-19577</v>
      </c>
      <c r="F31" s="6" t="n">
        <v>-15738</v>
      </c>
      <c r="G31" s="6" t="n">
        <v>-21420</v>
      </c>
      <c r="H31" s="6" t="n">
        <v>-22525</v>
      </c>
      <c r="I31" s="6" t="n">
        <v>-25181</v>
      </c>
      <c r="J31" s="6" t="n">
        <v>-24414</v>
      </c>
      <c r="K31" s="6" t="n">
        <v>-29924</v>
      </c>
      <c r="L31" s="6" t="n">
        <v>-38508</v>
      </c>
      <c r="M31" s="6" t="n">
        <v>-45214</v>
      </c>
    </row>
    <row r="32">
      <c r="A32" s="5" t="inlineStr">
        <is>
          <t>Total equity</t>
        </is>
      </c>
      <c r="B32" s="5" t="n">
        <v>70629</v>
      </c>
      <c r="C32" s="5" t="n">
        <v>68171</v>
      </c>
      <c r="D32" s="5" t="n">
        <v>65526</v>
      </c>
      <c r="E32" s="5" t="n">
        <v>75751</v>
      </c>
      <c r="F32" s="5" t="n">
        <v>82581</v>
      </c>
      <c r="G32" s="5" t="n">
        <v>82643</v>
      </c>
      <c r="H32" s="5" t="n">
        <v>80820</v>
      </c>
      <c r="I32" s="5" t="n">
        <v>75454</v>
      </c>
      <c r="J32" s="5" t="n">
        <v>77889</v>
      </c>
      <c r="K32" s="5" t="n">
        <v>71557</v>
      </c>
      <c r="L32" s="5" t="n">
        <v>60676</v>
      </c>
      <c r="M32" s="5" t="n">
        <v>54324</v>
      </c>
    </row>
    <row r="33">
      <c r="A33" s="5" t="inlineStr">
        <is>
          <t>Total liabilities and equity</t>
        </is>
      </c>
      <c r="B33" s="5" t="n">
        <v>328964</v>
      </c>
      <c r="C33" s="5" t="n">
        <v>291532</v>
      </c>
      <c r="D33" s="5" t="n">
        <v>254441</v>
      </c>
      <c r="E33" s="5" t="n">
        <v>452390</v>
      </c>
      <c r="F33" s="5" t="n">
        <v>496686</v>
      </c>
      <c r="G33" s="5" t="n">
        <v>485372</v>
      </c>
      <c r="H33" s="5" t="n">
        <v>466248</v>
      </c>
      <c r="I33" s="5" t="n">
        <v>575063</v>
      </c>
      <c r="J33" s="5" t="n">
        <v>490960</v>
      </c>
      <c r="K33" s="5" t="n">
        <v>527718</v>
      </c>
      <c r="L33" s="5" t="n">
        <v>441682</v>
      </c>
      <c r="M33" s="5" t="n">
        <v>365352</v>
      </c>
    </row>
    <row r="35" ht="351" customHeight="1">
      <c r="A35" s="8" t="inlineStr">
        <is>
          <t>Sources - Bank of Africa United Kingdom Plc's own Statement of Financial Position, GBP'000:
FY2025 &amp; FY2024: Annual Report and Financial Statements 2025, p.40 - https://find-and-update.company-information.service.gov.uk/company/05321714/filing-history/MzUxODk4NzcyM2FkaXF6a2N4/document?format=pdf&amp;download=0
FY2023 (&amp; FY2022 restated comparative, not used - see note): Annual Report and Financial Statements 2023, p.41 - https://find-and-update.company-information.service.gov.uk/company/05321714/filing-history/MzQzODczNDQ5OWFkaXF6a2N4/document?format=pdf&amp;download=0
FY2022 (originally reported, used as primary column): Annual Report and Financial Statements 2022, p.40 - https://find-and-update.company-information.service.gov.uk/company/05321714/filing-history/MzM5NDE3NzEwN2FkaXF6a2N4/document?format=pdf&amp;download=0
FY2021: Annual Report and Financial Statements 2022, p.40 (FY2021 comparative column) - https://find-and-update.company-information.service.gov.uk/company/05321714/filing-history/MzM5NDE3NzEwN2FkaXF6a2N4/document?format=pdf&amp;download=0
FY2020 (&amp; FY2019 restated comparative, used as primary column - see note): Annual Report and Financial Statements 2020, p.25 - https://find-and-update.company-information.service.gov.uk/company/05321714/filing-history/MzMyODY1ODY3N2FkaXF6a2N4/document?format=pdf&amp;download=0
FY2018 (&amp; FY2017 comparative, used as primary column): Annual Report and Financial Statements 2018, p.25 - https://find-and-update.company-information.service.gov.uk/company/05321714/filing-history/MzIzNTgyNTYxOWFkaXF6a2N4/document?format=pdf&amp;download=0
FY2017: Annual Report and Financial Statements 2017, p.25 (own primary column) - https://find-and-update.company-information.service.gov.uk/company/05321714/filing-history/MzIwMzc5MjgxOGFkaXF6a2N4/document?format=pdf&amp;download=0
FY2016 (&amp; FY2015 comparative, used as primary column): Annual Report and Financial Statements 2016, p.20 - https://find-and-update.company-information.service.gov.uk/company/05321714/filing-history/MzE3NDg0MjU5MGFkaXF6a2N4/document?format=pdf&amp;download=0
FY2014: Annual Report and Financial Statements 2014, p.17 - https://find-and-update.company-information.service.gov.uk/company/05321714/filing-history/MzEyMjYyNzE2M2FkaXF6a2N4/document?format=pdf&amp;download=0
PRESENTATION NOTE: FY2025/FY2024 (Annual Report 2025) split Property, Plant and Equipment and Right-of-use Assets, and Goodwill and Other intangible assets, into separate lines; FY2023 (Annual Report 2023) and FY2022/FY2021/FY2020/FY2019 combine each of those pairs into a single 'Property, Plant and Equipment and Right-of-use Assets' line and a single 'Goodwill and other intangible assets' line - reproduced here as originally disclosed rather than artificially split. FY2023-2025 include a 'Provisions' line (introduced FY2023); FY2021-2022 have none. FY2025's Balance Sheet folds Collateral held with third parties into Other assets (same convention as the other statement sheets in this workbook). HD-017 extension: FY2018-FY2014 predate IFRS 16 (adopted 1 January 2019) so have no Right-of-use Assets line at all - their 'Property and equipment' values are shown on this sheet's 'Property, Plant and Equipment' row (a pure-PPE figure, not combined with ROU, since none exists for those years). FY2016/FY2015 (Annual Report 2016) and FY2018 (Annual Report 2018) still separately disclose 'Financial investments - held to maturity'/'- Amortised cost' alongside '- available for sale'/'- FVOCI' - both map onto this sheet's existing Amortised Cost / FVOCI rows (the same underlying categories under IAS 39 and IFRS 9 respectively); FY2020/FY2019/FY2017/FY2014 disclose only the FVOCI/AFS category (no amortised-cost/HTM holdings those years - left blank, not zero, since the category is simply absent from the source balance sheet).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t>
        </is>
      </c>
    </row>
    <row r="37" ht="220" customHeight="1">
      <c r="A37" s="8" t="inlineStr">
        <is>
          <t>(continued)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2">
    <mergeCell ref="A37:M37"/>
    <mergeCell ref="A35:M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Statement of Profit or Loss</t>
        </is>
      </c>
    </row>
    <row r="2">
      <c r="A2" s="2" t="inlineStr">
        <is>
          <t>Entity-level (solo) basis,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Income</t>
        </is>
      </c>
      <c r="B4" s="6" t="n"/>
      <c r="C4" s="6" t="n"/>
      <c r="D4" s="6" t="n"/>
      <c r="E4" s="6" t="n"/>
      <c r="F4" s="6" t="n"/>
      <c r="G4" s="6" t="n"/>
      <c r="H4" s="6" t="n"/>
      <c r="I4" s="6" t="n"/>
      <c r="J4" s="6" t="n"/>
      <c r="K4" s="6" t="n"/>
      <c r="L4" s="6" t="n"/>
      <c r="M4" s="6" t="n"/>
    </row>
    <row r="5">
      <c r="A5" s="6" t="inlineStr">
        <is>
          <t>Interest and similar income</t>
        </is>
      </c>
      <c r="B5" s="6" t="n">
        <v>12676</v>
      </c>
      <c r="C5" s="6" t="n">
        <v>12402</v>
      </c>
      <c r="D5" s="6" t="n">
        <v>17701</v>
      </c>
      <c r="E5" s="6" t="n">
        <v>21817</v>
      </c>
      <c r="F5" s="6" t="n">
        <v>21793</v>
      </c>
      <c r="G5" s="6" t="n">
        <v>22036</v>
      </c>
      <c r="H5" s="6" t="n">
        <v>25094</v>
      </c>
      <c r="I5" s="6" t="n">
        <v>23532</v>
      </c>
      <c r="J5" s="6" t="n">
        <v>21034</v>
      </c>
      <c r="K5" s="6" t="n">
        <v>19038</v>
      </c>
      <c r="L5" s="6" t="n">
        <v>14664</v>
      </c>
      <c r="M5" s="6" t="n">
        <v>8221</v>
      </c>
    </row>
    <row r="6">
      <c r="A6" s="6" t="inlineStr">
        <is>
          <t>Interest expense and similar charges</t>
        </is>
      </c>
      <c r="B6" s="6" t="n">
        <v>-5587</v>
      </c>
      <c r="C6" s="6" t="n">
        <v>-6728</v>
      </c>
      <c r="D6" s="6" t="n">
        <v>-10927</v>
      </c>
      <c r="E6" s="6" t="n">
        <v>-6747</v>
      </c>
      <c r="F6" s="6" t="n">
        <v>-3212</v>
      </c>
      <c r="G6" s="6" t="n">
        <v>-4068</v>
      </c>
      <c r="H6" s="6" t="n">
        <v>-8425</v>
      </c>
      <c r="I6" s="6" t="n">
        <v>-6766</v>
      </c>
      <c r="J6" s="6" t="n">
        <v>-4586</v>
      </c>
      <c r="K6" s="6" t="n">
        <v>-3930</v>
      </c>
      <c r="L6" s="6" t="n">
        <v>-1683</v>
      </c>
      <c r="M6" s="6" t="n">
        <v>-1022</v>
      </c>
    </row>
    <row r="7">
      <c r="A7" s="5" t="inlineStr">
        <is>
          <t>Net interest income</t>
        </is>
      </c>
      <c r="B7" s="5" t="n">
        <v>7089</v>
      </c>
      <c r="C7" s="5" t="n">
        <v>5674</v>
      </c>
      <c r="D7" s="5" t="n">
        <v>6774</v>
      </c>
      <c r="E7" s="5" t="n">
        <v>15070</v>
      </c>
      <c r="F7" s="5" t="n">
        <v>18581</v>
      </c>
      <c r="G7" s="5" t="n">
        <v>17968</v>
      </c>
      <c r="H7" s="5" t="n">
        <v>16669</v>
      </c>
      <c r="I7" s="5" t="n">
        <v>16766</v>
      </c>
      <c r="J7" s="5" t="n">
        <v>16448</v>
      </c>
      <c r="K7" s="5" t="n">
        <v>15108</v>
      </c>
      <c r="L7" s="5" t="n">
        <v>12981</v>
      </c>
      <c r="M7" s="5" t="n">
        <v>7199</v>
      </c>
    </row>
    <row r="8">
      <c r="A8" s="6" t="inlineStr">
        <is>
          <t>Fee and commission income</t>
        </is>
      </c>
      <c r="B8" s="6" t="n">
        <v>3193</v>
      </c>
      <c r="C8" s="6" t="n">
        <v>3678</v>
      </c>
      <c r="D8" s="6" t="n">
        <v>3691</v>
      </c>
      <c r="E8" s="6" t="n">
        <v>3034</v>
      </c>
      <c r="F8" s="6" t="n">
        <v>3193</v>
      </c>
      <c r="G8" s="6" t="n">
        <v>2149</v>
      </c>
      <c r="H8" s="6" t="n">
        <v>1622</v>
      </c>
      <c r="I8" s="6" t="n">
        <v>2728</v>
      </c>
      <c r="J8" s="6" t="n">
        <v>2668</v>
      </c>
      <c r="K8" s="6" t="n">
        <v>3889</v>
      </c>
      <c r="L8" s="6" t="n">
        <v>3170</v>
      </c>
      <c r="M8" s="6" t="n">
        <v>5351</v>
      </c>
    </row>
    <row r="9">
      <c r="A9" s="6" t="inlineStr">
        <is>
          <t>Fee and commission expense</t>
        </is>
      </c>
      <c r="B9" s="6" t="n">
        <v>-958</v>
      </c>
      <c r="C9" s="6" t="n">
        <v>-1332</v>
      </c>
      <c r="D9" s="6" t="n">
        <v>-2532</v>
      </c>
      <c r="E9" s="6" t="n">
        <v>-1632</v>
      </c>
      <c r="F9" s="6" t="n">
        <v>-1526</v>
      </c>
      <c r="G9" s="6" t="n">
        <v>-2229</v>
      </c>
      <c r="H9" s="6" t="n">
        <v>-2107</v>
      </c>
      <c r="I9" s="6" t="n">
        <v>-2147</v>
      </c>
      <c r="J9" s="6" t="n">
        <v>-1653</v>
      </c>
      <c r="K9" s="6" t="n">
        <v>-1487</v>
      </c>
      <c r="L9" s="6" t="n">
        <v>-1310</v>
      </c>
      <c r="M9" s="6" t="n">
        <v>-241</v>
      </c>
    </row>
    <row r="10">
      <c r="A10" s="5" t="inlineStr">
        <is>
          <t>Net fee and commission income</t>
        </is>
      </c>
      <c r="B10" s="5" t="n">
        <v>2235</v>
      </c>
      <c r="C10" s="5" t="n">
        <v>2346</v>
      </c>
      <c r="D10" s="5" t="n">
        <v>1159</v>
      </c>
      <c r="E10" s="5" t="n">
        <v>1402</v>
      </c>
      <c r="F10" s="5" t="n">
        <v>1667</v>
      </c>
      <c r="G10" s="5" t="n">
        <v>-80</v>
      </c>
      <c r="H10" s="5" t="n">
        <v>-485</v>
      </c>
      <c r="I10" s="5" t="n">
        <v>581</v>
      </c>
      <c r="J10" s="5" t="n">
        <v>1015</v>
      </c>
      <c r="K10" s="5" t="n">
        <v>2402</v>
      </c>
      <c r="L10" s="5" t="n">
        <v>1860</v>
      </c>
      <c r="M10" s="5" t="n">
        <v>5110</v>
      </c>
    </row>
    <row r="11">
      <c r="A11" s="6" t="inlineStr">
        <is>
          <t>Net trading income/(expense)</t>
        </is>
      </c>
      <c r="B11" s="6" t="n">
        <v>716</v>
      </c>
      <c r="C11" s="6" t="n">
        <v>578</v>
      </c>
      <c r="D11" s="6" t="n">
        <v>-4039</v>
      </c>
      <c r="E11" s="6" t="n">
        <v>3000</v>
      </c>
      <c r="F11" s="6" t="n">
        <v>4298</v>
      </c>
      <c r="G11" s="6" t="n">
        <v>750</v>
      </c>
      <c r="H11" s="6" t="n">
        <v>4261</v>
      </c>
      <c r="I11" s="6" t="n">
        <v>105</v>
      </c>
      <c r="J11" s="6" t="n">
        <v>2898</v>
      </c>
      <c r="K11" s="6" t="n">
        <v>2530</v>
      </c>
      <c r="L11" s="6" t="n">
        <v>1065</v>
      </c>
      <c r="M11" s="6" t="n">
        <v>1487</v>
      </c>
    </row>
    <row r="12">
      <c r="A12" s="6" t="inlineStr">
        <is>
          <t>Other operating income</t>
        </is>
      </c>
      <c r="B12" s="6" t="n"/>
      <c r="C12" s="6" t="n"/>
      <c r="D12" s="6" t="n">
        <v>284</v>
      </c>
      <c r="E12" s="6" t="n">
        <v>33</v>
      </c>
      <c r="F12" s="6" t="n">
        <v>51</v>
      </c>
      <c r="G12" s="6" t="n">
        <v>69</v>
      </c>
      <c r="H12" s="6" t="n">
        <v>979</v>
      </c>
      <c r="I12" s="6" t="n">
        <v>16</v>
      </c>
      <c r="J12" s="6" t="n">
        <v>-31</v>
      </c>
      <c r="K12" s="6" t="n">
        <v>538</v>
      </c>
      <c r="L12" s="6" t="n">
        <v>258</v>
      </c>
      <c r="M12" s="6" t="n">
        <v>352</v>
      </c>
    </row>
    <row r="13">
      <c r="A13" s="5" t="inlineStr">
        <is>
          <t>Net operating income</t>
        </is>
      </c>
      <c r="B13" s="5" t="n">
        <v>10040</v>
      </c>
      <c r="C13" s="5" t="n">
        <v>8598</v>
      </c>
      <c r="D13" s="5" t="n">
        <v>4178</v>
      </c>
      <c r="E13" s="5" t="n">
        <v>19505</v>
      </c>
      <c r="F13" s="5" t="n">
        <v>24597</v>
      </c>
      <c r="G13" s="5" t="n">
        <v>18707</v>
      </c>
      <c r="H13" s="5" t="n">
        <v>21424</v>
      </c>
      <c r="I13" s="5" t="n">
        <v>17468</v>
      </c>
      <c r="J13" s="5" t="n">
        <v>20330</v>
      </c>
      <c r="K13" s="5" t="n">
        <v>20578</v>
      </c>
      <c r="L13" s="5" t="n">
        <v>16164</v>
      </c>
      <c r="M13" s="5" t="n">
        <v>14148</v>
      </c>
    </row>
    <row r="14">
      <c r="A14" s="5" t="inlineStr">
        <is>
          <t>Operating expenses</t>
        </is>
      </c>
      <c r="B14" s="6" t="n"/>
      <c r="C14" s="6" t="n"/>
      <c r="D14" s="6" t="n"/>
      <c r="E14" s="6" t="n"/>
      <c r="F14" s="6" t="n"/>
      <c r="G14" s="6" t="n"/>
      <c r="H14" s="6" t="n"/>
      <c r="I14" s="6" t="n"/>
      <c r="J14" s="6" t="n"/>
      <c r="K14" s="6" t="n"/>
      <c r="L14" s="6" t="n"/>
      <c r="M14" s="6" t="n"/>
    </row>
    <row r="15">
      <c r="A15" s="6" t="inlineStr">
        <is>
          <t>Personnel expenses</t>
        </is>
      </c>
      <c r="B15" s="6" t="n">
        <v>-7191</v>
      </c>
      <c r="C15" s="6" t="n">
        <v>-7054</v>
      </c>
      <c r="D15" s="6" t="n">
        <v>-8648</v>
      </c>
      <c r="E15" s="6" t="n">
        <v>-10282</v>
      </c>
      <c r="F15" s="6" t="n">
        <v>-8982</v>
      </c>
      <c r="G15" s="6" t="n">
        <v>-8236</v>
      </c>
      <c r="H15" s="6" t="n">
        <v>-7082</v>
      </c>
      <c r="I15" s="6" t="n">
        <v>-6201</v>
      </c>
      <c r="J15" s="6" t="n">
        <v>-6163</v>
      </c>
      <c r="K15" s="6" t="n">
        <v>-5983</v>
      </c>
      <c r="L15" s="6" t="n">
        <v>-4945</v>
      </c>
      <c r="M15" s="6" t="n">
        <v>-4268</v>
      </c>
    </row>
    <row r="16">
      <c r="A16" s="6" t="inlineStr">
        <is>
          <t>Redundancy cost</t>
        </is>
      </c>
      <c r="B16" s="6" t="n"/>
      <c r="C16" s="6" t="n"/>
      <c r="D16" s="6" t="n">
        <v>-765</v>
      </c>
      <c r="E16" s="6" t="n"/>
      <c r="F16" s="6" t="n"/>
      <c r="G16" s="6" t="n"/>
      <c r="H16" s="6" t="n"/>
      <c r="I16" s="6" t="n"/>
      <c r="J16" s="6" t="n"/>
      <c r="K16" s="6" t="n"/>
      <c r="L16" s="6" t="n"/>
      <c r="M16" s="6" t="n"/>
    </row>
    <row r="17">
      <c r="A17" s="6" t="inlineStr">
        <is>
          <t>Depreciation on property, plant and equipment</t>
        </is>
      </c>
      <c r="B17" s="6" t="n">
        <v>-180</v>
      </c>
      <c r="C17" s="6" t="n">
        <v>-111</v>
      </c>
      <c r="D17" s="6" t="n"/>
      <c r="E17" s="6" t="n"/>
      <c r="F17" s="6" t="n"/>
      <c r="G17" s="6" t="n"/>
      <c r="H17" s="6" t="n"/>
      <c r="I17" s="6" t="n">
        <v>-172</v>
      </c>
      <c r="J17" s="6" t="n">
        <v>-111</v>
      </c>
      <c r="K17" s="6" t="n">
        <v>-71</v>
      </c>
      <c r="L17" s="6" t="n">
        <v>-119</v>
      </c>
      <c r="M17" s="6" t="n">
        <v>-249</v>
      </c>
    </row>
    <row r="18">
      <c r="A18" s="6" t="inlineStr">
        <is>
          <t>Depreciation on right-of-use assets</t>
        </is>
      </c>
      <c r="B18" s="6" t="n">
        <v>-211</v>
      </c>
      <c r="C18" s="6" t="n">
        <v>-658</v>
      </c>
      <c r="D18" s="6" t="n"/>
      <c r="E18" s="6" t="n"/>
      <c r="F18" s="6" t="n"/>
      <c r="G18" s="6" t="n"/>
      <c r="H18" s="6" t="n"/>
      <c r="I18" s="6" t="n"/>
      <c r="J18" s="6" t="n"/>
      <c r="K18" s="6" t="n"/>
      <c r="L18" s="6" t="n"/>
      <c r="M18" s="6" t="n"/>
    </row>
    <row r="19">
      <c r="A19" s="6" t="inlineStr">
        <is>
          <t>Depreciation of property, plant and equipment; and right-of-use assets</t>
        </is>
      </c>
      <c r="B19" s="6" t="n"/>
      <c r="C19" s="6" t="n"/>
      <c r="D19" s="6" t="n">
        <v>-976</v>
      </c>
      <c r="E19" s="6" t="n">
        <v>-1244</v>
      </c>
      <c r="F19" s="6" t="n">
        <v>-1236</v>
      </c>
      <c r="G19" s="6" t="n">
        <v>-1244</v>
      </c>
      <c r="H19" s="6" t="n">
        <v>-809</v>
      </c>
      <c r="I19" s="6" t="n"/>
      <c r="J19" s="6" t="n"/>
      <c r="K19" s="6" t="n"/>
      <c r="L19" s="6" t="n"/>
      <c r="M19" s="6" t="n"/>
    </row>
    <row r="20">
      <c r="A20" s="6" t="inlineStr">
        <is>
          <t>Amortisation of intangible assets</t>
        </is>
      </c>
      <c r="B20" s="6" t="n">
        <v>-826</v>
      </c>
      <c r="C20" s="6" t="n">
        <v>-730</v>
      </c>
      <c r="D20" s="6" t="n">
        <v>-459</v>
      </c>
      <c r="E20" s="6" t="n">
        <v>-461</v>
      </c>
      <c r="F20" s="6" t="n">
        <v>-653</v>
      </c>
      <c r="G20" s="6" t="n">
        <v>-852</v>
      </c>
      <c r="H20" s="6" t="n">
        <v>-761</v>
      </c>
      <c r="I20" s="6" t="n">
        <v>-707</v>
      </c>
      <c r="J20" s="6" t="n">
        <v>-508</v>
      </c>
      <c r="K20" s="6" t="n">
        <v>-135</v>
      </c>
      <c r="L20" s="6" t="n">
        <v>-30</v>
      </c>
      <c r="M20" s="6" t="n">
        <v>0</v>
      </c>
    </row>
    <row r="21">
      <c r="A21" s="6" t="inlineStr">
        <is>
          <t>Other operating expenses</t>
        </is>
      </c>
      <c r="B21" s="6" t="n">
        <v>-2251</v>
      </c>
      <c r="C21" s="6" t="n">
        <v>-6351</v>
      </c>
      <c r="D21" s="6" t="n">
        <v>-6814</v>
      </c>
      <c r="E21" s="6" t="n">
        <v>-7471</v>
      </c>
      <c r="F21" s="6" t="n">
        <v>-7018</v>
      </c>
      <c r="G21" s="6" t="n">
        <v>-6519</v>
      </c>
      <c r="H21" s="6" t="n">
        <v>-8025</v>
      </c>
      <c r="I21" s="6" t="n">
        <v>-7820</v>
      </c>
      <c r="J21" s="6" t="n">
        <v>-5231</v>
      </c>
      <c r="K21" s="6" t="n">
        <v>-4443</v>
      </c>
      <c r="L21" s="6" t="n">
        <v>-5408</v>
      </c>
      <c r="M21" s="6" t="n">
        <v>-3442</v>
      </c>
    </row>
    <row r="22">
      <c r="A22" s="5" t="inlineStr">
        <is>
          <t>Total operating expenses</t>
        </is>
      </c>
      <c r="B22" s="5" t="n">
        <v>-10659</v>
      </c>
      <c r="C22" s="5" t="n">
        <v>-14904</v>
      </c>
      <c r="D22" s="5" t="n">
        <v>-17662</v>
      </c>
      <c r="E22" s="5" t="n">
        <v>-19458</v>
      </c>
      <c r="F22" s="5" t="n">
        <v>-17889</v>
      </c>
      <c r="G22" s="5" t="n">
        <v>-16851</v>
      </c>
      <c r="H22" s="5" t="n">
        <v>-16677</v>
      </c>
      <c r="I22" s="5" t="n">
        <v>-14900</v>
      </c>
      <c r="J22" s="5" t="n">
        <v>-12012</v>
      </c>
      <c r="K22" s="5" t="n">
        <v>-10632</v>
      </c>
      <c r="L22" s="5" t="n">
        <v>-10502</v>
      </c>
      <c r="M22" s="5" t="n">
        <v>-7959</v>
      </c>
    </row>
    <row r="23">
      <c r="A23" s="6" t="inlineStr">
        <is>
          <t>Net impairment gain/(losses)</t>
        </is>
      </c>
      <c r="B23" s="6" t="n">
        <v>3723</v>
      </c>
      <c r="C23" s="6" t="n">
        <v>3482</v>
      </c>
      <c r="D23" s="6" t="n">
        <v>-420</v>
      </c>
      <c r="E23" s="6" t="n">
        <v>-5325</v>
      </c>
      <c r="F23" s="6" t="n">
        <v>-1648</v>
      </c>
      <c r="G23" s="6" t="n">
        <v>-1759</v>
      </c>
      <c r="H23" s="6" t="n">
        <v>-865</v>
      </c>
      <c r="I23" s="6" t="n">
        <v>-104</v>
      </c>
      <c r="J23" s="6" t="n">
        <v>-1510</v>
      </c>
      <c r="K23" s="6" t="n">
        <v>-886</v>
      </c>
      <c r="L23" s="6" t="n">
        <v>1143</v>
      </c>
      <c r="M23" s="6" t="n">
        <v>-1361</v>
      </c>
    </row>
    <row r="24">
      <c r="A24" s="5" t="inlineStr">
        <is>
          <t>Profit/(Loss) before tax</t>
        </is>
      </c>
      <c r="B24" s="5" t="n">
        <v>3104</v>
      </c>
      <c r="C24" s="5" t="n">
        <v>-2824</v>
      </c>
      <c r="D24" s="5" t="n">
        <v>-13904</v>
      </c>
      <c r="E24" s="5" t="n">
        <v>-5278</v>
      </c>
      <c r="F24" s="5" t="n">
        <v>5060</v>
      </c>
      <c r="G24" s="5" t="n">
        <v>97</v>
      </c>
      <c r="H24" s="5" t="n">
        <v>3882</v>
      </c>
      <c r="I24" s="5" t="n">
        <v>2464</v>
      </c>
      <c r="J24" s="5" t="n">
        <v>6808</v>
      </c>
      <c r="K24" s="5" t="n">
        <v>9060</v>
      </c>
      <c r="L24" s="5" t="n">
        <v>6805</v>
      </c>
      <c r="M24" s="5" t="n">
        <v>4828</v>
      </c>
    </row>
    <row r="25">
      <c r="A25" s="6" t="inlineStr">
        <is>
          <t>Taxation credit/(expense)</t>
        </is>
      </c>
      <c r="B25" s="6" t="n">
        <v>-831</v>
      </c>
      <c r="C25" s="6" t="n">
        <v>4603</v>
      </c>
      <c r="D25" s="6" t="n">
        <v>-95</v>
      </c>
      <c r="E25" s="6" t="n">
        <v>1439</v>
      </c>
      <c r="F25" s="6" t="n">
        <v>622</v>
      </c>
      <c r="G25" s="6" t="n">
        <v>1000</v>
      </c>
      <c r="H25" s="6" t="n">
        <v>-1260</v>
      </c>
      <c r="I25" s="6" t="n">
        <v>-295</v>
      </c>
      <c r="J25" s="6" t="n">
        <v>-1298</v>
      </c>
      <c r="K25" s="6" t="n">
        <v>-476</v>
      </c>
      <c r="L25" s="6" t="n">
        <v>990</v>
      </c>
      <c r="M25" s="6" t="n">
        <v>880</v>
      </c>
    </row>
    <row r="26">
      <c r="A26" s="6" t="inlineStr">
        <is>
          <t>Profit from discontinued activity</t>
        </is>
      </c>
      <c r="B26" s="6" t="n"/>
      <c r="C26" s="6" t="n"/>
      <c r="D26" s="6" t="n"/>
      <c r="E26" s="6" t="n"/>
      <c r="F26" s="6" t="n"/>
      <c r="G26" s="6" t="n"/>
      <c r="H26" s="6" t="n"/>
      <c r="I26" s="6" t="n"/>
      <c r="J26" s="6" t="n"/>
      <c r="K26" s="6" t="n"/>
      <c r="L26" s="6" t="n"/>
      <c r="M26" s="6" t="n">
        <v>0</v>
      </c>
    </row>
    <row r="27">
      <c r="A27" s="5" t="inlineStr">
        <is>
          <t>Profit/(Loss) for the year</t>
        </is>
      </c>
      <c r="B27" s="5" t="n">
        <v>2273</v>
      </c>
      <c r="C27" s="5" t="n">
        <v>1779</v>
      </c>
      <c r="D27" s="5" t="n">
        <v>-13999</v>
      </c>
      <c r="E27" s="5" t="n">
        <v>-3839</v>
      </c>
      <c r="F27" s="5" t="n">
        <v>5682</v>
      </c>
      <c r="G27" s="5" t="n">
        <v>1097</v>
      </c>
      <c r="H27" s="5" t="n">
        <v>2622</v>
      </c>
      <c r="I27" s="5" t="n">
        <v>2169</v>
      </c>
      <c r="J27" s="5" t="n">
        <v>5510</v>
      </c>
      <c r="K27" s="5" t="n">
        <v>8584</v>
      </c>
      <c r="L27" s="5" t="n">
        <v>7795</v>
      </c>
      <c r="M27" s="5" t="n">
        <v>5708</v>
      </c>
    </row>
    <row r="29" ht="351" customHeight="1">
      <c r="A29" s="8" t="inlineStr">
        <is>
          <t>Sources - Bank of Africa United Kingdom Plc's own Statement of Profit or Loss, GBP'000:
FY2025 &amp; FY2024: Annual Report and Financial Statements 2025, p.38 - https://find-and-update.company-information.service.gov.uk/company/05321714/filing-history/MzUxODk4NzcyM2FkaXF6a2N4/document?format=pdf&amp;download=0
FY2023 (&amp; FY2022 restated comparative, not used - see note): Annual Report and Financial Statements 2023, p.39 - https://find-and-update.company-information.service.gov.uk/company/05321714/filing-history/MzQzODczNDQ5OWFkaXF6a2N4/document?format=pdf&amp;download=0
FY2022 (originally reported, used as primary column): Annual Report and Financial Statements 2022, p.38 - https://find-and-update.company-information.service.gov.uk/company/05321714/filing-history/MzM5NDE3NzEwN2FkaXF6a2N4/document?format=pdf&amp;download=0
FY2021: Annual Report and Financial Statements 2022, p.38 (FY2021 comparative column) - https://find-and-update.company-information.service.gov.uk/company/05321714/filing-history/MzM5NDE3NzEwN2FkaXF6a2N4/document?format=pdf&amp;download=0
FY2020 (&amp; FY2019 restated comparative, used as primary column - see note): Annual Report and Financial Statements 2020, p.30 - https://find-and-update.company-information.service.gov.uk/company/05321714/filing-history/MzMyODY1ODY3N2FkaXF6a2N4/document?format=pdf&amp;download=0
FY2018: Annual Report and Financial Statements 2018, p.23 - https://find-and-update.company-information.service.gov.uk/company/05321714/filing-history/MzIzNTgyNTYxOWFkaXF6a2N4/document?format=pdf&amp;download=0
FY2017 (own primary column, not the FY2018 Annual Report's restated comparative - see note): Annual Report and Financial Statements 2017, p.23 - https://find-and-update.company-information.service.gov.uk/company/05321714/filing-history/MzIwMzc5MjgxOGFkaXF6a2N4/document?format=pdf&amp;download=0
FY2016 (&amp; FY2015 comparative, used as primary column): Annual Report and Financial Statements 2016, p.18 - https://find-and-update.company-information.service.gov.uk/company/05321714/filing-history/MzE3NDg0MjU5MGFkaXF6a2N4/document?format=pdf&amp;download=0
FY2014: Annual Report and Financial Statements 2014, p.15 - https://find-and-update.company-information.service.gov.uk/company/05321714/filing-history/MzEyMjYyNzE2M2FkaXF6a2N4/document?format=pdf&amp;download=0
PRESENTATION NOTE: FY2025/FY2024 (Annual Report 2025) reach 'Net operating income' via Net interest income + Net fee and commission income + Net trading income (no separate 'Other operating income' line), then 'Total operating expenses' followed by a 'Net impairment gain/(loss)' line to reach Profit/(Loss) before tax. FY2023 (Annual Report 2023) and FY2022/FY2021 (Annual Report 2022) additionally disclose a separate 'Other operating income' line feeding into Net operating income, then 'Total operating expenses before impairment losses' followed by 'Net impairment (losses)/recoveries' to reach the same (Loss)/Profit before tax subtotal - economically the same structure, reproduced as originally labelled each year. 'Redundancy cost' is a one-off line only disclosed in FY2023. HD-017 extension: FY2018-FY2014 predate IFRS 16 (adopted 1 January 2019), so depreciation is pure 'Depreciation on property, plant and equipment' with no right-of-use component (shown on that row, not the combined FY2023-2019 row). FY2014's own Statement of Profit or Loss has a unique 'Profit from discontinued activity' line (GBP0k for FY2014 itself; its FY2013 comparative of GBP1,197k is not carried into this workbook, since FY2013 is outside this project's FY2014 floor for this entity). FY2017 is shown here using the FY2017 Annual Report's own primary figures (Net fee and commission income GBP1,015k, Profit for the year GBP5,510k) rather than the FY2018 Annual Report's restated FY2017 comparative (Net fee and commission income GBP307k, Profit for the year GBP4,933k) - both are genuine, disclosed figures; see the Statement of Changes in Equity sheet for the full restatement note.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t>
        </is>
      </c>
    </row>
    <row r="31" ht="220" customHeight="1">
      <c r="A31" s="8" t="inlineStr">
        <is>
          <t>(continued)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2">
    <mergeCell ref="A31:M31"/>
    <mergeCell ref="A29:M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Bank of Africa United Kingdom Plc — Statement of Changes in Equity</t>
        </is>
      </c>
    </row>
    <row r="2">
      <c r="A2" s="2" t="inlineStr">
        <is>
          <t>Entity-level (solo) basis, chronological, 1 January 2014 - 31 December 2025</t>
        </is>
      </c>
    </row>
    <row r="3">
      <c r="A3" s="4" t="inlineStr">
        <is>
          <t>Movement</t>
        </is>
      </c>
      <c r="B3" s="4" t="inlineStr">
        <is>
          <t>Share capital</t>
        </is>
      </c>
      <c r="C3" s="4" t="inlineStr">
        <is>
          <t>Other reserves</t>
        </is>
      </c>
      <c r="D3" s="4" t="inlineStr">
        <is>
          <t>Accumulated losses</t>
        </is>
      </c>
      <c r="E3" s="4" t="inlineStr">
        <is>
          <t>Total equity</t>
        </is>
      </c>
    </row>
    <row r="4">
      <c r="A4" s="5" t="inlineStr">
        <is>
          <t>Balance as at 1 January 2014</t>
        </is>
      </c>
      <c r="B4" s="5" t="n">
        <v>102173</v>
      </c>
      <c r="C4" s="5" t="n">
        <v>-848</v>
      </c>
      <c r="D4" s="5" t="n">
        <v>-50922</v>
      </c>
      <c r="E4" s="5" t="n">
        <v>50403</v>
      </c>
    </row>
    <row r="5">
      <c r="A5" s="6" t="inlineStr">
        <is>
          <t>Profit for the year</t>
        </is>
      </c>
      <c r="B5" s="6" t="n"/>
      <c r="C5" s="6" t="n"/>
      <c r="D5" s="6" t="n">
        <v>5708</v>
      </c>
      <c r="E5" s="6" t="n">
        <v>5708</v>
      </c>
    </row>
    <row r="6">
      <c r="A6" s="6" t="inlineStr">
        <is>
          <t>Other comprehensive income</t>
        </is>
      </c>
      <c r="B6" s="6" t="n"/>
      <c r="C6" s="6" t="n">
        <v>-1787</v>
      </c>
      <c r="D6" s="6" t="n"/>
      <c r="E6" s="6" t="n">
        <v>-1787</v>
      </c>
    </row>
    <row r="7">
      <c r="A7" s="5" t="inlineStr">
        <is>
          <t>Balance as at 31 December 2014 / 1 January 2015</t>
        </is>
      </c>
      <c r="B7" s="5" t="n">
        <v>102173</v>
      </c>
      <c r="C7" s="5" t="n">
        <v>-2635</v>
      </c>
      <c r="D7" s="5" t="n">
        <v>-45214</v>
      </c>
      <c r="E7" s="5" t="n">
        <v>54324</v>
      </c>
    </row>
    <row r="8">
      <c r="A8" s="6" t="inlineStr">
        <is>
          <t>Profit for the year</t>
        </is>
      </c>
      <c r="B8" s="6" t="n"/>
      <c r="C8" s="6" t="n"/>
      <c r="D8" s="6" t="n">
        <v>7795</v>
      </c>
      <c r="E8" s="6" t="n">
        <v>7795</v>
      </c>
    </row>
    <row r="9">
      <c r="A9" s="6" t="inlineStr">
        <is>
          <t>Other comprehensive income</t>
        </is>
      </c>
      <c r="B9" s="6" t="n"/>
      <c r="C9" s="6" t="n">
        <v>-354</v>
      </c>
      <c r="D9" s="6" t="n"/>
      <c r="E9" s="6" t="n">
        <v>-354</v>
      </c>
    </row>
    <row r="10">
      <c r="A10" s="5" t="inlineStr">
        <is>
          <t>Balance as at 31 December 2015 / 1 January 2016</t>
        </is>
      </c>
      <c r="B10" s="5" t="n">
        <v>102173</v>
      </c>
      <c r="C10" s="5" t="n">
        <v>-2989</v>
      </c>
      <c r="D10" s="5" t="n">
        <v>-38508</v>
      </c>
      <c r="E10" s="5" t="n">
        <v>60676</v>
      </c>
    </row>
    <row r="11">
      <c r="A11" s="6" t="inlineStr">
        <is>
          <t>Profit for the year</t>
        </is>
      </c>
      <c r="B11" s="6" t="n"/>
      <c r="C11" s="6" t="n"/>
      <c r="D11" s="6" t="n">
        <v>8584</v>
      </c>
      <c r="E11" s="6" t="n">
        <v>8584</v>
      </c>
    </row>
    <row r="12">
      <c r="A12" s="6" t="inlineStr">
        <is>
          <t>Other comprehensive income</t>
        </is>
      </c>
      <c r="B12" s="6" t="n"/>
      <c r="C12" s="6" t="n">
        <v>2297</v>
      </c>
      <c r="D12" s="6" t="n"/>
      <c r="E12" s="6" t="n">
        <v>2297</v>
      </c>
    </row>
    <row r="13">
      <c r="A13" s="5" t="inlineStr">
        <is>
          <t>Balance as at 31 December 2016 / 1 January 2017 (as originally reported)</t>
        </is>
      </c>
      <c r="B13" s="5" t="n">
        <v>102173</v>
      </c>
      <c r="C13" s="5" t="n">
        <v>-692</v>
      </c>
      <c r="D13" s="5" t="n">
        <v>-29924</v>
      </c>
      <c r="E13" s="5" t="n">
        <v>71557</v>
      </c>
    </row>
    <row r="14">
      <c r="A14" s="6" t="inlineStr">
        <is>
          <t>Impact of correction of errors (FY2018 Annual Report restatement)</t>
        </is>
      </c>
      <c r="B14" s="6" t="n"/>
      <c r="C14" s="6" t="n"/>
      <c r="D14" s="6" t="n">
        <v>-879</v>
      </c>
      <c r="E14" s="6" t="n">
        <v>-879</v>
      </c>
    </row>
    <row r="15">
      <c r="A15" s="5" t="inlineStr">
        <is>
          <t>Balance as at 1 January 2017 (restated - see note)</t>
        </is>
      </c>
      <c r="B15" s="5" t="n">
        <v>102173</v>
      </c>
      <c r="C15" s="5" t="n">
        <v>-692</v>
      </c>
      <c r="D15" s="5" t="n">
        <v>-30803</v>
      </c>
      <c r="E15" s="5" t="n">
        <v>70678</v>
      </c>
    </row>
    <row r="16">
      <c r="A16" s="6" t="inlineStr">
        <is>
          <t>Profit for the year (as originally reported)</t>
        </is>
      </c>
      <c r="B16" s="6" t="n"/>
      <c r="C16" s="6" t="n"/>
      <c r="D16" s="6" t="n">
        <v>5510</v>
      </c>
      <c r="E16" s="6" t="n">
        <v>5510</v>
      </c>
    </row>
    <row r="17">
      <c r="A17" s="6" t="inlineStr">
        <is>
          <t>Other comprehensive income</t>
        </is>
      </c>
      <c r="B17" s="6" t="n"/>
      <c r="C17" s="6" t="n">
        <v>822</v>
      </c>
      <c r="D17" s="6" t="n"/>
      <c r="E17" s="6" t="n">
        <v>822</v>
      </c>
    </row>
    <row r="18">
      <c r="A18" s="5" t="inlineStr">
        <is>
          <t>Balance as at 31 December 2017 (as originally reported)</t>
        </is>
      </c>
      <c r="B18" s="5" t="n">
        <v>102173</v>
      </c>
      <c r="C18" s="5" t="n">
        <v>130</v>
      </c>
      <c r="D18" s="5" t="n">
        <v>-24414</v>
      </c>
      <c r="E18" s="5" t="n">
        <v>77889</v>
      </c>
    </row>
    <row r="19">
      <c r="A19" s="6" t="inlineStr">
        <is>
          <t>Impact of correction of errors (FY2018 Annual Report restatement)</t>
        </is>
      </c>
      <c r="B19" s="6" t="n"/>
      <c r="C19" s="6" t="n"/>
      <c r="D19" s="6" t="n">
        <v>-577</v>
      </c>
      <c r="E19" s="6" t="n">
        <v>-577</v>
      </c>
    </row>
    <row r="20">
      <c r="A20" s="5" t="inlineStr">
        <is>
          <t>Balance as at 1 January 2018 (restated - see note)</t>
        </is>
      </c>
      <c r="B20" s="5" t="n">
        <v>102173</v>
      </c>
      <c r="C20" s="5" t="n">
        <v>130</v>
      </c>
      <c r="D20" s="5" t="n">
        <v>-25869</v>
      </c>
      <c r="E20" s="5" t="n">
        <v>76434</v>
      </c>
    </row>
    <row r="21">
      <c r="A21" s="6" t="inlineStr">
        <is>
          <t>Profit for the year</t>
        </is>
      </c>
      <c r="B21" s="6" t="n"/>
      <c r="C21" s="6" t="n"/>
      <c r="D21" s="6" t="n">
        <v>2169</v>
      </c>
      <c r="E21" s="6" t="n">
        <v>2169</v>
      </c>
    </row>
    <row r="22">
      <c r="A22" s="6" t="inlineStr">
        <is>
          <t>Other comprehensive income</t>
        </is>
      </c>
      <c r="B22" s="6" t="n"/>
      <c r="C22" s="6" t="n">
        <v>-1668</v>
      </c>
      <c r="D22" s="6" t="n"/>
      <c r="E22" s="6" t="n">
        <v>-1668</v>
      </c>
    </row>
    <row r="23">
      <c r="A23" s="5" t="inlineStr">
        <is>
          <t>Balance as at 31 December 2018 / 1 January 2019 (as originally reported)</t>
        </is>
      </c>
      <c r="B23" s="5" t="n">
        <v>102173</v>
      </c>
      <c r="C23" s="5" t="n">
        <v>-1538</v>
      </c>
      <c r="D23" s="5" t="n">
        <v>-25181</v>
      </c>
      <c r="E23" s="5" t="n">
        <v>75454</v>
      </c>
    </row>
    <row r="24">
      <c r="A24" s="6" t="inlineStr">
        <is>
          <t>Impact of correction of errors (FY2020 Annual Report restatement)</t>
        </is>
      </c>
      <c r="B24" s="6" t="n"/>
      <c r="C24" s="6" t="n"/>
      <c r="D24" s="6" t="n">
        <v>34</v>
      </c>
      <c r="E24" s="6" t="n">
        <v>34</v>
      </c>
    </row>
    <row r="25">
      <c r="A25" s="5" t="inlineStr">
        <is>
          <t>Balance as at 1 January 2019 (restated - see note)</t>
        </is>
      </c>
      <c r="B25" s="5" t="n">
        <v>102173</v>
      </c>
      <c r="C25" s="5" t="n">
        <v>-1538</v>
      </c>
      <c r="D25" s="5" t="n">
        <v>-25147</v>
      </c>
      <c r="E25" s="5" t="n">
        <v>75488</v>
      </c>
    </row>
    <row r="26">
      <c r="A26" s="6" t="inlineStr">
        <is>
          <t>Profit for the year (as originally reported)</t>
        </is>
      </c>
      <c r="B26" s="6" t="n"/>
      <c r="C26" s="6" t="n"/>
      <c r="D26" s="6" t="n">
        <v>2852</v>
      </c>
      <c r="E26" s="6" t="n">
        <v>2852</v>
      </c>
    </row>
    <row r="27">
      <c r="A27" s="6" t="inlineStr">
        <is>
          <t>Impact of correction of errors (FY2020 Annual Report restatement)</t>
        </is>
      </c>
      <c r="B27" s="6" t="n"/>
      <c r="C27" s="6" t="n"/>
      <c r="D27" s="6" t="n">
        <v>-230</v>
      </c>
      <c r="E27" s="6" t="n">
        <v>-230</v>
      </c>
    </row>
    <row r="28">
      <c r="A28" s="6" t="inlineStr">
        <is>
          <t>Other comprehensive income</t>
        </is>
      </c>
      <c r="B28" s="6" t="n"/>
      <c r="C28" s="6" t="n">
        <v>2710</v>
      </c>
      <c r="D28" s="6" t="n"/>
      <c r="E28" s="6" t="n">
        <v>2710</v>
      </c>
    </row>
    <row r="29">
      <c r="A29" s="5" t="inlineStr">
        <is>
          <t>Balance as at 31 December 2019 / 1 January 2020</t>
        </is>
      </c>
      <c r="B29" s="5" t="n">
        <v>102173</v>
      </c>
      <c r="C29" s="5" t="n">
        <v>1172</v>
      </c>
      <c r="D29" s="5" t="n">
        <v>-22525</v>
      </c>
      <c r="E29" s="5" t="n">
        <v>80820</v>
      </c>
    </row>
    <row r="30">
      <c r="A30" s="6" t="inlineStr">
        <is>
          <t>Profit for the year</t>
        </is>
      </c>
      <c r="B30" s="6" t="n"/>
      <c r="C30" s="6" t="n"/>
      <c r="D30" s="6" t="n">
        <v>1097</v>
      </c>
      <c r="E30" s="6" t="n">
        <v>1097</v>
      </c>
    </row>
    <row r="31">
      <c r="A31" s="6" t="inlineStr">
        <is>
          <t>Impact of correction of errors (opening deferred tax adjustment)</t>
        </is>
      </c>
      <c r="B31" s="6" t="n"/>
      <c r="C31" s="6" t="n"/>
      <c r="D31" s="6" t="n">
        <v>8</v>
      </c>
      <c r="E31" s="6" t="n">
        <v>8</v>
      </c>
    </row>
    <row r="32">
      <c r="A32" s="6" t="inlineStr">
        <is>
          <t>Other comprehensive income</t>
        </is>
      </c>
      <c r="B32" s="6" t="n"/>
      <c r="C32" s="6" t="n">
        <v>718</v>
      </c>
      <c r="D32" s="6" t="n"/>
      <c r="E32" s="6" t="n">
        <v>718</v>
      </c>
    </row>
    <row r="33">
      <c r="A33" s="5" t="inlineStr">
        <is>
          <t>Balance as at 31 December 2020</t>
        </is>
      </c>
      <c r="B33" s="5" t="n">
        <v>102173</v>
      </c>
      <c r="C33" s="5" t="n">
        <v>1890</v>
      </c>
      <c r="D33" s="5" t="n">
        <v>-21420</v>
      </c>
      <c r="E33" s="5" t="n">
        <v>82643</v>
      </c>
    </row>
    <row r="34">
      <c r="A34" s="5" t="inlineStr">
        <is>
          <t>Balance as at 1 January 2021</t>
        </is>
      </c>
      <c r="B34" s="5" t="n">
        <v>102173</v>
      </c>
      <c r="C34" s="5" t="n">
        <v>1625</v>
      </c>
      <c r="D34" s="5" t="n">
        <v>-21420</v>
      </c>
      <c r="E34" s="5" t="n">
        <v>82378</v>
      </c>
    </row>
    <row r="35">
      <c r="A35" s="6" t="inlineStr">
        <is>
          <t>Profit for the year</t>
        </is>
      </c>
      <c r="B35" s="6" t="n"/>
      <c r="C35" s="6" t="n"/>
      <c r="D35" s="6" t="n">
        <v>5682</v>
      </c>
      <c r="E35" s="6" t="n">
        <v>5682</v>
      </c>
    </row>
    <row r="36">
      <c r="A36" s="6" t="inlineStr">
        <is>
          <t>Other comprehensive income</t>
        </is>
      </c>
      <c r="B36" s="6" t="n"/>
      <c r="C36" s="6" t="n">
        <v>-5479</v>
      </c>
      <c r="D36" s="6" t="n"/>
      <c r="E36" s="6" t="n">
        <v>-5479</v>
      </c>
    </row>
    <row r="37">
      <c r="A37" s="5" t="inlineStr">
        <is>
          <t>Balance as at 31 December 2021</t>
        </is>
      </c>
      <c r="B37" s="5" t="n">
        <v>102173</v>
      </c>
      <c r="C37" s="5" t="n">
        <v>-3854</v>
      </c>
      <c r="D37" s="5" t="n">
        <v>-15738</v>
      </c>
      <c r="E37" s="5" t="n">
        <v>82581</v>
      </c>
    </row>
    <row r="38">
      <c r="A38" s="5" t="inlineStr">
        <is>
          <t>Balance as at 1 January 2022</t>
        </is>
      </c>
      <c r="B38" s="5" t="n">
        <v>102173</v>
      </c>
      <c r="C38" s="5" t="n">
        <v>-3854</v>
      </c>
      <c r="D38" s="5" t="n">
        <v>-15738</v>
      </c>
      <c r="E38" s="5" t="n">
        <v>82581</v>
      </c>
    </row>
    <row r="39">
      <c r="A39" s="6" t="inlineStr">
        <is>
          <t>Loss for the year</t>
        </is>
      </c>
      <c r="B39" s="6" t="n"/>
      <c r="C39" s="6" t="n"/>
      <c r="D39" s="6" t="n">
        <v>-3839</v>
      </c>
      <c r="E39" s="6" t="n">
        <v>-3839</v>
      </c>
    </row>
    <row r="40">
      <c r="A40" s="6" t="inlineStr">
        <is>
          <t>Other comprehensive income</t>
        </is>
      </c>
      <c r="B40" s="6" t="n"/>
      <c r="C40" s="6" t="n">
        <v>-2991</v>
      </c>
      <c r="D40" s="6" t="n"/>
      <c r="E40" s="6" t="n">
        <v>-2991</v>
      </c>
    </row>
    <row r="41">
      <c r="A41" s="5" t="inlineStr">
        <is>
          <t>Balance as at 31 December 2022 (as originally reported)</t>
        </is>
      </c>
      <c r="B41" s="5" t="n">
        <v>102173</v>
      </c>
      <c r="C41" s="5" t="n">
        <v>-6845</v>
      </c>
      <c r="D41" s="5" t="n">
        <v>-19577</v>
      </c>
      <c r="E41" s="5" t="n">
        <v>75751</v>
      </c>
    </row>
    <row r="42">
      <c r="A42" s="5" t="inlineStr">
        <is>
          <t>Balance as at 1 January 2023 (restated - see note)</t>
        </is>
      </c>
      <c r="B42" s="5" t="n">
        <v>102173</v>
      </c>
      <c r="C42" s="5" t="n">
        <v>-6845</v>
      </c>
      <c r="D42" s="5" t="n">
        <v>-20294</v>
      </c>
      <c r="E42" s="5" t="n">
        <v>75034</v>
      </c>
    </row>
    <row r="43">
      <c r="A43" s="6" t="inlineStr">
        <is>
          <t>Loss for the year</t>
        </is>
      </c>
      <c r="B43" s="6" t="n"/>
      <c r="C43" s="6" t="n"/>
      <c r="D43" s="6" t="n">
        <v>-13999</v>
      </c>
      <c r="E43" s="6" t="n">
        <v>-13999</v>
      </c>
    </row>
    <row r="44">
      <c r="A44" s="6" t="inlineStr">
        <is>
          <t>Other comprehensive income</t>
        </is>
      </c>
      <c r="B44" s="6" t="n"/>
      <c r="C44" s="6" t="n">
        <v>4491</v>
      </c>
      <c r="D44" s="6" t="n"/>
      <c r="E44" s="6" t="n">
        <v>4491</v>
      </c>
    </row>
    <row r="45">
      <c r="A45" s="5" t="inlineStr">
        <is>
          <t>Balance as at 31 December 2023</t>
        </is>
      </c>
      <c r="B45" s="5" t="n">
        <v>102173</v>
      </c>
      <c r="C45" s="5" t="n">
        <v>-2354</v>
      </c>
      <c r="D45" s="5" t="n">
        <v>-34293</v>
      </c>
      <c r="E45" s="5" t="n">
        <v>65526</v>
      </c>
    </row>
    <row r="46">
      <c r="A46" s="5" t="inlineStr">
        <is>
          <t>Balance as at 1 January 2024</t>
        </is>
      </c>
      <c r="B46" s="5" t="n">
        <v>102173</v>
      </c>
      <c r="C46" s="5" t="n">
        <v>-2354</v>
      </c>
      <c r="D46" s="5" t="n">
        <v>-34293</v>
      </c>
      <c r="E46" s="5" t="n">
        <v>65526</v>
      </c>
    </row>
    <row r="47">
      <c r="A47" s="6" t="inlineStr">
        <is>
          <t>Profit for the year</t>
        </is>
      </c>
      <c r="B47" s="6" t="n"/>
      <c r="C47" s="6" t="n"/>
      <c r="D47" s="6" t="n">
        <v>1779</v>
      </c>
      <c r="E47" s="6" t="n">
        <v>1779</v>
      </c>
    </row>
    <row r="48">
      <c r="A48" s="6" t="inlineStr">
        <is>
          <t>Other comprehensive income</t>
        </is>
      </c>
      <c r="B48" s="6" t="n"/>
      <c r="C48" s="6" t="n">
        <v>866</v>
      </c>
      <c r="D48" s="6" t="n"/>
      <c r="E48" s="6" t="n">
        <v>866</v>
      </c>
    </row>
    <row r="49">
      <c r="A49" s="5" t="inlineStr">
        <is>
          <t>Balance as at 31 December 2024</t>
        </is>
      </c>
      <c r="B49" s="5" t="n">
        <v>102173</v>
      </c>
      <c r="C49" s="5" t="n">
        <v>-1488</v>
      </c>
      <c r="D49" s="5" t="n">
        <v>-32514</v>
      </c>
      <c r="E49" s="5" t="n">
        <v>68171</v>
      </c>
    </row>
    <row r="50">
      <c r="A50" s="5" t="inlineStr">
        <is>
          <t>Balance as at 1 January 2025</t>
        </is>
      </c>
      <c r="B50" s="5" t="n">
        <v>102173</v>
      </c>
      <c r="C50" s="5" t="n">
        <v>-1488</v>
      </c>
      <c r="D50" s="5" t="n">
        <v>-32514</v>
      </c>
      <c r="E50" s="5" t="n">
        <v>68171</v>
      </c>
    </row>
    <row r="51">
      <c r="A51" s="6" t="inlineStr">
        <is>
          <t>Profit for the year</t>
        </is>
      </c>
      <c r="B51" s="6" t="n"/>
      <c r="C51" s="6" t="n"/>
      <c r="D51" s="6" t="n">
        <v>2273</v>
      </c>
      <c r="E51" s="6" t="n">
        <v>2273</v>
      </c>
    </row>
    <row r="52">
      <c r="A52" s="6" t="inlineStr">
        <is>
          <t>Other comprehensive income</t>
        </is>
      </c>
      <c r="B52" s="6" t="n"/>
      <c r="C52" s="6" t="n">
        <v>185</v>
      </c>
      <c r="D52" s="6" t="n"/>
      <c r="E52" s="6" t="n">
        <v>185</v>
      </c>
    </row>
    <row r="53">
      <c r="A53" s="5" t="inlineStr">
        <is>
          <t>Balance as at 31 December 2025</t>
        </is>
      </c>
      <c r="B53" s="5" t="n">
        <v>102173</v>
      </c>
      <c r="C53" s="5" t="n">
        <v>-1303</v>
      </c>
      <c r="D53" s="5" t="n">
        <v>-30241</v>
      </c>
      <c r="E53" s="5" t="n">
        <v>70629</v>
      </c>
    </row>
    <row r="55" ht="338" customHeight="1">
      <c r="A55" s="8" t="inlineStr">
        <is>
          <t>Sources - Bank of Africa United Kingdom Plc's own Statement of Changes in Equity, GBP'000:
1 Jan 2021 - 31 Dec 2022 (originally reported): Annual Report and Financial Statements 2022, p.41 - https://find-and-update.company-information.service.gov.uk/company/05321714/filing-history/MzM5NDE3NzEwN2FkaXF6a2N4/document?format=pdf&amp;download=0
1 Jan 2023 - 31 Dec 2023 (opening balance restated - see note): Annual Report and Financial Statements 2023, p.42 - https://find-and-update.company-information.service.gov.uk/company/05321714/filing-history/MzQzODczNDQ5OWFkaXF6a2N4/document?format=pdf&amp;download=0
1 Jan 2024 - 31 Dec 2025: Annual Report and Financial Statements 2025, p.41 - https://find-and-update.company-information.service.gov.uk/company/05321714/filing-history/MzUxODk4NzcyM2FkaXF6a2N4/document?format=pdf&amp;download=0
1 Jan 2019 - 31 Dec 2020: Annual Report and Financial Statements 2020, p.31 - https://find-and-update.company-information.service.gov.uk/company/05321714/filing-history/MzMyODY1ODY3N2FkaXF6a2N4/document?format=pdf&amp;download=0
1 Jan 2018 - 31 Dec 2018: Annual Report and Financial Statements 2018, p.26 - https://find-and-update.company-information.service.gov.uk/company/05321714/filing-history/MzIzNTgyNTYxOWFkaXF6a2N4/document?format=pdf&amp;download=0
1 Jan 2017 - 31 Dec 2017 (own primary chain, not the FY2018 Annual Report's restated version - see note): Annual Report and Financial Statements 2017, p.26 - https://find-and-update.company-information.service.gov.uk/company/05321714/filing-history/MzIwMzc5MjgxOGFkaXF6a2N4/document?format=pdf&amp;download=0
1 Jan 2014 - 31 Dec 2016: Annual Report and Financial Statements 2016, p.21 (FY2015/FY2016) and Annual Report and Financial Statements 2014, p.18 (FY2014) - https://find-and-update.company-information.service.gov.uk/company/05321714/filing-history/MzE3NDg0MjU5MGFkaXF6a2N4/document?format=pdf&amp;download=0 / https://find-and-update.company-information.service.gov.uk/company/05321714/filing-history/MzEyMjYyNzE2M2FkaXF6a2N4/document?format=pdf&amp;download=0
DATA QUALITY NOTE - genuine restatement break, same one already documented on the Cash Flow Statement sheet: the FY2022 Annual Report's own closing balance at 31 December 2022 was Share capital 102,173 / Other reserves (6,845) / Accumulated losses (19,577) / Total 75,751 (loss for the year (3,839)). The FY2023 Annual Report's own opening balance at 1 January 2023 restates this to Accumulated losses (20,294) / Total 75,034 (loss for the year restated to (4,556)), consistent with the FY2022 Independent Auditor's Report's own reference to 'prior year adjustments and ongoing regulatory investigation'. This workbook shows both: the FY2021-2022 rows follow the originally-reported chain (project convention - each year's own primary report), and the FY2023 opening row uses the FY2023 Annual Report's own restated opening balance (since that is the actual starting point of its own statement) - the £717k break between the two 'Balance at 31 Dec 2022 / 1 Jan 2023' rows is the restatement, not a transcription error.</t>
        </is>
      </c>
    </row>
    <row r="57" ht="312" customHeight="1">
      <c r="A57" s="8" t="inlineStr">
        <is>
          <t>(continued)
HD-017 EXTENSION - THIRD DATA QUALITY NOTE, a further genuine restatement found further back in the chain: the FY2018 Annual Report's own 'Impact of correction of errors' restates the FY2017 opening position (Accumulated losses (29,924) as originally reported at 1 Jan 2017 vs. (30,803) restated, a GBP879k adjustment) and the FY2017 profit for the year (GBP5,510k originally reported vs. GBP4,933k restated, a further GBP577k adjustment), reaching a restated 31 Dec 2017 balance of Other reserves 130 / Accumulated losses (25,869) / Total 76,434 vs. the FY2017 Annual Report's own originally-reported 31 Dec 2017 balance of Other reserves 130 / Accumulated losses (24,414) / Total 77,889. This workbook shows both the originally-reported FY2017 chain (rows below, project convention) and the FY2018 Annual Report's own restated opening figures (since that is the actual starting point of its own FY2018 statement) - not reconciled further. A fourth, separate GBP265k break (entirely within Other reserves) exists between the FY2020 Annual Report's own closing balance at 31 December 2020 and this workbook's existing FY2021 opening balance (sourced from the FY2022 Annual Report's FY2021 comparative, predating this extension) - see the entity note above for the exact figures; also not reconciled further.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t>
        </is>
      </c>
    </row>
    <row r="59" ht="390" customHeight="1">
      <c r="A59" s="8" t="inlineStr">
        <is>
          <t>(continued)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3">
    <mergeCell ref="A55:E55"/>
    <mergeCell ref="A59:E59"/>
    <mergeCell ref="A57:E5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Statement of Cash Flows</t>
        </is>
      </c>
    </row>
    <row r="2">
      <c r="A2" s="2" t="inlineStr">
        <is>
          <t>Entity-level (solo) basis, as reported in each year's own Annual Report</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Cash flows from continuing operating activities</t>
        </is>
      </c>
      <c r="B4" s="6" t="n"/>
      <c r="C4" s="6" t="n"/>
      <c r="D4" s="6" t="n"/>
      <c r="E4" s="6" t="n"/>
      <c r="F4" s="6" t="n"/>
      <c r="G4" s="6" t="n"/>
      <c r="H4" s="6" t="n"/>
      <c r="I4" s="6" t="n"/>
      <c r="J4" s="6" t="n"/>
      <c r="K4" s="6" t="n"/>
      <c r="L4" s="6" t="n"/>
      <c r="M4" s="6" t="n"/>
    </row>
    <row r="5">
      <c r="A5" s="6" t="inlineStr">
        <is>
          <t>Profit/(loss) before tax</t>
        </is>
      </c>
      <c r="B5" s="6" t="n">
        <v>3104</v>
      </c>
      <c r="C5" s="6" t="n">
        <v>-2824</v>
      </c>
      <c r="D5" s="6" t="n">
        <v>-13904</v>
      </c>
      <c r="E5" s="6" t="n">
        <v>-5278</v>
      </c>
      <c r="F5" s="6" t="n">
        <v>5060</v>
      </c>
      <c r="G5" s="6" t="n">
        <v>97</v>
      </c>
      <c r="H5" s="6" t="n">
        <v>3882</v>
      </c>
      <c r="I5" s="6" t="n">
        <v>2464</v>
      </c>
      <c r="J5" s="6" t="n">
        <v>6808</v>
      </c>
      <c r="K5" s="6" t="n">
        <v>9060</v>
      </c>
      <c r="L5" s="6" t="n">
        <v>6805</v>
      </c>
      <c r="M5" s="6" t="n">
        <v>4828</v>
      </c>
    </row>
    <row r="6">
      <c r="A6" s="6" t="inlineStr">
        <is>
          <t>Net interest income</t>
        </is>
      </c>
      <c r="B6" s="6" t="n">
        <v>-7089</v>
      </c>
      <c r="C6" s="6" t="n">
        <v>-5674</v>
      </c>
      <c r="D6" s="6" t="n">
        <v>-6774</v>
      </c>
      <c r="E6" s="6" t="n">
        <v>-15070</v>
      </c>
      <c r="F6" s="6" t="n">
        <v>-18581</v>
      </c>
      <c r="G6" s="6" t="n">
        <v>-17968</v>
      </c>
      <c r="H6" s="6" t="n">
        <v>-16669</v>
      </c>
      <c r="I6" s="6" t="n">
        <v>16766</v>
      </c>
      <c r="J6" s="6" t="n">
        <v>16448</v>
      </c>
      <c r="K6" s="6" t="n">
        <v>15108</v>
      </c>
      <c r="L6" s="6" t="n">
        <v>12981</v>
      </c>
      <c r="M6" s="6" t="n">
        <v>7199</v>
      </c>
    </row>
    <row r="7">
      <c r="A7" s="6" t="inlineStr">
        <is>
          <t>Interest received</t>
        </is>
      </c>
      <c r="B7" s="6" t="n">
        <v>13028</v>
      </c>
      <c r="C7" s="6" t="n">
        <v>12048</v>
      </c>
      <c r="D7" s="6" t="n">
        <v>20919</v>
      </c>
      <c r="E7" s="6" t="n">
        <v>19859</v>
      </c>
      <c r="F7" s="6" t="n">
        <v>27104</v>
      </c>
      <c r="G7" s="6" t="n">
        <v>22440</v>
      </c>
      <c r="H7" s="6" t="n">
        <v>24090</v>
      </c>
      <c r="I7" s="6" t="n">
        <v>-5245</v>
      </c>
      <c r="J7" s="6" t="n">
        <v>-5704</v>
      </c>
      <c r="K7" s="6" t="n">
        <v>-7638</v>
      </c>
      <c r="L7" s="6" t="n">
        <v>-7870</v>
      </c>
      <c r="M7" s="6" t="n">
        <v>-4620</v>
      </c>
    </row>
    <row r="8">
      <c r="A8" s="6" t="inlineStr">
        <is>
          <t>Interest paid</t>
        </is>
      </c>
      <c r="B8" s="6" t="n">
        <v>-6175</v>
      </c>
      <c r="C8" s="6" t="n">
        <v>-6777</v>
      </c>
      <c r="D8" s="6" t="n">
        <v>-10607</v>
      </c>
      <c r="E8" s="6" t="n">
        <v>-7197</v>
      </c>
      <c r="F8" s="6" t="n">
        <v>-4236</v>
      </c>
      <c r="G8" s="6" t="n">
        <v>-2905</v>
      </c>
      <c r="H8" s="6" t="n">
        <v>-9691</v>
      </c>
      <c r="I8" s="6" t="n">
        <v>6295</v>
      </c>
      <c r="J8" s="6" t="n">
        <v>4711</v>
      </c>
      <c r="K8" s="6" t="n">
        <v>3725</v>
      </c>
      <c r="L8" s="6" t="n">
        <v>1719</v>
      </c>
      <c r="M8" s="6" t="n">
        <v>1059</v>
      </c>
    </row>
    <row r="9">
      <c r="A9" s="6" t="inlineStr">
        <is>
          <t>Change in operating assets</t>
        </is>
      </c>
      <c r="B9" s="6" t="n">
        <v>-54573</v>
      </c>
      <c r="C9" s="6" t="n">
        <v>-17912</v>
      </c>
      <c r="D9" s="6" t="n">
        <v>170939</v>
      </c>
      <c r="E9" s="6" t="n">
        <v>21084</v>
      </c>
      <c r="F9" s="6" t="n">
        <v>35264</v>
      </c>
      <c r="G9" s="6" t="n">
        <v>-29407</v>
      </c>
      <c r="H9" s="6" t="n">
        <v>42218</v>
      </c>
      <c r="I9" s="6" t="n">
        <v>-42081</v>
      </c>
      <c r="J9" s="6" t="n">
        <v>-64434</v>
      </c>
      <c r="K9" s="6" t="n">
        <v>-41817</v>
      </c>
      <c r="L9" s="6" t="n">
        <v>-25324</v>
      </c>
      <c r="M9" s="6" t="n">
        <v>-106599</v>
      </c>
    </row>
    <row r="10">
      <c r="A10" s="6" t="inlineStr">
        <is>
          <t>Change in operating liabilities</t>
        </is>
      </c>
      <c r="B10" s="6" t="n">
        <v>34977</v>
      </c>
      <c r="C10" s="6" t="n">
        <v>33274</v>
      </c>
      <c r="D10" s="6" t="n">
        <v>-189466</v>
      </c>
      <c r="E10" s="6" t="n">
        <v>-35633</v>
      </c>
      <c r="F10" s="6" t="n">
        <v>14726</v>
      </c>
      <c r="G10" s="6" t="n">
        <v>18426</v>
      </c>
      <c r="H10" s="6" t="n">
        <v>-119601</v>
      </c>
      <c r="I10" s="6" t="n">
        <v>85298</v>
      </c>
      <c r="J10" s="6" t="n">
        <v>-41412</v>
      </c>
      <c r="K10" s="6" t="n">
        <v>76000</v>
      </c>
      <c r="L10" s="6" t="n">
        <v>69582</v>
      </c>
      <c r="M10" s="6" t="n">
        <v>147429</v>
      </c>
    </row>
    <row r="11">
      <c r="A11" s="6" t="inlineStr">
        <is>
          <t>Other (non-cash) items included in profit before tax</t>
        </is>
      </c>
      <c r="B11" s="6" t="n">
        <v>-7125</v>
      </c>
      <c r="C11" s="6" t="n">
        <v>-1465</v>
      </c>
      <c r="D11" s="6" t="n">
        <v>18778</v>
      </c>
      <c r="E11" s="6" t="n">
        <v>-5399</v>
      </c>
      <c r="F11" s="6" t="n">
        <v>1625</v>
      </c>
      <c r="G11" s="6" t="n">
        <v>5209</v>
      </c>
      <c r="H11" s="6" t="n">
        <v>-1549</v>
      </c>
      <c r="I11" s="6" t="n">
        <v>882</v>
      </c>
      <c r="J11" s="6" t="n">
        <v>-890</v>
      </c>
      <c r="K11" s="6" t="n">
        <v>970</v>
      </c>
      <c r="L11" s="6" t="n">
        <v>1586</v>
      </c>
      <c r="M11" s="6" t="n">
        <v>1250</v>
      </c>
    </row>
    <row r="12">
      <c r="A12" s="6" t="inlineStr">
        <is>
          <t>Corporation tax</t>
        </is>
      </c>
      <c r="B12" s="6" t="n"/>
      <c r="C12" s="6" t="n"/>
      <c r="D12" s="6" t="n">
        <v>0</v>
      </c>
      <c r="E12" s="6" t="n">
        <v>171</v>
      </c>
      <c r="F12" s="6" t="n">
        <v>-868</v>
      </c>
      <c r="G12" s="6" t="n">
        <v>-97</v>
      </c>
      <c r="H12" s="6" t="n">
        <v>-436</v>
      </c>
      <c r="I12" s="6" t="n">
        <v>-295</v>
      </c>
      <c r="J12" s="6" t="n">
        <v>-1298</v>
      </c>
      <c r="K12" s="6" t="n">
        <v>-1418</v>
      </c>
      <c r="L12" s="6" t="n"/>
      <c r="M12" s="6" t="n"/>
    </row>
    <row r="13">
      <c r="A13" s="5" t="inlineStr">
        <is>
          <t>Net cash flows from/(used in) operating activities</t>
        </is>
      </c>
      <c r="B13" s="5" t="n">
        <v>-23853</v>
      </c>
      <c r="C13" s="5" t="n">
        <v>10670</v>
      </c>
      <c r="D13" s="5" t="n">
        <v>-10115</v>
      </c>
      <c r="E13" s="5" t="n">
        <v>-27463</v>
      </c>
      <c r="F13" s="5" t="n">
        <v>60094</v>
      </c>
      <c r="G13" s="5" t="n">
        <v>-4205</v>
      </c>
      <c r="H13" s="5" t="n">
        <v>-77756</v>
      </c>
      <c r="I13" s="5" t="n">
        <v>64083</v>
      </c>
      <c r="J13" s="5" t="n">
        <v>-85771</v>
      </c>
      <c r="K13" s="5" t="n">
        <v>53990</v>
      </c>
      <c r="L13" s="5" t="n">
        <v>59479</v>
      </c>
      <c r="M13" s="5" t="n">
        <v>50546</v>
      </c>
    </row>
    <row r="14">
      <c r="A14" s="5" t="inlineStr">
        <is>
          <t>Cash flows from investing activities</t>
        </is>
      </c>
      <c r="B14" s="6" t="n"/>
      <c r="C14" s="6" t="n"/>
      <c r="D14" s="6" t="n"/>
      <c r="E14" s="6" t="n"/>
      <c r="F14" s="6" t="n"/>
      <c r="G14" s="6" t="n"/>
      <c r="H14" s="6" t="n"/>
      <c r="I14" s="6" t="n"/>
      <c r="J14" s="6" t="n"/>
      <c r="K14" s="6" t="n"/>
      <c r="L14" s="6" t="n"/>
      <c r="M14" s="6" t="n"/>
    </row>
    <row r="15">
      <c r="A15" s="6" t="inlineStr">
        <is>
          <t>Purchase of financial investments</t>
        </is>
      </c>
      <c r="B15" s="6" t="n">
        <v>-53189</v>
      </c>
      <c r="C15" s="6" t="n">
        <v>-44212</v>
      </c>
      <c r="D15" s="6" t="n">
        <v>-7685</v>
      </c>
      <c r="E15" s="6" t="n">
        <v>-6272</v>
      </c>
      <c r="F15" s="6" t="n">
        <v>-82228</v>
      </c>
      <c r="G15" s="6" t="n">
        <v>-17350</v>
      </c>
      <c r="H15" s="6" t="n">
        <v>-151190</v>
      </c>
      <c r="I15" s="6" t="n">
        <v>-87875</v>
      </c>
      <c r="J15" s="6" t="n">
        <v>-72258</v>
      </c>
      <c r="K15" s="6" t="n">
        <v>-114745</v>
      </c>
      <c r="L15" s="6" t="n">
        <v>-48498</v>
      </c>
      <c r="M15" s="6" t="n">
        <v>-73137</v>
      </c>
    </row>
    <row r="16">
      <c r="A16" s="6" t="inlineStr">
        <is>
          <t>Proceeds from sales of financial investments</t>
        </is>
      </c>
      <c r="B16" s="6" t="n">
        <v>64477</v>
      </c>
      <c r="C16" s="6" t="n">
        <v>32257</v>
      </c>
      <c r="D16" s="6" t="n">
        <v>8036</v>
      </c>
      <c r="E16" s="6" t="n">
        <v>17338</v>
      </c>
      <c r="F16" s="6" t="n">
        <v>39068</v>
      </c>
      <c r="G16" s="6" t="n">
        <v>48166</v>
      </c>
      <c r="H16" s="6" t="n">
        <v>186750</v>
      </c>
      <c r="I16" s="6" t="n">
        <v>41262</v>
      </c>
      <c r="J16" s="6" t="n">
        <v>115811</v>
      </c>
      <c r="K16" s="6" t="n">
        <v>63354</v>
      </c>
      <c r="L16" s="6" t="n">
        <v>4892</v>
      </c>
      <c r="M16" s="6" t="n">
        <v>47315</v>
      </c>
    </row>
    <row r="17">
      <c r="A17" s="6" t="inlineStr">
        <is>
          <t>Proceeds from disposal of property and equipment</t>
        </is>
      </c>
      <c r="B17" s="6" t="n"/>
      <c r="C17" s="6" t="n"/>
      <c r="D17" s="6" t="n"/>
      <c r="E17" s="6" t="n"/>
      <c r="F17" s="6" t="n"/>
      <c r="G17" s="6" t="n"/>
      <c r="H17" s="6" t="n"/>
      <c r="I17" s="6" t="n"/>
      <c r="J17" s="6" t="n"/>
      <c r="K17" s="6" t="n"/>
      <c r="L17" s="6" t="n"/>
      <c r="M17" s="6" t="n">
        <v>0</v>
      </c>
    </row>
    <row r="18">
      <c r="A18" s="6" t="inlineStr">
        <is>
          <t>Proceeds from disposal of intangible assets</t>
        </is>
      </c>
      <c r="B18" s="6" t="n"/>
      <c r="C18" s="6" t="n"/>
      <c r="D18" s="6" t="n"/>
      <c r="E18" s="6" t="n"/>
      <c r="F18" s="6" t="n"/>
      <c r="G18" s="6" t="n"/>
      <c r="H18" s="6" t="n"/>
      <c r="I18" s="6" t="n"/>
      <c r="J18" s="6" t="n"/>
      <c r="K18" s="6" t="n"/>
      <c r="L18" s="6" t="n"/>
      <c r="M18" s="6" t="n">
        <v>0</v>
      </c>
    </row>
    <row r="19">
      <c r="A19" s="6" t="inlineStr">
        <is>
          <t>Purchase of Property, Plant and Equipment (and Right-of-use Assets)</t>
        </is>
      </c>
      <c r="B19" s="6" t="n">
        <v>-22</v>
      </c>
      <c r="C19" s="6" t="n">
        <v>-470</v>
      </c>
      <c r="D19" s="6" t="n">
        <v>-1550</v>
      </c>
      <c r="E19" s="6" t="n">
        <v>-233</v>
      </c>
      <c r="F19" s="6" t="n">
        <v>-66</v>
      </c>
      <c r="G19" s="6" t="n">
        <v>-60</v>
      </c>
      <c r="H19" s="6" t="n">
        <v>-81</v>
      </c>
      <c r="I19" s="6" t="n">
        <v>-267</v>
      </c>
      <c r="J19" s="6" t="n">
        <v>-135</v>
      </c>
      <c r="K19" s="6" t="n">
        <v>-115</v>
      </c>
      <c r="L19" s="6" t="n">
        <v>-72</v>
      </c>
      <c r="M19" s="6" t="n">
        <v>-125</v>
      </c>
    </row>
    <row r="20">
      <c r="A20" s="6" t="inlineStr">
        <is>
          <t>Purchase of intangible assets</t>
        </is>
      </c>
      <c r="B20" s="6" t="n">
        <v>-877</v>
      </c>
      <c r="C20" s="6" t="n">
        <v>-1569</v>
      </c>
      <c r="D20" s="6" t="n">
        <v>-1858</v>
      </c>
      <c r="E20" s="6" t="n">
        <v>-1744</v>
      </c>
      <c r="F20" s="6" t="n">
        <v>-745</v>
      </c>
      <c r="G20" s="6" t="n">
        <v>-63</v>
      </c>
      <c r="H20" s="6" t="n">
        <v>-333</v>
      </c>
      <c r="I20" s="6" t="n">
        <v>-1325</v>
      </c>
      <c r="J20" s="6" t="n">
        <v>-1244</v>
      </c>
      <c r="K20" s="6" t="n">
        <v>-1160</v>
      </c>
      <c r="L20" s="6" t="n">
        <v>-724</v>
      </c>
      <c r="M20" s="6" t="n"/>
    </row>
    <row r="21">
      <c r="A21" s="5" t="inlineStr">
        <is>
          <t>Net cash flows from/(used in) investing activities</t>
        </is>
      </c>
      <c r="B21" s="5" t="n">
        <v>10389</v>
      </c>
      <c r="C21" s="5" t="n">
        <v>-13994</v>
      </c>
      <c r="D21" s="5" t="n">
        <v>-3057</v>
      </c>
      <c r="E21" s="5" t="n">
        <v>9089</v>
      </c>
      <c r="F21" s="5" t="n">
        <v>-43971</v>
      </c>
      <c r="G21" s="5" t="n">
        <v>30693</v>
      </c>
      <c r="H21" s="5" t="n">
        <v>35146</v>
      </c>
      <c r="I21" s="5" t="n">
        <v>-48205</v>
      </c>
      <c r="J21" s="5" t="n">
        <v>42174</v>
      </c>
      <c r="K21" s="5" t="n">
        <v>-52666</v>
      </c>
      <c r="L21" s="5" t="n">
        <v>-44402</v>
      </c>
      <c r="M21" s="5" t="n">
        <v>-25947</v>
      </c>
    </row>
    <row r="22">
      <c r="A22" s="5" t="inlineStr">
        <is>
          <t>Cash flows from financing activities</t>
        </is>
      </c>
      <c r="B22" s="6" t="n"/>
      <c r="C22" s="6" t="n"/>
      <c r="D22" s="6" t="n"/>
      <c r="E22" s="6" t="n"/>
      <c r="F22" s="6" t="n"/>
      <c r="G22" s="6" t="n"/>
      <c r="H22" s="6" t="n"/>
      <c r="I22" s="6" t="n"/>
      <c r="J22" s="6" t="n"/>
      <c r="K22" s="6" t="n"/>
      <c r="L22" s="6" t="n"/>
      <c r="M22" s="6" t="n"/>
    </row>
    <row r="23">
      <c r="A23" s="6" t="inlineStr">
        <is>
          <t>Repayment of lease principal</t>
        </is>
      </c>
      <c r="B23" s="6" t="n">
        <v>-89</v>
      </c>
      <c r="C23" s="6" t="n">
        <v>-181</v>
      </c>
      <c r="D23" s="6" t="n">
        <v>-797</v>
      </c>
      <c r="E23" s="6" t="n">
        <v>-1050</v>
      </c>
      <c r="F23" s="6" t="n">
        <v>-944</v>
      </c>
      <c r="G23" s="6" t="n">
        <v>-1107</v>
      </c>
      <c r="H23" s="6" t="n">
        <v>-877</v>
      </c>
      <c r="I23" s="6" t="n"/>
      <c r="J23" s="6" t="n"/>
      <c r="K23" s="6" t="n"/>
      <c r="L23" s="6" t="n"/>
      <c r="M23" s="6" t="n"/>
    </row>
    <row r="24">
      <c r="A24" s="6" t="inlineStr">
        <is>
          <t>Group subordinated debt</t>
        </is>
      </c>
      <c r="B24" s="6" t="n"/>
      <c r="C24" s="6" t="n"/>
      <c r="D24" s="6" t="n"/>
      <c r="E24" s="6" t="n"/>
      <c r="F24" s="6" t="n"/>
      <c r="G24" s="6" t="n"/>
      <c r="H24" s="6" t="n"/>
      <c r="I24" s="6" t="n">
        <v>635</v>
      </c>
      <c r="J24" s="6" t="n">
        <v>629</v>
      </c>
      <c r="K24" s="6" t="n"/>
      <c r="L24" s="6" t="n"/>
      <c r="M24" s="6" t="n"/>
    </row>
    <row r="25">
      <c r="A25" s="5" t="inlineStr">
        <is>
          <t>Net cash flows from/(used in) financing activities</t>
        </is>
      </c>
      <c r="B25" s="5" t="n">
        <v>-89</v>
      </c>
      <c r="C25" s="5" t="n">
        <v>-181</v>
      </c>
      <c r="D25" s="5" t="n">
        <v>-797</v>
      </c>
      <c r="E25" s="5" t="n">
        <v>-1050</v>
      </c>
      <c r="F25" s="5" t="n">
        <v>-944</v>
      </c>
      <c r="G25" s="5" t="n">
        <v>-1107</v>
      </c>
      <c r="H25" s="5" t="n">
        <v>-877</v>
      </c>
      <c r="I25" s="5" t="n">
        <v>635</v>
      </c>
      <c r="J25" s="5" t="n">
        <v>629</v>
      </c>
      <c r="K25" s="5" t="n">
        <v>0</v>
      </c>
      <c r="L25" s="5" t="n">
        <v>0</v>
      </c>
      <c r="M25" s="5" t="n">
        <v>0</v>
      </c>
    </row>
    <row r="26">
      <c r="A26" s="5" t="inlineStr">
        <is>
          <t>Net increase/(decrease) in cash and cash equivalents</t>
        </is>
      </c>
      <c r="B26" s="5" t="n">
        <v>-13553</v>
      </c>
      <c r="C26" s="5" t="n">
        <v>-3505</v>
      </c>
      <c r="D26" s="5" t="n">
        <v>-13969</v>
      </c>
      <c r="E26" s="5" t="n">
        <v>-19424</v>
      </c>
      <c r="F26" s="5" t="n">
        <v>15179</v>
      </c>
      <c r="G26" s="5" t="n">
        <v>25381</v>
      </c>
      <c r="H26" s="5" t="n">
        <v>-43487</v>
      </c>
      <c r="I26" s="5" t="n">
        <v>16513</v>
      </c>
      <c r="J26" s="5" t="n">
        <v>-42968</v>
      </c>
      <c r="K26" s="5" t="n">
        <v>1324</v>
      </c>
      <c r="L26" s="5" t="n">
        <v>15077</v>
      </c>
      <c r="M26" s="5" t="n">
        <v>24599</v>
      </c>
    </row>
    <row r="27">
      <c r="A27" s="6" t="inlineStr">
        <is>
          <t>Cash and cash equivalents as at 1 January</t>
        </is>
      </c>
      <c r="B27" s="6" t="n">
        <v>51070</v>
      </c>
      <c r="C27" s="6" t="n">
        <v>54575</v>
      </c>
      <c r="D27" s="6" t="n">
        <v>68544</v>
      </c>
      <c r="E27" s="6" t="n">
        <v>87968</v>
      </c>
      <c r="F27" s="6" t="n">
        <v>72789</v>
      </c>
      <c r="G27" s="6" t="n">
        <v>47408</v>
      </c>
      <c r="H27" s="6" t="n">
        <v>90895</v>
      </c>
      <c r="I27" s="6" t="n">
        <v>74382</v>
      </c>
      <c r="J27" s="6" t="n">
        <v>117350</v>
      </c>
      <c r="K27" s="6" t="n">
        <v>116026</v>
      </c>
      <c r="L27" s="6" t="n">
        <v>100949</v>
      </c>
      <c r="M27" s="6" t="n">
        <v>76350</v>
      </c>
    </row>
    <row r="28">
      <c r="A28" s="5" t="inlineStr">
        <is>
          <t>Cash and cash equivalents as at 31 December</t>
        </is>
      </c>
      <c r="B28" s="5" t="n">
        <v>37517</v>
      </c>
      <c r="C28" s="5" t="n">
        <v>51070</v>
      </c>
      <c r="D28" s="5" t="n">
        <v>54575</v>
      </c>
      <c r="E28" s="5" t="n">
        <v>68544</v>
      </c>
      <c r="F28" s="5" t="n">
        <v>87968</v>
      </c>
      <c r="G28" s="5" t="n">
        <v>72789</v>
      </c>
      <c r="H28" s="5" t="n">
        <v>47408</v>
      </c>
      <c r="I28" s="5" t="n">
        <v>90895</v>
      </c>
      <c r="J28" s="5" t="n">
        <v>74382</v>
      </c>
      <c r="K28" s="5" t="n">
        <v>117350</v>
      </c>
      <c r="L28" s="5" t="n">
        <v>116026</v>
      </c>
      <c r="M28" s="5" t="n">
        <v>100949</v>
      </c>
    </row>
    <row r="30" ht="338" customHeight="1">
      <c r="A30" s="8" t="inlineStr">
        <is>
          <t>Sources - all figures are Bank of Africa United Kingdom Plc's own Statement of Cash Flows, GBP'000:
FY2025 &amp; FY2024: Annual Report and Financial Statements 2025, p.42 (Statement of Cash Flows) - https://find-and-update.company-information.service.gov.uk/company/05321714/filing-history/MzUxODk4NzcyM2FkaXF6a2N4/document?format=pdf&amp;download=0
FY2023 (&amp; FY2022 restated comparative, see note): Annual Report and Financial Statements 2023, p.43 (Statement of cash flows) - https://find-and-update.company-information.service.gov.uk/company/05321714/filing-history/MzQzODczNDQ5OWFkaXF6a2N4/document?format=pdf&amp;download=0
FY2022 (originally reported, used as primary column): Annual Report and Financial Statements 2022, p.42 (Statement of cash flows) - https://find-and-update.company-information.service.gov.uk/company/05321714/filing-history/MzM5NDE3NzEwN2FkaXF6a2N4/document?format=pdf&amp;download=0
FY2021: Annual Report and Financial Statements 2022, p.42 (Statement of cash flows, FY2021 comparative column) - https://find-and-update.company-information.service.gov.uk/company/05321714/filing-history/MzM5NDE3NzEwN2FkaXF6a2N4/document?format=pdf&amp;download=0
FY2020 (&amp; FY2019 restated comparative, used as primary column - see note): Annual Report and Financial Statements 2020, p.34 - https://find-and-update.company-information.service.gov.uk/company/05321714/filing-history/MzMyODY1ODY3N2FkaXF6a2N4/document?format=pdf&amp;download=0
FY2018: Annual Report and Financial Statements 2018, p.28 - https://find-and-update.company-information.service.gov.uk/company/05321714/filing-history/MzIzNTgyNTYxOWFkaXF6a2N4/document?format=pdf&amp;download=0
FY2017 (own primary column): Annual Report and Financial Statements 2017, p.27 - https://find-and-update.company-information.service.gov.uk/company/05321714/filing-history/MzIwMzc5MjgxOGFkaXF6a2N4/document?format=pdf&amp;download=0
FY2016 (&amp; FY2015 comparative, used as primary column): Annual Report and Financial Statements 2016, p.22 - https://find-and-update.company-information.service.gov.uk/company/05321714/filing-history/MzE3NDg0MjU5MGFkaXF6a2N4/document?format=pdf&amp;download=0
FY2014: Annual Report and Financial Statements 2014, p.19 - https://find-and-update.company-information.service.gov.uk/company/05321714/filing-history/MzEyMjYyNzE2M2FkaXF6a2N4/document?format=pdf&amp;download=0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t>
        </is>
      </c>
    </row>
    <row r="32" ht="210" customHeight="1">
      <c r="A32" s="8" t="inlineStr">
        <is>
          <t>(continued)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2">
    <mergeCell ref="A32:M32"/>
    <mergeCell ref="A30:M3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Asset Quality / Credit Risk Disclosures</t>
        </is>
      </c>
    </row>
    <row r="2">
      <c r="A2" s="2" t="inlineStr">
        <is>
          <t>Loans and advances to customers by IFRS 9 stage, entity-level (solo) basis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by IFRS 9 stage - gross carrying amount</t>
        </is>
      </c>
      <c r="B4" s="6" t="n"/>
      <c r="C4" s="6" t="n"/>
      <c r="D4" s="6" t="n"/>
      <c r="E4" s="6" t="n"/>
      <c r="F4" s="6" t="n"/>
      <c r="G4" s="6" t="n"/>
      <c r="H4" s="6" t="n"/>
      <c r="I4" s="6" t="n"/>
      <c r="J4" s="6" t="n"/>
      <c r="K4" s="6" t="n"/>
      <c r="L4" s="6" t="n"/>
      <c r="M4" s="6" t="n"/>
    </row>
    <row r="5">
      <c r="A5" s="6" t="inlineStr">
        <is>
          <t>Stage 1 - 12 months ECL</t>
        </is>
      </c>
      <c r="B5" s="6" t="n">
        <v>39023</v>
      </c>
      <c r="C5" s="6" t="n">
        <v>25334</v>
      </c>
      <c r="D5" s="6" t="n">
        <v>20047</v>
      </c>
      <c r="E5" s="6" t="n">
        <v>138815</v>
      </c>
      <c r="F5" s="6" t="n">
        <v>152521</v>
      </c>
      <c r="G5" s="6" t="n">
        <v>156736</v>
      </c>
      <c r="H5" s="6" t="n">
        <v>187518</v>
      </c>
      <c r="I5" s="6" t="n">
        <v>172960</v>
      </c>
      <c r="J5" s="6" t="n"/>
      <c r="K5" s="6" t="n"/>
      <c r="L5" s="6" t="n"/>
      <c r="M5" s="6" t="n"/>
    </row>
    <row r="6">
      <c r="A6" s="6" t="inlineStr">
        <is>
          <t>Stage 2 - Lifetime ECL</t>
        </is>
      </c>
      <c r="B6" s="6" t="n">
        <v>678</v>
      </c>
      <c r="C6" s="6" t="n">
        <v>3938</v>
      </c>
      <c r="D6" s="6" t="n">
        <v>6350</v>
      </c>
      <c r="E6" s="6" t="n">
        <v>7799</v>
      </c>
      <c r="F6" s="6" t="n">
        <v>0</v>
      </c>
      <c r="G6" s="6" t="n">
        <v>6734</v>
      </c>
      <c r="H6" s="6" t="n">
        <v>13317</v>
      </c>
      <c r="I6" s="6" t="n">
        <v>37903</v>
      </c>
      <c r="J6" s="6" t="n"/>
      <c r="K6" s="6" t="n"/>
      <c r="L6" s="6" t="n"/>
      <c r="M6" s="6" t="n"/>
    </row>
    <row r="7">
      <c r="A7" s="6" t="inlineStr">
        <is>
          <t>Stage 3 - Non performing - Lifetime ECL</t>
        </is>
      </c>
      <c r="B7" s="6" t="n">
        <v>2739</v>
      </c>
      <c r="C7" s="6" t="n">
        <v>4896</v>
      </c>
      <c r="D7" s="6" t="n">
        <v>7348</v>
      </c>
      <c r="E7" s="6" t="n">
        <v>8291</v>
      </c>
      <c r="F7" s="6" t="n">
        <v>15751</v>
      </c>
      <c r="G7" s="6" t="n">
        <v>15668</v>
      </c>
      <c r="H7" s="6" t="n">
        <v>20340</v>
      </c>
      <c r="I7" s="6" t="n">
        <v>5065</v>
      </c>
      <c r="J7" s="6" t="n"/>
      <c r="K7" s="6" t="n"/>
      <c r="L7" s="6" t="n"/>
      <c r="M7" s="6" t="n"/>
    </row>
    <row r="8">
      <c r="A8" s="5" t="inlineStr">
        <is>
          <t>Total gross carrying amount</t>
        </is>
      </c>
      <c r="B8" s="5" t="n">
        <v>42440</v>
      </c>
      <c r="C8" s="5" t="n">
        <v>34168</v>
      </c>
      <c r="D8" s="5" t="n">
        <v>33745</v>
      </c>
      <c r="E8" s="5" t="n">
        <v>154905</v>
      </c>
      <c r="F8" s="5" t="n">
        <v>168272</v>
      </c>
      <c r="G8" s="5" t="n">
        <v>179138</v>
      </c>
      <c r="H8" s="5" t="n">
        <v>221175</v>
      </c>
      <c r="I8" s="5" t="n">
        <v>215927</v>
      </c>
      <c r="J8" s="5" t="n"/>
      <c r="K8" s="5" t="n"/>
      <c r="L8" s="5" t="n"/>
      <c r="M8" s="5" t="n"/>
    </row>
    <row r="9">
      <c r="A9" s="5" t="inlineStr">
        <is>
          <t>Loss allowance by IFRS 9 stage</t>
        </is>
      </c>
      <c r="B9" s="6" t="n"/>
      <c r="C9" s="6" t="n"/>
      <c r="D9" s="6" t="n"/>
      <c r="E9" s="6" t="n"/>
      <c r="F9" s="6" t="n"/>
      <c r="G9" s="6" t="n"/>
      <c r="H9" s="6" t="n"/>
      <c r="I9" s="6" t="n"/>
      <c r="J9" s="6" t="n"/>
      <c r="K9" s="6" t="n"/>
      <c r="L9" s="6" t="n"/>
      <c r="M9" s="6" t="n"/>
    </row>
    <row r="10">
      <c r="A10" s="6" t="inlineStr">
        <is>
          <t>Stage 1 - 12 months ECL</t>
        </is>
      </c>
      <c r="B10" s="6" t="n">
        <v>-49</v>
      </c>
      <c r="C10" s="6" t="n">
        <v>-51</v>
      </c>
      <c r="D10" s="6" t="n">
        <v>-106</v>
      </c>
      <c r="E10" s="6" t="n">
        <v>-568</v>
      </c>
      <c r="F10" s="6" t="n">
        <v>-837</v>
      </c>
      <c r="G10" s="6" t="n">
        <v>-950</v>
      </c>
      <c r="H10" s="6" t="n">
        <v>-432</v>
      </c>
      <c r="I10" s="6" t="n">
        <v>-503</v>
      </c>
      <c r="J10" s="6" t="n"/>
      <c r="K10" s="6" t="n"/>
      <c r="L10" s="6" t="n"/>
      <c r="M10" s="6" t="n"/>
    </row>
    <row r="11">
      <c r="A11" s="6" t="inlineStr">
        <is>
          <t>Stage 2 - Lifetime ECL</t>
        </is>
      </c>
      <c r="B11" s="6" t="n">
        <v>-29</v>
      </c>
      <c r="C11" s="6" t="n">
        <v>-236</v>
      </c>
      <c r="D11" s="6" t="n">
        <v>-114</v>
      </c>
      <c r="E11" s="6" t="n">
        <v>-127</v>
      </c>
      <c r="F11" s="6" t="n">
        <v>0</v>
      </c>
      <c r="G11" s="6" t="n">
        <v>-70</v>
      </c>
      <c r="H11" s="6" t="n">
        <v>-636</v>
      </c>
      <c r="I11" s="6" t="n">
        <v>-1475</v>
      </c>
      <c r="J11" s="6" t="n"/>
      <c r="K11" s="6" t="n"/>
      <c r="L11" s="6" t="n"/>
      <c r="M11" s="6" t="n"/>
    </row>
    <row r="12">
      <c r="A12" s="6" t="inlineStr">
        <is>
          <t>Stage 3 - Non performing - Lifetime ECL</t>
        </is>
      </c>
      <c r="B12" s="6" t="n">
        <v>-410</v>
      </c>
      <c r="C12" s="6" t="n">
        <v>-4896</v>
      </c>
      <c r="D12" s="6" t="n">
        <v>-5193</v>
      </c>
      <c r="E12" s="6" t="n">
        <v>-5925</v>
      </c>
      <c r="F12" s="6" t="n">
        <v>-5419</v>
      </c>
      <c r="G12" s="6" t="n">
        <v>-4945</v>
      </c>
      <c r="H12" s="6" t="n">
        <v>-4055</v>
      </c>
      <c r="I12" s="6" t="n">
        <v>-2354</v>
      </c>
      <c r="J12" s="6" t="n"/>
      <c r="K12" s="6" t="n"/>
      <c r="L12" s="6" t="n"/>
      <c r="M12" s="6" t="n"/>
    </row>
    <row r="13">
      <c r="A13" s="5" t="inlineStr">
        <is>
          <t>Total loss allowance</t>
        </is>
      </c>
      <c r="B13" s="5" t="n">
        <v>-488</v>
      </c>
      <c r="C13" s="5" t="n">
        <v>-5183</v>
      </c>
      <c r="D13" s="5" t="n">
        <v>-5413</v>
      </c>
      <c r="E13" s="5" t="n">
        <v>-6620</v>
      </c>
      <c r="F13" s="5" t="n">
        <v>-6256</v>
      </c>
      <c r="G13" s="5" t="n">
        <v>-5965</v>
      </c>
      <c r="H13" s="5" t="n">
        <v>-5123</v>
      </c>
      <c r="I13" s="5" t="n">
        <v>-4331</v>
      </c>
      <c r="J13" s="5" t="n"/>
      <c r="K13" s="5" t="n"/>
      <c r="L13" s="5" t="n"/>
      <c r="M13" s="5" t="n"/>
    </row>
    <row r="14">
      <c r="A14" s="5" t="inlineStr">
        <is>
          <t>Carrying amount</t>
        </is>
      </c>
      <c r="B14" s="6" t="n"/>
      <c r="C14" s="6" t="n"/>
      <c r="D14" s="6" t="n"/>
      <c r="E14" s="6" t="n"/>
      <c r="F14" s="6" t="n"/>
      <c r="G14" s="6" t="n"/>
      <c r="H14" s="6" t="n"/>
      <c r="I14" s="6" t="n"/>
      <c r="J14" s="6" t="n"/>
      <c r="K14" s="6" t="n"/>
      <c r="L14" s="6" t="n"/>
      <c r="M14" s="6" t="n"/>
    </row>
    <row r="15">
      <c r="A15" s="5" t="inlineStr">
        <is>
          <t>Loans and advances to customers (carrying amount)</t>
        </is>
      </c>
      <c r="B15" s="5" t="n">
        <v>41952</v>
      </c>
      <c r="C15" s="5" t="n">
        <v>28985</v>
      </c>
      <c r="D15" s="5" t="n">
        <v>28332</v>
      </c>
      <c r="E15" s="5" t="n">
        <v>148285</v>
      </c>
      <c r="F15" s="5" t="n">
        <v>162016</v>
      </c>
      <c r="G15" s="5" t="n">
        <v>173173</v>
      </c>
      <c r="H15" s="5" t="n">
        <v>216052</v>
      </c>
      <c r="I15" s="5" t="n">
        <v>211596</v>
      </c>
      <c r="J15" s="5" t="n"/>
      <c r="K15" s="5" t="n"/>
      <c r="L15" s="5" t="n"/>
      <c r="M15" s="5" t="n"/>
    </row>
    <row r="16">
      <c r="A16" s="5" t="inlineStr">
        <is>
          <t>Derived ratios (IFRS 9 stage basis)</t>
        </is>
      </c>
      <c r="B16" s="6" t="n"/>
      <c r="C16" s="6" t="n"/>
      <c r="D16" s="6" t="n"/>
      <c r="E16" s="6" t="n"/>
      <c r="F16" s="6" t="n"/>
      <c r="G16" s="6" t="n"/>
      <c r="H16" s="6" t="n"/>
      <c r="I16" s="6" t="n"/>
      <c r="J16" s="6" t="n"/>
      <c r="K16" s="6" t="n"/>
      <c r="L16" s="6" t="n"/>
      <c r="M16" s="6" t="n"/>
    </row>
    <row r="17">
      <c r="A17" s="6" t="inlineStr">
        <is>
          <t>ECL coverage ratio (total loss allowance / total gross)</t>
        </is>
      </c>
      <c r="B17" s="6" t="inlineStr">
        <is>
          <t>1.15%</t>
        </is>
      </c>
      <c r="C17" s="6" t="inlineStr">
        <is>
          <t>15.17%</t>
        </is>
      </c>
      <c r="D17" s="6" t="inlineStr">
        <is>
          <t>16.04%</t>
        </is>
      </c>
      <c r="E17" s="6" t="inlineStr">
        <is>
          <t>4.27%</t>
        </is>
      </c>
      <c r="F17" s="6" t="inlineStr">
        <is>
          <t>3.72%</t>
        </is>
      </c>
      <c r="G17" s="6" t="inlineStr">
        <is>
          <t>3.33%</t>
        </is>
      </c>
      <c r="H17" s="6" t="inlineStr">
        <is>
          <t>2.32%</t>
        </is>
      </c>
      <c r="I17" s="6" t="inlineStr">
        <is>
          <t>2.01%</t>
        </is>
      </c>
      <c r="J17" s="6" t="n"/>
      <c r="K17" s="6" t="n"/>
      <c r="L17" s="6" t="n"/>
      <c r="M17" s="6" t="n"/>
    </row>
    <row r="18">
      <c r="A18" s="6" t="inlineStr">
        <is>
          <t>Stage 3 / NPL ratio (Stage 3 gross / total gross)</t>
        </is>
      </c>
      <c r="B18" s="6" t="inlineStr">
        <is>
          <t>6.45%</t>
        </is>
      </c>
      <c r="C18" s="6" t="inlineStr">
        <is>
          <t>14.33%</t>
        </is>
      </c>
      <c r="D18" s="6" t="inlineStr">
        <is>
          <t>21.78%</t>
        </is>
      </c>
      <c r="E18" s="6" t="inlineStr">
        <is>
          <t>5.35%</t>
        </is>
      </c>
      <c r="F18" s="6" t="inlineStr">
        <is>
          <t>9.36%</t>
        </is>
      </c>
      <c r="G18" s="6" t="inlineStr">
        <is>
          <t>8.75%</t>
        </is>
      </c>
      <c r="H18" s="6" t="inlineStr">
        <is>
          <t>9.20%</t>
        </is>
      </c>
      <c r="I18" s="6" t="inlineStr">
        <is>
          <t>2.35%</t>
        </is>
      </c>
      <c r="J18" s="6" t="n"/>
      <c r="K18" s="6" t="n"/>
      <c r="L18" s="6" t="n"/>
      <c r="M18" s="6" t="n"/>
    </row>
    <row r="19">
      <c r="A19" s="6" t="inlineStr">
        <is>
          <t>Stage 3 coverage ratio (Stage 3 allowance / Stage 3 gross)</t>
        </is>
      </c>
      <c r="B19" s="6" t="inlineStr">
        <is>
          <t>14.97%</t>
        </is>
      </c>
      <c r="C19" s="6" t="inlineStr">
        <is>
          <t>100.00%</t>
        </is>
      </c>
      <c r="D19" s="6" t="inlineStr">
        <is>
          <t>70.68%</t>
        </is>
      </c>
      <c r="E19" s="6" t="inlineStr">
        <is>
          <t>71.46%</t>
        </is>
      </c>
      <c r="F19" s="6" t="inlineStr">
        <is>
          <t>34.40%</t>
        </is>
      </c>
      <c r="G19" s="6" t="inlineStr">
        <is>
          <t>31.56%</t>
        </is>
      </c>
      <c r="H19" s="6" t="inlineStr">
        <is>
          <t>19.94%</t>
        </is>
      </c>
      <c r="I19" s="6" t="inlineStr">
        <is>
          <t>46.48%</t>
        </is>
      </c>
      <c r="J19" s="6" t="n"/>
      <c r="K19" s="6" t="n"/>
      <c r="L19" s="6" t="n"/>
      <c r="M19" s="6" t="n"/>
    </row>
    <row r="20">
      <c r="A20" s="5" t="inlineStr">
        <is>
          <t>Pre-IFRS 9 (IAS 39) loan quality metrics - FY2014-FY2017 (individual-impairment basis, no stage split exists)</t>
        </is>
      </c>
      <c r="B20" s="6" t="n"/>
      <c r="C20" s="6" t="n"/>
      <c r="D20" s="6" t="n"/>
      <c r="E20" s="6" t="n"/>
      <c r="F20" s="6" t="n"/>
      <c r="G20" s="6" t="n"/>
      <c r="H20" s="6" t="n"/>
      <c r="I20" s="6" t="n"/>
      <c r="J20" s="6" t="n"/>
      <c r="K20" s="6" t="n"/>
      <c r="L20" s="6" t="n"/>
      <c r="M20" s="6" t="n"/>
    </row>
    <row r="21">
      <c r="A21" s="6" t="inlineStr">
        <is>
          <t>Loans and advances to customers (net carrying amount)</t>
        </is>
      </c>
      <c r="B21" s="6" t="n"/>
      <c r="C21" s="6" t="n"/>
      <c r="D21" s="6" t="n"/>
      <c r="E21" s="6" t="n"/>
      <c r="F21" s="6" t="n"/>
      <c r="G21" s="6" t="n"/>
      <c r="H21" s="6" t="n"/>
      <c r="I21" s="6" t="n"/>
      <c r="J21" s="6" t="n">
        <v>207964</v>
      </c>
      <c r="K21" s="6" t="n">
        <v>175945</v>
      </c>
      <c r="L21" s="6" t="n">
        <v>167713</v>
      </c>
      <c r="M21" s="6" t="n">
        <v>149257</v>
      </c>
    </row>
    <row r="22">
      <c r="A22" s="6" t="inlineStr">
        <is>
          <t>Individual impairment provision (period-end balance)</t>
        </is>
      </c>
      <c r="B22" s="6" t="n"/>
      <c r="C22" s="6" t="n"/>
      <c r="D22" s="6" t="n"/>
      <c r="E22" s="6" t="n"/>
      <c r="F22" s="6" t="n"/>
      <c r="G22" s="6" t="n"/>
      <c r="H22" s="6" t="n"/>
      <c r="I22" s="6" t="n"/>
      <c r="J22" s="6" t="n">
        <v>3023</v>
      </c>
      <c r="K22" s="6" t="n">
        <v>1581</v>
      </c>
      <c r="L22" s="6" t="n">
        <v>597</v>
      </c>
      <c r="M22" s="6" t="n">
        <v>1785</v>
      </c>
    </row>
    <row r="23">
      <c r="A23" s="6" t="inlineStr">
        <is>
          <t>Gross amount of loans individually determined to be impaired</t>
        </is>
      </c>
      <c r="B23" s="6" t="n"/>
      <c r="C23" s="6" t="n"/>
      <c r="D23" s="6" t="n"/>
      <c r="E23" s="6" t="n"/>
      <c r="F23" s="6" t="n"/>
      <c r="G23" s="6" t="n"/>
      <c r="H23" s="6" t="n"/>
      <c r="I23" s="6" t="n"/>
      <c r="J23" s="6" t="n">
        <v>21840</v>
      </c>
      <c r="K23" s="6" t="n">
        <v>5250</v>
      </c>
      <c r="L23" s="6" t="n">
        <v>1829</v>
      </c>
      <c r="M23" s="6" t="n">
        <v>9929</v>
      </c>
    </row>
    <row r="24">
      <c r="A24" s="5" t="inlineStr">
        <is>
          <t>Derived ratios (pre-IFRS 9 basis - not comparable to the stage-based ratios above)</t>
        </is>
      </c>
      <c r="B24" s="6" t="n"/>
      <c r="C24" s="6" t="n"/>
      <c r="D24" s="6" t="n"/>
      <c r="E24" s="6" t="n"/>
      <c r="F24" s="6" t="n"/>
      <c r="G24" s="6" t="n"/>
      <c r="H24" s="6" t="n"/>
      <c r="I24" s="6" t="n"/>
      <c r="J24" s="6" t="n"/>
      <c r="K24" s="6" t="n"/>
      <c r="L24" s="6" t="n"/>
      <c r="M24" s="6" t="n"/>
    </row>
    <row r="25">
      <c r="A25" s="6" t="inlineStr">
        <is>
          <t>Estimated NPL ratio (impaired loans / [net loans + provision])</t>
        </is>
      </c>
      <c r="B25" s="6" t="n"/>
      <c r="C25" s="6" t="n"/>
      <c r="D25" s="6" t="n"/>
      <c r="E25" s="6" t="n"/>
      <c r="F25" s="6" t="n"/>
      <c r="G25" s="6" t="n"/>
      <c r="H25" s="6" t="n"/>
      <c r="I25" s="6" t="n"/>
      <c r="J25" s="6" t="inlineStr">
        <is>
          <t>10.35%</t>
        </is>
      </c>
      <c r="K25" s="6" t="inlineStr">
        <is>
          <t>2.96%</t>
        </is>
      </c>
      <c r="L25" s="6" t="inlineStr">
        <is>
          <t>1.09%</t>
        </is>
      </c>
      <c r="M25" s="6" t="inlineStr">
        <is>
          <t>6.57%</t>
        </is>
      </c>
    </row>
    <row r="26">
      <c r="A26" s="6" t="inlineStr">
        <is>
          <t>Estimated coverage ratio (provision / impaired loans)</t>
        </is>
      </c>
      <c r="B26" s="6" t="n"/>
      <c r="C26" s="6" t="n"/>
      <c r="D26" s="6" t="n"/>
      <c r="E26" s="6" t="n"/>
      <c r="F26" s="6" t="n"/>
      <c r="G26" s="6" t="n"/>
      <c r="H26" s="6" t="n"/>
      <c r="I26" s="6" t="n"/>
      <c r="J26" s="6" t="inlineStr">
        <is>
          <t>13.84%</t>
        </is>
      </c>
      <c r="K26" s="6" t="inlineStr">
        <is>
          <t>30.11%</t>
        </is>
      </c>
      <c r="L26" s="6" t="inlineStr">
        <is>
          <t>32.64%</t>
        </is>
      </c>
      <c r="M26" s="6" t="inlineStr">
        <is>
          <t>17.98%</t>
        </is>
      </c>
    </row>
    <row r="28" ht="377" customHeight="1">
      <c r="A28" s="8" t="inlineStr">
        <is>
          <t>Sources - Bank of Africa United Kingdom Plc's own Loans and advances to customers note (Note 16, or Note 19 in the FY2018 Annual Report), GBP'000:
FY2025 &amp; FY2024: Annual Report and Financial Statements 2025, p.65 - https://find-and-update.company-information.service.gov.uk/company/05321714/filing-history/MzUxODk4NzcyM2FkaXF6a2N4/document?format=pdf&amp;download=0
FY2023: Annual Report and Financial Statements 2023, p.67 - https://find-and-update.company-information.service.gov.uk/company/05321714/filing-history/MzQzODczNDQ5OWFkaXF6a2N4/document?format=pdf&amp;download=0
FY2022 (originally reported, used as primary column): Annual Report and Financial Statements 2022, p.66 - https://find-and-update.company-information.service.gov.uk/company/05321714/filing-history/MzM5NDE3NzEwN2FkaXF6a2N4/document?format=pdf&amp;download=0
FY2021: Annual Report and Financial Statements 2022, p.66 (FY2021 comparative column) - https://find-and-update.company-information.service.gov.uk/company/05321714/filing-history/MzM5NDE3NzEwN2FkaXF6a2N4/document?format=pdf&amp;download=0
FY2020: Annual Report and Financial Statements 2020, Note 33 'Credit risk' section I ('Credit quality - IFRS 9 expected loss model'), printed folio p.73, Loans and advances to customers block - https://www.bankofafricaunitedkingdom.co.uk/pdfs/finances/BOAUK_Annual_report_and_audited_financial_statements_2020.pdf
FY2019: Annual Report and Financial Statements 2019, Note 36 'Credit risk' section I ('Credit quality - IFRS 9 expected loss model'), PDF p.69, Loans and advances to customers block - https://www.bankofafricaunitedkingdom.co.uk/pdfs/finances/BBI_Annual_report_and_audited_financial_2019.pdf
FY2018: Annual Report and Financial Statements 2018, p.50 (Note 19) - https://find-and-update.company-information.service.gov.uk/company/05321714/filing-history/MzIzNTgyNTYxOWFkaXF6a2N4/document?format=pdf&amp;download=0
FY2017: Annual Report and Financial Statements 2017, p.45 (Note 16) - https://find-and-update.company-information.service.gov.uk/company/05321714/filing-history/MzIwMzc5MjgxOGFkaXF6a2N4/document?format=pdf&amp;download=0
FY2016 (&amp; FY2015 comparative, used as primary column): Annual Report and Financial Statements 2016, p.42 (Note 16) - https://find-and-update.company-information.service.gov.uk/company/05321714/filing-history/MzE3NDg0MjU5MGFkaXF6a2N4/document?format=pdf&amp;download=0
FY2014: Annual Report and Financial Statements 2014, p.39 (Note 17) - https://find-and-update.company-information.service.gov.uk/company/05321714/filing-history/MzEyMjYyNzE2M2FkaXF6a2N4/document?format=pdf&amp;download=0
FY2019 AND FY2020 FILLED 2026-09-18 (interior-gap pass). These two years sat blank between a populated FY2018 and a populated FY2021, which is the signature of a miss on our side rather than a non-disclosure - and it was one. Both years' stage tables exist, in each year's OWN edition, in the credit-risk note rather than in the loans note this sheet's header names (Note 36 in FY2019, Note 33 in FY2020, section I in both). That is why an earlier pass looking only at the Loans and advances note found nothing.
  TIES, checked rather than assumed: FY2019 221,175 - 5,123 = 216,052 and FY2020 179,138 - 5,965 = 173,173. Each equals the carrying amount on the face of ITS OWN report's statement of financial position (AR2019 note 18 line: 216,052 / 211,596; AR2020: 173,173), and the FY2020 narrative independently states 'loans to customers decreased by GBP42,879k to GBP173,173k (2019: GBP216,052k)'.
  DELIBERATE DIVERGENCE FROM THIS WORKBOOK'S BALANCE SHEET SHEET, FY2019 ONLY - FLAGGED, NOT RECONCILED. This sheet's FY2019 carrying amount is 216,052; the Balance Sheet sheet's FY2019 column reads 215,391, a difference of 661. Neither is wrong. The two sheets are sourced differently on purpose and each says so in its own citation block: the Balance Sheet sheet uses the FY2020 report's RESTATED FY2019 comparative as its primary FY2019 column (its source note has said so since the HD-017 extension), while this Asset Quality sheet takes each year from its own edition. The restatement is visible in the stage detail - AR2019 prints Stage 1 gross 187,518 / carrying 187,086, AR2020's FY2019 comparative prints the same Stage 2 (12,681) and Stage 3 (16,285) carrying amounts but a Stage 1 carrying amount 661 lower, with gross restated from 221,175 to 220,514. The FY2020 report is itself of two minds about it: its restated comparative column says 215,391 while its own narrative on the Strategic Report page says '(2019: GBP216,052k)'. Reproduced on both sheets as each source prints it; no third figure is invented and neither sheet is edited to match the other.
  METHOD: the FY2020 own-site PDF has a corrupt text layer (it renders percent signs as '0/o' and mangles words), so its page was read from a 200-dpi render; FY2019's text layer is sound and was cross-read against its own render.
  SOURCE DEFECT, REPRODUCED AND NOT RECONCILED (map rule 7). The FY2019 report states the closing loss allowance TWICE and the two statements disagree. Section I (the credit-quality table used here, PDF p.69) gives Stage 1 (432) / Stage 2 (636) / Stage 3 (4,055) = (5,123). Section J, the ECL movement table on PDF p.70, closes the same year at Stage 1 (173) / Stage 2 (1,391) / Stage 3 (3,559) = (5,122) - a different stage allocation AND a GBP1k different total. Section I is used because it is the credit-quality table proper and because its total is the one that ties to the Balance Sheet carrying amount; section J is recorded here so the disagreement is visible. A THIRD variant of the same year sits in section E ('Credit quality per class of financial assets', PDF p.61), which prints Loans and advances to customers as gross 221,174 / impaired allowance (5,122) / carrying 216,052 - i.e. it agrees with section J's GBP1k-lower allowance while still arriving at the same 216,052. All three are printed in one report. Nothing is averaged, adjusted or back-solved.
  RELATED, AND THE SAME TREATMENT: section J's OPENING allowance for 2019 is Stage 1 (516) / Stage 2 (1,475) / Stage 3 (2,340) = (4,331), whereas the FY2018 column on this sheet - taken from the FY2018 report's own note - reads (503) / (1,475) / (2,354) = (4,331). The totals agree; the stage split does not. FY2018 keeps its own edition's split.
  A SECOND REASON EACH YEAR IS TAKEN FROM ITS OWN EDITION: the FY2020 report's FY2019 COMPARATIVE for Due from banks (85,930 gross / (437) allowance / 85,493 net) does not match what the FY2019 report itself prints for the same year (86,038 / (437) / 85,601). The comparative columns in this bank's reports are not reliably identical to the original columns, so none is used as a primary source.</t>
        </is>
      </c>
    </row>
    <row r="30" ht="351" customHeight="1">
      <c r="A30" s="8" t="inlineStr">
        <is>
          <t>(continued)
PRESENTATION NOTE: BOA UK's Loans and advances to customers note (Note 16 in most years' Annual Reports, Note 19 in FY2018's) discloses only a single IFRS 9 stage breakdown - no by-product/by-sector split. Gross carrying amount FY2025 (42,440) + FY2024 (34,168) + FY2023 (33,745) + FY2022 (154,905) + FY2021 (168,272) + FY2018 (215,927) and Carrying amount figures all tie exactly to the Balance Sheet's own 'Loans and advances to customers' line for each year. HD-017 extension: IFRS 9 (replacing IAS 39's incurred-loss impairment model) was adopted 1 January 2018, so FY2014-FY2017 have no stage split at all - those years' own Note 16 instead discloses a single net loan balance plus a period-end individual impairment provision and the gross amount of loans individually determined to be impaired (no collective/portfolio provision is held any of those years - 'the Bank now assesses all loans on an individual basis'). This workbook presents that pre-IFRS 9 data in a separate section below, with its own derived ratios computed on a different denominator (net loans + provision, as an estimate of the gross loan book, since no total-gross-book figure is separately stated pre-IFRS 9) - not comparable to the IFRS 9 stage-based ratios above it.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2">
    <mergeCell ref="A30:M30"/>
    <mergeCell ref="A28:M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KM1 Key Metrics</t>
        </is>
      </c>
    </row>
    <row r="2">
      <c r="A2" s="2" t="inlineStr">
        <is>
          <t>Not applicable: this bank publishes a Pillar 3 every year but does not use the UK KM1 template in any of them. Its own 'Key Metrics' section is a four-panel bar chart embedded as a picture, whose values do not reconcile to the same document's capital tables. See the sources note for the positive evidence and for what was checked.</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UK KM1 - Key metrics template: not used by this bank in any year</t>
        </is>
      </c>
      <c r="B4" s="6" t="inlineStr">
        <is>
          <t>Not applicable – FY2025 Pillar 3 (found 2026-09-19 on the bank's CMS file store) does not use the UK KM1 template (key metrics as four bar charts, p.6; 0 'KM1' hits)</t>
        </is>
      </c>
      <c r="C4" s="6" t="inlineStr">
        <is>
          <t>Not applicable – this year's own Pillar 3 does not use the UK KM1 template (key metrics printed as four bar charts, p.6; 0 'KM1' hits)</t>
        </is>
      </c>
      <c r="D4" s="6" t="inlineStr">
        <is>
          <t>Not applicable – this year's own Pillar 3 does not use the UK KM1 template (key metrics printed as four bar charts, p.6; 0 'KM1' hits)</t>
        </is>
      </c>
      <c r="E4" s="6" t="inlineStr">
        <is>
          <t>Not applicable – this year's own Pillar 3 does not use the UK KM1 template (key metrics printed as four bar charts, p.6; 0 'KM1' hits)</t>
        </is>
      </c>
      <c r="F4" s="6" t="inlineStr">
        <is>
          <t>Not applicable – UK KM1 template arrived with the PRA Disclosure (CRR) Part on 1 Jan 2022, after this year-end</t>
        </is>
      </c>
      <c r="G4" s="6" t="inlineStr">
        <is>
          <t>Not applicable – UK KM1 template arrived with the PRA Disclosure (CRR) Part on 1 Jan 2022, after this year-end</t>
        </is>
      </c>
      <c r="H4" s="6" t="inlineStr">
        <is>
          <t>Not applicable – UK KM1 template arrived with the PRA Disclosure (CRR) Part on 1 Jan 2022, after this year-end</t>
        </is>
      </c>
      <c r="I4" s="6" t="inlineStr">
        <is>
          <t>Not applicable – UK KM1 template arrived with the PRA Disclosure (CRR) Part on 1 Jan 2022, after this year-end</t>
        </is>
      </c>
      <c r="J4" s="6" t="inlineStr">
        <is>
          <t>Not applicable – UK KM1 template arrived with the PRA Disclosure (CRR) Part on 1 Jan 2022, after this year-end</t>
        </is>
      </c>
      <c r="K4" s="6" t="inlineStr">
        <is>
          <t>Not applicable – UK KM1 template arrived with the PRA Disclosure (CRR) Part on 1 Jan 2022, after this year-end</t>
        </is>
      </c>
      <c r="L4" s="6" t="inlineStr">
        <is>
          <t>Not applicable – UK KM1 template arrived with the PRA Disclosure (CRR) Part on 1 Jan 2022, after this year-end</t>
        </is>
      </c>
      <c r="M4" s="6" t="inlineStr">
        <is>
          <t>Not applicable – UK KM1 template arrived with the PRA Disclosure (CRR) Part on 1 Jan 2022, after this year-end</t>
        </is>
      </c>
    </row>
    <row r="6" ht="377" customHeight="1">
      <c r="A6" s="8" t="inlineStr">
        <is>
          <t>FY2025 (added 2026-09-19):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Its p.6 Key Metrics are bar charts, not the KM1 template - see the FY2025 cell.
UK KM1 - KEY METRICS TEMPLATE: NOT USED BY THIS BANK IN ANY YEAR.
This is not the same finding as 'no Pillar 3 is published'. BOA UK publishes a Pillar 3 disclosure every year and the recent editions are carried and cited throughout this workbook; what they do not contain is the prescribed KM1 template. Recorded on positive evidence, checked 2026-09-16.
WHAT WAS CHECKED. The FY2024, FY2023 and FY2022 editions were fetched live (HTTP 200, Content-Type application/pdf, %PDF magic bytes; 929,719 / 972,691 / 991,180 bytes; 36, 38 and 35 pages) and read in full. All three are text-native, extracting 121,946 / 112,368 / 109,444 characters - roughly 3,000 characters a page - so the absences below are facts about the documents, not about the extractor (map rule 15). Each contains ZERO occurrences of 'KM1' case-insensitively, and zero occurrences of any other template code: no UK OV1, CC1, CC2, LR2, LIQ1 or LIQ2 caption appears anywhere in any of them. The section structure is narrative throughout - 1. INTRODUCTION, 2. RISK MANAGEMENT OBJECTIVES AND POLICIES, 3. OVERVIEW OF THE RISK MANAGEMENT FRAMEWORK, 4. OWN FUNDS, 5. CREDIT RISK, 7. UNENCUMBERED ASSETS, 8. USE OF ECAIS, 9. MARKET AND LIQUIDITY RISK, 10. OPERATIONAL RISK, 11. LEVERAGE RATIO, 12. SECURITISATION, 13. FINANCIAL RISK FROM CLIMATE CHANGE, 14. GLOSSARY.
THE 'KEY METRICS' SECTION IS A PICTURE OF FOUR BAR CHARTS, NOT A TABLE.
Section 1.1.4 KEY METRICS, on p.6 of each edition, carries a heading and then an embedded image where a table would sit (954x606 px in FY2022, 729x393 in FY2023, 879x526 in FY2024), with only 18 digits of extractable text on the whole page. That is exactly the signature of map rule 13 - a table hidden inside a bitmap in an otherwise text-native PDF - so the page was rendered at 300dpi and READ, which is what the rule requires before any conclusion. It is not a hidden table: it is four bar charts titled OWN FUNDS, CREDIT RWA, LEVERAGE RATIO and LCR RATIO, each plotting three years. A chart is not the template and its bars are not template rows, so nothing from it is transcribed onto a KM1 sheet.
AND THE CHARTS DO NOT RECONCILE TO THE SAME DOCUMENT'S OWN TABLES, which is the second reason not to use them. In the FY2022 edition the OWN FUNDS chart plots 63.2 for 2022, while that edition's own capital table on p.17 prints Own funds of 71,130 (£'000) for the same date; its CREDIT RWA chart plots 459,714 for 2022 against Risk Weighted Assets of 453,124 in that table. The single-metric sheets in this workbook take their figures from those TABLES, which is why they are unaffected.
THE CHARTS ALSO RESTATE BETWEEN EDITIONS (map rule 1), consistent with the restatement already documented on the capital sheets: 2022 OWN FUNDS is plotted as 63.2 in the FY2022 edition but 70.4 in both the FY2023 and FY2024 editions, and 2022 CREDIT RWA as 459,714 then 453,125. Leverage (13.98% for 2022) and LCR (207% for 2022) plot identically in all three.
NO ARTICLE 432 EXCLUSION IS CLAIMED (map rule 10): none of the three editions contains an 'excluded templates' appendix, or any occurrence of 'Article 432', 'excluded template' or 'omitted'. The bank states the opposite - 'The Bank does not seek any exemption from disclosure based on materiality or based on proprietary or confidential information' (s.1.1.5, all three editions). So the template is absent because this bank does not use it, not because its rows were formally excluded.
A NOTE ON HOW THIS WAS NEARLY MISSED, for whoever re-checks: a case-sensitive search for 'KM1|Key metric' returns NOTHING in any of the three editions, because the heading is printed 'KEY METRICS' in capitals. The zero was the search's, not the bank's (map rule 15).
LATEST-EDITION CHECK, 2026-09-16: the bank's own disclosures index (https://www.bankofafricaunitedkingdom.co.uk/finances.html, HTTP 200, not blocked) lists exactly five Pillar 3 reports - 2024, 2023, 2022, 2017 and 2015. The newest is the Pillar 3 Disclosure Report 2024, already carried and cited by this script. NONE NEWER. FY2025 has no Pillar 3 edition yet; that year's capital figures come from the FY2025 Annual Report, as the single-metric sheets' own citations state.</t>
        </is>
      </c>
    </row>
    <row r="8" ht="300" customHeight="1">
      <c r="A8" s="8" t="inlineStr">
        <is>
          <t>(continued)
Entity: BANK OF AFRICA United Kingdom Plc (FRN 454750, company 05321714, formerly BMCE Bank International Plc / MediCapital Bank Plc), a UK-incorporated subsidiary of Bank of Africa S.A. (Morocco). Reports in GBP; no FX conversion needed. Does NOT take the FRS 101/102 cash-flow-statement exemption - a full Statement of Cash Flows exists every year. All 11 Companies House filings used (FY2014-FY2025) are fully scanned/image-only; every figure was read from the rendered page image and cross-checked against the following year's own comparative column (all ties confirmed exact across the chain: FY2014 closing = FY2015 opening = 100,949; FY2016 closing = FY2017 opening = 117,350; FY2017 closing = FY2018 opening = 74,382 (2016 comparative in the FY2017 Annual Report reclassifies the Group subordinated debt cash movement from operating to financing activities vs. how the FY2016 Annual Report itself presented it - a genuine presentational reclassification, not an error; both are used exactly as each report states them); FY2021 closing = FY2022 opening = 87,968; FY2022 closing = FY2023 opening = 68,544; FY2023 closing = FY2024 opening = 54,575; FY2024 closing = FY2025 opening = 51,070. HD-017 extension (2026-09-05, FY2014-FY2020): FY2019 and FY2020 use AR2020's own primary/comparative pair (FY2019 shown there as 'Restated' - see the prior-period-adjustment note below); FY2018 and FY2017 use AR2018's own primary/comparative pair; FY2016 and FY2015 use AR2016's own primary/comparative pair; FY2014 uses AR2014 standalone (its own FY2013 comparative not needed, since FY2014 is this project's confirmed floor for this entity per HD-002).
DATA QUALITY NOTE - genuine restatement, distinct from an arithmetic-error correction: the FY2023 Annual Report restates FY2022's comparative Statement of Changes in Equity (loss for the year (GBP3,839k) as originally reported in the FY2022 Annual Report vs. (GBP4,556k) restated; closing equity GBP75,751k vs. GBP75,034k restated) and, within the Cash Flow Statement itself, restates two line items within operating activities (Change in operating liabilities GBP(35,633)k original vs. GBP(35,509)k restated; Other non-cash items GBP(5,399)k vs. GBP(5,512)k restated) - the operating-activities TOTAL is unaffected (GBP(27,463)k both times) and the closing cash balance is unaffected. The FY2022 Independent Auditor's Report itself references 'prior year adjustments and ongoing regulatory investigation' as an audit risk factor, consistent with this being a genuine, disclosed restatement rather than a transcription error on our part. This workbook uses each year's own originally-reported cash flow figures as the primary column (project convention), with the restatement noted here rather than silently blended in.
SECOND DATA QUALITY NOTE, found during the HD-017 extension - a further, independent restatement break: this workbook's existing FY2021 opening equity (Other reserves GBP1,625k, Total GBP82,378k, sourced from the FY2022 Annual Report's own FY2021 comparative) does not tie to the FY2020 Annual Report's own closing balance at 31 December 2020 (Other reserves GBP1,890k, Total GBP82,643k - a GBP265k break, entirely within Other reserves). Both are used exactly as each report states them; not reconciled further. A third, larger restatement is separately documented on the Statement of Changes in Equity sheet itself: the FY2018 Annual Report's own 'Impact of correction of errors' adjustments to the FY2017 opening and closing equity positions (the FY2017 Annual Report's own, non-error primary figures - profit for the year GBP5,510k, closing equity GBP77,889k - are used as this workbook's FY2017 primary column, per project convention; the FY2018 Annual Report's restated FY2017 comparative shows profit GBP4,933k and closing equity GBP76,434k instead).
BASEL III / IFRS 9 TRANSITION NOTE: FY2014-FY2017 Pillar 3 disclosures predate this entity's adoption of the explicit 'CET1' label (first used in the FY2017 Pillar 3 document, which states Tier 1 Capital 'is comprised entirely of Common Equity Tier 1 capital (CET1)') - the FY2014 and FY2015 Pillar 3 documents disclose only 'Tier 1 capital' without using the CET1 term. Structurally unchanged from later years (wholly CET1, no AT1 instruments), so CET1 is treated as equal to Tier 1 Capital for FY2014-FY2017 too, consistent with how every other year in this workbook is presented, but flagged here per HD-017's instruction on Basel-era terminology shifts. Separately, the FY2014 and FY2015 Pillar 3 documents' own 'Tier 2 capital' row is arithmetically Tier 1 Capital + Subordinated debt (principal) - i.e. it is actually Total Capital / Own Funds, not Tier 2 alone (Tier 2 for this entity is just the subordinated debt); reproduced here under this workbook's 'Total Capital' metric, treating the source document's own row label as an apparent labelling error rather than following it literally. IFRS 9 (replacing IAS 39's incurred-loss model) was adopted 1 January 2018 - FY2014-FY2017 Asset Quality figures use the entity's own pre-IFRS 9 individual-impairment disclosure format (no IFRS 9 stage split exists for those years), presented in a separate section of the Asset Quality sheet from FY2018 onward's stage-based figures. IFRS 16 (leases) was adopted 1 January 2019 - FY2014-FY2018 have no Right-of-use Assets/lease-related figures, consistent with pre-adoption presentation.</t>
        </is>
      </c>
    </row>
  </sheetData>
  <mergeCells count="2">
    <mergeCell ref="A8:M8"/>
    <mergeCell ref="A6:M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 (= Tier 1 capital; wholly CET1, no AT1 instruments)</t>
        </is>
      </c>
      <c r="B4" s="6" t="n">
        <v>41047</v>
      </c>
      <c r="C4" s="6" t="n">
        <v>45680</v>
      </c>
      <c r="D4" s="6" t="n">
        <v>44826</v>
      </c>
      <c r="E4" s="6" t="n">
        <v>55465</v>
      </c>
      <c r="F4" s="6" t="n">
        <v>59466</v>
      </c>
      <c r="G4" s="6" t="n">
        <v>69581</v>
      </c>
      <c r="H4" s="6" t="n">
        <v>65965</v>
      </c>
      <c r="I4" s="6" t="n">
        <v>61796</v>
      </c>
      <c r="J4" s="6" t="n">
        <v>60536</v>
      </c>
      <c r="K4" s="6" t="n">
        <v>51512</v>
      </c>
      <c r="L4" s="6" t="n">
        <v>45544</v>
      </c>
      <c r="M4" s="6" t="n">
        <v>40825</v>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 (= Tier 1 Capital Ratio)</t>
        </is>
      </c>
      <c r="B4" s="6" t="inlineStr">
        <is>
          <t>17.46%</t>
        </is>
      </c>
      <c r="C4" s="6" t="inlineStr">
        <is>
          <t>19.65%</t>
        </is>
      </c>
      <c r="D4" s="6" t="inlineStr">
        <is>
          <t>17.75%</t>
        </is>
      </c>
      <c r="E4" s="6" t="inlineStr">
        <is>
          <t>12.24%</t>
        </is>
      </c>
      <c r="F4" s="6" t="inlineStr">
        <is>
          <t>12.36%</t>
        </is>
      </c>
      <c r="G4" s="6" t="inlineStr">
        <is>
          <t>13.76%</t>
        </is>
      </c>
      <c r="H4" s="6" t="inlineStr">
        <is>
          <t>14.04%</t>
        </is>
      </c>
      <c r="I4" s="6" t="inlineStr">
        <is>
          <t>13.5%</t>
        </is>
      </c>
      <c r="J4" s="6" t="inlineStr">
        <is>
          <t>15.1%</t>
        </is>
      </c>
      <c r="K4" s="6" t="inlineStr">
        <is>
          <t>13.0%</t>
        </is>
      </c>
      <c r="L4" s="6" t="inlineStr">
        <is>
          <t>12.6%</t>
        </is>
      </c>
      <c r="M4" s="6" t="inlineStr">
        <is>
          <t>13.3%</t>
        </is>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41047</v>
      </c>
      <c r="C4" s="6" t="n">
        <v>45680</v>
      </c>
      <c r="D4" s="6" t="n">
        <v>44826</v>
      </c>
      <c r="E4" s="6" t="n">
        <v>55465</v>
      </c>
      <c r="F4" s="6" t="n">
        <v>59466</v>
      </c>
      <c r="G4" s="6" t="n">
        <v>69581</v>
      </c>
      <c r="H4" s="6" t="n">
        <v>65965</v>
      </c>
      <c r="I4" s="6" t="n">
        <v>61796</v>
      </c>
      <c r="J4" s="6" t="n">
        <v>60536</v>
      </c>
      <c r="K4" s="6" t="n">
        <v>51512</v>
      </c>
      <c r="L4" s="6" t="n">
        <v>45544</v>
      </c>
      <c r="M4" s="6" t="n">
        <v>40825</v>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 Ratio</t>
        </is>
      </c>
      <c r="B4" s="6" t="inlineStr">
        <is>
          <t>17.46%</t>
        </is>
      </c>
      <c r="C4" s="6" t="inlineStr">
        <is>
          <t>19.65%</t>
        </is>
      </c>
      <c r="D4" s="6" t="inlineStr">
        <is>
          <t>17.75%</t>
        </is>
      </c>
      <c r="E4" s="6" t="inlineStr">
        <is>
          <t>12.24%</t>
        </is>
      </c>
      <c r="F4" s="6" t="inlineStr">
        <is>
          <t>12.36%</t>
        </is>
      </c>
      <c r="G4" s="6" t="inlineStr">
        <is>
          <t>13.76%</t>
        </is>
      </c>
      <c r="H4" s="6" t="inlineStr">
        <is>
          <t>14.04%</t>
        </is>
      </c>
      <c r="I4" s="6" t="inlineStr">
        <is>
          <t>13.5%</t>
        </is>
      </c>
      <c r="J4" s="6" t="inlineStr">
        <is>
          <t>15.1%</t>
        </is>
      </c>
      <c r="K4" s="6" t="inlineStr">
        <is>
          <t>13.0%</t>
        </is>
      </c>
      <c r="L4" s="6" t="inlineStr">
        <is>
          <t>12.6%</t>
        </is>
      </c>
      <c r="M4" s="6" t="inlineStr">
        <is>
          <t>13.3%</t>
        </is>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 Own Funds (Tier 1 + Tier 2)</t>
        </is>
      </c>
      <c r="B4" s="6" t="n">
        <v>56485</v>
      </c>
      <c r="C4" s="6" t="n">
        <v>60323</v>
      </c>
      <c r="D4" s="6" t="n">
        <v>60197</v>
      </c>
      <c r="E4" s="6" t="n">
        <v>71130</v>
      </c>
      <c r="F4" s="6" t="n">
        <v>74498</v>
      </c>
      <c r="G4" s="6" t="n">
        <v>85434</v>
      </c>
      <c r="H4" s="6" t="n">
        <v>81016</v>
      </c>
      <c r="I4" s="6" t="n">
        <v>77708</v>
      </c>
      <c r="J4" s="6" t="n">
        <v>76231</v>
      </c>
      <c r="K4" s="6" t="n">
        <v>66652</v>
      </c>
      <c r="L4" s="6" t="n">
        <v>58545</v>
      </c>
      <c r="M4" s="6" t="n">
        <v>54600</v>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 (Solvency Ratio)</t>
        </is>
      </c>
      <c r="B4" s="6" t="inlineStr">
        <is>
          <t>24.03%</t>
        </is>
      </c>
      <c r="C4" s="6" t="inlineStr">
        <is>
          <t>25.95%</t>
        </is>
      </c>
      <c r="D4" s="6" t="inlineStr">
        <is>
          <t>23.83%</t>
        </is>
      </c>
      <c r="E4" s="6" t="inlineStr">
        <is>
          <t>15.70%</t>
        </is>
      </c>
      <c r="F4" s="6" t="inlineStr">
        <is>
          <t>15.49%</t>
        </is>
      </c>
      <c r="G4" s="6" t="inlineStr">
        <is>
          <t>16.89%</t>
        </is>
      </c>
      <c r="H4" s="6" t="inlineStr">
        <is>
          <t>17.36%</t>
        </is>
      </c>
      <c r="I4" s="6" t="inlineStr">
        <is>
          <t>17.0%</t>
        </is>
      </c>
      <c r="J4" s="6" t="inlineStr">
        <is>
          <t>19.0%</t>
        </is>
      </c>
      <c r="K4" s="6" t="inlineStr">
        <is>
          <t>16.9%</t>
        </is>
      </c>
      <c r="L4" s="6" t="inlineStr">
        <is>
          <t>16.2%</t>
        </is>
      </c>
      <c r="M4" s="6" t="inlineStr">
        <is>
          <t>17.9%</t>
        </is>
      </c>
    </row>
    <row r="5" ht="65" customHeight="1">
      <c r="A5" s="7" t="inlineStr">
        <is>
          <t>Note: FY2022 shown here as originally published in the Pillar 3 Disclosures 2022 (Tier 1 GBP55,465k, Own funds GBP71,130k, RWA GBP453,124k, Total Capital Ratio 15.70%). The Pillar 3 Disclosures 2023's FY2022 comparative restates this to Tier 1 GBP54,760k, Own funds GBP70,425k, RWA GBP453,125k, Total Capital Ratio 15.54% - the same restatement documented on the Cash Flow Statement sheet, consistent with the FY2022 Annual Report's own auditor's report flagging 'prior year adjustments and ongoing regulatory investigation'.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 Weighted Assets (Credit RWA)</t>
        </is>
      </c>
      <c r="B4" s="6" t="n">
        <v>235076</v>
      </c>
      <c r="C4" s="6" t="n">
        <v>232412</v>
      </c>
      <c r="D4" s="6" t="n">
        <v>252608</v>
      </c>
      <c r="E4" s="6" t="n">
        <v>453124</v>
      </c>
      <c r="F4" s="6" t="n">
        <v>480918</v>
      </c>
      <c r="G4" s="6" t="n">
        <v>505809</v>
      </c>
      <c r="H4" s="6" t="n">
        <v>469702</v>
      </c>
      <c r="I4" s="6" t="n">
        <v>456561</v>
      </c>
      <c r="J4" s="6" t="n">
        <v>401388</v>
      </c>
      <c r="K4" s="6" t="n">
        <v>395244</v>
      </c>
      <c r="L4" s="6" t="n">
        <v>360523</v>
      </c>
      <c r="M4" s="6" t="n">
        <v>305024</v>
      </c>
    </row>
    <row r="5" ht="30" customHeight="1">
      <c r="A5" s="7" t="inlineStr">
        <is>
          <t>Note: FY2014-FY2017 (HD-017 extension): see this workbook's entity-level source note for the Basel III/CET1-terminology and 'Tier 2 capital' source-labelling caveats that apply to these four years' Pillar 3 figures. FY2018-FY2020 have no STANDALONE Pillar 3 document at all (a genuine archive gap in the document series), but all three years ARE populated on this sheet: the capital figures are printed in each year's own Annual Report - FY2020 and FY2019 in the Strategic Report 'Capital management' table, FY2018 in Note 42 'Capital management' - and are cited individually above. The document gap is not a data gap.</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390" customHeight="1">
      <c r="A9" s="8" t="inlineStr">
        <is>
          <t xml:space="preserve">(continued)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t>
        </is>
      </c>
    </row>
  </sheetData>
  <mergeCells count="3">
    <mergeCell ref="A9:M9"/>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Bank of Africa United Kingdom Plc — RWA Breakdown</t>
        </is>
      </c>
    </row>
    <row r="2">
      <c r="A2" s="2" t="inlineStr">
        <is>
          <t>Overview of Risk Weighted Assets under Pillar 1, entity-level (solo) basis</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6" t="inlineStr">
        <is>
          <t>[No risk-type RWA breakdown published for this year - see note below]</t>
        </is>
      </c>
      <c r="B4" s="6" t="n"/>
      <c r="C4" s="6" t="n"/>
      <c r="D4" s="6" t="n"/>
      <c r="E4" s="6" t="n"/>
      <c r="F4" s="6" t="n"/>
      <c r="G4" s="6" t="inlineStr">
        <is>
          <t>Not disclosed - no risk-type split in the Annual Report</t>
        </is>
      </c>
      <c r="H4" s="6" t="inlineStr">
        <is>
          <t>Not disclosed - no risk-type split in the Annual Report</t>
        </is>
      </c>
      <c r="I4" s="6" t="inlineStr">
        <is>
          <t>Not disclosed - no risk-type split in the Annual Report</t>
        </is>
      </c>
      <c r="J4" s="6" t="n"/>
      <c r="K4" s="6" t="n"/>
    </row>
    <row r="5">
      <c r="A5" s="6" t="inlineStr">
        <is>
          <t>Credit risk (excluding counterparty credit risk)</t>
        </is>
      </c>
      <c r="B5" s="6" t="n">
        <v>212890</v>
      </c>
      <c r="C5" s="6" t="n">
        <v>194090</v>
      </c>
      <c r="D5" s="6" t="n">
        <v>167168</v>
      </c>
      <c r="E5" s="6" t="n">
        <v>345166</v>
      </c>
      <c r="F5" s="6" t="n">
        <v>238172</v>
      </c>
      <c r="G5" s="6" t="n"/>
      <c r="H5" s="6" t="n"/>
      <c r="I5" s="6" t="n"/>
      <c r="J5" s="6" t="n">
        <v>292139</v>
      </c>
      <c r="K5" s="6" t="n">
        <v>277878</v>
      </c>
    </row>
    <row r="6">
      <c r="A6" s="6" t="inlineStr">
        <is>
          <t>Counterparty credit risk (of which CVA)</t>
        </is>
      </c>
      <c r="B6" s="6" t="n">
        <v>387</v>
      </c>
      <c r="C6" s="6" t="n">
        <v>1442</v>
      </c>
      <c r="D6" s="6" t="n">
        <v>447</v>
      </c>
      <c r="E6" s="6" t="n">
        <v>246</v>
      </c>
      <c r="F6" s="6" t="n">
        <v>350</v>
      </c>
      <c r="G6" s="6" t="n"/>
      <c r="H6" s="6" t="n"/>
      <c r="I6" s="6" t="n"/>
      <c r="J6" s="6" t="n">
        <v>225</v>
      </c>
      <c r="K6" s="6" t="n">
        <v>226</v>
      </c>
    </row>
    <row r="7">
      <c r="A7" s="6" t="inlineStr">
        <is>
          <t>Market risk</t>
        </is>
      </c>
      <c r="B7" s="6" t="n">
        <v>2071</v>
      </c>
      <c r="C7" s="6" t="n">
        <v>7152</v>
      </c>
      <c r="D7" s="6" t="n">
        <v>45736</v>
      </c>
      <c r="E7" s="6" t="n">
        <v>67257</v>
      </c>
      <c r="F7" s="6" t="n">
        <v>206395</v>
      </c>
      <c r="G7" s="6" t="n"/>
      <c r="H7" s="6" t="n"/>
      <c r="I7" s="6" t="n"/>
      <c r="J7" s="6" t="n">
        <v>77898</v>
      </c>
      <c r="K7" s="6" t="n">
        <v>90900</v>
      </c>
    </row>
    <row r="8">
      <c r="A8" s="6" t="inlineStr">
        <is>
          <t>Operational risk</t>
        </is>
      </c>
      <c r="B8" s="6" t="n">
        <v>19728</v>
      </c>
      <c r="C8" s="6" t="n">
        <v>29727</v>
      </c>
      <c r="D8" s="6" t="n">
        <v>39255</v>
      </c>
      <c r="E8" s="6" t="n">
        <v>40455</v>
      </c>
      <c r="F8" s="6" t="n">
        <v>36001</v>
      </c>
      <c r="G8" s="6" t="n"/>
      <c r="H8" s="6" t="n"/>
      <c r="I8" s="6" t="n"/>
      <c r="J8" s="6" t="n">
        <v>31126</v>
      </c>
      <c r="K8" s="6" t="n">
        <v>26239</v>
      </c>
    </row>
    <row r="9">
      <c r="A9" s="5" t="inlineStr">
        <is>
          <t>Total RWA</t>
        </is>
      </c>
      <c r="B9" s="5" t="n">
        <v>235076</v>
      </c>
      <c r="C9" s="5" t="n">
        <v>232412</v>
      </c>
      <c r="D9" s="5" t="n">
        <v>252606</v>
      </c>
      <c r="E9" s="5" t="n">
        <v>453124</v>
      </c>
      <c r="F9" s="5" t="n">
        <v>480918</v>
      </c>
      <c r="G9" s="5" t="n"/>
      <c r="H9" s="5" t="n"/>
      <c r="I9" s="5" t="n"/>
      <c r="J9" s="5" t="n">
        <v>401388</v>
      </c>
      <c r="K9" s="5" t="n">
        <v>395244</v>
      </c>
    </row>
    <row r="11" ht="299" customHeight="1">
      <c r="A11" s="8" t="inlineStr">
        <is>
          <t>Sources - Bank of Africa United Kingdom Plc's own Pillar 3 Disclosures, 'Overview of Risk Weighted Assets and Minimum Capital Required under Pillar 1' table, GBP'000:
FY2025 (added 2026-09-19, &amp; FY2024 comparative which matches the FY2024 column): Pillar 3 Disclosures 2025, 'Overview of the Bank's 2025 Risk Weighted Assets and Minimum Capital Required under Pillar 1', p.21 (read off the page image) - https://storage.weblysoft.com/files/general/4ec1bc10-d.pdf
FY2024 (&amp; FY2023 comparative): Pillar 3 Disclosures 2024, p.22 - https://www.bankofafricaunitedkingdom.co.uk/pdfs/finances/Pillar3-Disclosures-2024.pdf
FY2023 (used as primary column): Pillar 3 Disclosures 2023, p.22 - https://www.bankofafricaunitedkingdom.co.uk/pdfs/finances/Pillar3-Disclosures-2023.pdf
FY2022 (used as primary column, &amp; FY2021 comparative): Pillar 3 Disclosures 2022, p.18-19 - https://www.bankofafricaunitedkingdom.co.uk/pdfs/finances/BOA_UK_Pillar_III_2022.pdf
FY2017 (used as primary column, &amp; FY2016 comparative): Pillar III Disclosures 2017, p.16 - https://www.bankofafricaunitedkingdom.co.uk/pdfs/finances/BMCE___Pillar_III_VF___31122017.pdf
PRESENTATION NOTE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FY2025 category breakdown not available - no FY2025 Pillar 3 disclosure has been published yet (same gap already noted on the Total RWAs and other Pillar 3 sheets), so only the aggregate Total RWA figure exists for that year and it is (re-confirmed 2026-09-12: bank's own finances.html page still lists Pillar3-Disclosures-2024.pdf as the latest, no 2025 edition) not repeated on this sheet. FY2023's category breakdown (Credit risk 167,168 + CCR 447 + Market risk 45,736 + Operational risk 39,255 = 252,606) is £2k below the Total RWAs sheet's own FY2023 total of 252,608 - both figures are transcribed exactly as each source document states them; not reconciled further. FY2022 and FY2021 totals tie exactly to the Total RWAs sheet (453,124 and 480,918 respectively). HD-017 extension: FY2017's own breakdown (Credit risk 292,139 + CCR 225 + Market risk 77,898 + Operational risk 31,126 = 401,388) and FY2016's comparative in the same document (Credit risk 277,878 + CCR 226 + Market risk 90,900 + Operational risk 26,239 = 395,244) both tie exactly to the Total RWAs sheet. FY2014/FY2015's Pillar 3 documents disclose Pillar 1 capital requirements by exposure class (sovereign/institution/corporate/retail/other), not by risk type (credit/market/operational) - not the same breakdown shape as this sheet, so not included here.
FY2018-FY2020 - NO RISK-TYPE BREAKDOWN IS PUBLISHED, AND THE ONE NEAR-MISS IS DELIBERATELY REFUSED (interior-gap pass, 2026-09-18). These three years have no standalone Pillar 3 document (see the entity note), and the TOTAL RWA for each year IS known and IS carried on the Total RWAs sheet, read from each year's own Annual Report capital table (FY2020 505,809; FY2019 469,702; FY2018 456,561). What no document in those years prints is the split by risk type, which is what this sheet holds - so the category rows stay empty rather than being manufactured, and the totals are not repeated here without components.
  THE REFUSED SOURCE, recorded so a later pass does not 'find' it and think it is a win: the FY2020 Annual Report, printed folio p.11, carries a PIE CHART headed 'Capital Requirements (Per Risk Type)' reading Credit 65%, Market 28%, Operational 7%. It is NOT used. Three separate reasons, any one sufficient: it is a chart rather than a table (the GA-011 fabricated-figure error class); it states CAPITAL REQUIREMENTS, not RWAs, which are a different quantity; and turning percentages into GBP'000 would be derivation from a total, which map rule 6 forbids. FY2019 and FY2018 do not even have that much.</t>
        </is>
      </c>
    </row>
  </sheetData>
  <mergeCells count="1">
    <mergeCell ref="A11:K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Bank of Africa United Kingdom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Leverage Ratio</t>
        </is>
      </c>
      <c r="B4" s="6" t="inlineStr">
        <is>
          <t>14.25%</t>
        </is>
      </c>
      <c r="C4" s="6" t="inlineStr">
        <is>
          <t>17.67%</t>
        </is>
      </c>
      <c r="D4" s="6" t="inlineStr">
        <is>
          <t>20.66%</t>
        </is>
      </c>
      <c r="E4" s="6" t="inlineStr">
        <is>
          <t>13.98%</t>
        </is>
      </c>
      <c r="F4" s="6" t="inlineStr">
        <is>
          <t>11.51%</t>
        </is>
      </c>
      <c r="G4" s="6" t="inlineStr">
        <is>
          <t>Not disclosed in the FY2020 Annual Report</t>
        </is>
      </c>
      <c r="H4" s="6" t="inlineStr">
        <is>
          <t>Not disclosed in the FY2019 Annual Report</t>
        </is>
      </c>
      <c r="I4" s="6" t="inlineStr">
        <is>
          <t>Not disclosed in the FY2018 Annual Report</t>
        </is>
      </c>
      <c r="J4" s="6" t="inlineStr">
        <is>
          <t>12.08%</t>
        </is>
      </c>
      <c r="K4" s="6" t="inlineStr">
        <is>
          <t>9.62%</t>
        </is>
      </c>
    </row>
    <row r="5" ht="117" customHeight="1">
      <c r="A5" s="7" t="inlineStr">
        <is>
          <t>Note: LEVERAGE BASIS: THE BANK PUBLISHES ONE RATIO ON THE OLD BASEL III TEMPLATE AND DRAWS NO CENTRAL-BANK-CLAIMS DISTINCTION (GA-026, 2026-10-09). Every edition from FY2022 to FY2024 - the only editions that could carry the UK split, which took effect on 1 January 2022 - prints the pre-UK Basel III leverage table, whose rows are '21 Total exposures' and '22 Basel III leverage ratio'. It does not print UK LR2 / LRCom, and rows 24, UK-24a, UK-24b and UK-25c appear nowhere in any edition. No 'excluding claims on central banks' or 'including claims on central banks' wording is used at any point. The single ratio is therefore recorded exactly as published, unqualified: NO BASIS IS ASSERTED THAT THE BANK DID NOT PRINT, and in particular it is not labelled as the excluding basis merely because that is what most UK banks now publish.
A READING TRAP IN THESE TABLES, RECORDED SO IT IS NOT RE-INTRODUCED: the Bank's leverage columns run OLDEST-FIRST (2022, 2023, 2024 left to right), the opposite of this workbook's convention and the opposite of most of the other banks in it. The figures above were taken under that reading and the leverage tables of the FY2022, FY2023 and FY2024 editions were rendered and read at 300 dpi to confirm both the column order and the absence of the qualifier rows from the TABLES, not merely from a text search.
FY2025 added 19 September 2026 from the FY2025 Pillar 3's p.6 Key Metrics chart (14.25%). The earlier 'confirmed disclosure gap' for FY2025 was wrong: the edition existed on the Bank's CMS file store, outside the static index that was checked - see the source note.</t>
        </is>
      </c>
    </row>
    <row r="7" ht="390"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t>
        </is>
      </c>
    </row>
    <row r="9" ht="403" customHeight="1">
      <c r="A9" s="8" t="inlineStr">
        <is>
          <t>(continued)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t>
        </is>
      </c>
    </row>
    <row r="11" ht="299" customHeight="1">
      <c r="A11" s="8" t="inlineStr">
        <is>
          <t>(continued)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FY2025 (added 19 September 2026): 14.25%, the 2025 bar's printed data label on the 'Leverage Ratio' chart in section 1.1.4 Key Metrics, p.6 of the Pillar 3 Disclosures 2025 (read off the page image; the same chart prints 17.67% for 2024 and 20.66% for 2023, matching this sheet) - https://storage.weblysoft.com/files/general/4ec1bc10-d.pdf.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THE PARAGRAPH THAT FOLLOWS IS SUPERSEDED: it was true of the documents it names (the Annual Report has no leverage ratio), but its conclusion that no FY2025 edition existed was a limit of the index it enumerated.
FY2025 leverage ratio not found - left blank rather than guessed. Re-verified independently on 15 September 2026, three ways: (1) the bank's own finances.html index still lists Pillar3-Disclosures-2024.pdf as the newest Pillar 3 edition, with no 2025 entry; (2) four filename permutations for a 2025 edition (Pillar3-Disclosures-2025.pdf, BOA_UK_Pillar_III_2025.pdf, Pillar3_Disclosures_2025.pdf, Pillar3-Disclosures-2025_.pdf) all return HTTP 404 while the 2024 file at the same path still serves a real 929KB PDF, so the site is live and the absence is real rather than a broken path; (3) the FY2025 Annual Report (Companies House, a 100-page scanned image-only filing, Creator 'go-tiff2pdf', with no text layer at all) was rendered at 200 dpi and OCR'd in full - all 100 pages - and contains ZERO occurrences of the word 'leverage' anywhere in the document, not merely in the Strategic Report. Its capital note discloses Tier 1 capital of £41.05m (2024: £41.44m) but no exposure measure and no leverage ratio, so the ratio is not derivable either. FY2015/FY2014: leverage ratio not disclosed in either year's Pillar 3 document - plausible, since the UK leverage ratio framework (and its public disclosure requirement) only phased in from 2016 onward; left blank rather than guessed.
FY2018-FY2020 (interior-gap pass, 2026-09-18) - NOT DISCLOSED, and established against the Annual Reports, not merely against the absent Pillar 3 documents. Each of the three reports was searched for 'leverage' with a whitespace-tolerant pattern (the OCR'd and corrupt text layers in these files insert spaces inside words, so a plain substring search would under-report): FY2020 and FY2019 return ZERO hits anywhere in the document; FY2018's OCR returns one hit and it is not the metric ('this IT system continuous to be our leverage'). The FY2020 Strategic Report KPI section was additionally read visually from a page render and lists only Return on Equity, Return on Assets, LCR and Capital Adequacy Ratio - no leverage ratio. Nor is one derivable: none of the three reports prints a leverage exposure measure. So these are stated non-disclosures, not unchecked blanks - and note that FY2021 onward and FY2016/FY2017 DO carry the ratio, which is what made this an interior gap worth chasing.</t>
        </is>
      </c>
    </row>
  </sheetData>
  <mergeCells count="4">
    <mergeCell ref="A11:K11"/>
    <mergeCell ref="A5:K5"/>
    <mergeCell ref="A7:K7"/>
    <mergeCell ref="A9:K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Bank of Africa United Kingdom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Liquidity Coverage Ratio</t>
        </is>
      </c>
      <c r="B4" s="6" t="inlineStr">
        <is>
          <t>152%</t>
        </is>
      </c>
      <c r="C4" s="6" t="inlineStr">
        <is>
          <t>207%</t>
        </is>
      </c>
      <c r="D4" s="6" t="inlineStr">
        <is>
          <t>351%</t>
        </is>
      </c>
      <c r="E4" s="6" t="inlineStr">
        <is>
          <t>207%</t>
        </is>
      </c>
      <c r="F4" s="6" t="inlineStr">
        <is>
          <t>203%</t>
        </is>
      </c>
      <c r="G4" s="6" t="inlineStr">
        <is>
          <t>179% (average through the year, not point-in-time - see basis note)</t>
        </is>
      </c>
      <c r="H4" s="6" t="inlineStr">
        <is>
          <t>Not disclosed in the FY2019 Annual Report (qualitative statement only)</t>
        </is>
      </c>
      <c r="I4" s="6" t="inlineStr">
        <is>
          <t>Not disclosed in the FY2018 Annual Report (qualitative statement only)</t>
        </is>
      </c>
      <c r="J4" s="6" t="inlineStr">
        <is>
          <t>158%</t>
        </is>
      </c>
      <c r="K4" s="6" t="inlineStr">
        <is>
          <t>143%</t>
        </is>
      </c>
      <c r="L4" s="6" t="inlineStr">
        <is>
          <t>160%</t>
        </is>
      </c>
    </row>
    <row r="5" ht="39" customHeight="1">
      <c r="A5" s="7" t="inlineStr">
        <is>
          <t>Note: MIXED BASIS ROW - read the cell labels. FY2020 is an average-throughout-year figure taken from the Annual Report; FY2021-FY2025 are point-in-time at 31 December (Pillar 3 - KM1 for FY2021-FY2024, the p.6 Key Metrics chart for FY2025, which prints the same series); FY2015-FY2017's own basis is not stated in their source document. The FY2025 Annual Report's own average figures (2025: 212%, 2024: 228%) are in the source note. FY2019 and FY2018 are stated non-disclosures, evidenced from those years' own Annual Reports (see source note), not blanks left by an unfinished search.</t>
        </is>
      </c>
    </row>
    <row r="7" ht="390"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t>
        </is>
      </c>
    </row>
    <row r="9" ht="403" customHeight="1">
      <c r="A9" s="8" t="inlineStr">
        <is>
          <t>(continued)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t>
        </is>
      </c>
    </row>
    <row r="11" ht="195" customHeight="1">
      <c r="A11" s="8" t="inlineStr">
        <is>
          <t>(continued)
BASIS NOTE: FY2021-FY2024 are point-in-time (31 December) LCR from each year's own Pillar 3 KM1 disclosure (FY2024's 207% independently verified by reconstructing the LCR composition table: HQLA GBP54,641k / net cash outflows GBP26,427k = 206.75% ≈ 207%).
FY2025 CORRECTED 2026-10-08, FROM 212% TO 152%, AND THE REASON IS RECORDED RATHER THAN THE OLD CELL BEING QUIETLY REPLACED. This cell used to hold 212%, the *average LCR throughout the year* from the FY2025 Annual Report's 'Liquidity and funding' section, on the stated ground that 'no Pillar 3 edition exists yet for FY2025'. A FY2025 Pillar 3 does exist - it was found on 2026-09-19 on the Bank's CMS file store (see the entity note) and every other FY2025 figure in this workbook already comes from it - and its p.6 'LCR RATIO' chart prints 152% for 2025. That chart's other two bars print 351% for 2023 and 207% for 2024, which are exactly the point-in-time figures this row already carries for those years, so the chart IS the point-in-time series and 152% is its FY2025 member. Read off the page image at 150 dpi; the same page's Own Funds (56.5), Credit RWA (235,076) and Leverage Ratio (14.25%) bars agree with the Total Capital, Total RWAs and Leverage Ratio sheets. Document MD5 261e9d209bf68811b42d56cc747ca514, 35pp. The 212% is NOT discarded: the FY2025 Annual Report states an average LCR of 212% for 2025 and 228% for 2024, both on the average basis, against the 152% and 207% point-in-time figures on this row. The Bank publishes both and this project records both; the row keeps one basis throughout and the other is written here. Same spot-vs-average distinction documented across this project (e.g. ALRAYAN Bank). FY2017/FY2016/FY2015 come from the FY2017 Pillar 3 document's own 3-year bar chart (basis not separately stated in that document - not confirmed spot vs. average). FY2014: not disclosed - plausible, since the EU LCR requirement only phased in from October 2015; left blank rather than guessed.
FY2018-FY2020 (interior-gap pass, 2026-09-18). There is no standalone Pillar 3 for these three years (see the entity note), but the Annual Reports were read for the ratio rather than the document being treated as the whole world, and the three years give three different answers:
  FY2020 - FOUND. The FY2020 Annual Report's Strategic Report KPI section, printed folio p.17, states: 'The Bank maintained an LCR ratio of average of 179% throughout the year, which is above the regulatory requirement of 100%.' This is an AVERAGE THROUGH THE YEAR, NOT a 31 December point-in-time figure, and the cell says so; it is on the same basis as the FY2025 cell and NOT on the same basis as FY2021-FY2024. Read from a 200-dpi page render because this PDF's text layer is corrupt (it renders the sentence with mangled characters); confirmed visually against the page image.
  FY2019 and FY2018 - NOT DISCLOSED, established from the documents themselves rather than from a failed search. The FY2019 Annual Report (printed folio p.15) and the FY2018 Annual Report (printed folio p.14) each carry only the boilerplate sentence that the Bank is 'committed to meet strong level of regulatory requirements both LCR and NSFR' - the acronym appears, the figure does not. Each page was read in full; no LCR percentage is printed anywhere in either report.</t>
        </is>
      </c>
    </row>
  </sheetData>
  <mergeCells count="4">
    <mergeCell ref="A11:L11"/>
    <mergeCell ref="A5:L5"/>
    <mergeCell ref="A7:L7"/>
    <mergeCell ref="A9:L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4" customWidth="1" min="1" max="1"/>
    <col width="15" customWidth="1" min="2" max="2"/>
    <col width="15" customWidth="1" min="3" max="3"/>
  </cols>
  <sheetData>
    <row r="1">
      <c r="A1" s="1" t="inlineStr">
        <is>
          <t>Bank of Africa United Kingdom Plc — NSFR</t>
        </is>
      </c>
    </row>
    <row r="2">
      <c r="A2" s="2" t="inlineStr">
        <is>
          <t>%</t>
        </is>
      </c>
    </row>
    <row r="3">
      <c r="A3" s="4" t="inlineStr">
        <is>
          <t>Metric</t>
        </is>
      </c>
      <c r="B3" s="4" t="inlineStr">
        <is>
          <t>FY2025</t>
        </is>
      </c>
      <c r="C3" s="4" t="inlineStr">
        <is>
          <t>FY2024</t>
        </is>
      </c>
    </row>
    <row r="4">
      <c r="A4" s="6" t="inlineStr">
        <is>
          <t>Net Stable Funding Ratio</t>
        </is>
      </c>
      <c r="B4" s="6" t="inlineStr">
        <is>
          <t>173%</t>
        </is>
      </c>
      <c r="C4" s="6" t="inlineStr">
        <is>
          <t>146%</t>
        </is>
      </c>
    </row>
    <row r="5" ht="30" customHeight="1">
      <c r="A5" s="7" t="inlineStr">
        <is>
          <t>Note: FY2014-FY2023 not publicly disclosed - see source note.</t>
        </is>
      </c>
    </row>
    <row r="7" ht="377" customHeight="1">
      <c r="A7" s="8" t="inlineStr">
        <is>
          <t>Sources - Bank of Africa United Kingdom Plc, own entity-level Pillar 3 disclosures (KM1 Key Metrics), GBP'000 unless stated:
FY2024: Pillar 3 Disclosures 2024, p.6 (Key Metrics) and p.20 (composition of capital resources table) - https://www.bankofafricaunitedkingdom.co.uk/pdfs/finances/Pillar3-Disclosures-2024.pdf
FY2023: Pillar 3 Disclosures 2023, p.6 (Key Metrics) and p.20 (composition of capital resources table) - https://www.bankofafricaunitedkingdom.co.uk/pdfs/finances/Pillar3-Disclosures-2023.pdf
FY2022: Pillar 3 Disclosures 2022, p.17 (composition of capital resources table, as originally published) - https://www.bankofafricaunitedkingdom.co.uk/pdfs/finances/BOA_UK_Pillar_III_2022.pdf
FY2021: Pillar 3 Disclosures 2022, p.17 (composition of capital resources table, FY2021 comparative column) - https://www.bankofafricaunitedkingdom.co.uk/pdfs/finances/BOA_UK_Pillar_III_2022.pdf
FY2025: no Pillar 3 edition published yet (as of this build) - Annual Report and Financial Statements 2025, p.23 (Capital Management) - https://find-and-update.company-information.service.gov.uk/company/05321714/filing-history/MzUxODk4NzcyM2FkaXF6a2N4/document?format=pdf&amp;download=0
   FY2025 RE-CONFIRMED 2026-09-18 FROM THE INDEX PAGE ITSELF, not from a filename guess. https://www.bankofafricaunitedkingdom.co.uk/finances.html was fetched (HTTP 200, text/html, 57,611 bytes, browser user-agent over HTTP/1.1) and EVERY .pdf href on it extracted - 16 documents. Exactly five are Pillar 3 editions: 2015, 2017, 2022, 2023 and 2024. There is no 2025 edition listed, and the page's newest Annual Report is the 2024 one, so the site as a whole has not yet been updated for the 2025 year-end. This is an enumeration of the Bank's own document index, which is stronger than the filename permutations recorded on the Leverage Ratio sheet and reaches the same conclusion.
   FY2025 PILLAR 3 FOUND 19 SEPTEMBER 2026 (GA-020 unreached pass): the Bank's finances page now builds its document list from a JSON API (/api/public/financial-reports), which lists 'Pillar 3 Disclosure Report 2025' hosted OFF the Bank's domain, on its CMS file store: https://storage.weblysoft.com/files/general/4ec1bc10-d.pdf (HTTP 200, application/pdf, %PDF, 1,487,825 bytes, 35pp, MD5 261e9d209bf68811b42d56cc747ca514, 'Pillar 3 Disclosures ... 31 December 2025'). The static .pdf hrefs on finances.html - which every earlier check enumerated - never included it. Used so far ONLY for the KM1 and MREL sheets' FY2025 statements; its key-metric charts (p.6) and tables have NOT yet been transcribed onto the other sheets.</t>
        </is>
      </c>
    </row>
    <row r="9" ht="390" customHeight="1">
      <c r="A9" s="8" t="inlineStr">
        <is>
          <t>(continued)
FY2017: Pillar III Disclosures 2017, p.13 (Own Funds/Solvency ratio table) - https://www.bankofafricaunitedkingdom.co.uk/pdfs/finances/BMCE___Pillar_III_VF___31122017.pdf
FY2016: Pillar III Disclosures 2017, p.13 (Own Funds/Solvency ratio table, FY2016 comparative column) - https://www.bankofafricaunitedkingdom.co.uk/pdfs/finances/BMCE___Pillar_III_VF___31122017.pdf
FY2015: Pillar 3 Disclosures 2015, p.2 (Ratios table) - https://www.bankofafricaunitedkingdom.co.uk/pdfs/finances/BMCE___Pillar_3_disclosures____2015.pdf
FY2014: Pillar 3 Disclosures 2015, p.2 (Ratios table, FY2014 comparative column; also independently cross-checked against the FY2014 Annual Report's own Part III Pillar 3 Disclosures, p.64) - https://www.bankofafricaunitedkingdom.co.uk/pdfs/finances/BMCE___Pillar_3_disclosures____2015.pdf
SOURCE-URL NOTE (2026-09-16): the FY2015 and FY2017 editions were previously cited via the Wayback Machine because they were no longer linked from the bank's site. They are live again at the /pdfs/finances/ path above (moved from /assets/&lt;n&gt;/, not withdrawn), re-fetched and re-read 2026-09-16 - FY2017 1,164,813 bytes/32pp, FY2015 430,862 bytes/5pp, both bearing Company Registration N°5321714, the UK entity. The live URLs are now cited in preference. Archival fallbacks, retained deliberately: FY2015 - https://web.archive.org/web/20220519121800id_/https://www.bankofafricaunitedkingdom.co.uk/assets/0/BMCE___Pillar_3_disclosures____2015.pdf; FY2017 - https://web.archive.org/web/20220519120942/https://www.bankofafricaunitedkingdom.co.uk/assets/239/BMCE___Pillar_III_VF___31122017.pdf. The FY2017 Wayback capture is TRUNCATED at exactly 1,048,576 bytes (the Wayback 1 MiB per-capture limit) in every playback form - bare, if_ and id_ alike - so it is recorded as provenance only and must not be promoted back to the primary citation; use the live URL.
FY2020: Annual Report and Financial Statements 2020, printed folio p.16 (Strategic Report, 'Capital management' table) - https://www.bankofafricaunitedkingdom.co.uk/pdfs/finances/BOAUK_Annual_report_and_audited_financial_statements_2020.pdf
FY2019: Annual Report and Financial Statements 2019, printed folio p.15 (Strategic Report, 'Capital management' table) - https://www.bankofafricaunitedkingdom.co.uk/pdfs/finances/BBI_Annual_report_and_audited_financial_2019.pdf</t>
        </is>
      </c>
    </row>
    <row r="11" ht="403" customHeight="1">
      <c r="A11" s="8" t="inlineStr">
        <is>
          <t>(continued)
FY2018: Annual Report and Financial Statements 2018, Note 42 'Capital management' section D, printed folio p.85 / PDF p.86 (2018-only column, no comparative) - https://find-and-update.company-information.service.gov.uk/company/05321714/filing-history/MzIzNTgyNTYxOWFkaXF6a2N4/document?format=pdf&amp;download=0
FY2018-FY2020 - NO STANDALONE PILLAR 3, BUT THE CAPITAL FIGURES ARE PUBLISHED (corrected 2026-09-18, GA-013). Two separate statements, and an earlier revision of this note ran them together:
(1) THE STANDALONE-DOCUMENT NEGATIVE STANDS. No standalone Pillar 3 document exists for FY2018, FY2019 or FY2020. This is now established against THREE domains, not the two the earlier pass searched. The Bank's own live index (finances.html, HTTP 200, unblocked, re-read 2026-09-18) lists 16 PDFs, of which the Pillar 3 entries are 2015, 2017, 2022, 2023 and 2024 only - the standalone series genuinely skips 2016 and 2018-2021.
(2) BUT THE CAPITAL FIGURES WERE NEVER MISSING. They are printed in the ANNUAL REPORT, in a Strategic Report table headed 'Capital management' - FY2019 on printed folio p.15, FY2020 on printed folio p.16. Each table gives Tier 1 Capital, Subordinated debt (principal), Own funds, Required capital, Surplus capital, Risk weighted assets, Tier 1 capital ratio and Solvency ratio. Both foot exactly (FY2020 69,581 + 15,853 = 85,434; FY2019 65,965 + 15,051 = 81,016), and the FY2020 narrative independently ties to FY2019 ('a reduction in CAR from 17.36% to 16.89%', 'total available capital also improved by GBP4.4m to GBP85.4m').
THIS SCRIPT ALREADY KNEW THAT SHAPE EXISTED, which is what makes the miss instructive rather than unlucky: the FY2014 citation on this very sheet reads '...also independently cross-checked against the FY2014 Annual Report's own Part III Pillar 3 Disclosures, p.64'. The search looked for a standalone PDF and stopped; the Annual Report was never re-read for the capital table.
WHY THE EARLIER SWEEP COULD NOT HAVE FOUND THE DOCUMENT IT LOOKED FOR: the FY2019 Annual Report states the Pillar 3 disclosures 'will be published on the Bank's website ... at http://www.bmce-intl.co.uk/finance' - a THIRD domain that the recorded CDX sweep (bankofafricaunitedkingdom.co.uk and bmcebankint.com) never covered. Checked 2026-09-18: bmce-intl.co.uk is now dead to a live fetch (connection timed out at 25s, recorded as NOT ESTABLISHED, not as an absence), and a Wayback CDX sweep of bmce-intl.co.uk* returns 260 captured URLs of which exactly two match 'pillar' - both the 2017 edition. So the third domain does not rescue FY2018-FY2020 either, and point (1) now rests on three domains.</t>
        </is>
      </c>
    </row>
    <row r="13" ht="364" customHeight="1">
      <c r="A13" s="8" t="inlineStr">
        <is>
          <t>(continued)
CET1 = TIER 1 FOR THESE TWO YEARS ON THE BANK'S OWN STATEMENT, not by derivation: both reports' Capital management sections read 'Tier 1 capital (all qualifies as Common Equity Tier 1 (CET1) capital)'. This matches how every other year in this workbook is presented.
READ THESE FIGURES FROM A PAGE RENDER, NOT FROM pdftotext (map rule 22). The FY2020 PDF's text layer is a poor OCR: it renders 13.76% as '13.760/o' and misreads Subordinated debt as 15,953 where the page prints 15,853 - one figure in eight wrong. Every figure above was read from a 150-dpi render of the printed page. A later pass re-extracting with the faster tool WILL get different numbers; the render is authoritative.
FY2019 SOURCE DEFECT - THE TABLE DISAGREES WITH ITSELF. REPRODUCED, NOT RECONCILED (map rule 7). Re-read at 400 dpi on 2026-09-18 after a tie-check flagged it: BOTH figures this workbook carries are correct transcriptions of what is printed, and the document is internally inconsistent. The FY2019 Capital management table (printed folio p.15) contains TWO irreconcilable totals for own funds:
  - 'Own funds' prints 81,016, and that TIES to its own components: Tier 1 Capital 65,965 + Subordinated debt (principal) 15,051 = 81,016 exactly.
  - 'Required capital' 69,046 + 'Surplus capital' 12,506 = 81,552, which is 536 HIGHER, and it is THAT figure the printed ratio is struck on: 81,552 / 469,702 = 17.362%, i.e. the printed 'Solvency ratio 17.36%'. The printed Own funds over the printed RWAs gives 17.25%, which is NOT what the table prints.
So 81,016 (Total Capital sheet) and 17.36% (Total Capital Ratio sheet) DO NOT TIE TO EACH OTHER, and that is a property of the source, not of this transcription. Both are kept as printed. Nothing is recomputed, and no third number is invented to make them agree.
The same ~540 gap appears a second time in the same report, which is why it reads as a basis difference rather than a typo: the narrative on that page says 'a core tier 1 capital ratio of 14.16%', which implies Tier 1 of 66,510 - some 545 above the 65,965 the table prints, whose own ratio (14.044%) matches the table's printed 14.04%. RECORDED AS AN OBSERVATION AND NOT AS A FINDING: the ratios and the narrative look to be struck on a capital base about GBP540k higher than the Own funds and Tier 1 rows printed beside them, but the report does not say so and the cause is unknown. Do not resolve it by picking a side.</t>
        </is>
      </c>
    </row>
    <row r="15" ht="390" customHeight="1">
      <c r="A15" s="8" t="inlineStr">
        <is>
          <t>(continued)
FY2020 IS CLEAN ON THE SAME CHECK and was verified rather than assumed: 69,581 + 15,853 = 85,434 = printed Own funds; Required 68,942 + Surplus 16,491 = 85,433 (GBP1 rounding); 85,434 / 505,809 = 16.891% = printed 16.89%; 69,581 / 505,809 = 13.756% = printed 13.76%. All four tie, so the FY2019 break is specific to that edition.
FY2018 IS NOW ESTABLISHED FROM ITS OWN EDITION (closed 2026-09-18, interior-gap pass; this paragraph REPLACES one that read 'FY2018 REMAINS UNESTABLISHED AND IS DELIBERATELY LEFT BLANK ... that read is still outstanding'). The outstanding read has now been done. Source: Annual Report and Financial Statements 2018 (Companies House, company 05321714, AR2018_URL), Note 42 'Capital management', section D, printed folio p.85 / PDF p.86. The table prints, in GBP'000: Tier 1 capital 61,796; Subordinated debt (principal) 15,912; Own funds 77,708; Required capital 69,763; Surplus Capital 7,945; Risk weighted assets 456,561; Tier 1 capital ratio 13,5%; Solvency ratio 17,0% (the source uses a comma decimal separator). It is a 2018-only column - the table carries NO comparative, so nothing here is a prior-year figure.
  METHOD, because the instrument matters here (map rule 22): the Companies House filing is a FULLY SCANNED, IMAGE-ONLY PDF - pdftotext returns roughly one character per page, so a text search against it proves nothing whatsoever. The page was rendered with pdftoppm at 150 dpi, OCR'd, and then EVERY FIGURE ABOVE WAS CONFIRMED VISUALLY AGAINST THE PAGE IMAGE. Anyone re-deriving these from a text extraction will get nothing and must not read that as absence.
  THE TWO BARRED ROUTES WERE STILL NOT USED, and that is the point of recording them: the FY2019/FY2020 reports' 'Solvency ratio Evolution' BAR CHART (FY2018 17.0%, FY2017 19.0%) and the FY2019 narrative's FY2018 comparatives (RWA GBP456,561k, CAR 17.0%, core tier 1 13.5%) both remain barred - chart-reading is the GA-011 error class and a later edition's comparative is barred by map rule 1. That they happen to AGREE with the table is a confirmation after the fact, not the provenance; the figures above come from the FY2018 table alone.
  INTERNAL CHECKS, all passing: 61,796 + 15,912 = 77,708 = printed Own funds; 61,796 / 456,561 = 13.535% = printed 13,5%; 77,708 / 456,561 = 17.020% = printed 17,0%. FY2018 therefore does NOT carry the FY2019 edition's self-disagreement described above.
  CET1 = TIER 1 ON THE BANK'S OWN STATEMENT for this year too, not by derivation: section A of the same note reads 'Tier 1 capital (all qualifies as Common Equity Tier 1 (CET1) capital)'.</t>
        </is>
      </c>
    </row>
    <row r="17" ht="182" customHeight="1">
      <c r="A17" s="8" t="inlineStr">
        <is>
          <t>(continued)
FY2021 IS NOT ESTABLISHED EITHER, AND FOR AN INSTRUMENT REASON RATHER THAN A DOCUMENT ONE: the own-site FY2021 Annual Report yields 977 characters across 88 pages (an image-only scan with no usable text layer), so every keyword probe against it returns zero and none of those zeros is evidence about the document. FY2021's Pillar 3 figures come from the FY2022 edition's own comparative column, as cited above.
NSFR is not quantified in any Pillar 3 KM1 disclosure found (FY2022-FY2024 editions mention only that the Bank 'monitors net stable funding ratio' qualitatively). FY2024 and FY2025 figures instead come from the FY2025 Annual Report's 'Liquidity and funding' narrative. FY2021-FY2023 not found anywhere - left blank rather than guessed (plausible given the UK NSFR requirement only took effect from 1 January 2022). FY2014-FY2020: not disclosed in any document checked during the HD-017 extension - plausible for the same pre-2022 reason; left blank.</t>
        </is>
      </c>
    </row>
  </sheetData>
  <mergeCells count="7">
    <mergeCell ref="A13:C13"/>
    <mergeCell ref="A11:C11"/>
    <mergeCell ref="A5:C5"/>
    <mergeCell ref="A17:C17"/>
    <mergeCell ref="A9:C9"/>
    <mergeCell ref="A15:C15"/>
    <mergeCell ref="A7:C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Bank of Africa United Kingdom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or statement in Pillar 3 2025 (found 2026-09-19, CMS file store) or FY2025 Annual Report (OCR) (searched 2026-09-19)</t>
        </is>
      </c>
      <c r="C4" s="6" t="inlineStr">
        <is>
          <t>Not published – no MREL figure or statement in Pillar 3 2024 or Annual Report 2024 (searched 2026-09-19)</t>
        </is>
      </c>
      <c r="D4" s="6" t="inlineStr">
        <is>
          <t>Not published – no MREL figure or statement in Pillar 3 2023 or FY2023 Financial Statements (searched 2026-09-19)</t>
        </is>
      </c>
      <c r="E4" s="6" t="inlineStr">
        <is>
          <t>Not published – no MREL figure or statement in Pillar 3 2022 or FY2022 Financial Statements (searched 2026-09-19)</t>
        </is>
      </c>
      <c r="F4" s="6" t="inlineStr">
        <is>
          <t>Not published – no MREL figure or statement in Pillar 3 31 Dec 2021 (Wayback) or FY2021 Annual Report (OCR) (searched 2026-09-19)</t>
        </is>
      </c>
      <c r="G4" s="6" t="inlineStr">
        <is>
          <t>Not published – no MREL figure or statement in the FY2020 Annual Report (own-site PDF) (searched 2026-09-19)</t>
        </is>
      </c>
      <c r="H4" s="6" t="inlineStr">
        <is>
          <t>Not published – no MREL figure or statement in the FY2019 Annual Report (own-site PDF) (searched 2026-09-19)</t>
        </is>
      </c>
      <c r="I4" s="6" t="inlineStr">
        <is>
          <t>Not published – no MREL figure or statement in the FY2018 Annual Report (CH scan, OCR) (searched 2026-09-19)</t>
        </is>
      </c>
      <c r="J4" s="6" t="inlineStr">
        <is>
          <t>Not published – no MREL figure or statement in Pillar 3 2017 (searched 2026-09-19)</t>
        </is>
      </c>
      <c r="K4" s="6" t="inlineStr">
        <is>
          <t>Not published – no MREL figure or statement in FY2016 Annual Report (CH scan, OCR) or Pillar 3 2017's FY2016 column (searched 2026-09-19)</t>
        </is>
      </c>
      <c r="L4" s="6" t="inlineStr">
        <is>
          <t>Not applicable – UK MREL framework (BoE Statement of Policy, Nov 2016) postdates this year-end; Pillar 3 2015 has no MREL</t>
        </is>
      </c>
      <c r="M4" s="6" t="inlineStr">
        <is>
          <t>Not applicable – UK MREL framework (BoE Statement of Policy, Nov 2016) postdates this year-end; Pillar 3 2015 has no MREL</t>
        </is>
      </c>
    </row>
    <row r="6" ht="150" customHeight="1">
      <c r="A6" s="8" t="inlineStr">
        <is>
          <t>No MREL disclosure found in any Annual Report or Pillar 3 document for any year (FY2014-FY2025) - no numeric ratio and no qualitative exemption statement either. BOA UK is a small, non-systemic entity; plausibly below the Bank of England's MREL-setting threshold throughout (the UK MREL framework itself dates from 2016), but left as not disclosed rather than assumed. Official Bank of Africa UK financial reports and Pillar 3 disclosures archive reviewed: https://www.bankofafricaunitedkingdom.co.uk/finances.html. The available official Pillar 3 reports are also cited directly above (2015: https://www.bankofafricaunitedkingdom.co.uk/pdfs/finances/BMCE___Pillar_3_disclosures____2015.pdf; 2017: https://www.bankofafricaunitedkingdom.co.uk/pdfs/finances/BMCE___Pillar_III_VF___31122017.pdf; 2022: https://www.bankofafricaunitedkingdom.co.uk/pdfs/finances/BOA_UK_Pillar_III_2022.pdf; 2023: https://www.bankofafricaunitedkingdom.co.uk/pdfs/finances/Pillar3-Disclosures-2023.pdf; 2024: https://www.bankofafricaunitedkingdom.co.uk/pdfs/finances/Pillar3-Disclosures-2024.pdf; 2021 (Wayback, found 2026-09-19): https://web.archive.org/web/20260414002518id_/https://bankofafricaunitedkingdom.co.uk/pdfs/pillar/Pillar_3.pdf).</t>
        </is>
      </c>
    </row>
  </sheetData>
  <mergeCells count="1">
    <mergeCell ref="A6:M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2026-10-10T15:08:19Z</dcterms:created>
  <dcterms:modified xmlns:dcterms="http://purl.org/dc/terms/" xmlns:xsi="http://www.w3.org/2001/XMLSchema-instance" xsi:type="dcterms:W3CDTF">2026-10-10T15:08:19Z</dcterms:modified>
</cp:coreProperties>
</file>