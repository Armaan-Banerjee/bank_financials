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42</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Bank of Africa United Kingdom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flows from/(used in) operating activities</t>
        </is>
      </c>
      <c r="B6" s="5" t="n">
        <v>-23853</v>
      </c>
      <c r="C6" s="5" t="n">
        <v>10670</v>
      </c>
      <c r="D6" s="5" t="n">
        <v>-10115</v>
      </c>
      <c r="E6" s="5" t="n">
        <v>-27463</v>
      </c>
      <c r="F6" s="5" t="n">
        <v>60094</v>
      </c>
      <c r="I6" t="inlineStr">
        <is>
          <t>Net cash flows from/(used in) operating activities</t>
        </is>
      </c>
      <c r="J6" t="n">
        <v>60094</v>
      </c>
      <c r="K6" t="n">
        <v>-27463</v>
      </c>
      <c r="L6" t="n">
        <v>-10115</v>
      </c>
      <c r="M6" t="n">
        <v>10670</v>
      </c>
      <c r="N6" t="n">
        <v>-23853</v>
      </c>
      <c r="Q6" t="inlineStr">
        <is>
          <t>CET1 Ratio</t>
        </is>
      </c>
      <c r="R6" t="n">
        <v>12.36</v>
      </c>
      <c r="S6" t="n">
        <v>12.24</v>
      </c>
      <c r="T6" t="n">
        <v>17.75</v>
      </c>
      <c r="U6" t="n">
        <v>19.65</v>
      </c>
      <c r="V6" t="n">
        <v>17.46</v>
      </c>
    </row>
    <row r="7">
      <c r="A7" s="5" t="inlineStr">
        <is>
          <t>Net cash flows from/(used in) investing activities</t>
        </is>
      </c>
      <c r="B7" s="5" t="n">
        <v>10389</v>
      </c>
      <c r="C7" s="5" t="n">
        <v>-13994</v>
      </c>
      <c r="D7" s="5" t="n">
        <v>-3057</v>
      </c>
      <c r="E7" s="5" t="n">
        <v>9089</v>
      </c>
      <c r="F7" s="5" t="n">
        <v>-43971</v>
      </c>
      <c r="I7" t="inlineStr">
        <is>
          <t>Net cash flows from/(used in) investing activities</t>
        </is>
      </c>
      <c r="J7" t="n">
        <v>-43971</v>
      </c>
      <c r="K7" t="n">
        <v>9089</v>
      </c>
      <c r="L7" t="n">
        <v>-3057</v>
      </c>
      <c r="M7" t="n">
        <v>-13994</v>
      </c>
      <c r="N7" t="n">
        <v>10389</v>
      </c>
      <c r="Q7" t="inlineStr">
        <is>
          <t>Total Capital Ratio</t>
        </is>
      </c>
      <c r="R7" t="n">
        <v>15.49</v>
      </c>
      <c r="S7" t="n">
        <v>15.7</v>
      </c>
      <c r="T7" t="n">
        <v>23.83</v>
      </c>
      <c r="U7" t="n">
        <v>25.95</v>
      </c>
      <c r="V7" t="n">
        <v>24.03</v>
      </c>
    </row>
    <row r="8">
      <c r="A8" s="5" t="inlineStr">
        <is>
          <t>Net cash flows from/(used in) financing activities</t>
        </is>
      </c>
      <c r="B8" s="5" t="n">
        <v>-89</v>
      </c>
      <c r="C8" s="5" t="n">
        <v>-181</v>
      </c>
      <c r="D8" s="5" t="n">
        <v>-797</v>
      </c>
      <c r="E8" s="5" t="n">
        <v>-1050</v>
      </c>
      <c r="F8" s="5" t="n">
        <v>-944</v>
      </c>
      <c r="I8" t="inlineStr">
        <is>
          <t>Net cash flows from/(used in) financing activities</t>
        </is>
      </c>
      <c r="J8" t="n">
        <v>-944</v>
      </c>
      <c r="K8" t="n">
        <v>-1050</v>
      </c>
      <c r="L8" t="n">
        <v>-797</v>
      </c>
      <c r="M8" t="n">
        <v>-181</v>
      </c>
      <c r="N8" t="n">
        <v>-89</v>
      </c>
      <c r="Q8" t="inlineStr">
        <is>
          <t>Leverage Ratio</t>
        </is>
      </c>
      <c r="R8" t="n">
        <v>11.51</v>
      </c>
      <c r="S8" t="n">
        <v>13.98</v>
      </c>
      <c r="T8" t="n">
        <v>20.66</v>
      </c>
      <c r="U8" t="n">
        <v>17.67</v>
      </c>
    </row>
    <row r="9">
      <c r="A9" s="5" t="inlineStr">
        <is>
          <t>Cash and cash equivalents as at 31 December</t>
        </is>
      </c>
      <c r="B9" s="5" t="n">
        <v>37517</v>
      </c>
      <c r="C9" s="5" t="n">
        <v>51070</v>
      </c>
      <c r="D9" s="5" t="n">
        <v>54575</v>
      </c>
      <c r="E9" s="5" t="n">
        <v>68544</v>
      </c>
      <c r="F9" s="5" t="n">
        <v>87968</v>
      </c>
      <c r="I9" t="inlineStr">
        <is>
          <t>Cash and cash equivalents as at 31 December</t>
        </is>
      </c>
      <c r="J9" t="n">
        <v>87968</v>
      </c>
      <c r="K9" t="n">
        <v>68544</v>
      </c>
      <c r="L9" t="n">
        <v>54575</v>
      </c>
      <c r="M9" t="n">
        <v>51070</v>
      </c>
      <c r="N9" t="n">
        <v>37517</v>
      </c>
      <c r="Q9" t="inlineStr">
        <is>
          <t>LCR</t>
        </is>
      </c>
      <c r="R9" t="n">
        <v>203</v>
      </c>
      <c r="S9" t="n">
        <v>207</v>
      </c>
      <c r="T9" t="n">
        <v>351</v>
      </c>
      <c r="U9" t="n">
        <v>207</v>
      </c>
      <c r="V9" t="n">
        <v>212</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17.46%</t>
        </is>
      </c>
      <c r="C13" s="6" t="inlineStr">
        <is>
          <t>19.65%</t>
        </is>
      </c>
      <c r="D13" s="6" t="inlineStr">
        <is>
          <t>17.75%</t>
        </is>
      </c>
      <c r="E13" s="6" t="inlineStr">
        <is>
          <t>12.24%</t>
        </is>
      </c>
      <c r="F13" s="6" t="inlineStr">
        <is>
          <t>12.36%</t>
        </is>
      </c>
    </row>
    <row r="14">
      <c r="A14" s="6" t="inlineStr">
        <is>
          <t>Total Capital Ratio</t>
        </is>
      </c>
      <c r="B14" s="6" t="inlineStr">
        <is>
          <t>24.03%</t>
        </is>
      </c>
      <c r="C14" s="6" t="inlineStr">
        <is>
          <t>25.95%</t>
        </is>
      </c>
      <c r="D14" s="6" t="inlineStr">
        <is>
          <t>23.83%</t>
        </is>
      </c>
      <c r="E14" s="6" t="inlineStr">
        <is>
          <t>15.70%</t>
        </is>
      </c>
      <c r="F14" s="6" t="inlineStr">
        <is>
          <t>15.49%</t>
        </is>
      </c>
    </row>
    <row r="15">
      <c r="A15" s="6" t="inlineStr">
        <is>
          <t>Leverage Ratio</t>
        </is>
      </c>
      <c r="B15" s="6" t="n"/>
      <c r="C15" s="6" t="inlineStr">
        <is>
          <t>17.67%</t>
        </is>
      </c>
      <c r="D15" s="6" t="inlineStr">
        <is>
          <t>20.66%</t>
        </is>
      </c>
      <c r="E15" s="6" t="inlineStr">
        <is>
          <t>13.98%</t>
        </is>
      </c>
      <c r="F15" s="6" t="inlineStr">
        <is>
          <t>11.51%</t>
        </is>
      </c>
    </row>
    <row r="16">
      <c r="A16" s="6" t="inlineStr">
        <is>
          <t>LCR</t>
        </is>
      </c>
      <c r="B16" s="6" t="inlineStr">
        <is>
          <t>212%</t>
        </is>
      </c>
      <c r="C16" s="6" t="inlineStr">
        <is>
          <t>207%</t>
        </is>
      </c>
      <c r="D16" s="6" t="inlineStr">
        <is>
          <t>351%</t>
        </is>
      </c>
      <c r="E16" s="6" t="inlineStr">
        <is>
          <t>207%</t>
        </is>
      </c>
      <c r="F16" s="6" t="inlineStr">
        <is>
          <t>203%</t>
        </is>
      </c>
    </row>
    <row r="18" ht="45" customHeight="1">
      <c r="A18" s="7" t="inlineStr">
        <is>
          <t>Note: Figures are duplicated from the detail sheets for at-a-glance trend viewing; see each sheet's own source citation for the underlying document/page, and the Cash Flow Statement sheet's source note for a genuine FY2022 restatement affecting several sheets in this workbook.</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continuing operating activities</t>
        </is>
      </c>
      <c r="B4" s="6" t="n"/>
      <c r="C4" s="6" t="n"/>
      <c r="D4" s="6" t="n"/>
      <c r="E4" s="6" t="n"/>
      <c r="F4" s="6" t="n"/>
    </row>
    <row r="5">
      <c r="A5" s="6" t="inlineStr">
        <is>
          <t>Profit/(loss) before tax</t>
        </is>
      </c>
      <c r="B5" s="6" t="n">
        <v>3104</v>
      </c>
      <c r="C5" s="6" t="n">
        <v>-2824</v>
      </c>
      <c r="D5" s="6" t="n">
        <v>-13904</v>
      </c>
      <c r="E5" s="6" t="n">
        <v>-5278</v>
      </c>
      <c r="F5" s="6" t="n">
        <v>5060</v>
      </c>
    </row>
    <row r="6">
      <c r="A6" s="6" t="inlineStr">
        <is>
          <t>Net interest income</t>
        </is>
      </c>
      <c r="B6" s="6" t="n">
        <v>-7089</v>
      </c>
      <c r="C6" s="6" t="n">
        <v>-5674</v>
      </c>
      <c r="D6" s="6" t="n">
        <v>-6774</v>
      </c>
      <c r="E6" s="6" t="n">
        <v>-15070</v>
      </c>
      <c r="F6" s="6" t="n">
        <v>-18581</v>
      </c>
    </row>
    <row r="7">
      <c r="A7" s="6" t="inlineStr">
        <is>
          <t>Interest received</t>
        </is>
      </c>
      <c r="B7" s="6" t="n">
        <v>13028</v>
      </c>
      <c r="C7" s="6" t="n">
        <v>12048</v>
      </c>
      <c r="D7" s="6" t="n">
        <v>20919</v>
      </c>
      <c r="E7" s="6" t="n">
        <v>19859</v>
      </c>
      <c r="F7" s="6" t="n">
        <v>27104</v>
      </c>
    </row>
    <row r="8">
      <c r="A8" s="6" t="inlineStr">
        <is>
          <t>Interest paid</t>
        </is>
      </c>
      <c r="B8" s="6" t="n">
        <v>-6175</v>
      </c>
      <c r="C8" s="6" t="n">
        <v>-6777</v>
      </c>
      <c r="D8" s="6" t="n">
        <v>-10607</v>
      </c>
      <c r="E8" s="6" t="n">
        <v>-7197</v>
      </c>
      <c r="F8" s="6" t="n">
        <v>-4236</v>
      </c>
    </row>
    <row r="9">
      <c r="A9" s="6" t="inlineStr">
        <is>
          <t>Change in operating assets</t>
        </is>
      </c>
      <c r="B9" s="6" t="n">
        <v>-54573</v>
      </c>
      <c r="C9" s="6" t="n">
        <v>-17912</v>
      </c>
      <c r="D9" s="6" t="n">
        <v>170939</v>
      </c>
      <c r="E9" s="6" t="n">
        <v>21084</v>
      </c>
      <c r="F9" s="6" t="n">
        <v>35264</v>
      </c>
    </row>
    <row r="10">
      <c r="A10" s="6" t="inlineStr">
        <is>
          <t>Change in operating liabilities</t>
        </is>
      </c>
      <c r="B10" s="6" t="n">
        <v>34977</v>
      </c>
      <c r="C10" s="6" t="n">
        <v>33274</v>
      </c>
      <c r="D10" s="6" t="n">
        <v>-189466</v>
      </c>
      <c r="E10" s="6" t="n">
        <v>-35633</v>
      </c>
      <c r="F10" s="6" t="n">
        <v>14726</v>
      </c>
    </row>
    <row r="11">
      <c r="A11" s="6" t="inlineStr">
        <is>
          <t>Other (non-cash) items included in profit before tax</t>
        </is>
      </c>
      <c r="B11" s="6" t="n">
        <v>-7125</v>
      </c>
      <c r="C11" s="6" t="n">
        <v>-1465</v>
      </c>
      <c r="D11" s="6" t="n">
        <v>18778</v>
      </c>
      <c r="E11" s="6" t="n">
        <v>-5399</v>
      </c>
      <c r="F11" s="6" t="n">
        <v>1625</v>
      </c>
    </row>
    <row r="12">
      <c r="A12" s="6" t="inlineStr">
        <is>
          <t>Corporation tax</t>
        </is>
      </c>
      <c r="B12" s="6" t="n"/>
      <c r="C12" s="6" t="n"/>
      <c r="D12" s="6" t="n">
        <v>0</v>
      </c>
      <c r="E12" s="6" t="n">
        <v>171</v>
      </c>
      <c r="F12" s="6" t="n">
        <v>-868</v>
      </c>
    </row>
    <row r="13">
      <c r="A13" s="5" t="inlineStr">
        <is>
          <t>Net cash flows from/(used in) operating activities</t>
        </is>
      </c>
      <c r="B13" s="5" t="n">
        <v>-23853</v>
      </c>
      <c r="C13" s="5" t="n">
        <v>10670</v>
      </c>
      <c r="D13" s="5" t="n">
        <v>-10115</v>
      </c>
      <c r="E13" s="5" t="n">
        <v>-27463</v>
      </c>
      <c r="F13" s="5" t="n">
        <v>60094</v>
      </c>
    </row>
    <row r="14">
      <c r="A14" s="5" t="inlineStr">
        <is>
          <t>Cash flows from investing activities</t>
        </is>
      </c>
      <c r="B14" s="6" t="n"/>
      <c r="C14" s="6" t="n"/>
      <c r="D14" s="6" t="n"/>
      <c r="E14" s="6" t="n"/>
      <c r="F14" s="6" t="n"/>
    </row>
    <row r="15">
      <c r="A15" s="6" t="inlineStr">
        <is>
          <t>Purchase of financial investments</t>
        </is>
      </c>
      <c r="B15" s="6" t="n">
        <v>-53189</v>
      </c>
      <c r="C15" s="6" t="n">
        <v>-44212</v>
      </c>
      <c r="D15" s="6" t="n">
        <v>-7685</v>
      </c>
      <c r="E15" s="6" t="n">
        <v>-6272</v>
      </c>
      <c r="F15" s="6" t="n">
        <v>-82228</v>
      </c>
    </row>
    <row r="16">
      <c r="A16" s="6" t="inlineStr">
        <is>
          <t>Proceeds from sales of financial investments</t>
        </is>
      </c>
      <c r="B16" s="6" t="n">
        <v>64477</v>
      </c>
      <c r="C16" s="6" t="n">
        <v>32257</v>
      </c>
      <c r="D16" s="6" t="n">
        <v>8036</v>
      </c>
      <c r="E16" s="6" t="n">
        <v>17338</v>
      </c>
      <c r="F16" s="6" t="n">
        <v>39068</v>
      </c>
    </row>
    <row r="17">
      <c r="A17" s="6" t="inlineStr">
        <is>
          <t>Purchase of Property, Plant and Equipment (and Right-of-use Assets)</t>
        </is>
      </c>
      <c r="B17" s="6" t="n">
        <v>-22</v>
      </c>
      <c r="C17" s="6" t="n">
        <v>-470</v>
      </c>
      <c r="D17" s="6" t="n">
        <v>-1550</v>
      </c>
      <c r="E17" s="6" t="n">
        <v>-233</v>
      </c>
      <c r="F17" s="6" t="n">
        <v>-66</v>
      </c>
    </row>
    <row r="18">
      <c r="A18" s="6" t="inlineStr">
        <is>
          <t>Purchase of intangible assets</t>
        </is>
      </c>
      <c r="B18" s="6" t="n">
        <v>-877</v>
      </c>
      <c r="C18" s="6" t="n">
        <v>-1569</v>
      </c>
      <c r="D18" s="6" t="n">
        <v>-1858</v>
      </c>
      <c r="E18" s="6" t="n">
        <v>-1744</v>
      </c>
      <c r="F18" s="6" t="n">
        <v>-745</v>
      </c>
    </row>
    <row r="19">
      <c r="A19" s="5" t="inlineStr">
        <is>
          <t>Net cash flows from/(used in) investing activities</t>
        </is>
      </c>
      <c r="B19" s="5" t="n">
        <v>10389</v>
      </c>
      <c r="C19" s="5" t="n">
        <v>-13994</v>
      </c>
      <c r="D19" s="5" t="n">
        <v>-3057</v>
      </c>
      <c r="E19" s="5" t="n">
        <v>9089</v>
      </c>
      <c r="F19" s="5" t="n">
        <v>-43971</v>
      </c>
    </row>
    <row r="20">
      <c r="A20" s="5" t="inlineStr">
        <is>
          <t>Cash flows from financing activities</t>
        </is>
      </c>
      <c r="B20" s="6" t="n"/>
      <c r="C20" s="6" t="n"/>
      <c r="D20" s="6" t="n"/>
      <c r="E20" s="6" t="n"/>
      <c r="F20" s="6" t="n"/>
    </row>
    <row r="21">
      <c r="A21" s="6" t="inlineStr">
        <is>
          <t>Repayment of lease principal</t>
        </is>
      </c>
      <c r="B21" s="6" t="n">
        <v>-89</v>
      </c>
      <c r="C21" s="6" t="n">
        <v>-181</v>
      </c>
      <c r="D21" s="6" t="n">
        <v>-797</v>
      </c>
      <c r="E21" s="6" t="n">
        <v>-1050</v>
      </c>
      <c r="F21" s="6" t="n">
        <v>-944</v>
      </c>
    </row>
    <row r="22">
      <c r="A22" s="5" t="inlineStr">
        <is>
          <t>Net cash flows from/(used in) financing activities</t>
        </is>
      </c>
      <c r="B22" s="5" t="n">
        <v>-89</v>
      </c>
      <c r="C22" s="5" t="n">
        <v>-181</v>
      </c>
      <c r="D22" s="5" t="n">
        <v>-797</v>
      </c>
      <c r="E22" s="5" t="n">
        <v>-1050</v>
      </c>
      <c r="F22" s="5" t="n">
        <v>-944</v>
      </c>
    </row>
    <row r="23">
      <c r="A23" s="5" t="inlineStr">
        <is>
          <t>Net increase/(decrease) in cash and cash equivalents</t>
        </is>
      </c>
      <c r="B23" s="5" t="n">
        <v>-13553</v>
      </c>
      <c r="C23" s="5" t="n">
        <v>-3505</v>
      </c>
      <c r="D23" s="5" t="n">
        <v>-13969</v>
      </c>
      <c r="E23" s="5" t="n">
        <v>-19424</v>
      </c>
      <c r="F23" s="5" t="n">
        <v>15179</v>
      </c>
    </row>
    <row r="24">
      <c r="A24" s="6" t="inlineStr">
        <is>
          <t>Cash and cash equivalents as at 1 January</t>
        </is>
      </c>
      <c r="B24" s="6" t="n">
        <v>51070</v>
      </c>
      <c r="C24" s="6" t="n">
        <v>54575</v>
      </c>
      <c r="D24" s="6" t="n">
        <v>68544</v>
      </c>
      <c r="E24" s="6" t="n">
        <v>87968</v>
      </c>
      <c r="F24" s="6" t="n">
        <v>72789</v>
      </c>
    </row>
    <row r="25">
      <c r="A25" s="5" t="inlineStr">
        <is>
          <t>Cash and cash equivalents as at 31 December</t>
        </is>
      </c>
      <c r="B25" s="5" t="n">
        <v>37517</v>
      </c>
      <c r="C25" s="5" t="n">
        <v>51070</v>
      </c>
      <c r="D25" s="5" t="n">
        <v>54575</v>
      </c>
      <c r="E25" s="5" t="n">
        <v>68544</v>
      </c>
      <c r="F25" s="5" t="n">
        <v>87968</v>
      </c>
    </row>
    <row r="27" ht="210" customHeight="1">
      <c r="A27"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5 Companies House filings used are fully scanned/image-only; every figure was read from the rendered page image and cross-checked against the following year's own comparative column (all ties confirmed exact across the full 5-year chain: FY2021 closing = FY2022 opening = 87,968; FY2022 closing = FY2023 opening = 68,544; FY2023 closing = FY2024 opening = 54,575; FY2024 closing = FY2025 opening = 51,070).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t>
        </is>
      </c>
    </row>
  </sheetData>
  <mergeCells count="1">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 Tier 1 capital; wholly CET1, no AT1 instruments)</t>
        </is>
      </c>
      <c r="B4" s="6" t="n">
        <v>41047</v>
      </c>
      <c r="C4" s="6" t="n">
        <v>45680</v>
      </c>
      <c r="D4" s="6" t="n">
        <v>44826</v>
      </c>
      <c r="E4" s="6" t="n">
        <v>55465</v>
      </c>
      <c r="F4" s="6" t="n">
        <v>59466</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 Tier 1 Capital Ratio)</t>
        </is>
      </c>
      <c r="B4" s="6" t="inlineStr">
        <is>
          <t>17.46%</t>
        </is>
      </c>
      <c r="C4" s="6" t="inlineStr">
        <is>
          <t>19.65%</t>
        </is>
      </c>
      <c r="D4" s="6" t="inlineStr">
        <is>
          <t>17.75%</t>
        </is>
      </c>
      <c r="E4" s="6" t="inlineStr">
        <is>
          <t>12.24%</t>
        </is>
      </c>
      <c r="F4" s="6" t="inlineStr">
        <is>
          <t>12.36%</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41047</v>
      </c>
      <c r="C4" s="6" t="n">
        <v>45680</v>
      </c>
      <c r="D4" s="6" t="n">
        <v>44826</v>
      </c>
      <c r="E4" s="6" t="n">
        <v>55465</v>
      </c>
      <c r="F4" s="6" t="n">
        <v>59466</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17.46%</t>
        </is>
      </c>
      <c r="C4" s="6" t="inlineStr">
        <is>
          <t>19.65%</t>
        </is>
      </c>
      <c r="D4" s="6" t="inlineStr">
        <is>
          <t>17.75%</t>
        </is>
      </c>
      <c r="E4" s="6" t="inlineStr">
        <is>
          <t>12.24%</t>
        </is>
      </c>
      <c r="F4" s="6" t="inlineStr">
        <is>
          <t>12.36%</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 (Tier 1 + Tier 2)</t>
        </is>
      </c>
      <c r="B4" s="6" t="n">
        <v>56485</v>
      </c>
      <c r="C4" s="6" t="n">
        <v>60323</v>
      </c>
      <c r="D4" s="6" t="n">
        <v>60197</v>
      </c>
      <c r="E4" s="6" t="n">
        <v>71130</v>
      </c>
      <c r="F4" s="6" t="n">
        <v>74498</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(Solvency Ratio)</t>
        </is>
      </c>
      <c r="B4" s="6" t="inlineStr">
        <is>
          <t>24.03%</t>
        </is>
      </c>
      <c r="C4" s="6" t="inlineStr">
        <is>
          <t>25.95%</t>
        </is>
      </c>
      <c r="D4" s="6" t="inlineStr">
        <is>
          <t>23.83%</t>
        </is>
      </c>
      <c r="E4" s="6" t="inlineStr">
        <is>
          <t>15.70%</t>
        </is>
      </c>
      <c r="F4" s="6" t="inlineStr">
        <is>
          <t>15.49%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(Credit RWA)</t>
        </is>
      </c>
      <c r="B4" s="6" t="n">
        <v>235076</v>
      </c>
      <c r="C4" s="6" t="n">
        <v>232412</v>
      </c>
      <c r="D4" s="6" t="n">
        <v>252608</v>
      </c>
      <c r="E4" s="6" t="n">
        <v>453124</v>
      </c>
      <c r="F4" s="6" t="n">
        <v>480918</v>
      </c>
    </row>
    <row r="6" ht="130" customHeight="1">
      <c r="A6"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17.67%</t>
        </is>
      </c>
      <c r="D4" s="6" t="inlineStr">
        <is>
          <t>20.66%</t>
        </is>
      </c>
      <c r="E4" s="6" t="inlineStr">
        <is>
          <t>13.98%</t>
        </is>
      </c>
      <c r="F4" s="6" t="inlineStr">
        <is>
          <t>11.51%</t>
        </is>
      </c>
    </row>
    <row r="5" ht="60" customHeight="1">
      <c r="A5" s="7" t="inlineStr">
        <is>
          <t>Note: No FY2025 figure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leverage ratio not found - no Pillar 3 edition published yet and the FY2025 Annual Report's Strategic Report does not state a leverage ratio; left blank rather than guessed.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212%</t>
        </is>
      </c>
      <c r="C4" s="6" t="inlineStr">
        <is>
          <t>207%</t>
        </is>
      </c>
      <c r="D4" s="6" t="inlineStr">
        <is>
          <t>351%</t>
        </is>
      </c>
      <c r="E4" s="6" t="inlineStr">
        <is>
          <t>207%</t>
        </is>
      </c>
      <c r="F4" s="6" t="inlineStr">
        <is>
          <t>203%</t>
        </is>
      </c>
    </row>
    <row r="5" ht="60" customHeight="1">
      <c r="A5" s="7" t="inlineStr">
        <is>
          <t>Note: FY2025 is an average-throughout-year figure (Annual Report); all other years are point-in-time at 31 December (Pillar 3 KM1)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173%</t>
        </is>
      </c>
      <c r="C4" s="6" t="inlineStr">
        <is>
          <t>146%</t>
        </is>
      </c>
      <c r="D4" s="6" t="n"/>
      <c r="E4" s="6" t="n"/>
      <c r="F4" s="6" t="n"/>
    </row>
    <row r="5" ht="60" customHeight="1">
      <c r="A5" s="7" t="inlineStr">
        <is>
          <t>Note: FY2021-FY2023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No MREL disclosure found in any Annual Report or Pillar 3 document for any year - no numeric ratio and no qualitative exemption statement either. BOA UK is a small, non-systemic entity; plausibly below the Bank of England's MREL-setting threshold, but left as not disclosed rather than assumed. Official Bank of Africa UK financial reports and Pillar 3 disclosures archive reviewed: https://www.bankofafricaunitedkingdom.co.uk/finances.html. The available official Pillar 3 reports are also cited directly above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2026-08-29T12:16:49Z</dcterms:created>
  <dcterms:modified xmlns:dcterms="http://purl.org/dc/terms/" xmlns:xsi="http://www.w3.org/2001/XMLSchema-instance" xsi:type="dcterms:W3CDTF">2026-08-29T12:16:49Z</dcterms:modified>
</cp:coreProperties>
</file>