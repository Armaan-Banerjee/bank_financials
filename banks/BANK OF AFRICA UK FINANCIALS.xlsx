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328964</v>
      </c>
      <c r="C6" s="5" t="n">
        <v>291532</v>
      </c>
      <c r="D6" s="5" t="n">
        <v>254441</v>
      </c>
      <c r="E6" s="5" t="n">
        <v>452390</v>
      </c>
      <c r="F6" s="5" t="n">
        <v>496686</v>
      </c>
      <c r="G6" s="5" t="n">
        <v>485372</v>
      </c>
      <c r="H6" s="5" t="n">
        <v>466248</v>
      </c>
      <c r="I6" s="5" t="n">
        <v>575063</v>
      </c>
      <c r="J6" s="5" t="n">
        <v>490960</v>
      </c>
      <c r="K6" s="5" t="n">
        <v>527718</v>
      </c>
      <c r="L6" s="5" t="n">
        <v>441682</v>
      </c>
      <c r="M6" s="5" t="n">
        <v>365352</v>
      </c>
      <c r="P6" t="inlineStr">
        <is>
          <t>Total assets</t>
        </is>
      </c>
      <c r="Q6" t="n">
        <v>365352</v>
      </c>
      <c r="R6" t="n">
        <v>441682</v>
      </c>
      <c r="S6" t="n">
        <v>527718</v>
      </c>
      <c r="T6" t="n">
        <v>490960</v>
      </c>
      <c r="U6" t="n">
        <v>575063</v>
      </c>
      <c r="V6" t="n">
        <v>466248</v>
      </c>
      <c r="W6" t="n">
        <v>485372</v>
      </c>
      <c r="X6" t="n">
        <v>496686</v>
      </c>
      <c r="Y6" t="n">
        <v>452390</v>
      </c>
      <c r="Z6" t="n">
        <v>254441</v>
      </c>
      <c r="AA6" t="n">
        <v>291532</v>
      </c>
      <c r="AB6" t="n">
        <v>328964</v>
      </c>
      <c r="BX6" t="inlineStr">
        <is>
          <t>CET1 Ratio</t>
        </is>
      </c>
      <c r="BY6" t="n">
        <v>13.3</v>
      </c>
      <c r="BZ6" t="n">
        <v>12.6</v>
      </c>
      <c r="CA6" t="n">
        <v>13</v>
      </c>
      <c r="CB6" t="n">
        <v>15.1</v>
      </c>
      <c r="CF6" t="n">
        <v>12.36</v>
      </c>
      <c r="CG6" t="n">
        <v>12.24</v>
      </c>
      <c r="CH6" t="n">
        <v>17.75</v>
      </c>
      <c r="CI6" t="n">
        <v>19.65</v>
      </c>
      <c r="CJ6" t="n">
        <v>17.46</v>
      </c>
    </row>
    <row r="7">
      <c r="A7" s="5" t="inlineStr">
        <is>
          <t>Loans and advances to customers</t>
        </is>
      </c>
      <c r="B7" s="5" t="n">
        <v>41952</v>
      </c>
      <c r="C7" s="5" t="n">
        <v>28985</v>
      </c>
      <c r="D7" s="5" t="n">
        <v>28332</v>
      </c>
      <c r="E7" s="5" t="n">
        <v>148285</v>
      </c>
      <c r="F7" s="5" t="n">
        <v>162016</v>
      </c>
      <c r="G7" s="5" t="n">
        <v>173173</v>
      </c>
      <c r="H7" s="5" t="n">
        <v>215391</v>
      </c>
      <c r="I7" s="5" t="n">
        <v>211596</v>
      </c>
      <c r="J7" s="5" t="n">
        <v>207964</v>
      </c>
      <c r="K7" s="5" t="n">
        <v>175945</v>
      </c>
      <c r="L7" s="5" t="n">
        <v>167713</v>
      </c>
      <c r="M7" s="5" t="n">
        <v>149257</v>
      </c>
      <c r="P7" t="inlineStr">
        <is>
          <t>Loans and advances to customers</t>
        </is>
      </c>
      <c r="Q7" t="n">
        <v>149257</v>
      </c>
      <c r="R7" t="n">
        <v>167713</v>
      </c>
      <c r="S7" t="n">
        <v>175945</v>
      </c>
      <c r="T7" t="n">
        <v>207964</v>
      </c>
      <c r="U7" t="n">
        <v>211596</v>
      </c>
      <c r="V7" t="n">
        <v>215391</v>
      </c>
      <c r="W7" t="n">
        <v>173173</v>
      </c>
      <c r="X7" t="n">
        <v>162016</v>
      </c>
      <c r="Y7" t="n">
        <v>148285</v>
      </c>
      <c r="Z7" t="n">
        <v>28332</v>
      </c>
      <c r="AA7" t="n">
        <v>28985</v>
      </c>
      <c r="AB7" t="n">
        <v>41952</v>
      </c>
      <c r="BX7" t="inlineStr">
        <is>
          <t>Total Capital Ratio</t>
        </is>
      </c>
      <c r="BY7" t="n">
        <v>17.9</v>
      </c>
      <c r="BZ7" t="n">
        <v>16.2</v>
      </c>
      <c r="CA7" t="n">
        <v>16.9</v>
      </c>
      <c r="CB7" t="n">
        <v>19</v>
      </c>
      <c r="CF7" t="n">
        <v>15.49</v>
      </c>
      <c r="CG7" t="n">
        <v>15.7</v>
      </c>
      <c r="CH7" t="n">
        <v>23.83</v>
      </c>
      <c r="CI7" t="n">
        <v>25.95</v>
      </c>
      <c r="CJ7" t="n">
        <v>24.03</v>
      </c>
    </row>
    <row r="8">
      <c r="A8" s="5" t="inlineStr">
        <is>
          <t>Due to customers</t>
        </is>
      </c>
      <c r="B8" s="5" t="n">
        <v>84367</v>
      </c>
      <c r="C8" s="5" t="n">
        <v>44717</v>
      </c>
      <c r="D8" s="5" t="n">
        <v>42227</v>
      </c>
      <c r="E8" s="5" t="n">
        <v>59541</v>
      </c>
      <c r="F8" s="5" t="n">
        <v>92028</v>
      </c>
      <c r="G8" s="5" t="n">
        <v>99556</v>
      </c>
      <c r="H8" s="5" t="n">
        <v>95291</v>
      </c>
      <c r="I8" s="5" t="n">
        <v>109231</v>
      </c>
      <c r="J8" s="5" t="n">
        <v>112349</v>
      </c>
      <c r="K8" s="5" t="n">
        <v>129706</v>
      </c>
      <c r="L8" s="5" t="n">
        <v>98537</v>
      </c>
      <c r="M8" s="5" t="n">
        <v>101419</v>
      </c>
      <c r="P8" t="inlineStr">
        <is>
          <t>Due to customers</t>
        </is>
      </c>
      <c r="Q8" t="n">
        <v>101419</v>
      </c>
      <c r="R8" t="n">
        <v>98537</v>
      </c>
      <c r="S8" t="n">
        <v>129706</v>
      </c>
      <c r="T8" t="n">
        <v>112349</v>
      </c>
      <c r="U8" t="n">
        <v>109231</v>
      </c>
      <c r="V8" t="n">
        <v>95291</v>
      </c>
      <c r="W8" t="n">
        <v>99556</v>
      </c>
      <c r="X8" t="n">
        <v>92028</v>
      </c>
      <c r="Y8" t="n">
        <v>59541</v>
      </c>
      <c r="Z8" t="n">
        <v>42227</v>
      </c>
      <c r="AA8" t="n">
        <v>44717</v>
      </c>
      <c r="AB8" t="n">
        <v>84367</v>
      </c>
      <c r="BX8" t="inlineStr">
        <is>
          <t>Leverage Ratio</t>
        </is>
      </c>
      <c r="CA8" t="n">
        <v>9.619999999999999</v>
      </c>
      <c r="CB8" t="n">
        <v>12.08</v>
      </c>
      <c r="CF8" t="n">
        <v>11.51</v>
      </c>
      <c r="CG8" t="n">
        <v>13.98</v>
      </c>
      <c r="CH8" t="n">
        <v>20.66</v>
      </c>
      <c r="CI8" t="n">
        <v>17.67</v>
      </c>
    </row>
    <row r="9">
      <c r="A9" s="5" t="inlineStr">
        <is>
          <t>Total equity</t>
        </is>
      </c>
      <c r="B9" s="5" t="n">
        <v>70629</v>
      </c>
      <c r="C9" s="5" t="n">
        <v>68171</v>
      </c>
      <c r="D9" s="5" t="n">
        <v>65526</v>
      </c>
      <c r="E9" s="5" t="n">
        <v>75751</v>
      </c>
      <c r="F9" s="5" t="n">
        <v>82581</v>
      </c>
      <c r="G9" s="5" t="n">
        <v>82643</v>
      </c>
      <c r="H9" s="5" t="n">
        <v>80820</v>
      </c>
      <c r="I9" s="5" t="n">
        <v>75454</v>
      </c>
      <c r="J9" s="5" t="n">
        <v>77889</v>
      </c>
      <c r="K9" s="5" t="n">
        <v>71557</v>
      </c>
      <c r="L9" s="5" t="n">
        <v>60676</v>
      </c>
      <c r="M9" s="5" t="n">
        <v>54324</v>
      </c>
      <c r="P9" t="inlineStr">
        <is>
          <t>Total equity</t>
        </is>
      </c>
      <c r="Q9" t="n">
        <v>54324</v>
      </c>
      <c r="R9" t="n">
        <v>60676</v>
      </c>
      <c r="S9" t="n">
        <v>71557</v>
      </c>
      <c r="T9" t="n">
        <v>77889</v>
      </c>
      <c r="U9" t="n">
        <v>75454</v>
      </c>
      <c r="V9" t="n">
        <v>80820</v>
      </c>
      <c r="W9" t="n">
        <v>82643</v>
      </c>
      <c r="X9" t="n">
        <v>82581</v>
      </c>
      <c r="Y9" t="n">
        <v>75751</v>
      </c>
      <c r="Z9" t="n">
        <v>65526</v>
      </c>
      <c r="AA9" t="n">
        <v>68171</v>
      </c>
      <c r="AB9" t="n">
        <v>70629</v>
      </c>
      <c r="BX9" t="inlineStr">
        <is>
          <t>LCR</t>
        </is>
      </c>
      <c r="BZ9" t="n">
        <v>160</v>
      </c>
      <c r="CA9" t="n">
        <v>143</v>
      </c>
      <c r="CB9" t="n">
        <v>158</v>
      </c>
      <c r="CF9" t="n">
        <v>203</v>
      </c>
      <c r="CG9" t="n">
        <v>207</v>
      </c>
      <c r="CH9" t="n">
        <v>351</v>
      </c>
      <c r="CI9" t="n">
        <v>207</v>
      </c>
      <c r="CJ9" t="n">
        <v>212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c r="AE13" t="inlineStr">
        <is>
          <t>Net operating income</t>
        </is>
      </c>
      <c r="AF13" t="n">
        <v>14148</v>
      </c>
      <c r="AG13" t="n">
        <v>16164</v>
      </c>
      <c r="AH13" t="n">
        <v>20578</v>
      </c>
      <c r="AI13" t="n">
        <v>20330</v>
      </c>
      <c r="AJ13" t="n">
        <v>17468</v>
      </c>
      <c r="AK13" t="n">
        <v>21424</v>
      </c>
      <c r="AL13" t="n">
        <v>18707</v>
      </c>
      <c r="AM13" t="n">
        <v>24597</v>
      </c>
      <c r="AN13" t="n">
        <v>19505</v>
      </c>
      <c r="AO13" t="n">
        <v>4178</v>
      </c>
      <c r="AP13" t="n">
        <v>8598</v>
      </c>
      <c r="AQ13" t="n">
        <v>10040</v>
      </c>
    </row>
    <row r="14">
      <c r="A14" s="5" t="inlineStr">
        <is>
          <t>Total operating expenses</t>
        </is>
      </c>
      <c r="B14" s="5" t="n">
        <v>-10659</v>
      </c>
      <c r="C14" s="5" t="n">
        <v>-14904</v>
      </c>
      <c r="D14" s="5" t="n">
        <v>-17662</v>
      </c>
      <c r="E14" s="5" t="n">
        <v>-19458</v>
      </c>
      <c r="F14" s="5" t="n">
        <v>-17889</v>
      </c>
      <c r="G14" s="5" t="n">
        <v>-16851</v>
      </c>
      <c r="H14" s="5" t="n">
        <v>-16677</v>
      </c>
      <c r="I14" s="5" t="n">
        <v>-14900</v>
      </c>
      <c r="J14" s="5" t="n">
        <v>-12012</v>
      </c>
      <c r="K14" s="5" t="n">
        <v>-10632</v>
      </c>
      <c r="L14" s="5" t="n">
        <v>-10502</v>
      </c>
      <c r="M14" s="5" t="n">
        <v>-7959</v>
      </c>
      <c r="AE14" t="inlineStr">
        <is>
          <t>Total operating expenses</t>
        </is>
      </c>
      <c r="AF14" t="n">
        <v>-7959</v>
      </c>
      <c r="AG14" t="n">
        <v>-10502</v>
      </c>
      <c r="AH14" t="n">
        <v>-10632</v>
      </c>
      <c r="AI14" t="n">
        <v>-12012</v>
      </c>
      <c r="AJ14" t="n">
        <v>-14900</v>
      </c>
      <c r="AK14" t="n">
        <v>-16677</v>
      </c>
      <c r="AL14" t="n">
        <v>-16851</v>
      </c>
      <c r="AM14" t="n">
        <v>-17889</v>
      </c>
      <c r="AN14" t="n">
        <v>-19458</v>
      </c>
      <c r="AO14" t="n">
        <v>-17662</v>
      </c>
      <c r="AP14" t="n">
        <v>-14904</v>
      </c>
      <c r="AQ14" t="n">
        <v>-10659</v>
      </c>
    </row>
    <row r="15">
      <c r="A15" s="5" t="inlineStr">
        <is>
          <t>Profit/(Loss) for the year</t>
        </is>
      </c>
      <c r="B15" s="5" t="n">
        <v>2273</v>
      </c>
      <c r="C15" s="5" t="n">
        <v>1779</v>
      </c>
      <c r="D15" s="5" t="n">
        <v>-13999</v>
      </c>
      <c r="E15" s="5" t="n">
        <v>-3839</v>
      </c>
      <c r="F15" s="5" t="n">
        <v>5682</v>
      </c>
      <c r="G15" s="5" t="n">
        <v>1097</v>
      </c>
      <c r="H15" s="5" t="n">
        <v>2622</v>
      </c>
      <c r="I15" s="5" t="n">
        <v>2169</v>
      </c>
      <c r="J15" s="5" t="n">
        <v>5510</v>
      </c>
      <c r="K15" s="5" t="n">
        <v>8584</v>
      </c>
      <c r="L15" s="5" t="n">
        <v>7795</v>
      </c>
      <c r="M15" s="5" t="n">
        <v>5708</v>
      </c>
      <c r="AE15" t="inlineStr">
        <is>
          <t>Profit/(Loss) for the year</t>
        </is>
      </c>
      <c r="AF15" t="n">
        <v>5708</v>
      </c>
      <c r="AG15" t="n">
        <v>7795</v>
      </c>
      <c r="AH15" t="n">
        <v>8584</v>
      </c>
      <c r="AI15" t="n">
        <v>5510</v>
      </c>
      <c r="AJ15" t="n">
        <v>2169</v>
      </c>
      <c r="AK15" t="n">
        <v>2622</v>
      </c>
      <c r="AL15" t="n">
        <v>1097</v>
      </c>
      <c r="AM15" t="n">
        <v>5682</v>
      </c>
      <c r="AN15" t="n">
        <v>-3839</v>
      </c>
      <c r="AO15" t="n">
        <v>-13999</v>
      </c>
      <c r="AP15" t="n">
        <v>1779</v>
      </c>
      <c r="AQ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68171</v>
      </c>
      <c r="C19" s="5" t="n">
        <v>65526</v>
      </c>
      <c r="D19" s="5" t="n">
        <v>75034</v>
      </c>
      <c r="E19" s="5" t="n">
        <v>82581</v>
      </c>
      <c r="F19" s="5" t="n">
        <v>82378</v>
      </c>
      <c r="G19" s="5" t="n">
        <v>80820</v>
      </c>
      <c r="H19" s="5" t="n">
        <v>75488</v>
      </c>
      <c r="I19" s="5" t="n">
        <v>76434</v>
      </c>
      <c r="J19" s="5" t="n">
        <v>71557</v>
      </c>
      <c r="K19" s="5" t="n">
        <v>60676</v>
      </c>
      <c r="L19" s="5" t="n">
        <v>54324</v>
      </c>
      <c r="M19" s="5" t="n">
        <v>50403</v>
      </c>
      <c r="AT19" t="inlineStr">
        <is>
          <t>Opening equity</t>
        </is>
      </c>
      <c r="AU19" t="n">
        <v>50403</v>
      </c>
      <c r="AV19" t="n">
        <v>54324</v>
      </c>
      <c r="AW19" t="n">
        <v>60676</v>
      </c>
      <c r="AX19" t="n">
        <v>71557</v>
      </c>
      <c r="AY19" t="n">
        <v>76434</v>
      </c>
      <c r="AZ19" t="n">
        <v>75488</v>
      </c>
      <c r="BA19" t="n">
        <v>80820</v>
      </c>
      <c r="BB19" t="n">
        <v>82378</v>
      </c>
      <c r="BC19" t="n">
        <v>82581</v>
      </c>
      <c r="BD19" t="n">
        <v>75034</v>
      </c>
      <c r="BE19" t="n">
        <v>65526</v>
      </c>
      <c r="BF19" t="n">
        <v>68171</v>
      </c>
    </row>
    <row r="20">
      <c r="A20" s="5" t="inlineStr">
        <is>
          <t>Total comprehensive income/(loss) for the year</t>
        </is>
      </c>
      <c r="B20" s="5" t="n">
        <v>2458</v>
      </c>
      <c r="C20" s="5" t="n">
        <v>2645</v>
      </c>
      <c r="D20" s="5" t="n">
        <v>-9508</v>
      </c>
      <c r="E20" s="5" t="n">
        <v>-6830</v>
      </c>
      <c r="F20" s="5" t="n">
        <v>203</v>
      </c>
      <c r="G20" s="5" t="n">
        <v>1823</v>
      </c>
      <c r="H20" s="5" t="n">
        <v>5332</v>
      </c>
      <c r="I20" s="5" t="n">
        <v>501</v>
      </c>
      <c r="J20" s="5" t="n">
        <v>6332</v>
      </c>
      <c r="K20" s="5" t="n">
        <v>10881</v>
      </c>
      <c r="L20" s="5" t="n">
        <v>7441</v>
      </c>
      <c r="M20" s="5" t="n">
        <v>3921</v>
      </c>
      <c r="AT20" t="inlineStr">
        <is>
          <t>Total comprehensive income/(loss) for the year</t>
        </is>
      </c>
      <c r="AU20" t="n">
        <v>3921</v>
      </c>
      <c r="AV20" t="n">
        <v>7441</v>
      </c>
      <c r="AW20" t="n">
        <v>10881</v>
      </c>
      <c r="AX20" t="n">
        <v>6332</v>
      </c>
      <c r="AY20" t="n">
        <v>501</v>
      </c>
      <c r="AZ20" t="n">
        <v>5332</v>
      </c>
      <c r="BA20" t="n">
        <v>1823</v>
      </c>
      <c r="BB20" t="n">
        <v>203</v>
      </c>
      <c r="BC20" t="n">
        <v>-6830</v>
      </c>
      <c r="BD20" t="n">
        <v>-9508</v>
      </c>
      <c r="BE20" t="n">
        <v>2645</v>
      </c>
      <c r="BF20" t="n">
        <v>2458</v>
      </c>
    </row>
    <row r="21">
      <c r="A21" s="5" t="inlineStr">
        <is>
          <t>Other equity movements, net</t>
        </is>
      </c>
      <c r="B21" s="5" t="n">
        <v>0</v>
      </c>
      <c r="C21" s="5" t="n">
        <v>0</v>
      </c>
      <c r="D21" s="5" t="n">
        <v>0</v>
      </c>
      <c r="E21" s="5" t="n">
        <v>0</v>
      </c>
      <c r="F21" s="5" t="n">
        <v>0</v>
      </c>
      <c r="G21" s="5" t="n">
        <v>0</v>
      </c>
      <c r="H21" s="5" t="n">
        <v>0</v>
      </c>
      <c r="I21" s="5" t="n">
        <v>0</v>
      </c>
      <c r="J21" s="5" t="n">
        <v>0</v>
      </c>
      <c r="K21" s="5" t="n">
        <v>0</v>
      </c>
      <c r="L21" s="5" t="n">
        <v>0</v>
      </c>
      <c r="M21" s="5" t="n">
        <v>0</v>
      </c>
      <c r="AT21" t="inlineStr">
        <is>
          <t>Other equity movements, net</t>
        </is>
      </c>
      <c r="AU21" t="n">
        <v>0</v>
      </c>
      <c r="AV21" t="n">
        <v>0</v>
      </c>
      <c r="AW21" t="n">
        <v>0</v>
      </c>
      <c r="AX21" t="n">
        <v>0</v>
      </c>
      <c r="AY21" t="n">
        <v>0</v>
      </c>
      <c r="AZ21" t="n">
        <v>0</v>
      </c>
      <c r="BA21" t="n">
        <v>0</v>
      </c>
      <c r="BB21" t="n">
        <v>0</v>
      </c>
      <c r="BC21" t="n">
        <v>0</v>
      </c>
      <c r="BD21" t="n">
        <v>0</v>
      </c>
      <c r="BE21" t="n">
        <v>0</v>
      </c>
      <c r="BF21" t="n">
        <v>0</v>
      </c>
    </row>
    <row r="22">
      <c r="A22" s="5" t="inlineStr">
        <is>
          <t>Closing equity</t>
        </is>
      </c>
      <c r="B22" s="5" t="n">
        <v>70629</v>
      </c>
      <c r="C22" s="5" t="n">
        <v>68171</v>
      </c>
      <c r="D22" s="5" t="n">
        <v>65526</v>
      </c>
      <c r="E22" s="5" t="n">
        <v>75751</v>
      </c>
      <c r="F22" s="5" t="n">
        <v>82581</v>
      </c>
      <c r="G22" s="5" t="n">
        <v>82643</v>
      </c>
      <c r="H22" s="5" t="n">
        <v>80820</v>
      </c>
      <c r="I22" s="5" t="n">
        <v>75454</v>
      </c>
      <c r="J22" s="5" t="n">
        <v>77889</v>
      </c>
      <c r="K22" s="5" t="n">
        <v>71557</v>
      </c>
      <c r="L22" s="5" t="n">
        <v>60676</v>
      </c>
      <c r="M22" s="5" t="n">
        <v>54324</v>
      </c>
      <c r="AT22" t="inlineStr">
        <is>
          <t>Closing equity</t>
        </is>
      </c>
      <c r="AU22" t="n">
        <v>54324</v>
      </c>
      <c r="AV22" t="n">
        <v>60676</v>
      </c>
      <c r="AW22" t="n">
        <v>71557</v>
      </c>
      <c r="AX22" t="n">
        <v>77889</v>
      </c>
      <c r="AY22" t="n">
        <v>75454</v>
      </c>
      <c r="AZ22" t="n">
        <v>80820</v>
      </c>
      <c r="BA22" t="n">
        <v>82643</v>
      </c>
      <c r="BB22" t="n">
        <v>82581</v>
      </c>
      <c r="BC22" t="n">
        <v>75751</v>
      </c>
      <c r="BD22" t="n">
        <v>65526</v>
      </c>
      <c r="BE22" t="n">
        <v>68171</v>
      </c>
      <c r="BF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flows from/(used in) operating activities</t>
        </is>
      </c>
      <c r="B26" s="5" t="n">
        <v>-23853</v>
      </c>
      <c r="C26" s="5" t="n">
        <v>10670</v>
      </c>
      <c r="D26" s="5" t="n">
        <v>-10115</v>
      </c>
      <c r="E26" s="5" t="n">
        <v>-27463</v>
      </c>
      <c r="F26" s="5" t="n">
        <v>60094</v>
      </c>
      <c r="G26" s="5" t="n">
        <v>-4205</v>
      </c>
      <c r="H26" s="5" t="n">
        <v>-77756</v>
      </c>
      <c r="I26" s="5" t="n">
        <v>64083</v>
      </c>
      <c r="J26" s="5" t="n">
        <v>-85771</v>
      </c>
      <c r="K26" s="5" t="n">
        <v>53990</v>
      </c>
      <c r="L26" s="5" t="n">
        <v>59479</v>
      </c>
      <c r="M26" s="5" t="n">
        <v>50546</v>
      </c>
      <c r="BI26" t="inlineStr">
        <is>
          <t>Net cash flows from/(used in) operating activities</t>
        </is>
      </c>
      <c r="BJ26" t="n">
        <v>50546</v>
      </c>
      <c r="BK26" t="n">
        <v>59479</v>
      </c>
      <c r="BL26" t="n">
        <v>53990</v>
      </c>
      <c r="BM26" t="n">
        <v>-85771</v>
      </c>
      <c r="BN26" t="n">
        <v>64083</v>
      </c>
      <c r="BO26" t="n">
        <v>-77756</v>
      </c>
      <c r="BP26" t="n">
        <v>-4205</v>
      </c>
      <c r="BQ26" t="n">
        <v>60094</v>
      </c>
      <c r="BR26" t="n">
        <v>-27463</v>
      </c>
      <c r="BS26" t="n">
        <v>-10115</v>
      </c>
      <c r="BT26" t="n">
        <v>10670</v>
      </c>
      <c r="BU26" t="n">
        <v>-23853</v>
      </c>
    </row>
    <row r="27">
      <c r="A27" s="5" t="inlineStr">
        <is>
          <t>Net cash flows from/(used in) investing activities</t>
        </is>
      </c>
      <c r="B27" s="5" t="n">
        <v>10389</v>
      </c>
      <c r="C27" s="5" t="n">
        <v>-13994</v>
      </c>
      <c r="D27" s="5" t="n">
        <v>-3057</v>
      </c>
      <c r="E27" s="5" t="n">
        <v>9089</v>
      </c>
      <c r="F27" s="5" t="n">
        <v>-43971</v>
      </c>
      <c r="G27" s="5" t="n">
        <v>30693</v>
      </c>
      <c r="H27" s="5" t="n">
        <v>35146</v>
      </c>
      <c r="I27" s="5" t="n">
        <v>-48205</v>
      </c>
      <c r="J27" s="5" t="n">
        <v>42174</v>
      </c>
      <c r="K27" s="5" t="n">
        <v>-52666</v>
      </c>
      <c r="L27" s="5" t="n">
        <v>-44402</v>
      </c>
      <c r="M27" s="5" t="n">
        <v>-25947</v>
      </c>
      <c r="BI27" t="inlineStr">
        <is>
          <t>Net cash flows from/(used in) investing activities</t>
        </is>
      </c>
      <c r="BJ27" t="n">
        <v>-25947</v>
      </c>
      <c r="BK27" t="n">
        <v>-44402</v>
      </c>
      <c r="BL27" t="n">
        <v>-52666</v>
      </c>
      <c r="BM27" t="n">
        <v>42174</v>
      </c>
      <c r="BN27" t="n">
        <v>-48205</v>
      </c>
      <c r="BO27" t="n">
        <v>35146</v>
      </c>
      <c r="BP27" t="n">
        <v>30693</v>
      </c>
      <c r="BQ27" t="n">
        <v>-43971</v>
      </c>
      <c r="BR27" t="n">
        <v>9089</v>
      </c>
      <c r="BS27" t="n">
        <v>-3057</v>
      </c>
      <c r="BT27" t="n">
        <v>-13994</v>
      </c>
      <c r="BU27" t="n">
        <v>10389</v>
      </c>
    </row>
    <row r="28">
      <c r="A28" s="5" t="inlineStr">
        <is>
          <t>Net cash flows from/(used in) financing activities</t>
        </is>
      </c>
      <c r="B28" s="5" t="n">
        <v>-89</v>
      </c>
      <c r="C28" s="5" t="n">
        <v>-181</v>
      </c>
      <c r="D28" s="5" t="n">
        <v>-797</v>
      </c>
      <c r="E28" s="5" t="n">
        <v>-1050</v>
      </c>
      <c r="F28" s="5" t="n">
        <v>-944</v>
      </c>
      <c r="G28" s="5" t="n">
        <v>-1107</v>
      </c>
      <c r="H28" s="5" t="n">
        <v>-877</v>
      </c>
      <c r="I28" s="5" t="n">
        <v>635</v>
      </c>
      <c r="J28" s="5" t="n">
        <v>629</v>
      </c>
      <c r="K28" s="5" t="n">
        <v>0</v>
      </c>
      <c r="L28" s="5" t="n">
        <v>0</v>
      </c>
      <c r="M28" s="5" t="n">
        <v>0</v>
      </c>
      <c r="BI28" t="inlineStr">
        <is>
          <t>Net cash flows from/(used in) financing activities</t>
        </is>
      </c>
      <c r="BJ28" t="n">
        <v>0</v>
      </c>
      <c r="BK28" t="n">
        <v>0</v>
      </c>
      <c r="BL28" t="n">
        <v>0</v>
      </c>
      <c r="BM28" t="n">
        <v>629</v>
      </c>
      <c r="BN28" t="n">
        <v>635</v>
      </c>
      <c r="BO28" t="n">
        <v>-877</v>
      </c>
      <c r="BP28" t="n">
        <v>-1107</v>
      </c>
      <c r="BQ28" t="n">
        <v>-944</v>
      </c>
      <c r="BR28" t="n">
        <v>-1050</v>
      </c>
      <c r="BS28" t="n">
        <v>-797</v>
      </c>
      <c r="BT28" t="n">
        <v>-181</v>
      </c>
      <c r="BU28" t="n">
        <v>-89</v>
      </c>
    </row>
    <row r="29">
      <c r="A29" s="5" t="inlineStr">
        <is>
          <t>Cash and cash equivalents as at 31 December</t>
        </is>
      </c>
      <c r="B29" s="5" t="n">
        <v>37517</v>
      </c>
      <c r="C29" s="5" t="n">
        <v>51070</v>
      </c>
      <c r="D29" s="5" t="n">
        <v>54575</v>
      </c>
      <c r="E29" s="5" t="n">
        <v>68544</v>
      </c>
      <c r="F29" s="5" t="n">
        <v>87968</v>
      </c>
      <c r="G29" s="5" t="n">
        <v>72789</v>
      </c>
      <c r="H29" s="5" t="n">
        <v>47408</v>
      </c>
      <c r="I29" s="5" t="n">
        <v>90895</v>
      </c>
      <c r="J29" s="5" t="n">
        <v>74382</v>
      </c>
      <c r="K29" s="5" t="n">
        <v>117350</v>
      </c>
      <c r="L29" s="5" t="n">
        <v>116026</v>
      </c>
      <c r="M29" s="5" t="n">
        <v>100949</v>
      </c>
      <c r="BI29" t="inlineStr">
        <is>
          <t>Cash and cash equivalents as at 31 December</t>
        </is>
      </c>
      <c r="BJ29" t="n">
        <v>100949</v>
      </c>
      <c r="BK29" t="n">
        <v>116026</v>
      </c>
      <c r="BL29" t="n">
        <v>117350</v>
      </c>
      <c r="BM29" t="n">
        <v>74382</v>
      </c>
      <c r="BN29" t="n">
        <v>90895</v>
      </c>
      <c r="BO29" t="n">
        <v>47408</v>
      </c>
      <c r="BP29" t="n">
        <v>72789</v>
      </c>
      <c r="BQ29" t="n">
        <v>87968</v>
      </c>
      <c r="BR29" t="n">
        <v>68544</v>
      </c>
      <c r="BS29" t="n">
        <v>54575</v>
      </c>
      <c r="BT29" t="n">
        <v>51070</v>
      </c>
      <c r="BU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17.46%</t>
        </is>
      </c>
      <c r="C33" s="6" t="inlineStr">
        <is>
          <t>19.65%</t>
        </is>
      </c>
      <c r="D33" s="6" t="inlineStr">
        <is>
          <t>17.75%</t>
        </is>
      </c>
      <c r="E33" s="6" t="inlineStr">
        <is>
          <t>12.24%</t>
        </is>
      </c>
      <c r="F33" s="6" t="inlineStr">
        <is>
          <t>12.36%</t>
        </is>
      </c>
      <c r="G33" s="6" t="n"/>
      <c r="H33" s="6" t="n"/>
      <c r="I33" s="6" t="n"/>
      <c r="J33" s="6" t="inlineStr">
        <is>
          <t>15.1%</t>
        </is>
      </c>
      <c r="K33" s="6" t="inlineStr">
        <is>
          <t>13.0%</t>
        </is>
      </c>
      <c r="L33" s="6" t="inlineStr">
        <is>
          <t>12.6%</t>
        </is>
      </c>
      <c r="M33" s="6" t="inlineStr">
        <is>
          <t>13.3%</t>
        </is>
      </c>
    </row>
    <row r="34">
      <c r="A34" s="6" t="inlineStr">
        <is>
          <t>Total Capital Ratio</t>
        </is>
      </c>
      <c r="B34" s="6" t="inlineStr">
        <is>
          <t>24.03%</t>
        </is>
      </c>
      <c r="C34" s="6" t="inlineStr">
        <is>
          <t>25.95%</t>
        </is>
      </c>
      <c r="D34" s="6" t="inlineStr">
        <is>
          <t>23.83%</t>
        </is>
      </c>
      <c r="E34" s="6" t="inlineStr">
        <is>
          <t>15.70%</t>
        </is>
      </c>
      <c r="F34" s="6" t="inlineStr">
        <is>
          <t>15.49%</t>
        </is>
      </c>
      <c r="G34" s="6" t="n"/>
      <c r="H34" s="6" t="n"/>
      <c r="I34" s="6" t="n"/>
      <c r="J34" s="6" t="inlineStr">
        <is>
          <t>19.0%</t>
        </is>
      </c>
      <c r="K34" s="6" t="inlineStr">
        <is>
          <t>16.9%</t>
        </is>
      </c>
      <c r="L34" s="6" t="inlineStr">
        <is>
          <t>16.2%</t>
        </is>
      </c>
      <c r="M34" s="6" t="inlineStr">
        <is>
          <t>17.9%</t>
        </is>
      </c>
    </row>
    <row r="35">
      <c r="A35" s="6" t="inlineStr">
        <is>
          <t>Leverage Ratio</t>
        </is>
      </c>
      <c r="B35" s="6" t="n"/>
      <c r="C35" s="6" t="inlineStr">
        <is>
          <t>17.67%</t>
        </is>
      </c>
      <c r="D35" s="6" t="inlineStr">
        <is>
          <t>20.66%</t>
        </is>
      </c>
      <c r="E35" s="6" t="inlineStr">
        <is>
          <t>13.98%</t>
        </is>
      </c>
      <c r="F35" s="6" t="inlineStr">
        <is>
          <t>11.51%</t>
        </is>
      </c>
      <c r="G35" s="6" t="n"/>
      <c r="H35" s="6" t="n"/>
      <c r="I35" s="6" t="n"/>
      <c r="J35" s="6" t="inlineStr">
        <is>
          <t>12.08%</t>
        </is>
      </c>
      <c r="K35" s="6" t="inlineStr">
        <is>
          <t>9.62%</t>
        </is>
      </c>
      <c r="L35" s="6" t="n"/>
      <c r="M35" s="6" t="n"/>
    </row>
    <row r="36">
      <c r="A36" s="6" t="inlineStr">
        <is>
          <t>LCR</t>
        </is>
      </c>
      <c r="B36" s="6" t="inlineStr">
        <is>
          <t>212%</t>
        </is>
      </c>
      <c r="C36" s="6" t="inlineStr">
        <is>
          <t>207%</t>
        </is>
      </c>
      <c r="D36" s="6" t="inlineStr">
        <is>
          <t>351%</t>
        </is>
      </c>
      <c r="E36" s="6" t="inlineStr">
        <is>
          <t>207%</t>
        </is>
      </c>
      <c r="F36" s="6" t="inlineStr">
        <is>
          <t>203%</t>
        </is>
      </c>
      <c r="G36" s="6" t="n"/>
      <c r="H36" s="6" t="n"/>
      <c r="I36" s="6" t="n"/>
      <c r="J36" s="6" t="inlineStr">
        <is>
          <t>158%</t>
        </is>
      </c>
      <c r="K36" s="6" t="inlineStr">
        <is>
          <t>143%</t>
        </is>
      </c>
      <c r="L36" s="6" t="inlineStr">
        <is>
          <t>160%</t>
        </is>
      </c>
      <c r="M36" s="6" t="n"/>
    </row>
    <row r="38" ht="45" customHeight="1">
      <c r="A38" s="7" t="inlineStr">
        <is>
          <t>Note: Figures are duplicated from the detail sheets for at-a-glance trend viewing; see each sheet's own source citation for the underlying document/page, and the Cash Flow Statement / Statement of Changes in Equity sheets' source notes for the several genuine restatements affecting this workbook (FY2022, FY2017, and a further FY2020/FY2021 break - see entity note). FY2018-FY2020 have no Pillar 3 ratios (genuine archive gap, confirmed during the HD-017 historical-depth extension); FY2014-FY2020 Balance Sheet/P&amp;L/Cash Flow/Equity figures were added in that same extension.</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3145</v>
      </c>
      <c r="C5" s="6" t="n">
        <v>15397</v>
      </c>
      <c r="D5" s="6" t="n">
        <v>27447</v>
      </c>
      <c r="E5" s="6" t="n">
        <v>45655</v>
      </c>
      <c r="F5" s="6" t="n">
        <v>43395</v>
      </c>
      <c r="G5" s="6" t="n">
        <v>42930</v>
      </c>
      <c r="H5" s="6" t="n">
        <v>3108</v>
      </c>
      <c r="I5" s="6" t="n">
        <v>17698</v>
      </c>
      <c r="J5" s="6" t="n">
        <v>17489</v>
      </c>
      <c r="K5" s="6" t="n">
        <v>13339</v>
      </c>
      <c r="L5" s="6" t="n">
        <v>4369</v>
      </c>
      <c r="M5" s="6" t="n">
        <v>1887</v>
      </c>
    </row>
    <row r="6">
      <c r="A6" s="6" t="inlineStr">
        <is>
          <t>Due from banks</t>
        </is>
      </c>
      <c r="B6" s="6" t="n">
        <v>112586</v>
      </c>
      <c r="C6" s="6" t="n">
        <v>66588</v>
      </c>
      <c r="D6" s="6" t="n">
        <v>40848</v>
      </c>
      <c r="E6" s="6" t="n">
        <v>90560</v>
      </c>
      <c r="F6" s="6" t="n">
        <v>121178</v>
      </c>
      <c r="G6" s="6" t="n">
        <v>138092</v>
      </c>
      <c r="H6" s="6" t="n">
        <v>85493</v>
      </c>
      <c r="I6" s="6" t="n">
        <v>157397</v>
      </c>
      <c r="J6" s="6" t="n">
        <v>120104</v>
      </c>
      <c r="K6" s="6" t="n">
        <v>149004</v>
      </c>
      <c r="L6" s="6" t="n">
        <v>136700</v>
      </c>
      <c r="M6" s="6" t="n">
        <v>123940</v>
      </c>
    </row>
    <row r="7">
      <c r="A7" s="6" t="inlineStr">
        <is>
          <t>Derivative assets</t>
        </is>
      </c>
      <c r="B7" s="6" t="n">
        <v>993</v>
      </c>
      <c r="C7" s="6" t="n">
        <v>546</v>
      </c>
      <c r="D7" s="6" t="n">
        <v>766</v>
      </c>
      <c r="E7" s="6" t="n">
        <v>42</v>
      </c>
      <c r="F7" s="6" t="n">
        <v>89</v>
      </c>
      <c r="G7" s="6" t="n">
        <v>433</v>
      </c>
      <c r="H7" s="6" t="n">
        <v>254</v>
      </c>
      <c r="I7" s="6" t="n">
        <v>231</v>
      </c>
      <c r="J7" s="6" t="n">
        <v>1140</v>
      </c>
      <c r="K7" s="6" t="n">
        <v>32</v>
      </c>
      <c r="L7" s="6" t="n">
        <v>222</v>
      </c>
      <c r="M7" s="6" t="n">
        <v>15</v>
      </c>
    </row>
    <row r="8">
      <c r="A8" s="6" t="inlineStr">
        <is>
          <t>Loans and advances to customers</t>
        </is>
      </c>
      <c r="B8" s="6" t="n">
        <v>41952</v>
      </c>
      <c r="C8" s="6" t="n">
        <v>28985</v>
      </c>
      <c r="D8" s="6" t="n">
        <v>28332</v>
      </c>
      <c r="E8" s="6" t="n">
        <v>148285</v>
      </c>
      <c r="F8" s="6" t="n">
        <v>162016</v>
      </c>
      <c r="G8" s="6" t="n">
        <v>173173</v>
      </c>
      <c r="H8" s="6" t="n">
        <v>215391</v>
      </c>
      <c r="I8" s="6" t="n">
        <v>211596</v>
      </c>
      <c r="J8" s="6" t="n">
        <v>207964</v>
      </c>
      <c r="K8" s="6" t="n">
        <v>175945</v>
      </c>
      <c r="L8" s="6" t="n">
        <v>167713</v>
      </c>
      <c r="M8" s="6" t="n">
        <v>149257</v>
      </c>
    </row>
    <row r="9">
      <c r="A9" s="6" t="inlineStr">
        <is>
          <t>Financial investments - Amortised Cost</t>
        </is>
      </c>
      <c r="B9" s="6" t="n">
        <v>66165</v>
      </c>
      <c r="C9" s="6" t="n">
        <v>80814</v>
      </c>
      <c r="D9" s="6" t="n">
        <v>82889</v>
      </c>
      <c r="E9" s="6" t="n">
        <v>89665</v>
      </c>
      <c r="F9" s="6" t="n">
        <v>87687</v>
      </c>
      <c r="G9" s="6" t="n"/>
      <c r="H9" s="6" t="n"/>
      <c r="I9" s="6" t="n">
        <v>48545</v>
      </c>
      <c r="J9" s="6" t="n"/>
      <c r="K9" s="6" t="n">
        <v>16846</v>
      </c>
      <c r="L9" s="6" t="n">
        <v>7337</v>
      </c>
      <c r="M9" s="6" t="n"/>
    </row>
    <row r="10">
      <c r="A10" s="6" t="inlineStr">
        <is>
          <t>Financial investments - FVOCI</t>
        </is>
      </c>
      <c r="B10" s="6" t="n">
        <v>63507</v>
      </c>
      <c r="C10" s="6" t="n">
        <v>57583</v>
      </c>
      <c r="D10" s="6" t="n">
        <v>37667</v>
      </c>
      <c r="E10" s="6" t="n">
        <v>43949</v>
      </c>
      <c r="F10" s="6" t="n">
        <v>52020</v>
      </c>
      <c r="G10" s="6" t="n">
        <v>100569</v>
      </c>
      <c r="H10" s="6" t="n">
        <v>131889</v>
      </c>
      <c r="I10" s="6" t="n">
        <v>113678</v>
      </c>
      <c r="J10" s="6" t="n">
        <v>117555</v>
      </c>
      <c r="K10" s="6" t="n">
        <v>144263</v>
      </c>
      <c r="L10" s="6" t="n">
        <v>102378</v>
      </c>
      <c r="M10" s="6" t="n">
        <v>66109</v>
      </c>
    </row>
    <row r="11">
      <c r="A11" s="6" t="inlineStr">
        <is>
          <t>Property, Plant and Equipment</t>
        </is>
      </c>
      <c r="B11" s="6" t="n">
        <v>476</v>
      </c>
      <c r="C11" s="6" t="n">
        <v>578</v>
      </c>
      <c r="D11" s="6" t="n"/>
      <c r="E11" s="6" t="n"/>
      <c r="F11" s="6" t="n"/>
      <c r="G11" s="6" t="n"/>
      <c r="H11" s="6" t="n"/>
      <c r="I11" s="6" t="n">
        <v>426</v>
      </c>
      <c r="J11" s="6" t="n">
        <v>333</v>
      </c>
      <c r="K11" s="6" t="n">
        <v>300</v>
      </c>
      <c r="L11" s="6" t="n">
        <v>226</v>
      </c>
      <c r="M11" s="6" t="n">
        <v>987</v>
      </c>
    </row>
    <row r="12">
      <c r="A12" s="6" t="inlineStr">
        <is>
          <t>Right-of-use Assets</t>
        </is>
      </c>
      <c r="B12" s="6" t="n">
        <v>1192</v>
      </c>
      <c r="C12" s="6" t="n">
        <v>1366</v>
      </c>
      <c r="D12" s="6" t="n"/>
      <c r="E12" s="6" t="n"/>
      <c r="F12" s="6" t="n"/>
      <c r="G12" s="6" t="n"/>
      <c r="H12" s="6" t="n"/>
      <c r="I12" s="6" t="n"/>
      <c r="J12" s="6" t="n"/>
      <c r="K12" s="6" t="n"/>
      <c r="L12" s="6" t="n"/>
      <c r="M12" s="6" t="n"/>
    </row>
    <row r="13">
      <c r="A13" s="6" t="inlineStr">
        <is>
          <t>Property, Plant and Equipment and Right-of-use Assets</t>
        </is>
      </c>
      <c r="B13" s="6" t="n"/>
      <c r="C13" s="6" t="n"/>
      <c r="D13" s="6" t="n">
        <v>1885</v>
      </c>
      <c r="E13" s="6" t="n">
        <v>1496</v>
      </c>
      <c r="F13" s="6" t="n">
        <v>2517</v>
      </c>
      <c r="G13" s="6" t="n">
        <v>3687</v>
      </c>
      <c r="H13" s="6" t="n">
        <v>5363</v>
      </c>
      <c r="I13" s="6" t="n"/>
      <c r="J13" s="6" t="n"/>
      <c r="K13" s="6" t="n"/>
      <c r="L13" s="6" t="n"/>
      <c r="M13" s="6" t="n"/>
    </row>
    <row r="14">
      <c r="A14" s="6" t="inlineStr">
        <is>
          <t>Goodwill</t>
        </is>
      </c>
      <c r="B14" s="6" t="n">
        <v>8766</v>
      </c>
      <c r="C14" s="6" t="n">
        <v>8304</v>
      </c>
      <c r="D14" s="6" t="n"/>
      <c r="E14" s="6" t="n"/>
      <c r="F14" s="6" t="n"/>
      <c r="G14" s="6" t="n"/>
      <c r="H14" s="6" t="n"/>
      <c r="I14" s="6" t="n"/>
      <c r="J14" s="6" t="n"/>
      <c r="K14" s="6" t="n"/>
      <c r="L14" s="6" t="n"/>
      <c r="M14" s="6" t="n"/>
    </row>
    <row r="15">
      <c r="A15" s="6" t="inlineStr">
        <is>
          <t>Other intangible assets</t>
        </is>
      </c>
      <c r="B15" s="6" t="n">
        <v>4969</v>
      </c>
      <c r="C15" s="6" t="n">
        <v>4941</v>
      </c>
      <c r="D15" s="6" t="n"/>
      <c r="E15" s="6" t="n"/>
      <c r="F15" s="6" t="n"/>
      <c r="G15" s="6" t="n"/>
      <c r="H15" s="6" t="n"/>
      <c r="I15" s="6" t="n"/>
      <c r="J15" s="6" t="n"/>
      <c r="K15" s="6" t="n"/>
      <c r="L15" s="6" t="n"/>
      <c r="M15" s="6" t="n"/>
    </row>
    <row r="16">
      <c r="A16" s="6" t="inlineStr">
        <is>
          <t>Goodwill and other intangible assets</t>
        </is>
      </c>
      <c r="B16" s="6" t="n"/>
      <c r="C16" s="6" t="n"/>
      <c r="D16" s="6" t="n">
        <v>12787</v>
      </c>
      <c r="E16" s="6" t="n">
        <v>11561</v>
      </c>
      <c r="F16" s="6" t="n">
        <v>9802</v>
      </c>
      <c r="G16" s="6" t="n">
        <v>10904</v>
      </c>
      <c r="H16" s="6" t="n">
        <v>11182</v>
      </c>
      <c r="I16" s="6" t="n">
        <v>12115</v>
      </c>
      <c r="J16" s="6" t="n">
        <v>11371</v>
      </c>
      <c r="K16" s="6" t="n">
        <v>10310</v>
      </c>
      <c r="L16" s="6" t="n">
        <v>8031</v>
      </c>
      <c r="M16" s="6" t="n">
        <v>7791</v>
      </c>
    </row>
    <row r="17">
      <c r="A17" s="6" t="inlineStr">
        <is>
          <t>Deferred tax assets</t>
        </is>
      </c>
      <c r="B17" s="6" t="n">
        <v>12597</v>
      </c>
      <c r="C17" s="6" t="n">
        <v>13428</v>
      </c>
      <c r="D17" s="6" t="n">
        <v>8822</v>
      </c>
      <c r="E17" s="6" t="n">
        <v>8781</v>
      </c>
      <c r="F17" s="6" t="n">
        <v>8191</v>
      </c>
      <c r="G17" s="6" t="n">
        <v>6626</v>
      </c>
      <c r="H17" s="6" t="n">
        <v>5851</v>
      </c>
      <c r="I17" s="6" t="n">
        <v>6640</v>
      </c>
      <c r="J17" s="6" t="n">
        <v>6531</v>
      </c>
      <c r="K17" s="6" t="n">
        <v>6966</v>
      </c>
      <c r="L17" s="6" t="n">
        <v>6418</v>
      </c>
      <c r="M17" s="6" t="n">
        <v>4893</v>
      </c>
    </row>
    <row r="18">
      <c r="A18" s="6" t="inlineStr">
        <is>
          <t>Other assets</t>
        </is>
      </c>
      <c r="B18" s="6" t="n">
        <v>12616</v>
      </c>
      <c r="C18" s="6" t="n">
        <v>13002</v>
      </c>
      <c r="D18" s="6" t="n">
        <v>12998</v>
      </c>
      <c r="E18" s="6" t="n">
        <v>12396</v>
      </c>
      <c r="F18" s="6" t="n">
        <v>9791</v>
      </c>
      <c r="G18" s="6" t="n">
        <v>8958</v>
      </c>
      <c r="H18" s="6" t="n">
        <v>7717</v>
      </c>
      <c r="I18" s="6" t="n">
        <v>6737</v>
      </c>
      <c r="J18" s="6" t="n">
        <v>8473</v>
      </c>
      <c r="K18" s="6" t="n">
        <v>10713</v>
      </c>
      <c r="L18" s="6" t="n">
        <v>8288</v>
      </c>
      <c r="M18" s="6" t="n">
        <v>10473</v>
      </c>
    </row>
    <row r="19">
      <c r="A19" s="5" t="inlineStr">
        <is>
          <t>Total assets</t>
        </is>
      </c>
      <c r="B19" s="5" t="n">
        <v>328964</v>
      </c>
      <c r="C19" s="5" t="n">
        <v>291532</v>
      </c>
      <c r="D19" s="5" t="n">
        <v>254441</v>
      </c>
      <c r="E19" s="5" t="n">
        <v>452390</v>
      </c>
      <c r="F19" s="5" t="n">
        <v>496686</v>
      </c>
      <c r="G19" s="5" t="n">
        <v>485372</v>
      </c>
      <c r="H19" s="5" t="n">
        <v>466248</v>
      </c>
      <c r="I19" s="5" t="n">
        <v>575063</v>
      </c>
      <c r="J19" s="5" t="n">
        <v>490960</v>
      </c>
      <c r="K19" s="5" t="n">
        <v>527718</v>
      </c>
      <c r="L19" s="5" t="n">
        <v>441682</v>
      </c>
      <c r="M19" s="5" t="n">
        <v>365352</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149668</v>
      </c>
      <c r="C21" s="6" t="n">
        <v>153081</v>
      </c>
      <c r="D21" s="6" t="n">
        <v>120940</v>
      </c>
      <c r="E21" s="6" t="n">
        <v>289489</v>
      </c>
      <c r="F21" s="6" t="n">
        <v>297704</v>
      </c>
      <c r="G21" s="6" t="n">
        <v>276280</v>
      </c>
      <c r="H21" s="6" t="n">
        <v>263150</v>
      </c>
      <c r="I21" s="6" t="n">
        <v>367631</v>
      </c>
      <c r="J21" s="6" t="n">
        <v>279739</v>
      </c>
      <c r="K21" s="6" t="n">
        <v>305077</v>
      </c>
      <c r="L21" s="6" t="n">
        <v>264777</v>
      </c>
      <c r="M21" s="6" t="n">
        <v>189419</v>
      </c>
    </row>
    <row r="22">
      <c r="A22" s="6" t="inlineStr">
        <is>
          <t>Derivative liabilities</t>
        </is>
      </c>
      <c r="B22" s="6" t="n">
        <v>26</v>
      </c>
      <c r="C22" s="6" t="n">
        <v>868</v>
      </c>
      <c r="D22" s="6" t="n">
        <v>69</v>
      </c>
      <c r="E22" s="6" t="n">
        <v>502</v>
      </c>
      <c r="F22" s="6" t="n">
        <v>25</v>
      </c>
      <c r="G22" s="6" t="n">
        <v>135</v>
      </c>
      <c r="H22" s="6" t="n">
        <v>34</v>
      </c>
      <c r="I22" s="6" t="n"/>
      <c r="J22" s="6" t="n">
        <v>74</v>
      </c>
      <c r="K22" s="6" t="n">
        <v>1298</v>
      </c>
      <c r="L22" s="6" t="n">
        <v>859</v>
      </c>
      <c r="M22" s="6" t="n">
        <v>4267</v>
      </c>
    </row>
    <row r="23">
      <c r="A23" s="6" t="inlineStr">
        <is>
          <t>Due to customers</t>
        </is>
      </c>
      <c r="B23" s="6" t="n">
        <v>84367</v>
      </c>
      <c r="C23" s="6" t="n">
        <v>44717</v>
      </c>
      <c r="D23" s="6" t="n">
        <v>42227</v>
      </c>
      <c r="E23" s="6" t="n">
        <v>59541</v>
      </c>
      <c r="F23" s="6" t="n">
        <v>92028</v>
      </c>
      <c r="G23" s="6" t="n">
        <v>99556</v>
      </c>
      <c r="H23" s="6" t="n">
        <v>95291</v>
      </c>
      <c r="I23" s="6" t="n">
        <v>109231</v>
      </c>
      <c r="J23" s="6" t="n">
        <v>112349</v>
      </c>
      <c r="K23" s="6" t="n">
        <v>129706</v>
      </c>
      <c r="L23" s="6" t="n">
        <v>98537</v>
      </c>
      <c r="M23" s="6" t="n">
        <v>101419</v>
      </c>
    </row>
    <row r="24">
      <c r="A24" s="6" t="inlineStr">
        <is>
          <t>Other liabilities</t>
        </is>
      </c>
      <c r="B24" s="6" t="n">
        <v>8317</v>
      </c>
      <c r="C24" s="6" t="n">
        <v>9171</v>
      </c>
      <c r="D24" s="6" t="n">
        <v>9623</v>
      </c>
      <c r="E24" s="6" t="n">
        <v>11254</v>
      </c>
      <c r="F24" s="6" t="n">
        <v>9316</v>
      </c>
      <c r="G24" s="6" t="n">
        <v>10641</v>
      </c>
      <c r="H24" s="6" t="n">
        <v>11722</v>
      </c>
      <c r="I24" s="6" t="n">
        <v>6453</v>
      </c>
      <c r="J24" s="6" t="n">
        <v>4837</v>
      </c>
      <c r="K24" s="6" t="n">
        <v>4577</v>
      </c>
      <c r="L24" s="6" t="n">
        <v>3517</v>
      </c>
      <c r="M24" s="6" t="n">
        <v>1785</v>
      </c>
    </row>
    <row r="25">
      <c r="A25" s="6" t="inlineStr">
        <is>
          <t>Provisions</t>
        </is>
      </c>
      <c r="B25" s="6" t="n">
        <v>334</v>
      </c>
      <c r="C25" s="6" t="n">
        <v>700</v>
      </c>
      <c r="D25" s="6" t="n">
        <v>500</v>
      </c>
      <c r="E25" s="6" t="n"/>
      <c r="F25" s="6" t="n"/>
      <c r="G25" s="6" t="n"/>
      <c r="H25" s="6" t="n"/>
      <c r="I25" s="6" t="n"/>
      <c r="J25" s="6" t="n"/>
      <c r="K25" s="6" t="n"/>
      <c r="L25" s="6" t="n"/>
      <c r="M25" s="6" t="n"/>
    </row>
    <row r="26">
      <c r="A26" s="6" t="inlineStr">
        <is>
          <t>Subordinated debt</t>
        </is>
      </c>
      <c r="B26" s="6" t="n">
        <v>15623</v>
      </c>
      <c r="C26" s="6" t="n">
        <v>14824</v>
      </c>
      <c r="D26" s="6" t="n">
        <v>15556</v>
      </c>
      <c r="E26" s="6" t="n">
        <v>15853</v>
      </c>
      <c r="F26" s="6" t="n">
        <v>15032</v>
      </c>
      <c r="G26" s="6" t="n">
        <v>16117</v>
      </c>
      <c r="H26" s="6" t="n">
        <v>15231</v>
      </c>
      <c r="I26" s="6" t="n">
        <v>16294</v>
      </c>
      <c r="J26" s="6" t="n">
        <v>16072</v>
      </c>
      <c r="K26" s="6" t="n">
        <v>15503</v>
      </c>
      <c r="L26" s="6" t="n">
        <v>13316</v>
      </c>
      <c r="M26" s="6" t="n">
        <v>14138</v>
      </c>
    </row>
    <row r="27">
      <c r="A27" s="5" t="inlineStr">
        <is>
          <t>Total liabilities</t>
        </is>
      </c>
      <c r="B27" s="5" t="n">
        <v>258335</v>
      </c>
      <c r="C27" s="5" t="n">
        <v>223361</v>
      </c>
      <c r="D27" s="5" t="n">
        <v>188915</v>
      </c>
      <c r="E27" s="5" t="n">
        <v>376639</v>
      </c>
      <c r="F27" s="5" t="n">
        <v>414105</v>
      </c>
      <c r="G27" s="5" t="n">
        <v>402729</v>
      </c>
      <c r="H27" s="5" t="n">
        <v>385428</v>
      </c>
      <c r="I27" s="5" t="n">
        <v>499609</v>
      </c>
      <c r="J27" s="5" t="n">
        <v>413071</v>
      </c>
      <c r="K27" s="5" t="n">
        <v>456161</v>
      </c>
      <c r="L27" s="5" t="n">
        <v>381006</v>
      </c>
      <c r="M27" s="5" t="n">
        <v>311028</v>
      </c>
    </row>
    <row r="28">
      <c r="A28" s="5" t="inlineStr">
        <is>
          <t>Equity attributable to equity holders</t>
        </is>
      </c>
      <c r="B28" s="6" t="n"/>
      <c r="C28" s="6" t="n"/>
      <c r="D28" s="6" t="n"/>
      <c r="E28" s="6" t="n"/>
      <c r="F28" s="6" t="n"/>
      <c r="G28" s="6" t="n"/>
      <c r="H28" s="6" t="n"/>
      <c r="I28" s="6" t="n"/>
      <c r="J28" s="6" t="n"/>
      <c r="K28" s="6" t="n"/>
      <c r="L28" s="6" t="n"/>
      <c r="M28" s="6" t="n"/>
    </row>
    <row r="29">
      <c r="A29" s="6" t="inlineStr">
        <is>
          <t>Share capital</t>
        </is>
      </c>
      <c r="B29" s="6" t="n">
        <v>102173</v>
      </c>
      <c r="C29" s="6" t="n">
        <v>102173</v>
      </c>
      <c r="D29" s="6" t="n">
        <v>102173</v>
      </c>
      <c r="E29" s="6" t="n">
        <v>102173</v>
      </c>
      <c r="F29" s="6" t="n">
        <v>102173</v>
      </c>
      <c r="G29" s="6" t="n">
        <v>102173</v>
      </c>
      <c r="H29" s="6" t="n">
        <v>102173</v>
      </c>
      <c r="I29" s="6" t="n">
        <v>102173</v>
      </c>
      <c r="J29" s="6" t="n">
        <v>102173</v>
      </c>
      <c r="K29" s="6" t="n">
        <v>102173</v>
      </c>
      <c r="L29" s="6" t="n">
        <v>102173</v>
      </c>
      <c r="M29" s="6" t="n">
        <v>102173</v>
      </c>
    </row>
    <row r="30">
      <c r="A30" s="6" t="inlineStr">
        <is>
          <t>Other reserves</t>
        </is>
      </c>
      <c r="B30" s="6" t="n">
        <v>-1303</v>
      </c>
      <c r="C30" s="6" t="n">
        <v>-1488</v>
      </c>
      <c r="D30" s="6" t="n">
        <v>-2354</v>
      </c>
      <c r="E30" s="6" t="n">
        <v>-6845</v>
      </c>
      <c r="F30" s="6" t="n">
        <v>-3854</v>
      </c>
      <c r="G30" s="6" t="n">
        <v>1890</v>
      </c>
      <c r="H30" s="6" t="n">
        <v>1172</v>
      </c>
      <c r="I30" s="6" t="n">
        <v>-1538</v>
      </c>
      <c r="J30" s="6" t="n">
        <v>130</v>
      </c>
      <c r="K30" s="6" t="n">
        <v>-692</v>
      </c>
      <c r="L30" s="6" t="n">
        <v>-2989</v>
      </c>
      <c r="M30" s="6" t="n">
        <v>-2635</v>
      </c>
    </row>
    <row r="31">
      <c r="A31" s="6" t="inlineStr">
        <is>
          <t>Accumulated losses</t>
        </is>
      </c>
      <c r="B31" s="6" t="n">
        <v>-30241</v>
      </c>
      <c r="C31" s="6" t="n">
        <v>-32514</v>
      </c>
      <c r="D31" s="6" t="n">
        <v>-34293</v>
      </c>
      <c r="E31" s="6" t="n">
        <v>-19577</v>
      </c>
      <c r="F31" s="6" t="n">
        <v>-15738</v>
      </c>
      <c r="G31" s="6" t="n">
        <v>-21420</v>
      </c>
      <c r="H31" s="6" t="n">
        <v>-22525</v>
      </c>
      <c r="I31" s="6" t="n">
        <v>-25181</v>
      </c>
      <c r="J31" s="6" t="n">
        <v>-24414</v>
      </c>
      <c r="K31" s="6" t="n">
        <v>-29924</v>
      </c>
      <c r="L31" s="6" t="n">
        <v>-38508</v>
      </c>
      <c r="M31" s="6" t="n">
        <v>-45214</v>
      </c>
    </row>
    <row r="32">
      <c r="A32" s="5" t="inlineStr">
        <is>
          <t>Total equity</t>
        </is>
      </c>
      <c r="B32" s="5" t="n">
        <v>70629</v>
      </c>
      <c r="C32" s="5" t="n">
        <v>68171</v>
      </c>
      <c r="D32" s="5" t="n">
        <v>65526</v>
      </c>
      <c r="E32" s="5" t="n">
        <v>75751</v>
      </c>
      <c r="F32" s="5" t="n">
        <v>82581</v>
      </c>
      <c r="G32" s="5" t="n">
        <v>82643</v>
      </c>
      <c r="H32" s="5" t="n">
        <v>80820</v>
      </c>
      <c r="I32" s="5" t="n">
        <v>75454</v>
      </c>
      <c r="J32" s="5" t="n">
        <v>77889</v>
      </c>
      <c r="K32" s="5" t="n">
        <v>71557</v>
      </c>
      <c r="L32" s="5" t="n">
        <v>60676</v>
      </c>
      <c r="M32" s="5" t="n">
        <v>54324</v>
      </c>
    </row>
    <row r="33">
      <c r="A33" s="5" t="inlineStr">
        <is>
          <t>Total liabilities and equity</t>
        </is>
      </c>
      <c r="B33" s="5" t="n">
        <v>328964</v>
      </c>
      <c r="C33" s="5" t="n">
        <v>291532</v>
      </c>
      <c r="D33" s="5" t="n">
        <v>254441</v>
      </c>
      <c r="E33" s="5" t="n">
        <v>452390</v>
      </c>
      <c r="F33" s="5" t="n">
        <v>496686</v>
      </c>
      <c r="G33" s="5" t="n">
        <v>485372</v>
      </c>
      <c r="H33" s="5" t="n">
        <v>466248</v>
      </c>
      <c r="I33" s="5" t="n">
        <v>575063</v>
      </c>
      <c r="J33" s="5" t="n">
        <v>490960</v>
      </c>
      <c r="K33" s="5" t="n">
        <v>527718</v>
      </c>
      <c r="L33" s="5" t="n">
        <v>441682</v>
      </c>
      <c r="M33" s="5" t="n">
        <v>365352</v>
      </c>
    </row>
    <row r="35" ht="220"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FY2020 (&amp; FY2019 restated comparative, used as primary column - see note): Annual Report and Financial Statements 2020, p.25 - https://find-and-update.company-information.service.gov.uk/company/05321714/filing-history/MzMyODY1ODY3N2FkaXF6a2N4/document?format=pdf&amp;download=0
FY2018 (&amp; FY2017 comparative, used as primary column): Annual Report and Financial Statements 2018, p.25 - https://find-and-update.company-information.service.gov.uk/company/05321714/filing-history/MzIzNTgyNTYxOWFkaXF6a2N4/document?format=pdf&amp;download=0
FY2017: Annual Report and Financial Statements 2017, p.25 (own primary column) - https://find-and-update.company-information.service.gov.uk/company/05321714/filing-history/MzIwMzc5MjgxOGFkaXF6a2N4/document?format=pdf&amp;download=0
FY2016 (&amp; FY2015 comparative, used as primary column): Annual Report and Financial Statements 2016, p.20 - https://find-and-update.company-information.service.gov.uk/company/05321714/filing-history/MzE3NDg0MjU5MGFkaXF6a2N4/document?format=pdf&amp;download=0
FY2014: Annual Report and Financial Statements 2014, p.17 - https://find-and-update.company-information.service.gov.uk/company/05321714/filing-history/MzEyMjYyNzE2M2FkaXF6a2N4/document?format=pdf&amp;download=0
PRESENTATION NOTE: FY2025/FY2024 (Annual Report 2025) split Property, Plant and Equipment and Right-of-use Assets, and Goodwill and Other intangible assets, into separate lines; FY2023 (Annual Report 2023) and FY2022/FY2021/FY2020/FY2019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HD-017 extension: FY2018-FY2014 predate IFRS 16 (adopted 1 January 2019) so have no Right-of-use Assets line at all - their 'Property and equipment' values are shown on this sheet's 'Property, Plant and Equipment' row (a pure-PPE figure, not combined with ROU, since none exists for those years). FY2016/FY2015 (Annual Report 2016) and FY2018 (Annual Report 2018) still separately disclose 'Financial investments - held to maturity'/'- Amortised cost' alongside '- available for sale'/'- FVOCI' - both map onto this sheet's existing Amortised Cost / FVOCI rows (the same underlying categories under IAS 39 and IFRS 9 respectively); FY2020/FY2019/FY2017/FY2014 disclose only the FVOCI/AFS category (no amortised-cost/HTM holdings those years - left blank, not zero, since the category is simply absent from the source balance sheet).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t>
        </is>
      </c>
      <c r="B5" s="6" t="n">
        <v>12676</v>
      </c>
      <c r="C5" s="6" t="n">
        <v>12402</v>
      </c>
      <c r="D5" s="6" t="n">
        <v>17701</v>
      </c>
      <c r="E5" s="6" t="n">
        <v>21817</v>
      </c>
      <c r="F5" s="6" t="n">
        <v>21793</v>
      </c>
      <c r="G5" s="6" t="n">
        <v>22036</v>
      </c>
      <c r="H5" s="6" t="n">
        <v>25094</v>
      </c>
      <c r="I5" s="6" t="n">
        <v>23532</v>
      </c>
      <c r="J5" s="6" t="n">
        <v>21034</v>
      </c>
      <c r="K5" s="6" t="n">
        <v>19038</v>
      </c>
      <c r="L5" s="6" t="n">
        <v>14664</v>
      </c>
      <c r="M5" s="6" t="n">
        <v>8221</v>
      </c>
    </row>
    <row r="6">
      <c r="A6" s="6" t="inlineStr">
        <is>
          <t>Interest expense and similar charges</t>
        </is>
      </c>
      <c r="B6" s="6" t="n">
        <v>-5587</v>
      </c>
      <c r="C6" s="6" t="n">
        <v>-6728</v>
      </c>
      <c r="D6" s="6" t="n">
        <v>-10927</v>
      </c>
      <c r="E6" s="6" t="n">
        <v>-6747</v>
      </c>
      <c r="F6" s="6" t="n">
        <v>-3212</v>
      </c>
      <c r="G6" s="6" t="n">
        <v>-4068</v>
      </c>
      <c r="H6" s="6" t="n">
        <v>-8425</v>
      </c>
      <c r="I6" s="6" t="n">
        <v>-6766</v>
      </c>
      <c r="J6" s="6" t="n">
        <v>-4586</v>
      </c>
      <c r="K6" s="6" t="n">
        <v>-3930</v>
      </c>
      <c r="L6" s="6" t="n">
        <v>-1683</v>
      </c>
      <c r="M6" s="6" t="n">
        <v>-1022</v>
      </c>
    </row>
    <row r="7">
      <c r="A7" s="5" t="inlineStr">
        <is>
          <t>Net interest income</t>
        </is>
      </c>
      <c r="B7" s="5" t="n">
        <v>7089</v>
      </c>
      <c r="C7" s="5" t="n">
        <v>5674</v>
      </c>
      <c r="D7" s="5" t="n">
        <v>6774</v>
      </c>
      <c r="E7" s="5" t="n">
        <v>15070</v>
      </c>
      <c r="F7" s="5" t="n">
        <v>18581</v>
      </c>
      <c r="G7" s="5" t="n">
        <v>17968</v>
      </c>
      <c r="H7" s="5" t="n">
        <v>16669</v>
      </c>
      <c r="I7" s="5" t="n">
        <v>16766</v>
      </c>
      <c r="J7" s="5" t="n">
        <v>16448</v>
      </c>
      <c r="K7" s="5" t="n">
        <v>15108</v>
      </c>
      <c r="L7" s="5" t="n">
        <v>12981</v>
      </c>
      <c r="M7" s="5" t="n">
        <v>7199</v>
      </c>
    </row>
    <row r="8">
      <c r="A8" s="6" t="inlineStr">
        <is>
          <t>Fee and commission income</t>
        </is>
      </c>
      <c r="B8" s="6" t="n">
        <v>3193</v>
      </c>
      <c r="C8" s="6" t="n">
        <v>3678</v>
      </c>
      <c r="D8" s="6" t="n">
        <v>3691</v>
      </c>
      <c r="E8" s="6" t="n">
        <v>3034</v>
      </c>
      <c r="F8" s="6" t="n">
        <v>3193</v>
      </c>
      <c r="G8" s="6" t="n">
        <v>2149</v>
      </c>
      <c r="H8" s="6" t="n">
        <v>1622</v>
      </c>
      <c r="I8" s="6" t="n">
        <v>2728</v>
      </c>
      <c r="J8" s="6" t="n">
        <v>2668</v>
      </c>
      <c r="K8" s="6" t="n">
        <v>3889</v>
      </c>
      <c r="L8" s="6" t="n">
        <v>3170</v>
      </c>
      <c r="M8" s="6" t="n">
        <v>5351</v>
      </c>
    </row>
    <row r="9">
      <c r="A9" s="6" t="inlineStr">
        <is>
          <t>Fee and commission expense</t>
        </is>
      </c>
      <c r="B9" s="6" t="n">
        <v>-958</v>
      </c>
      <c r="C9" s="6" t="n">
        <v>-1332</v>
      </c>
      <c r="D9" s="6" t="n">
        <v>-2532</v>
      </c>
      <c r="E9" s="6" t="n">
        <v>-1632</v>
      </c>
      <c r="F9" s="6" t="n">
        <v>-1526</v>
      </c>
      <c r="G9" s="6" t="n">
        <v>-2229</v>
      </c>
      <c r="H9" s="6" t="n">
        <v>-2107</v>
      </c>
      <c r="I9" s="6" t="n">
        <v>-2147</v>
      </c>
      <c r="J9" s="6" t="n">
        <v>-1653</v>
      </c>
      <c r="K9" s="6" t="n">
        <v>-1487</v>
      </c>
      <c r="L9" s="6" t="n">
        <v>-1310</v>
      </c>
      <c r="M9" s="6" t="n">
        <v>-241</v>
      </c>
    </row>
    <row r="10">
      <c r="A10" s="5" t="inlineStr">
        <is>
          <t>Net fee and commission income</t>
        </is>
      </c>
      <c r="B10" s="5" t="n">
        <v>2235</v>
      </c>
      <c r="C10" s="5" t="n">
        <v>2346</v>
      </c>
      <c r="D10" s="5" t="n">
        <v>1159</v>
      </c>
      <c r="E10" s="5" t="n">
        <v>1402</v>
      </c>
      <c r="F10" s="5" t="n">
        <v>1667</v>
      </c>
      <c r="G10" s="5" t="n">
        <v>-80</v>
      </c>
      <c r="H10" s="5" t="n">
        <v>-485</v>
      </c>
      <c r="I10" s="5" t="n">
        <v>581</v>
      </c>
      <c r="J10" s="5" t="n">
        <v>1015</v>
      </c>
      <c r="K10" s="5" t="n">
        <v>2402</v>
      </c>
      <c r="L10" s="5" t="n">
        <v>1860</v>
      </c>
      <c r="M10" s="5" t="n">
        <v>5110</v>
      </c>
    </row>
    <row r="11">
      <c r="A11" s="6" t="inlineStr">
        <is>
          <t>Net trading income/(expense)</t>
        </is>
      </c>
      <c r="B11" s="6" t="n">
        <v>716</v>
      </c>
      <c r="C11" s="6" t="n">
        <v>578</v>
      </c>
      <c r="D11" s="6" t="n">
        <v>-4039</v>
      </c>
      <c r="E11" s="6" t="n">
        <v>3000</v>
      </c>
      <c r="F11" s="6" t="n">
        <v>4298</v>
      </c>
      <c r="G11" s="6" t="n">
        <v>750</v>
      </c>
      <c r="H11" s="6" t="n">
        <v>4261</v>
      </c>
      <c r="I11" s="6" t="n">
        <v>105</v>
      </c>
      <c r="J11" s="6" t="n">
        <v>2898</v>
      </c>
      <c r="K11" s="6" t="n">
        <v>2530</v>
      </c>
      <c r="L11" s="6" t="n">
        <v>1065</v>
      </c>
      <c r="M11" s="6" t="n">
        <v>1487</v>
      </c>
    </row>
    <row r="12">
      <c r="A12" s="6" t="inlineStr">
        <is>
          <t>Other operating income</t>
        </is>
      </c>
      <c r="B12" s="6" t="n"/>
      <c r="C12" s="6" t="n"/>
      <c r="D12" s="6" t="n">
        <v>284</v>
      </c>
      <c r="E12" s="6" t="n">
        <v>33</v>
      </c>
      <c r="F12" s="6" t="n">
        <v>51</v>
      </c>
      <c r="G12" s="6" t="n">
        <v>69</v>
      </c>
      <c r="H12" s="6" t="n">
        <v>979</v>
      </c>
      <c r="I12" s="6" t="n">
        <v>16</v>
      </c>
      <c r="J12" s="6" t="n">
        <v>-31</v>
      </c>
      <c r="K12" s="6" t="n">
        <v>538</v>
      </c>
      <c r="L12" s="6" t="n">
        <v>258</v>
      </c>
      <c r="M12" s="6" t="n">
        <v>352</v>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row>
    <row r="14">
      <c r="A14" s="5" t="inlineStr">
        <is>
          <t>Operating expenses</t>
        </is>
      </c>
      <c r="B14" s="6" t="n"/>
      <c r="C14" s="6" t="n"/>
      <c r="D14" s="6" t="n"/>
      <c r="E14" s="6" t="n"/>
      <c r="F14" s="6" t="n"/>
      <c r="G14" s="6" t="n"/>
      <c r="H14" s="6" t="n"/>
      <c r="I14" s="6" t="n"/>
      <c r="J14" s="6" t="n"/>
      <c r="K14" s="6" t="n"/>
      <c r="L14" s="6" t="n"/>
      <c r="M14" s="6" t="n"/>
    </row>
    <row r="15">
      <c r="A15" s="6" t="inlineStr">
        <is>
          <t>Personnel expenses</t>
        </is>
      </c>
      <c r="B15" s="6" t="n">
        <v>-7191</v>
      </c>
      <c r="C15" s="6" t="n">
        <v>-7054</v>
      </c>
      <c r="D15" s="6" t="n">
        <v>-8648</v>
      </c>
      <c r="E15" s="6" t="n">
        <v>-10282</v>
      </c>
      <c r="F15" s="6" t="n">
        <v>-8982</v>
      </c>
      <c r="G15" s="6" t="n">
        <v>-8236</v>
      </c>
      <c r="H15" s="6" t="n">
        <v>-7082</v>
      </c>
      <c r="I15" s="6" t="n">
        <v>-6201</v>
      </c>
      <c r="J15" s="6" t="n">
        <v>-6163</v>
      </c>
      <c r="K15" s="6" t="n">
        <v>-5983</v>
      </c>
      <c r="L15" s="6" t="n">
        <v>-4945</v>
      </c>
      <c r="M15" s="6" t="n">
        <v>-4268</v>
      </c>
    </row>
    <row r="16">
      <c r="A16" s="6" t="inlineStr">
        <is>
          <t>Redundancy cost</t>
        </is>
      </c>
      <c r="B16" s="6" t="n"/>
      <c r="C16" s="6" t="n"/>
      <c r="D16" s="6" t="n">
        <v>-765</v>
      </c>
      <c r="E16" s="6" t="n"/>
      <c r="F16" s="6" t="n"/>
      <c r="G16" s="6" t="n"/>
      <c r="H16" s="6" t="n"/>
      <c r="I16" s="6" t="n"/>
      <c r="J16" s="6" t="n"/>
      <c r="K16" s="6" t="n"/>
      <c r="L16" s="6" t="n"/>
      <c r="M16" s="6" t="n"/>
    </row>
    <row r="17">
      <c r="A17" s="6" t="inlineStr">
        <is>
          <t>Depreciation on property, plant and equipment</t>
        </is>
      </c>
      <c r="B17" s="6" t="n">
        <v>-180</v>
      </c>
      <c r="C17" s="6" t="n">
        <v>-111</v>
      </c>
      <c r="D17" s="6" t="n"/>
      <c r="E17" s="6" t="n"/>
      <c r="F17" s="6" t="n"/>
      <c r="G17" s="6" t="n"/>
      <c r="H17" s="6" t="n"/>
      <c r="I17" s="6" t="n">
        <v>-172</v>
      </c>
      <c r="J17" s="6" t="n">
        <v>-111</v>
      </c>
      <c r="K17" s="6" t="n">
        <v>-71</v>
      </c>
      <c r="L17" s="6" t="n">
        <v>-119</v>
      </c>
      <c r="M17" s="6" t="n">
        <v>-249</v>
      </c>
    </row>
    <row r="18">
      <c r="A18" s="6" t="inlineStr">
        <is>
          <t>Depreciation on right-of-use assets</t>
        </is>
      </c>
      <c r="B18" s="6" t="n">
        <v>-211</v>
      </c>
      <c r="C18" s="6" t="n">
        <v>-658</v>
      </c>
      <c r="D18" s="6" t="n"/>
      <c r="E18" s="6" t="n"/>
      <c r="F18" s="6" t="n"/>
      <c r="G18" s="6" t="n"/>
      <c r="H18" s="6" t="n"/>
      <c r="I18" s="6" t="n"/>
      <c r="J18" s="6" t="n"/>
      <c r="K18" s="6" t="n"/>
      <c r="L18" s="6" t="n"/>
      <c r="M18" s="6" t="n"/>
    </row>
    <row r="19">
      <c r="A19" s="6" t="inlineStr">
        <is>
          <t>Depreciation of property, plant and equipment; and right-of-use assets</t>
        </is>
      </c>
      <c r="B19" s="6" t="n"/>
      <c r="C19" s="6" t="n"/>
      <c r="D19" s="6" t="n">
        <v>-976</v>
      </c>
      <c r="E19" s="6" t="n">
        <v>-1244</v>
      </c>
      <c r="F19" s="6" t="n">
        <v>-1236</v>
      </c>
      <c r="G19" s="6" t="n">
        <v>-1244</v>
      </c>
      <c r="H19" s="6" t="n">
        <v>-809</v>
      </c>
      <c r="I19" s="6" t="n"/>
      <c r="J19" s="6" t="n"/>
      <c r="K19" s="6" t="n"/>
      <c r="L19" s="6" t="n"/>
      <c r="M19" s="6" t="n"/>
    </row>
    <row r="20">
      <c r="A20" s="6" t="inlineStr">
        <is>
          <t>Amortisation of intangible assets</t>
        </is>
      </c>
      <c r="B20" s="6" t="n">
        <v>-826</v>
      </c>
      <c r="C20" s="6" t="n">
        <v>-730</v>
      </c>
      <c r="D20" s="6" t="n">
        <v>-459</v>
      </c>
      <c r="E20" s="6" t="n">
        <v>-461</v>
      </c>
      <c r="F20" s="6" t="n">
        <v>-653</v>
      </c>
      <c r="G20" s="6" t="n">
        <v>-852</v>
      </c>
      <c r="H20" s="6" t="n">
        <v>-761</v>
      </c>
      <c r="I20" s="6" t="n">
        <v>-707</v>
      </c>
      <c r="J20" s="6" t="n">
        <v>-508</v>
      </c>
      <c r="K20" s="6" t="n">
        <v>-135</v>
      </c>
      <c r="L20" s="6" t="n">
        <v>-30</v>
      </c>
      <c r="M20" s="6" t="n">
        <v>0</v>
      </c>
    </row>
    <row r="21">
      <c r="A21" s="6" t="inlineStr">
        <is>
          <t>Other operating expenses</t>
        </is>
      </c>
      <c r="B21" s="6" t="n">
        <v>-2251</v>
      </c>
      <c r="C21" s="6" t="n">
        <v>-6351</v>
      </c>
      <c r="D21" s="6" t="n">
        <v>-6814</v>
      </c>
      <c r="E21" s="6" t="n">
        <v>-7471</v>
      </c>
      <c r="F21" s="6" t="n">
        <v>-7018</v>
      </c>
      <c r="G21" s="6" t="n">
        <v>-6519</v>
      </c>
      <c r="H21" s="6" t="n">
        <v>-8025</v>
      </c>
      <c r="I21" s="6" t="n">
        <v>-7820</v>
      </c>
      <c r="J21" s="6" t="n">
        <v>-5231</v>
      </c>
      <c r="K21" s="6" t="n">
        <v>-4443</v>
      </c>
      <c r="L21" s="6" t="n">
        <v>-5408</v>
      </c>
      <c r="M21" s="6" t="n">
        <v>-3442</v>
      </c>
    </row>
    <row r="22">
      <c r="A22" s="5" t="inlineStr">
        <is>
          <t>Total operating expenses</t>
        </is>
      </c>
      <c r="B22" s="5" t="n">
        <v>-10659</v>
      </c>
      <c r="C22" s="5" t="n">
        <v>-14904</v>
      </c>
      <c r="D22" s="5" t="n">
        <v>-17662</v>
      </c>
      <c r="E22" s="5" t="n">
        <v>-19458</v>
      </c>
      <c r="F22" s="5" t="n">
        <v>-17889</v>
      </c>
      <c r="G22" s="5" t="n">
        <v>-16851</v>
      </c>
      <c r="H22" s="5" t="n">
        <v>-16677</v>
      </c>
      <c r="I22" s="5" t="n">
        <v>-14900</v>
      </c>
      <c r="J22" s="5" t="n">
        <v>-12012</v>
      </c>
      <c r="K22" s="5" t="n">
        <v>-10632</v>
      </c>
      <c r="L22" s="5" t="n">
        <v>-10502</v>
      </c>
      <c r="M22" s="5" t="n">
        <v>-7959</v>
      </c>
    </row>
    <row r="23">
      <c r="A23" s="6" t="inlineStr">
        <is>
          <t>Net impairment gain/(losses)</t>
        </is>
      </c>
      <c r="B23" s="6" t="n">
        <v>3723</v>
      </c>
      <c r="C23" s="6" t="n">
        <v>3482</v>
      </c>
      <c r="D23" s="6" t="n">
        <v>-420</v>
      </c>
      <c r="E23" s="6" t="n">
        <v>-5325</v>
      </c>
      <c r="F23" s="6" t="n">
        <v>-1648</v>
      </c>
      <c r="G23" s="6" t="n">
        <v>-1759</v>
      </c>
      <c r="H23" s="6" t="n">
        <v>-865</v>
      </c>
      <c r="I23" s="6" t="n">
        <v>-104</v>
      </c>
      <c r="J23" s="6" t="n">
        <v>-1510</v>
      </c>
      <c r="K23" s="6" t="n">
        <v>-886</v>
      </c>
      <c r="L23" s="6" t="n">
        <v>1143</v>
      </c>
      <c r="M23" s="6" t="n">
        <v>-1361</v>
      </c>
    </row>
    <row r="24">
      <c r="A24" s="5" t="inlineStr">
        <is>
          <t>Profit/(Loss) before tax</t>
        </is>
      </c>
      <c r="B24" s="5" t="n">
        <v>3104</v>
      </c>
      <c r="C24" s="5" t="n">
        <v>-2824</v>
      </c>
      <c r="D24" s="5" t="n">
        <v>-13904</v>
      </c>
      <c r="E24" s="5" t="n">
        <v>-5278</v>
      </c>
      <c r="F24" s="5" t="n">
        <v>5060</v>
      </c>
      <c r="G24" s="5" t="n">
        <v>97</v>
      </c>
      <c r="H24" s="5" t="n">
        <v>3882</v>
      </c>
      <c r="I24" s="5" t="n">
        <v>2464</v>
      </c>
      <c r="J24" s="5" t="n">
        <v>6808</v>
      </c>
      <c r="K24" s="5" t="n">
        <v>9060</v>
      </c>
      <c r="L24" s="5" t="n">
        <v>6805</v>
      </c>
      <c r="M24" s="5" t="n">
        <v>4828</v>
      </c>
    </row>
    <row r="25">
      <c r="A25" s="6" t="inlineStr">
        <is>
          <t>Taxation credit/(expense)</t>
        </is>
      </c>
      <c r="B25" s="6" t="n">
        <v>-831</v>
      </c>
      <c r="C25" s="6" t="n">
        <v>4603</v>
      </c>
      <c r="D25" s="6" t="n">
        <v>-95</v>
      </c>
      <c r="E25" s="6" t="n">
        <v>1439</v>
      </c>
      <c r="F25" s="6" t="n">
        <v>622</v>
      </c>
      <c r="G25" s="6" t="n">
        <v>1000</v>
      </c>
      <c r="H25" s="6" t="n">
        <v>-1260</v>
      </c>
      <c r="I25" s="6" t="n">
        <v>-295</v>
      </c>
      <c r="J25" s="6" t="n">
        <v>-1298</v>
      </c>
      <c r="K25" s="6" t="n">
        <v>-476</v>
      </c>
      <c r="L25" s="6" t="n">
        <v>990</v>
      </c>
      <c r="M25" s="6" t="n">
        <v>880</v>
      </c>
    </row>
    <row r="26">
      <c r="A26" s="6" t="inlineStr">
        <is>
          <t>Profit from discontinued activity</t>
        </is>
      </c>
      <c r="B26" s="6" t="n"/>
      <c r="C26" s="6" t="n"/>
      <c r="D26" s="6" t="n"/>
      <c r="E26" s="6" t="n"/>
      <c r="F26" s="6" t="n"/>
      <c r="G26" s="6" t="n"/>
      <c r="H26" s="6" t="n"/>
      <c r="I26" s="6" t="n"/>
      <c r="J26" s="6" t="n"/>
      <c r="K26" s="6" t="n"/>
      <c r="L26" s="6" t="n"/>
      <c r="M26" s="6" t="n">
        <v>0</v>
      </c>
    </row>
    <row r="27">
      <c r="A27" s="5" t="inlineStr">
        <is>
          <t>Profit/(Loss) for the year</t>
        </is>
      </c>
      <c r="B27" s="5" t="n">
        <v>2273</v>
      </c>
      <c r="C27" s="5" t="n">
        <v>1779</v>
      </c>
      <c r="D27" s="5" t="n">
        <v>-13999</v>
      </c>
      <c r="E27" s="5" t="n">
        <v>-3839</v>
      </c>
      <c r="F27" s="5" t="n">
        <v>5682</v>
      </c>
      <c r="G27" s="5" t="n">
        <v>1097</v>
      </c>
      <c r="H27" s="5" t="n">
        <v>2622</v>
      </c>
      <c r="I27" s="5" t="n">
        <v>2169</v>
      </c>
      <c r="J27" s="5" t="n">
        <v>5510</v>
      </c>
      <c r="K27" s="5" t="n">
        <v>8584</v>
      </c>
      <c r="L27" s="5" t="n">
        <v>7795</v>
      </c>
      <c r="M27" s="5" t="n">
        <v>5708</v>
      </c>
    </row>
    <row r="29" ht="220" customHeight="1">
      <c r="A29"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FY2020 (&amp; FY2019 restated comparative, used as primary column - see note): Annual Report and Financial Statements 2020, p.30 - https://find-and-update.company-information.service.gov.uk/company/05321714/filing-history/MzMyODY1ODY3N2FkaXF6a2N4/document?format=pdf&amp;download=0
FY2018: Annual Report and Financial Statements 2018, p.23 - https://find-and-update.company-information.service.gov.uk/company/05321714/filing-history/MzIzNTgyNTYxOWFkaXF6a2N4/document?format=pdf&amp;download=0
FY2017 (own primary column, not the FY2018 Annual Report's restated comparative - see note): Annual Report and Financial Statements 2017, p.23 - https://find-and-update.company-information.service.gov.uk/company/05321714/filing-history/MzIwMzc5MjgxOGFkaXF6a2N4/document?format=pdf&amp;download=0
FY2016 (&amp; FY2015 comparative, used as primary column): Annual Report and Financial Statements 2016, p.18 - https://find-and-update.company-information.service.gov.uk/company/05321714/filing-history/MzE3NDg0MjU5MGFkaXF6a2N4/document?format=pdf&amp;download=0
FY2014: Annual Report and Financial Statements 2014, p.15 - https://find-and-update.company-information.service.gov.uk/company/05321714/filing-history/MzEyMjYyNzE2M2FkaXF6a2N4/document?format=pdf&amp;download=0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HD-017 extension: FY2018-FY2014 predate IFRS 16 (adopted 1 January 2019), so depreciation is pure 'Depreciation on property, plant and equipment' with no right-of-use component (shown on that row, not the combined FY2023-2019 row). FY2014's own Statement of Profit or Loss has a unique 'Profit from discontinued activity' line (GBP0k for FY2014 itself; its FY2013 comparative of GBP1,197k is not carried into this workbook, since FY2013 is outside this project's FY2014 floor for this entity). FY2017 is shown here using the FY2017 Annual Report's own primary figures (Net fee and commission income GBP1,015k, Profit for the year GBP5,510k) rather than the FY2018 Annual Report's restated FY2017 comparative (Net fee and commission income GBP307k, Profit for the year GBP4,933k) - both are genuine, disclosed figures; see the Statement of Changes in Equity sheet for the full restatement note.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2014 - 31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2014</t>
        </is>
      </c>
      <c r="B4" s="5" t="n">
        <v>102173</v>
      </c>
      <c r="C4" s="5" t="n">
        <v>-848</v>
      </c>
      <c r="D4" s="5" t="n">
        <v>-50922</v>
      </c>
      <c r="E4" s="5" t="n">
        <v>50403</v>
      </c>
    </row>
    <row r="5">
      <c r="A5" s="6" t="inlineStr">
        <is>
          <t>Profit for the year</t>
        </is>
      </c>
      <c r="B5" s="6" t="n"/>
      <c r="C5" s="6" t="n"/>
      <c r="D5" s="6" t="n">
        <v>5708</v>
      </c>
      <c r="E5" s="6" t="n">
        <v>5708</v>
      </c>
    </row>
    <row r="6">
      <c r="A6" s="6" t="inlineStr">
        <is>
          <t>Other comprehensive income</t>
        </is>
      </c>
      <c r="B6" s="6" t="n"/>
      <c r="C6" s="6" t="n">
        <v>-1787</v>
      </c>
      <c r="D6" s="6" t="n"/>
      <c r="E6" s="6" t="n">
        <v>-1787</v>
      </c>
    </row>
    <row r="7">
      <c r="A7" s="5" t="inlineStr">
        <is>
          <t>Balance as at 31 December 2014 / 1 January 2015</t>
        </is>
      </c>
      <c r="B7" s="5" t="n">
        <v>102173</v>
      </c>
      <c r="C7" s="5" t="n">
        <v>-2635</v>
      </c>
      <c r="D7" s="5" t="n">
        <v>-45214</v>
      </c>
      <c r="E7" s="5" t="n">
        <v>54324</v>
      </c>
    </row>
    <row r="8">
      <c r="A8" s="6" t="inlineStr">
        <is>
          <t>Profit for the year</t>
        </is>
      </c>
      <c r="B8" s="6" t="n"/>
      <c r="C8" s="6" t="n"/>
      <c r="D8" s="6" t="n">
        <v>7795</v>
      </c>
      <c r="E8" s="6" t="n">
        <v>7795</v>
      </c>
    </row>
    <row r="9">
      <c r="A9" s="6" t="inlineStr">
        <is>
          <t>Other comprehensive income</t>
        </is>
      </c>
      <c r="B9" s="6" t="n"/>
      <c r="C9" s="6" t="n">
        <v>-354</v>
      </c>
      <c r="D9" s="6" t="n"/>
      <c r="E9" s="6" t="n">
        <v>-354</v>
      </c>
    </row>
    <row r="10">
      <c r="A10" s="5" t="inlineStr">
        <is>
          <t>Balance as at 31 December 2015 / 1 January 2016</t>
        </is>
      </c>
      <c r="B10" s="5" t="n">
        <v>102173</v>
      </c>
      <c r="C10" s="5" t="n">
        <v>-2989</v>
      </c>
      <c r="D10" s="5" t="n">
        <v>-38508</v>
      </c>
      <c r="E10" s="5" t="n">
        <v>60676</v>
      </c>
    </row>
    <row r="11">
      <c r="A11" s="6" t="inlineStr">
        <is>
          <t>Profit for the year</t>
        </is>
      </c>
      <c r="B11" s="6" t="n"/>
      <c r="C11" s="6" t="n"/>
      <c r="D11" s="6" t="n">
        <v>8584</v>
      </c>
      <c r="E11" s="6" t="n">
        <v>8584</v>
      </c>
    </row>
    <row r="12">
      <c r="A12" s="6" t="inlineStr">
        <is>
          <t>Other comprehensive income</t>
        </is>
      </c>
      <c r="B12" s="6" t="n"/>
      <c r="C12" s="6" t="n">
        <v>2297</v>
      </c>
      <c r="D12" s="6" t="n"/>
      <c r="E12" s="6" t="n">
        <v>2297</v>
      </c>
    </row>
    <row r="13">
      <c r="A13" s="5" t="inlineStr">
        <is>
          <t>Balance as at 31 December 2016 / 1 January 2017 (as originally reported)</t>
        </is>
      </c>
      <c r="B13" s="5" t="n">
        <v>102173</v>
      </c>
      <c r="C13" s="5" t="n">
        <v>-692</v>
      </c>
      <c r="D13" s="5" t="n">
        <v>-29924</v>
      </c>
      <c r="E13" s="5" t="n">
        <v>71557</v>
      </c>
    </row>
    <row r="14">
      <c r="A14" s="6" t="inlineStr">
        <is>
          <t>Impact of correction of errors (FY2018 Annual Report restatement)</t>
        </is>
      </c>
      <c r="B14" s="6" t="n"/>
      <c r="C14" s="6" t="n"/>
      <c r="D14" s="6" t="n">
        <v>-879</v>
      </c>
      <c r="E14" s="6" t="n">
        <v>-879</v>
      </c>
    </row>
    <row r="15">
      <c r="A15" s="5" t="inlineStr">
        <is>
          <t>Balance as at 1 January 2017 (restated - see note)</t>
        </is>
      </c>
      <c r="B15" s="5" t="n">
        <v>102173</v>
      </c>
      <c r="C15" s="5" t="n">
        <v>-692</v>
      </c>
      <c r="D15" s="5" t="n">
        <v>-30803</v>
      </c>
      <c r="E15" s="5" t="n">
        <v>70678</v>
      </c>
    </row>
    <row r="16">
      <c r="A16" s="6" t="inlineStr">
        <is>
          <t>Profit for the year (as originally reported)</t>
        </is>
      </c>
      <c r="B16" s="6" t="n"/>
      <c r="C16" s="6" t="n"/>
      <c r="D16" s="6" t="n">
        <v>5510</v>
      </c>
      <c r="E16" s="6" t="n">
        <v>5510</v>
      </c>
    </row>
    <row r="17">
      <c r="A17" s="6" t="inlineStr">
        <is>
          <t>Other comprehensive income</t>
        </is>
      </c>
      <c r="B17" s="6" t="n"/>
      <c r="C17" s="6" t="n">
        <v>822</v>
      </c>
      <c r="D17" s="6" t="n"/>
      <c r="E17" s="6" t="n">
        <v>822</v>
      </c>
    </row>
    <row r="18">
      <c r="A18" s="5" t="inlineStr">
        <is>
          <t>Balance as at 31 December 2017 (as originally reported)</t>
        </is>
      </c>
      <c r="B18" s="5" t="n">
        <v>102173</v>
      </c>
      <c r="C18" s="5" t="n">
        <v>130</v>
      </c>
      <c r="D18" s="5" t="n">
        <v>-24414</v>
      </c>
      <c r="E18" s="5" t="n">
        <v>77889</v>
      </c>
    </row>
    <row r="19">
      <c r="A19" s="6" t="inlineStr">
        <is>
          <t>Impact of correction of errors (FY2018 Annual Report restatement)</t>
        </is>
      </c>
      <c r="B19" s="6" t="n"/>
      <c r="C19" s="6" t="n"/>
      <c r="D19" s="6" t="n">
        <v>-577</v>
      </c>
      <c r="E19" s="6" t="n">
        <v>-577</v>
      </c>
    </row>
    <row r="20">
      <c r="A20" s="5" t="inlineStr">
        <is>
          <t>Balance as at 1 January 2018 (restated - see note)</t>
        </is>
      </c>
      <c r="B20" s="5" t="n">
        <v>102173</v>
      </c>
      <c r="C20" s="5" t="n">
        <v>130</v>
      </c>
      <c r="D20" s="5" t="n">
        <v>-25869</v>
      </c>
      <c r="E20" s="5" t="n">
        <v>76434</v>
      </c>
    </row>
    <row r="21">
      <c r="A21" s="6" t="inlineStr">
        <is>
          <t>Profit for the year</t>
        </is>
      </c>
      <c r="B21" s="6" t="n"/>
      <c r="C21" s="6" t="n"/>
      <c r="D21" s="6" t="n">
        <v>2169</v>
      </c>
      <c r="E21" s="6" t="n">
        <v>2169</v>
      </c>
    </row>
    <row r="22">
      <c r="A22" s="6" t="inlineStr">
        <is>
          <t>Other comprehensive income</t>
        </is>
      </c>
      <c r="B22" s="6" t="n"/>
      <c r="C22" s="6" t="n">
        <v>-1668</v>
      </c>
      <c r="D22" s="6" t="n"/>
      <c r="E22" s="6" t="n">
        <v>-1668</v>
      </c>
    </row>
    <row r="23">
      <c r="A23" s="5" t="inlineStr">
        <is>
          <t>Balance as at 31 December 2018 / 1 January 2019 (as originally reported)</t>
        </is>
      </c>
      <c r="B23" s="5" t="n">
        <v>102173</v>
      </c>
      <c r="C23" s="5" t="n">
        <v>-1538</v>
      </c>
      <c r="D23" s="5" t="n">
        <v>-25181</v>
      </c>
      <c r="E23" s="5" t="n">
        <v>75454</v>
      </c>
    </row>
    <row r="24">
      <c r="A24" s="6" t="inlineStr">
        <is>
          <t>Impact of correction of errors (FY2020 Annual Report restatement)</t>
        </is>
      </c>
      <c r="B24" s="6" t="n"/>
      <c r="C24" s="6" t="n"/>
      <c r="D24" s="6" t="n">
        <v>34</v>
      </c>
      <c r="E24" s="6" t="n">
        <v>34</v>
      </c>
    </row>
    <row r="25">
      <c r="A25" s="5" t="inlineStr">
        <is>
          <t>Balance as at 1 January 2019 (restated - see note)</t>
        </is>
      </c>
      <c r="B25" s="5" t="n">
        <v>102173</v>
      </c>
      <c r="C25" s="5" t="n">
        <v>-1538</v>
      </c>
      <c r="D25" s="5" t="n">
        <v>-25147</v>
      </c>
      <c r="E25" s="5" t="n">
        <v>75488</v>
      </c>
    </row>
    <row r="26">
      <c r="A26" s="6" t="inlineStr">
        <is>
          <t>Profit for the year (as originally reported)</t>
        </is>
      </c>
      <c r="B26" s="6" t="n"/>
      <c r="C26" s="6" t="n"/>
      <c r="D26" s="6" t="n">
        <v>2852</v>
      </c>
      <c r="E26" s="6" t="n">
        <v>2852</v>
      </c>
    </row>
    <row r="27">
      <c r="A27" s="6" t="inlineStr">
        <is>
          <t>Impact of correction of errors (FY2020 Annual Report restatement)</t>
        </is>
      </c>
      <c r="B27" s="6" t="n"/>
      <c r="C27" s="6" t="n"/>
      <c r="D27" s="6" t="n">
        <v>-230</v>
      </c>
      <c r="E27" s="6" t="n">
        <v>-230</v>
      </c>
    </row>
    <row r="28">
      <c r="A28" s="6" t="inlineStr">
        <is>
          <t>Other comprehensive income</t>
        </is>
      </c>
      <c r="B28" s="6" t="n"/>
      <c r="C28" s="6" t="n">
        <v>2710</v>
      </c>
      <c r="D28" s="6" t="n"/>
      <c r="E28" s="6" t="n">
        <v>2710</v>
      </c>
    </row>
    <row r="29">
      <c r="A29" s="5" t="inlineStr">
        <is>
          <t>Balance as at 31 December 2019 / 1 January 2020</t>
        </is>
      </c>
      <c r="B29" s="5" t="n">
        <v>102173</v>
      </c>
      <c r="C29" s="5" t="n">
        <v>1172</v>
      </c>
      <c r="D29" s="5" t="n">
        <v>-22525</v>
      </c>
      <c r="E29" s="5" t="n">
        <v>80820</v>
      </c>
    </row>
    <row r="30">
      <c r="A30" s="6" t="inlineStr">
        <is>
          <t>Profit for the year</t>
        </is>
      </c>
      <c r="B30" s="6" t="n"/>
      <c r="C30" s="6" t="n"/>
      <c r="D30" s="6" t="n">
        <v>1097</v>
      </c>
      <c r="E30" s="6" t="n">
        <v>1097</v>
      </c>
    </row>
    <row r="31">
      <c r="A31" s="6" t="inlineStr">
        <is>
          <t>Impact of correction of errors (opening deferred tax adjustment)</t>
        </is>
      </c>
      <c r="B31" s="6" t="n"/>
      <c r="C31" s="6" t="n"/>
      <c r="D31" s="6" t="n">
        <v>8</v>
      </c>
      <c r="E31" s="6" t="n">
        <v>8</v>
      </c>
    </row>
    <row r="32">
      <c r="A32" s="6" t="inlineStr">
        <is>
          <t>Other comprehensive income</t>
        </is>
      </c>
      <c r="B32" s="6" t="n"/>
      <c r="C32" s="6" t="n">
        <v>718</v>
      </c>
      <c r="D32" s="6" t="n"/>
      <c r="E32" s="6" t="n">
        <v>718</v>
      </c>
    </row>
    <row r="33">
      <c r="A33" s="5" t="inlineStr">
        <is>
          <t>Balance as at 31 December 2020</t>
        </is>
      </c>
      <c r="B33" s="5" t="n">
        <v>102173</v>
      </c>
      <c r="C33" s="5" t="n">
        <v>1890</v>
      </c>
      <c r="D33" s="5" t="n">
        <v>-21420</v>
      </c>
      <c r="E33" s="5" t="n">
        <v>82643</v>
      </c>
    </row>
    <row r="34">
      <c r="A34" s="5" t="inlineStr">
        <is>
          <t>Balance as at 1 January 2021</t>
        </is>
      </c>
      <c r="B34" s="5" t="n">
        <v>102173</v>
      </c>
      <c r="C34" s="5" t="n">
        <v>1625</v>
      </c>
      <c r="D34" s="5" t="n">
        <v>-21420</v>
      </c>
      <c r="E34" s="5" t="n">
        <v>82378</v>
      </c>
    </row>
    <row r="35">
      <c r="A35" s="6" t="inlineStr">
        <is>
          <t>Profit for the year</t>
        </is>
      </c>
      <c r="B35" s="6" t="n"/>
      <c r="C35" s="6" t="n"/>
      <c r="D35" s="6" t="n">
        <v>5682</v>
      </c>
      <c r="E35" s="6" t="n">
        <v>5682</v>
      </c>
    </row>
    <row r="36">
      <c r="A36" s="6" t="inlineStr">
        <is>
          <t>Other comprehensive income</t>
        </is>
      </c>
      <c r="B36" s="6" t="n"/>
      <c r="C36" s="6" t="n">
        <v>-5479</v>
      </c>
      <c r="D36" s="6" t="n"/>
      <c r="E36" s="6" t="n">
        <v>-5479</v>
      </c>
    </row>
    <row r="37">
      <c r="A37" s="5" t="inlineStr">
        <is>
          <t>Balance as at 31 December 2021</t>
        </is>
      </c>
      <c r="B37" s="5" t="n">
        <v>102173</v>
      </c>
      <c r="C37" s="5" t="n">
        <v>-3854</v>
      </c>
      <c r="D37" s="5" t="n">
        <v>-15738</v>
      </c>
      <c r="E37" s="5" t="n">
        <v>82581</v>
      </c>
    </row>
    <row r="38">
      <c r="A38" s="5" t="inlineStr">
        <is>
          <t>Balance as at 1 January 2022</t>
        </is>
      </c>
      <c r="B38" s="5" t="n">
        <v>102173</v>
      </c>
      <c r="C38" s="5" t="n">
        <v>-3854</v>
      </c>
      <c r="D38" s="5" t="n">
        <v>-15738</v>
      </c>
      <c r="E38" s="5" t="n">
        <v>82581</v>
      </c>
    </row>
    <row r="39">
      <c r="A39" s="6" t="inlineStr">
        <is>
          <t>Loss for the year</t>
        </is>
      </c>
      <c r="B39" s="6" t="n"/>
      <c r="C39" s="6" t="n"/>
      <c r="D39" s="6" t="n">
        <v>-3839</v>
      </c>
      <c r="E39" s="6" t="n">
        <v>-3839</v>
      </c>
    </row>
    <row r="40">
      <c r="A40" s="6" t="inlineStr">
        <is>
          <t>Other comprehensive income</t>
        </is>
      </c>
      <c r="B40" s="6" t="n"/>
      <c r="C40" s="6" t="n">
        <v>-2991</v>
      </c>
      <c r="D40" s="6" t="n"/>
      <c r="E40" s="6" t="n">
        <v>-2991</v>
      </c>
    </row>
    <row r="41">
      <c r="A41" s="5" t="inlineStr">
        <is>
          <t>Balance as at 31 December 2022 (as originally reported)</t>
        </is>
      </c>
      <c r="B41" s="5" t="n">
        <v>102173</v>
      </c>
      <c r="C41" s="5" t="n">
        <v>-6845</v>
      </c>
      <c r="D41" s="5" t="n">
        <v>-19577</v>
      </c>
      <c r="E41" s="5" t="n">
        <v>75751</v>
      </c>
    </row>
    <row r="42">
      <c r="A42" s="5" t="inlineStr">
        <is>
          <t>Balance as at 1 January 2023 (restated - see note)</t>
        </is>
      </c>
      <c r="B42" s="5" t="n">
        <v>102173</v>
      </c>
      <c r="C42" s="5" t="n">
        <v>-6845</v>
      </c>
      <c r="D42" s="5" t="n">
        <v>-20294</v>
      </c>
      <c r="E42" s="5" t="n">
        <v>75034</v>
      </c>
    </row>
    <row r="43">
      <c r="A43" s="6" t="inlineStr">
        <is>
          <t>Loss for the year</t>
        </is>
      </c>
      <c r="B43" s="6" t="n"/>
      <c r="C43" s="6" t="n"/>
      <c r="D43" s="6" t="n">
        <v>-13999</v>
      </c>
      <c r="E43" s="6" t="n">
        <v>-13999</v>
      </c>
    </row>
    <row r="44">
      <c r="A44" s="6" t="inlineStr">
        <is>
          <t>Other comprehensive income</t>
        </is>
      </c>
      <c r="B44" s="6" t="n"/>
      <c r="C44" s="6" t="n">
        <v>4491</v>
      </c>
      <c r="D44" s="6" t="n"/>
      <c r="E44" s="6" t="n">
        <v>4491</v>
      </c>
    </row>
    <row r="45">
      <c r="A45" s="5" t="inlineStr">
        <is>
          <t>Balance as at 31 December 2023</t>
        </is>
      </c>
      <c r="B45" s="5" t="n">
        <v>102173</v>
      </c>
      <c r="C45" s="5" t="n">
        <v>-2354</v>
      </c>
      <c r="D45" s="5" t="n">
        <v>-34293</v>
      </c>
      <c r="E45" s="5" t="n">
        <v>65526</v>
      </c>
    </row>
    <row r="46">
      <c r="A46" s="5" t="inlineStr">
        <is>
          <t>Balance as at 1 January 2024</t>
        </is>
      </c>
      <c r="B46" s="5" t="n">
        <v>102173</v>
      </c>
      <c r="C46" s="5" t="n">
        <v>-2354</v>
      </c>
      <c r="D46" s="5" t="n">
        <v>-34293</v>
      </c>
      <c r="E46" s="5" t="n">
        <v>65526</v>
      </c>
    </row>
    <row r="47">
      <c r="A47" s="6" t="inlineStr">
        <is>
          <t>Profit for the year</t>
        </is>
      </c>
      <c r="B47" s="6" t="n"/>
      <c r="C47" s="6" t="n"/>
      <c r="D47" s="6" t="n">
        <v>1779</v>
      </c>
      <c r="E47" s="6" t="n">
        <v>1779</v>
      </c>
    </row>
    <row r="48">
      <c r="A48" s="6" t="inlineStr">
        <is>
          <t>Other comprehensive income</t>
        </is>
      </c>
      <c r="B48" s="6" t="n"/>
      <c r="C48" s="6" t="n">
        <v>866</v>
      </c>
      <c r="D48" s="6" t="n"/>
      <c r="E48" s="6" t="n">
        <v>866</v>
      </c>
    </row>
    <row r="49">
      <c r="A49" s="5" t="inlineStr">
        <is>
          <t>Balance as at 31 December 2024</t>
        </is>
      </c>
      <c r="B49" s="5" t="n">
        <v>102173</v>
      </c>
      <c r="C49" s="5" t="n">
        <v>-1488</v>
      </c>
      <c r="D49" s="5" t="n">
        <v>-32514</v>
      </c>
      <c r="E49" s="5" t="n">
        <v>68171</v>
      </c>
    </row>
    <row r="50">
      <c r="A50" s="5" t="inlineStr">
        <is>
          <t>Balance as at 1 January 2025</t>
        </is>
      </c>
      <c r="B50" s="5" t="n">
        <v>102173</v>
      </c>
      <c r="C50" s="5" t="n">
        <v>-1488</v>
      </c>
      <c r="D50" s="5" t="n">
        <v>-32514</v>
      </c>
      <c r="E50" s="5" t="n">
        <v>68171</v>
      </c>
    </row>
    <row r="51">
      <c r="A51" s="6" t="inlineStr">
        <is>
          <t>Profit for the year</t>
        </is>
      </c>
      <c r="B51" s="6" t="n"/>
      <c r="C51" s="6" t="n"/>
      <c r="D51" s="6" t="n">
        <v>2273</v>
      </c>
      <c r="E51" s="6" t="n">
        <v>2273</v>
      </c>
    </row>
    <row r="52">
      <c r="A52" s="6" t="inlineStr">
        <is>
          <t>Other comprehensive income</t>
        </is>
      </c>
      <c r="B52" s="6" t="n"/>
      <c r="C52" s="6" t="n">
        <v>185</v>
      </c>
      <c r="D52" s="6" t="n"/>
      <c r="E52" s="6" t="n">
        <v>185</v>
      </c>
    </row>
    <row r="53">
      <c r="A53" s="5" t="inlineStr">
        <is>
          <t>Balance as at 31 December 2025</t>
        </is>
      </c>
      <c r="B53" s="5" t="n">
        <v>102173</v>
      </c>
      <c r="C53" s="5" t="n">
        <v>-1303</v>
      </c>
      <c r="D53" s="5" t="n">
        <v>-30241</v>
      </c>
      <c r="E53" s="5" t="n">
        <v>70629</v>
      </c>
    </row>
    <row r="55" ht="150" customHeight="1">
      <c r="A5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1 Jan 2019 - 31 Dec 2020: Annual Report and Financial Statements 2020, p.31 - https://find-and-update.company-information.service.gov.uk/company/05321714/filing-history/MzMyODY1ODY3N2FkaXF6a2N4/document?format=pdf&amp;download=0
1 Jan 2018 - 31 Dec 2018: Annual Report and Financial Statements 2018, p.26 - https://find-and-update.company-information.service.gov.uk/company/05321714/filing-history/MzIzNTgyNTYxOWFkaXF6a2N4/document?format=pdf&amp;download=0
1 Jan 2017 - 31 Dec 2017 (own primary chain, not the FY2018 Annual Report's restated version - see note): Annual Report and Financial Statements 2017, p.26 - https://find-and-update.company-information.service.gov.uk/company/05321714/filing-history/MzIwMzc5MjgxOGFkaXF6a2N4/document?format=pdf&amp;download=0
1 Jan 2014 - 31 Dec 2016: Annual Report and Financial Statements 2016, p.21 (FY2015/FY2016) and Annual Report and Financial Statements 2014, p.18 (FY2014) - https://find-and-update.company-information.service.gov.uk/company/05321714/filing-history/MzE3NDg0MjU5MGFkaXF6a2N4/document?format=pdf&amp;download=0 / https://find-and-update.company-information.service.gov.uk/company/05321714/filing-history/MzEyMjYyNzE2M2FkaXF6a2N4/document?format=pdf&amp;download=0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
HD-017 EXTENSION - THIRD DATA QUALITY NOTE, a further genuine restatement found further back in the chain: the FY2018 Annual Report's own 'Impact of correction of errors' restates the FY2017 opening position (Accumulated losses (29,924) as originally reported at 1 Jan 2017 vs. (30,803) restated, a GBP879k adjustment) and the FY2017 profit for the year (GBP5,510k originally reported vs. GBP4,933k restated, a further GBP577k adjustment), reaching a restated 31 Dec 2017 balance of Other reserves 130 / Accumulated losses (25,869) / Total 76,434 vs. the FY2017 Annual Report's own originally-reported 31 Dec 2017 balance of Other reserves 130 / Accumulated losses (24,414) / Total 77,889. This workbook shows both the originally-reported FY2017 chain (rows below, project convention) and the FY2018 Annual Report's own restated opening figures (since that is the actual starting point of its own FY2018 statement) - not reconciled further. A fourth, separate GBP265k break (entirely within Other reserves) exists between the FY2020 Annual Report's own closing balance at 31 December 2020 and this workbook's existing FY2021 opening balance (sourced from the FY2022 Annual Report's FY2021 comparative, predating this extension) - see the entity note above for the exact figures; also not reconciled further.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continuing operating activities</t>
        </is>
      </c>
      <c r="B4" s="6" t="n"/>
      <c r="C4" s="6" t="n"/>
      <c r="D4" s="6" t="n"/>
      <c r="E4" s="6" t="n"/>
      <c r="F4" s="6" t="n"/>
      <c r="G4" s="6" t="n"/>
      <c r="H4" s="6" t="n"/>
      <c r="I4" s="6" t="n"/>
      <c r="J4" s="6" t="n"/>
      <c r="K4" s="6" t="n"/>
      <c r="L4" s="6" t="n"/>
      <c r="M4" s="6" t="n"/>
    </row>
    <row r="5">
      <c r="A5" s="6" t="inlineStr">
        <is>
          <t>Profit/(loss) before tax</t>
        </is>
      </c>
      <c r="B5" s="6" t="n">
        <v>3104</v>
      </c>
      <c r="C5" s="6" t="n">
        <v>-2824</v>
      </c>
      <c r="D5" s="6" t="n">
        <v>-13904</v>
      </c>
      <c r="E5" s="6" t="n">
        <v>-5278</v>
      </c>
      <c r="F5" s="6" t="n">
        <v>5060</v>
      </c>
      <c r="G5" s="6" t="n">
        <v>97</v>
      </c>
      <c r="H5" s="6" t="n">
        <v>3882</v>
      </c>
      <c r="I5" s="6" t="n">
        <v>2464</v>
      </c>
      <c r="J5" s="6" t="n">
        <v>6808</v>
      </c>
      <c r="K5" s="6" t="n">
        <v>9060</v>
      </c>
      <c r="L5" s="6" t="n">
        <v>6805</v>
      </c>
      <c r="M5" s="6" t="n">
        <v>4828</v>
      </c>
    </row>
    <row r="6">
      <c r="A6" s="6" t="inlineStr">
        <is>
          <t>Net interest income</t>
        </is>
      </c>
      <c r="B6" s="6" t="n">
        <v>-7089</v>
      </c>
      <c r="C6" s="6" t="n">
        <v>-5674</v>
      </c>
      <c r="D6" s="6" t="n">
        <v>-6774</v>
      </c>
      <c r="E6" s="6" t="n">
        <v>-15070</v>
      </c>
      <c r="F6" s="6" t="n">
        <v>-18581</v>
      </c>
      <c r="G6" s="6" t="n">
        <v>-17968</v>
      </c>
      <c r="H6" s="6" t="n">
        <v>-16669</v>
      </c>
      <c r="I6" s="6" t="n">
        <v>16766</v>
      </c>
      <c r="J6" s="6" t="n">
        <v>16448</v>
      </c>
      <c r="K6" s="6" t="n">
        <v>15108</v>
      </c>
      <c r="L6" s="6" t="n">
        <v>12981</v>
      </c>
      <c r="M6" s="6" t="n">
        <v>7199</v>
      </c>
    </row>
    <row r="7">
      <c r="A7" s="6" t="inlineStr">
        <is>
          <t>Interest received</t>
        </is>
      </c>
      <c r="B7" s="6" t="n">
        <v>13028</v>
      </c>
      <c r="C7" s="6" t="n">
        <v>12048</v>
      </c>
      <c r="D7" s="6" t="n">
        <v>20919</v>
      </c>
      <c r="E7" s="6" t="n">
        <v>19859</v>
      </c>
      <c r="F7" s="6" t="n">
        <v>27104</v>
      </c>
      <c r="G7" s="6" t="n">
        <v>22440</v>
      </c>
      <c r="H7" s="6" t="n">
        <v>24090</v>
      </c>
      <c r="I7" s="6" t="n">
        <v>-5245</v>
      </c>
      <c r="J7" s="6" t="n">
        <v>-5704</v>
      </c>
      <c r="K7" s="6" t="n">
        <v>-7638</v>
      </c>
      <c r="L7" s="6" t="n">
        <v>-7870</v>
      </c>
      <c r="M7" s="6" t="n">
        <v>-4620</v>
      </c>
    </row>
    <row r="8">
      <c r="A8" s="6" t="inlineStr">
        <is>
          <t>Interest paid</t>
        </is>
      </c>
      <c r="B8" s="6" t="n">
        <v>-6175</v>
      </c>
      <c r="C8" s="6" t="n">
        <v>-6777</v>
      </c>
      <c r="D8" s="6" t="n">
        <v>-10607</v>
      </c>
      <c r="E8" s="6" t="n">
        <v>-7197</v>
      </c>
      <c r="F8" s="6" t="n">
        <v>-4236</v>
      </c>
      <c r="G8" s="6" t="n">
        <v>-2905</v>
      </c>
      <c r="H8" s="6" t="n">
        <v>-9691</v>
      </c>
      <c r="I8" s="6" t="n">
        <v>6295</v>
      </c>
      <c r="J8" s="6" t="n">
        <v>4711</v>
      </c>
      <c r="K8" s="6" t="n">
        <v>3725</v>
      </c>
      <c r="L8" s="6" t="n">
        <v>1719</v>
      </c>
      <c r="M8" s="6" t="n">
        <v>1059</v>
      </c>
    </row>
    <row r="9">
      <c r="A9" s="6" t="inlineStr">
        <is>
          <t>Change in operating assets</t>
        </is>
      </c>
      <c r="B9" s="6" t="n">
        <v>-54573</v>
      </c>
      <c r="C9" s="6" t="n">
        <v>-17912</v>
      </c>
      <c r="D9" s="6" t="n">
        <v>170939</v>
      </c>
      <c r="E9" s="6" t="n">
        <v>21084</v>
      </c>
      <c r="F9" s="6" t="n">
        <v>35264</v>
      </c>
      <c r="G9" s="6" t="n">
        <v>-29407</v>
      </c>
      <c r="H9" s="6" t="n">
        <v>42218</v>
      </c>
      <c r="I9" s="6" t="n">
        <v>-42081</v>
      </c>
      <c r="J9" s="6" t="n">
        <v>-64434</v>
      </c>
      <c r="K9" s="6" t="n">
        <v>-41817</v>
      </c>
      <c r="L9" s="6" t="n">
        <v>-25324</v>
      </c>
      <c r="M9" s="6" t="n">
        <v>-106599</v>
      </c>
    </row>
    <row r="10">
      <c r="A10" s="6" t="inlineStr">
        <is>
          <t>Change in operating liabilities</t>
        </is>
      </c>
      <c r="B10" s="6" t="n">
        <v>34977</v>
      </c>
      <c r="C10" s="6" t="n">
        <v>33274</v>
      </c>
      <c r="D10" s="6" t="n">
        <v>-189466</v>
      </c>
      <c r="E10" s="6" t="n">
        <v>-35633</v>
      </c>
      <c r="F10" s="6" t="n">
        <v>14726</v>
      </c>
      <c r="G10" s="6" t="n">
        <v>18426</v>
      </c>
      <c r="H10" s="6" t="n">
        <v>-119601</v>
      </c>
      <c r="I10" s="6" t="n">
        <v>85298</v>
      </c>
      <c r="J10" s="6" t="n">
        <v>-41412</v>
      </c>
      <c r="K10" s="6" t="n">
        <v>76000</v>
      </c>
      <c r="L10" s="6" t="n">
        <v>69582</v>
      </c>
      <c r="M10" s="6" t="n">
        <v>147429</v>
      </c>
    </row>
    <row r="11">
      <c r="A11" s="6" t="inlineStr">
        <is>
          <t>Other (non-cash) items included in profit before tax</t>
        </is>
      </c>
      <c r="B11" s="6" t="n">
        <v>-7125</v>
      </c>
      <c r="C11" s="6" t="n">
        <v>-1465</v>
      </c>
      <c r="D11" s="6" t="n">
        <v>18778</v>
      </c>
      <c r="E11" s="6" t="n">
        <v>-5399</v>
      </c>
      <c r="F11" s="6" t="n">
        <v>1625</v>
      </c>
      <c r="G11" s="6" t="n">
        <v>5209</v>
      </c>
      <c r="H11" s="6" t="n">
        <v>-1549</v>
      </c>
      <c r="I11" s="6" t="n">
        <v>882</v>
      </c>
      <c r="J11" s="6" t="n">
        <v>-890</v>
      </c>
      <c r="K11" s="6" t="n">
        <v>970</v>
      </c>
      <c r="L11" s="6" t="n">
        <v>1586</v>
      </c>
      <c r="M11" s="6" t="n">
        <v>1250</v>
      </c>
    </row>
    <row r="12">
      <c r="A12" s="6" t="inlineStr">
        <is>
          <t>Corporation tax</t>
        </is>
      </c>
      <c r="B12" s="6" t="n"/>
      <c r="C12" s="6" t="n"/>
      <c r="D12" s="6" t="n">
        <v>0</v>
      </c>
      <c r="E12" s="6" t="n">
        <v>171</v>
      </c>
      <c r="F12" s="6" t="n">
        <v>-868</v>
      </c>
      <c r="G12" s="6" t="n">
        <v>-97</v>
      </c>
      <c r="H12" s="6" t="n">
        <v>-436</v>
      </c>
      <c r="I12" s="6" t="n">
        <v>-295</v>
      </c>
      <c r="J12" s="6" t="n">
        <v>-1298</v>
      </c>
      <c r="K12" s="6" t="n">
        <v>-1418</v>
      </c>
      <c r="L12" s="6" t="n"/>
      <c r="M12" s="6" t="n"/>
    </row>
    <row r="13">
      <c r="A13" s="5" t="inlineStr">
        <is>
          <t>Net cash flows from/(used in) operating activities</t>
        </is>
      </c>
      <c r="B13" s="5" t="n">
        <v>-23853</v>
      </c>
      <c r="C13" s="5" t="n">
        <v>10670</v>
      </c>
      <c r="D13" s="5" t="n">
        <v>-10115</v>
      </c>
      <c r="E13" s="5" t="n">
        <v>-27463</v>
      </c>
      <c r="F13" s="5" t="n">
        <v>60094</v>
      </c>
      <c r="G13" s="5" t="n">
        <v>-4205</v>
      </c>
      <c r="H13" s="5" t="n">
        <v>-77756</v>
      </c>
      <c r="I13" s="5" t="n">
        <v>64083</v>
      </c>
      <c r="J13" s="5" t="n">
        <v>-85771</v>
      </c>
      <c r="K13" s="5" t="n">
        <v>53990</v>
      </c>
      <c r="L13" s="5" t="n">
        <v>59479</v>
      </c>
      <c r="M13" s="5" t="n">
        <v>50546</v>
      </c>
    </row>
    <row r="14">
      <c r="A14" s="5" t="inlineStr">
        <is>
          <t>Cash flows from investing activities</t>
        </is>
      </c>
      <c r="B14" s="6" t="n"/>
      <c r="C14" s="6" t="n"/>
      <c r="D14" s="6" t="n"/>
      <c r="E14" s="6" t="n"/>
      <c r="F14" s="6" t="n"/>
      <c r="G14" s="6" t="n"/>
      <c r="H14" s="6" t="n"/>
      <c r="I14" s="6" t="n"/>
      <c r="J14" s="6" t="n"/>
      <c r="K14" s="6" t="n"/>
      <c r="L14" s="6" t="n"/>
      <c r="M14" s="6" t="n"/>
    </row>
    <row r="15">
      <c r="A15" s="6" t="inlineStr">
        <is>
          <t>Purchase of financial investments</t>
        </is>
      </c>
      <c r="B15" s="6" t="n">
        <v>-53189</v>
      </c>
      <c r="C15" s="6" t="n">
        <v>-44212</v>
      </c>
      <c r="D15" s="6" t="n">
        <v>-7685</v>
      </c>
      <c r="E15" s="6" t="n">
        <v>-6272</v>
      </c>
      <c r="F15" s="6" t="n">
        <v>-82228</v>
      </c>
      <c r="G15" s="6" t="n">
        <v>-17350</v>
      </c>
      <c r="H15" s="6" t="n">
        <v>-151190</v>
      </c>
      <c r="I15" s="6" t="n">
        <v>-87875</v>
      </c>
      <c r="J15" s="6" t="n">
        <v>-72258</v>
      </c>
      <c r="K15" s="6" t="n">
        <v>-114745</v>
      </c>
      <c r="L15" s="6" t="n">
        <v>-48498</v>
      </c>
      <c r="M15" s="6" t="n">
        <v>-73137</v>
      </c>
    </row>
    <row r="16">
      <c r="A16" s="6" t="inlineStr">
        <is>
          <t>Proceeds from sales of financial investments</t>
        </is>
      </c>
      <c r="B16" s="6" t="n">
        <v>64477</v>
      </c>
      <c r="C16" s="6" t="n">
        <v>32257</v>
      </c>
      <c r="D16" s="6" t="n">
        <v>8036</v>
      </c>
      <c r="E16" s="6" t="n">
        <v>17338</v>
      </c>
      <c r="F16" s="6" t="n">
        <v>39068</v>
      </c>
      <c r="G16" s="6" t="n">
        <v>48166</v>
      </c>
      <c r="H16" s="6" t="n">
        <v>186750</v>
      </c>
      <c r="I16" s="6" t="n">
        <v>41262</v>
      </c>
      <c r="J16" s="6" t="n">
        <v>115811</v>
      </c>
      <c r="K16" s="6" t="n">
        <v>63354</v>
      </c>
      <c r="L16" s="6" t="n">
        <v>4892</v>
      </c>
      <c r="M16" s="6" t="n">
        <v>47315</v>
      </c>
    </row>
    <row r="17">
      <c r="A17" s="6" t="inlineStr">
        <is>
          <t>Proceeds from disposal of property and equipment</t>
        </is>
      </c>
      <c r="B17" s="6" t="n"/>
      <c r="C17" s="6" t="n"/>
      <c r="D17" s="6" t="n"/>
      <c r="E17" s="6" t="n"/>
      <c r="F17" s="6" t="n"/>
      <c r="G17" s="6" t="n"/>
      <c r="H17" s="6" t="n"/>
      <c r="I17" s="6" t="n"/>
      <c r="J17" s="6" t="n"/>
      <c r="K17" s="6" t="n"/>
      <c r="L17" s="6" t="n"/>
      <c r="M17" s="6" t="n">
        <v>0</v>
      </c>
    </row>
    <row r="18">
      <c r="A18" s="6" t="inlineStr">
        <is>
          <t>Proceeds from disposal of intangible assets</t>
        </is>
      </c>
      <c r="B18" s="6" t="n"/>
      <c r="C18" s="6" t="n"/>
      <c r="D18" s="6" t="n"/>
      <c r="E18" s="6" t="n"/>
      <c r="F18" s="6" t="n"/>
      <c r="G18" s="6" t="n"/>
      <c r="H18" s="6" t="n"/>
      <c r="I18" s="6" t="n"/>
      <c r="J18" s="6" t="n"/>
      <c r="K18" s="6" t="n"/>
      <c r="L18" s="6" t="n"/>
      <c r="M18" s="6" t="n">
        <v>0</v>
      </c>
    </row>
    <row r="19">
      <c r="A19" s="6" t="inlineStr">
        <is>
          <t>Purchase of Property, Plant and Equipment (and Right-of-use Assets)</t>
        </is>
      </c>
      <c r="B19" s="6" t="n">
        <v>-22</v>
      </c>
      <c r="C19" s="6" t="n">
        <v>-470</v>
      </c>
      <c r="D19" s="6" t="n">
        <v>-1550</v>
      </c>
      <c r="E19" s="6" t="n">
        <v>-233</v>
      </c>
      <c r="F19" s="6" t="n">
        <v>-66</v>
      </c>
      <c r="G19" s="6" t="n">
        <v>-60</v>
      </c>
      <c r="H19" s="6" t="n">
        <v>-81</v>
      </c>
      <c r="I19" s="6" t="n">
        <v>-267</v>
      </c>
      <c r="J19" s="6" t="n">
        <v>-135</v>
      </c>
      <c r="K19" s="6" t="n">
        <v>-115</v>
      </c>
      <c r="L19" s="6" t="n">
        <v>-72</v>
      </c>
      <c r="M19" s="6" t="n">
        <v>-125</v>
      </c>
    </row>
    <row r="20">
      <c r="A20" s="6" t="inlineStr">
        <is>
          <t>Purchase of intangible assets</t>
        </is>
      </c>
      <c r="B20" s="6" t="n">
        <v>-877</v>
      </c>
      <c r="C20" s="6" t="n">
        <v>-1569</v>
      </c>
      <c r="D20" s="6" t="n">
        <v>-1858</v>
      </c>
      <c r="E20" s="6" t="n">
        <v>-1744</v>
      </c>
      <c r="F20" s="6" t="n">
        <v>-745</v>
      </c>
      <c r="G20" s="6" t="n">
        <v>-63</v>
      </c>
      <c r="H20" s="6" t="n">
        <v>-333</v>
      </c>
      <c r="I20" s="6" t="n">
        <v>-1325</v>
      </c>
      <c r="J20" s="6" t="n">
        <v>-1244</v>
      </c>
      <c r="K20" s="6" t="n">
        <v>-1160</v>
      </c>
      <c r="L20" s="6" t="n">
        <v>-724</v>
      </c>
      <c r="M20" s="6" t="n"/>
    </row>
    <row r="21">
      <c r="A21" s="5" t="inlineStr">
        <is>
          <t>Net cash flows from/(used in) investing activities</t>
        </is>
      </c>
      <c r="B21" s="5" t="n">
        <v>10389</v>
      </c>
      <c r="C21" s="5" t="n">
        <v>-13994</v>
      </c>
      <c r="D21" s="5" t="n">
        <v>-3057</v>
      </c>
      <c r="E21" s="5" t="n">
        <v>9089</v>
      </c>
      <c r="F21" s="5" t="n">
        <v>-43971</v>
      </c>
      <c r="G21" s="5" t="n">
        <v>30693</v>
      </c>
      <c r="H21" s="5" t="n">
        <v>35146</v>
      </c>
      <c r="I21" s="5" t="n">
        <v>-48205</v>
      </c>
      <c r="J21" s="5" t="n">
        <v>42174</v>
      </c>
      <c r="K21" s="5" t="n">
        <v>-52666</v>
      </c>
      <c r="L21" s="5" t="n">
        <v>-44402</v>
      </c>
      <c r="M21" s="5" t="n">
        <v>-25947</v>
      </c>
    </row>
    <row r="22">
      <c r="A22" s="5" t="inlineStr">
        <is>
          <t>Cash flows from financing activities</t>
        </is>
      </c>
      <c r="B22" s="6" t="n"/>
      <c r="C22" s="6" t="n"/>
      <c r="D22" s="6" t="n"/>
      <c r="E22" s="6" t="n"/>
      <c r="F22" s="6" t="n"/>
      <c r="G22" s="6" t="n"/>
      <c r="H22" s="6" t="n"/>
      <c r="I22" s="6" t="n"/>
      <c r="J22" s="6" t="n"/>
      <c r="K22" s="6" t="n"/>
      <c r="L22" s="6" t="n"/>
      <c r="M22" s="6" t="n"/>
    </row>
    <row r="23">
      <c r="A23" s="6" t="inlineStr">
        <is>
          <t>Repayment of lease principal</t>
        </is>
      </c>
      <c r="B23" s="6" t="n">
        <v>-89</v>
      </c>
      <c r="C23" s="6" t="n">
        <v>-181</v>
      </c>
      <c r="D23" s="6" t="n">
        <v>-797</v>
      </c>
      <c r="E23" s="6" t="n">
        <v>-1050</v>
      </c>
      <c r="F23" s="6" t="n">
        <v>-944</v>
      </c>
      <c r="G23" s="6" t="n">
        <v>-1107</v>
      </c>
      <c r="H23" s="6" t="n">
        <v>-877</v>
      </c>
      <c r="I23" s="6" t="n"/>
      <c r="J23" s="6" t="n"/>
      <c r="K23" s="6" t="n"/>
      <c r="L23" s="6" t="n"/>
      <c r="M23" s="6" t="n"/>
    </row>
    <row r="24">
      <c r="A24" s="6" t="inlineStr">
        <is>
          <t>Group subordinated debt</t>
        </is>
      </c>
      <c r="B24" s="6" t="n"/>
      <c r="C24" s="6" t="n"/>
      <c r="D24" s="6" t="n"/>
      <c r="E24" s="6" t="n"/>
      <c r="F24" s="6" t="n"/>
      <c r="G24" s="6" t="n"/>
      <c r="H24" s="6" t="n"/>
      <c r="I24" s="6" t="n">
        <v>635</v>
      </c>
      <c r="J24" s="6" t="n">
        <v>629</v>
      </c>
      <c r="K24" s="6" t="n"/>
      <c r="L24" s="6" t="n"/>
      <c r="M24" s="6" t="n"/>
    </row>
    <row r="25">
      <c r="A25" s="5" t="inlineStr">
        <is>
          <t>Net cash flows from/(used in) financing activities</t>
        </is>
      </c>
      <c r="B25" s="5" t="n">
        <v>-89</v>
      </c>
      <c r="C25" s="5" t="n">
        <v>-181</v>
      </c>
      <c r="D25" s="5" t="n">
        <v>-797</v>
      </c>
      <c r="E25" s="5" t="n">
        <v>-1050</v>
      </c>
      <c r="F25" s="5" t="n">
        <v>-944</v>
      </c>
      <c r="G25" s="5" t="n">
        <v>-1107</v>
      </c>
      <c r="H25" s="5" t="n">
        <v>-877</v>
      </c>
      <c r="I25" s="5" t="n">
        <v>635</v>
      </c>
      <c r="J25" s="5" t="n">
        <v>629</v>
      </c>
      <c r="K25" s="5" t="n">
        <v>0</v>
      </c>
      <c r="L25" s="5" t="n">
        <v>0</v>
      </c>
      <c r="M25" s="5" t="n">
        <v>0</v>
      </c>
    </row>
    <row r="26">
      <c r="A26" s="5" t="inlineStr">
        <is>
          <t>Net increase/(decrease) in cash and cash equivalents</t>
        </is>
      </c>
      <c r="B26" s="5" t="n">
        <v>-13553</v>
      </c>
      <c r="C26" s="5" t="n">
        <v>-3505</v>
      </c>
      <c r="D26" s="5" t="n">
        <v>-13969</v>
      </c>
      <c r="E26" s="5" t="n">
        <v>-19424</v>
      </c>
      <c r="F26" s="5" t="n">
        <v>15179</v>
      </c>
      <c r="G26" s="5" t="n">
        <v>25381</v>
      </c>
      <c r="H26" s="5" t="n">
        <v>-43487</v>
      </c>
      <c r="I26" s="5" t="n">
        <v>16513</v>
      </c>
      <c r="J26" s="5" t="n">
        <v>-42968</v>
      </c>
      <c r="K26" s="5" t="n">
        <v>1324</v>
      </c>
      <c r="L26" s="5" t="n">
        <v>15077</v>
      </c>
      <c r="M26" s="5" t="n">
        <v>24599</v>
      </c>
    </row>
    <row r="27">
      <c r="A27" s="6" t="inlineStr">
        <is>
          <t>Cash and cash equivalents as at 1 January</t>
        </is>
      </c>
      <c r="B27" s="6" t="n">
        <v>51070</v>
      </c>
      <c r="C27" s="6" t="n">
        <v>54575</v>
      </c>
      <c r="D27" s="6" t="n">
        <v>68544</v>
      </c>
      <c r="E27" s="6" t="n">
        <v>87968</v>
      </c>
      <c r="F27" s="6" t="n">
        <v>72789</v>
      </c>
      <c r="G27" s="6" t="n">
        <v>47408</v>
      </c>
      <c r="H27" s="6" t="n">
        <v>90895</v>
      </c>
      <c r="I27" s="6" t="n">
        <v>74382</v>
      </c>
      <c r="J27" s="6" t="n">
        <v>117350</v>
      </c>
      <c r="K27" s="6" t="n">
        <v>116026</v>
      </c>
      <c r="L27" s="6" t="n">
        <v>100949</v>
      </c>
      <c r="M27" s="6" t="n">
        <v>76350</v>
      </c>
    </row>
    <row r="28">
      <c r="A28" s="5" t="inlineStr">
        <is>
          <t>Cash and cash equivalents as at 31 December</t>
        </is>
      </c>
      <c r="B28" s="5" t="n">
        <v>37517</v>
      </c>
      <c r="C28" s="5" t="n">
        <v>51070</v>
      </c>
      <c r="D28" s="5" t="n">
        <v>54575</v>
      </c>
      <c r="E28" s="5" t="n">
        <v>68544</v>
      </c>
      <c r="F28" s="5" t="n">
        <v>87968</v>
      </c>
      <c r="G28" s="5" t="n">
        <v>72789</v>
      </c>
      <c r="H28" s="5" t="n">
        <v>47408</v>
      </c>
      <c r="I28" s="5" t="n">
        <v>90895</v>
      </c>
      <c r="J28" s="5" t="n">
        <v>74382</v>
      </c>
      <c r="K28" s="5" t="n">
        <v>117350</v>
      </c>
      <c r="L28" s="5" t="n">
        <v>116026</v>
      </c>
      <c r="M28" s="5" t="n">
        <v>100949</v>
      </c>
    </row>
    <row r="30" ht="210" customHeight="1">
      <c r="A30"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FY2020 (&amp; FY2019 restated comparative, used as primary column - see note): Annual Report and Financial Statements 2020, p.34 - https://find-and-update.company-information.service.gov.uk/company/05321714/filing-history/MzMyODY1ODY3N2FkaXF6a2N4/document?format=pdf&amp;download=0
FY2018: Annual Report and Financial Statements 2018, p.28 - https://find-and-update.company-information.service.gov.uk/company/05321714/filing-history/MzIzNTgyNTYxOWFkaXF6a2N4/document?format=pdf&amp;download=0
FY2017 (own primary column): Annual Report and Financial Statements 2017, p.27 - https://find-and-update.company-information.service.gov.uk/company/05321714/filing-history/MzIwMzc5MjgxOGFkaXF6a2N4/document?format=pdf&amp;download=0
FY2016 (&amp; FY2015 comparative, used as primary column): Annual Report and Financial Statements 2016, p.22 - https://find-and-update.company-information.service.gov.uk/company/05321714/filing-history/MzE3NDg0MjU5MGFkaXF6a2N4/document?format=pdf&amp;download=0
FY2014: Annual Report and Financial Statements 2014, p.19 - https://find-and-update.company-information.service.gov.uk/company/05321714/filing-history/MzEyMjYyNzE2M2FkaXF6a2N4/document?format=pdf&amp;download=0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0:M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 gross carrying amount</t>
        </is>
      </c>
      <c r="B4" s="6" t="n"/>
      <c r="C4" s="6" t="n"/>
      <c r="D4" s="6" t="n"/>
      <c r="E4" s="6" t="n"/>
      <c r="F4" s="6" t="n"/>
      <c r="G4" s="6" t="n"/>
      <c r="H4" s="6" t="n"/>
      <c r="I4" s="6" t="n"/>
      <c r="J4" s="6" t="n"/>
      <c r="K4" s="6" t="n"/>
      <c r="L4" s="6" t="n"/>
      <c r="M4" s="6" t="n"/>
    </row>
    <row r="5">
      <c r="A5" s="6" t="inlineStr">
        <is>
          <t>Stage 1 - 12 months ECL</t>
        </is>
      </c>
      <c r="B5" s="6" t="n">
        <v>39023</v>
      </c>
      <c r="C5" s="6" t="n">
        <v>25334</v>
      </c>
      <c r="D5" s="6" t="n">
        <v>20047</v>
      </c>
      <c r="E5" s="6" t="n">
        <v>138815</v>
      </c>
      <c r="F5" s="6" t="n">
        <v>152521</v>
      </c>
      <c r="G5" s="6" t="n"/>
      <c r="H5" s="6" t="n"/>
      <c r="I5" s="6" t="n">
        <v>172960</v>
      </c>
      <c r="J5" s="6" t="n"/>
      <c r="K5" s="6" t="n"/>
      <c r="L5" s="6" t="n"/>
      <c r="M5" s="6" t="n"/>
    </row>
    <row r="6">
      <c r="A6" s="6" t="inlineStr">
        <is>
          <t>Stage 2 - Lifetime ECL</t>
        </is>
      </c>
      <c r="B6" s="6" t="n">
        <v>678</v>
      </c>
      <c r="C6" s="6" t="n">
        <v>3938</v>
      </c>
      <c r="D6" s="6" t="n">
        <v>6350</v>
      </c>
      <c r="E6" s="6" t="n">
        <v>7799</v>
      </c>
      <c r="F6" s="6" t="n">
        <v>0</v>
      </c>
      <c r="G6" s="6" t="n"/>
      <c r="H6" s="6" t="n"/>
      <c r="I6" s="6" t="n">
        <v>37903</v>
      </c>
      <c r="J6" s="6" t="n"/>
      <c r="K6" s="6" t="n"/>
      <c r="L6" s="6" t="n"/>
      <c r="M6" s="6" t="n"/>
    </row>
    <row r="7">
      <c r="A7" s="6" t="inlineStr">
        <is>
          <t>Stage 3 - Non performing - Lifetime ECL</t>
        </is>
      </c>
      <c r="B7" s="6" t="n">
        <v>2739</v>
      </c>
      <c r="C7" s="6" t="n">
        <v>4896</v>
      </c>
      <c r="D7" s="6" t="n">
        <v>7348</v>
      </c>
      <c r="E7" s="6" t="n">
        <v>8291</v>
      </c>
      <c r="F7" s="6" t="n">
        <v>15751</v>
      </c>
      <c r="G7" s="6" t="n"/>
      <c r="H7" s="6" t="n"/>
      <c r="I7" s="6" t="n">
        <v>5065</v>
      </c>
      <c r="J7" s="6" t="n"/>
      <c r="K7" s="6" t="n"/>
      <c r="L7" s="6" t="n"/>
      <c r="M7" s="6" t="n"/>
    </row>
    <row r="8">
      <c r="A8" s="5" t="inlineStr">
        <is>
          <t>Total gross carrying amount</t>
        </is>
      </c>
      <c r="B8" s="5" t="n">
        <v>42440</v>
      </c>
      <c r="C8" s="5" t="n">
        <v>34168</v>
      </c>
      <c r="D8" s="5" t="n">
        <v>33745</v>
      </c>
      <c r="E8" s="5" t="n">
        <v>154905</v>
      </c>
      <c r="F8" s="5" t="n">
        <v>168272</v>
      </c>
      <c r="G8" s="5" t="n"/>
      <c r="H8" s="5" t="n"/>
      <c r="I8" s="5" t="n">
        <v>215927</v>
      </c>
      <c r="J8" s="5" t="n"/>
      <c r="K8" s="5" t="n"/>
      <c r="L8" s="5" t="n"/>
      <c r="M8" s="5" t="n"/>
    </row>
    <row r="9">
      <c r="A9" s="5" t="inlineStr">
        <is>
          <t>Loss allowance by IFRS 9 stage</t>
        </is>
      </c>
      <c r="B9" s="6" t="n"/>
      <c r="C9" s="6" t="n"/>
      <c r="D9" s="6" t="n"/>
      <c r="E9" s="6" t="n"/>
      <c r="F9" s="6" t="n"/>
      <c r="G9" s="6" t="n"/>
      <c r="H9" s="6" t="n"/>
      <c r="I9" s="6" t="n"/>
      <c r="J9" s="6" t="n"/>
      <c r="K9" s="6" t="n"/>
      <c r="L9" s="6" t="n"/>
      <c r="M9" s="6" t="n"/>
    </row>
    <row r="10">
      <c r="A10" s="6" t="inlineStr">
        <is>
          <t>Stage 1 - 12 months ECL</t>
        </is>
      </c>
      <c r="B10" s="6" t="n">
        <v>-49</v>
      </c>
      <c r="C10" s="6" t="n">
        <v>-51</v>
      </c>
      <c r="D10" s="6" t="n">
        <v>-106</v>
      </c>
      <c r="E10" s="6" t="n">
        <v>-568</v>
      </c>
      <c r="F10" s="6" t="n">
        <v>-837</v>
      </c>
      <c r="G10" s="6" t="n"/>
      <c r="H10" s="6" t="n"/>
      <c r="I10" s="6" t="n">
        <v>-503</v>
      </c>
      <c r="J10" s="6" t="n"/>
      <c r="K10" s="6" t="n"/>
      <c r="L10" s="6" t="n"/>
      <c r="M10" s="6" t="n"/>
    </row>
    <row r="11">
      <c r="A11" s="6" t="inlineStr">
        <is>
          <t>Stage 2 - Lifetime ECL</t>
        </is>
      </c>
      <c r="B11" s="6" t="n">
        <v>-29</v>
      </c>
      <c r="C11" s="6" t="n">
        <v>-236</v>
      </c>
      <c r="D11" s="6" t="n">
        <v>-114</v>
      </c>
      <c r="E11" s="6" t="n">
        <v>-127</v>
      </c>
      <c r="F11" s="6" t="n">
        <v>0</v>
      </c>
      <c r="G11" s="6" t="n"/>
      <c r="H11" s="6" t="n"/>
      <c r="I11" s="6" t="n">
        <v>-1475</v>
      </c>
      <c r="J11" s="6" t="n"/>
      <c r="K11" s="6" t="n"/>
      <c r="L11" s="6" t="n"/>
      <c r="M11" s="6" t="n"/>
    </row>
    <row r="12">
      <c r="A12" s="6" t="inlineStr">
        <is>
          <t>Stage 3 - Non performing - Lifetime ECL</t>
        </is>
      </c>
      <c r="B12" s="6" t="n">
        <v>-410</v>
      </c>
      <c r="C12" s="6" t="n">
        <v>-4896</v>
      </c>
      <c r="D12" s="6" t="n">
        <v>-5193</v>
      </c>
      <c r="E12" s="6" t="n">
        <v>-5925</v>
      </c>
      <c r="F12" s="6" t="n">
        <v>-5419</v>
      </c>
      <c r="G12" s="6" t="n"/>
      <c r="H12" s="6" t="n"/>
      <c r="I12" s="6" t="n">
        <v>-2354</v>
      </c>
      <c r="J12" s="6" t="n"/>
      <c r="K12" s="6" t="n"/>
      <c r="L12" s="6" t="n"/>
      <c r="M12" s="6" t="n"/>
    </row>
    <row r="13">
      <c r="A13" s="5" t="inlineStr">
        <is>
          <t>Total loss allowance</t>
        </is>
      </c>
      <c r="B13" s="5" t="n">
        <v>-488</v>
      </c>
      <c r="C13" s="5" t="n">
        <v>-5183</v>
      </c>
      <c r="D13" s="5" t="n">
        <v>-5413</v>
      </c>
      <c r="E13" s="5" t="n">
        <v>-6620</v>
      </c>
      <c r="F13" s="5" t="n">
        <v>-6256</v>
      </c>
      <c r="G13" s="5" t="n"/>
      <c r="H13" s="5" t="n"/>
      <c r="I13" s="5" t="n">
        <v>-4331</v>
      </c>
      <c r="J13" s="5" t="n"/>
      <c r="K13" s="5" t="n"/>
      <c r="L13" s="5" t="n"/>
      <c r="M13" s="5" t="n"/>
    </row>
    <row r="14">
      <c r="A14" s="5" t="inlineStr">
        <is>
          <t>Carrying amount</t>
        </is>
      </c>
      <c r="B14" s="6" t="n"/>
      <c r="C14" s="6" t="n"/>
      <c r="D14" s="6" t="n"/>
      <c r="E14" s="6" t="n"/>
      <c r="F14" s="6" t="n"/>
      <c r="G14" s="6" t="n"/>
      <c r="H14" s="6" t="n"/>
      <c r="I14" s="6" t="n"/>
      <c r="J14" s="6" t="n"/>
      <c r="K14" s="6" t="n"/>
      <c r="L14" s="6" t="n"/>
      <c r="M14" s="6" t="n"/>
    </row>
    <row r="15">
      <c r="A15" s="5" t="inlineStr">
        <is>
          <t>Loans and advances to customers (carrying amount)</t>
        </is>
      </c>
      <c r="B15" s="5" t="n">
        <v>41952</v>
      </c>
      <c r="C15" s="5" t="n">
        <v>28985</v>
      </c>
      <c r="D15" s="5" t="n">
        <v>28332</v>
      </c>
      <c r="E15" s="5" t="n">
        <v>148285</v>
      </c>
      <c r="F15" s="5" t="n">
        <v>162016</v>
      </c>
      <c r="G15" s="5" t="n"/>
      <c r="H15" s="5" t="n"/>
      <c r="I15" s="5" t="n">
        <v>211596</v>
      </c>
      <c r="J15" s="5" t="n"/>
      <c r="K15" s="5" t="n"/>
      <c r="L15" s="5" t="n"/>
      <c r="M15" s="5" t="n"/>
    </row>
    <row r="16">
      <c r="A16" s="5" t="inlineStr">
        <is>
          <t>Derived ratios (IFRS 9 stage basis)</t>
        </is>
      </c>
      <c r="B16" s="6" t="n"/>
      <c r="C16" s="6" t="n"/>
      <c r="D16" s="6" t="n"/>
      <c r="E16" s="6" t="n"/>
      <c r="F16" s="6" t="n"/>
      <c r="G16" s="6" t="n"/>
      <c r="H16" s="6" t="n"/>
      <c r="I16" s="6" t="n"/>
      <c r="J16" s="6" t="n"/>
      <c r="K16" s="6" t="n"/>
      <c r="L16" s="6" t="n"/>
      <c r="M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c r="G17" s="6" t="n"/>
      <c r="H17" s="6" t="n"/>
      <c r="I17" s="6" t="inlineStr">
        <is>
          <t>2.01%</t>
        </is>
      </c>
      <c r="J17" s="6" t="n"/>
      <c r="K17" s="6" t="n"/>
      <c r="L17" s="6" t="n"/>
      <c r="M17" s="6" t="n"/>
    </row>
    <row r="18">
      <c r="A18" s="6" t="inlineStr">
        <is>
          <t>Stage 3 / NPL ratio (Stage 3 gross / total gross)</t>
        </is>
      </c>
      <c r="B18" s="6" t="inlineStr">
        <is>
          <t>6.45%</t>
        </is>
      </c>
      <c r="C18" s="6" t="inlineStr">
        <is>
          <t>14.33%</t>
        </is>
      </c>
      <c r="D18" s="6" t="inlineStr">
        <is>
          <t>21.78%</t>
        </is>
      </c>
      <c r="E18" s="6" t="inlineStr">
        <is>
          <t>5.35%</t>
        </is>
      </c>
      <c r="F18" s="6" t="inlineStr">
        <is>
          <t>9.36%</t>
        </is>
      </c>
      <c r="G18" s="6" t="n"/>
      <c r="H18" s="6" t="n"/>
      <c r="I18" s="6" t="inlineStr">
        <is>
          <t>2.35%</t>
        </is>
      </c>
      <c r="J18" s="6" t="n"/>
      <c r="K18" s="6" t="n"/>
      <c r="L18" s="6" t="n"/>
      <c r="M18" s="6" t="n"/>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c r="G19" s="6" t="n"/>
      <c r="H19" s="6" t="n"/>
      <c r="I19" s="6" t="inlineStr">
        <is>
          <t>46.48%</t>
        </is>
      </c>
      <c r="J19" s="6" t="n"/>
      <c r="K19" s="6" t="n"/>
      <c r="L19" s="6" t="n"/>
      <c r="M19" s="6" t="n"/>
    </row>
    <row r="20">
      <c r="A20" s="5" t="inlineStr">
        <is>
          <t>Pre-IFRS 9 (IAS 39) loan quality metrics - FY2014-FY2017 (individual-impairment basis, no stage split exists)</t>
        </is>
      </c>
      <c r="B20" s="6" t="n"/>
      <c r="C20" s="6" t="n"/>
      <c r="D20" s="6" t="n"/>
      <c r="E20" s="6" t="n"/>
      <c r="F20" s="6" t="n"/>
      <c r="G20" s="6" t="n"/>
      <c r="H20" s="6" t="n"/>
      <c r="I20" s="6" t="n"/>
      <c r="J20" s="6" t="n"/>
      <c r="K20" s="6" t="n"/>
      <c r="L20" s="6" t="n"/>
      <c r="M20" s="6" t="n"/>
    </row>
    <row r="21">
      <c r="A21" s="6" t="inlineStr">
        <is>
          <t>Loans and advances to customers (net carrying amount)</t>
        </is>
      </c>
      <c r="B21" s="6" t="n"/>
      <c r="C21" s="6" t="n"/>
      <c r="D21" s="6" t="n"/>
      <c r="E21" s="6" t="n"/>
      <c r="F21" s="6" t="n"/>
      <c r="G21" s="6" t="n"/>
      <c r="H21" s="6" t="n"/>
      <c r="I21" s="6" t="n"/>
      <c r="J21" s="6" t="n">
        <v>207964</v>
      </c>
      <c r="K21" s="6" t="n">
        <v>175945</v>
      </c>
      <c r="L21" s="6" t="n">
        <v>167713</v>
      </c>
      <c r="M21" s="6" t="n">
        <v>149257</v>
      </c>
    </row>
    <row r="22">
      <c r="A22" s="6" t="inlineStr">
        <is>
          <t>Individual impairment provision (period-end balance)</t>
        </is>
      </c>
      <c r="B22" s="6" t="n"/>
      <c r="C22" s="6" t="n"/>
      <c r="D22" s="6" t="n"/>
      <c r="E22" s="6" t="n"/>
      <c r="F22" s="6" t="n"/>
      <c r="G22" s="6" t="n"/>
      <c r="H22" s="6" t="n"/>
      <c r="I22" s="6" t="n"/>
      <c r="J22" s="6" t="n">
        <v>3023</v>
      </c>
      <c r="K22" s="6" t="n">
        <v>1581</v>
      </c>
      <c r="L22" s="6" t="n">
        <v>597</v>
      </c>
      <c r="M22" s="6" t="n">
        <v>1785</v>
      </c>
    </row>
    <row r="23">
      <c r="A23" s="6" t="inlineStr">
        <is>
          <t>Gross amount of loans individually determined to be impaired</t>
        </is>
      </c>
      <c r="B23" s="6" t="n"/>
      <c r="C23" s="6" t="n"/>
      <c r="D23" s="6" t="n"/>
      <c r="E23" s="6" t="n"/>
      <c r="F23" s="6" t="n"/>
      <c r="G23" s="6" t="n"/>
      <c r="H23" s="6" t="n"/>
      <c r="I23" s="6" t="n"/>
      <c r="J23" s="6" t="n">
        <v>21840</v>
      </c>
      <c r="K23" s="6" t="n">
        <v>5250</v>
      </c>
      <c r="L23" s="6" t="n">
        <v>1829</v>
      </c>
      <c r="M23" s="6" t="n">
        <v>9929</v>
      </c>
    </row>
    <row r="24">
      <c r="A24" s="5" t="inlineStr">
        <is>
          <t>Derived ratios (pre-IFRS 9 basis - not comparable to the stage-based ratios above)</t>
        </is>
      </c>
      <c r="B24" s="6" t="n"/>
      <c r="C24" s="6" t="n"/>
      <c r="D24" s="6" t="n"/>
      <c r="E24" s="6" t="n"/>
      <c r="F24" s="6" t="n"/>
      <c r="G24" s="6" t="n"/>
      <c r="H24" s="6" t="n"/>
      <c r="I24" s="6" t="n"/>
      <c r="J24" s="6" t="n"/>
      <c r="K24" s="6" t="n"/>
      <c r="L24" s="6" t="n"/>
      <c r="M24" s="6" t="n"/>
    </row>
    <row r="25">
      <c r="A25" s="6" t="inlineStr">
        <is>
          <t>Estimated NPL ratio (impaired loans / [net loans + provision])</t>
        </is>
      </c>
      <c r="B25" s="6" t="n"/>
      <c r="C25" s="6" t="n"/>
      <c r="D25" s="6" t="n"/>
      <c r="E25" s="6" t="n"/>
      <c r="F25" s="6" t="n"/>
      <c r="G25" s="6" t="n"/>
      <c r="H25" s="6" t="n"/>
      <c r="I25" s="6" t="n"/>
      <c r="J25" s="6" t="inlineStr">
        <is>
          <t>10.35%</t>
        </is>
      </c>
      <c r="K25" s="6" t="inlineStr">
        <is>
          <t>2.96%</t>
        </is>
      </c>
      <c r="L25" s="6" t="inlineStr">
        <is>
          <t>1.09%</t>
        </is>
      </c>
      <c r="M25" s="6" t="inlineStr">
        <is>
          <t>6.57%</t>
        </is>
      </c>
    </row>
    <row r="26">
      <c r="A26" s="6" t="inlineStr">
        <is>
          <t>Estimated coverage ratio (provision / impaired loans)</t>
        </is>
      </c>
      <c r="B26" s="6" t="n"/>
      <c r="C26" s="6" t="n"/>
      <c r="D26" s="6" t="n"/>
      <c r="E26" s="6" t="n"/>
      <c r="F26" s="6" t="n"/>
      <c r="G26" s="6" t="n"/>
      <c r="H26" s="6" t="n"/>
      <c r="I26" s="6" t="n"/>
      <c r="J26" s="6" t="inlineStr">
        <is>
          <t>13.84%</t>
        </is>
      </c>
      <c r="K26" s="6" t="inlineStr">
        <is>
          <t>30.11%</t>
        </is>
      </c>
      <c r="L26" s="6" t="inlineStr">
        <is>
          <t>32.64%</t>
        </is>
      </c>
      <c r="M26" s="6" t="inlineStr">
        <is>
          <t>17.98%</t>
        </is>
      </c>
    </row>
    <row r="28" ht="150" customHeight="1">
      <c r="A28" s="8" t="inlineStr">
        <is>
          <t>Sources - Bank of Africa United Kingdom Plc's own Loans and advances to customers note (Note 16, or Note 19 in the FY2018 Annual Report),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FY2018: Annual Report and Financial Statements 2018, p.50 (Note 19) - https://find-and-update.company-information.service.gov.uk/company/05321714/filing-history/MzIzNTgyNTYxOWFkaXF6a2N4/document?format=pdf&amp;download=0
FY2017: Annual Report and Financial Statements 2017, p.45 (Note 16) - https://find-and-update.company-information.service.gov.uk/company/05321714/filing-history/MzIwMzc5MjgxOGFkaXF6a2N4/document?format=pdf&amp;download=0
FY2016 (&amp; FY2015 comparative, used as primary column): Annual Report and Financial Statements 2016, p.42 (Note 16) - https://find-and-update.company-information.service.gov.uk/company/05321714/filing-history/MzE3NDg0MjU5MGFkaXF6a2N4/document?format=pdf&amp;download=0
FY2014: Annual Report and Financial Statements 2014, p.39 (Note 17) - https://find-and-update.company-information.service.gov.uk/company/05321714/filing-history/MzEyMjYyNzE2M2FkaXF6a2N4/document?format=pdf&amp;download=0
PRESENTATION NOTE: BOA UK's Loans and advances to customers note (Note 16 in most years' Annual Reports, Note 19 in FY2018's) discloses only a single IFRS 9 stage breakdown - no by-product/by-sector split. Gross carrying amount FY2025 (42,440) + FY2024 (34,168) + FY2023 (33,745) + FY2022 (154,905) + FY2021 (168,272) + FY2018 (215,927) and Carrying amount figures all tie exactly to the Balance Sheet's own 'Loans and advances to customers' line for each year. HD-017 extension: IFRS 9 (replacing IAS 39's incurred-loss impairment model) was adopted 1 January 2018, so FY2014-FY2017 have no stage split at all - those years' own Note 16 instead discloses a single net loan balance plus a period-end individual impairment provision and the gross amount of loans individually determined to be impaired (no collective/portfolio provision is held any of those years - 'the Bank now assesses all loans on an individual basis'). This workbook presents that pre-IFRS 9 data in a separate section below, with its own derived ratios computed on a different denominator (net loans + provision, as an estimate of the gross loan book, since no total-gross-book figure is separately stated pre-IFRS 9) - not comparable to the IFRS 9 stage-based ratios above it.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wholly CET1, no AT1 instruments)</t>
        </is>
      </c>
      <c r="B4" s="6" t="n">
        <v>41047</v>
      </c>
      <c r="C4" s="6" t="n">
        <v>45680</v>
      </c>
      <c r="D4" s="6" t="n">
        <v>44826</v>
      </c>
      <c r="E4" s="6" t="n">
        <v>55465</v>
      </c>
      <c r="F4" s="6" t="n">
        <v>59466</v>
      </c>
      <c r="G4" s="6" t="n"/>
      <c r="H4" s="6" t="n"/>
      <c r="I4" s="6" t="n"/>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Capital Ratio)</t>
        </is>
      </c>
      <c r="B4" s="6" t="inlineStr">
        <is>
          <t>17.46%</t>
        </is>
      </c>
      <c r="C4" s="6" t="inlineStr">
        <is>
          <t>19.65%</t>
        </is>
      </c>
      <c r="D4" s="6" t="inlineStr">
        <is>
          <t>17.75%</t>
        </is>
      </c>
      <c r="E4" s="6" t="inlineStr">
        <is>
          <t>12.24%</t>
        </is>
      </c>
      <c r="F4" s="6" t="inlineStr">
        <is>
          <t>12.36%</t>
        </is>
      </c>
      <c r="G4" s="6" t="n"/>
      <c r="H4" s="6" t="n"/>
      <c r="I4" s="6" t="n"/>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41047</v>
      </c>
      <c r="C4" s="6" t="n">
        <v>45680</v>
      </c>
      <c r="D4" s="6" t="n">
        <v>44826</v>
      </c>
      <c r="E4" s="6" t="n">
        <v>55465</v>
      </c>
      <c r="F4" s="6" t="n">
        <v>59466</v>
      </c>
      <c r="G4" s="6" t="n"/>
      <c r="H4" s="6" t="n"/>
      <c r="I4" s="6" t="n"/>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17.46%</t>
        </is>
      </c>
      <c r="C4" s="6" t="inlineStr">
        <is>
          <t>19.65%</t>
        </is>
      </c>
      <c r="D4" s="6" t="inlineStr">
        <is>
          <t>17.75%</t>
        </is>
      </c>
      <c r="E4" s="6" t="inlineStr">
        <is>
          <t>12.24%</t>
        </is>
      </c>
      <c r="F4" s="6" t="inlineStr">
        <is>
          <t>12.36%</t>
        </is>
      </c>
      <c r="G4" s="6" t="n"/>
      <c r="H4" s="6" t="n"/>
      <c r="I4" s="6" t="n"/>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Own Funds (Tier 1 + Tier 2)</t>
        </is>
      </c>
      <c r="B4" s="6" t="n">
        <v>56485</v>
      </c>
      <c r="C4" s="6" t="n">
        <v>60323</v>
      </c>
      <c r="D4" s="6" t="n">
        <v>60197</v>
      </c>
      <c r="E4" s="6" t="n">
        <v>71130</v>
      </c>
      <c r="F4" s="6" t="n">
        <v>74498</v>
      </c>
      <c r="G4" s="6" t="n"/>
      <c r="H4" s="6" t="n"/>
      <c r="I4" s="6" t="n"/>
      <c r="J4" s="6" t="n">
        <v>76231</v>
      </c>
      <c r="K4" s="6" t="n">
        <v>66652</v>
      </c>
      <c r="L4" s="6" t="n">
        <v>58545</v>
      </c>
      <c r="M4" s="6" t="n">
        <v>54600</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(Solvency Ratio)</t>
        </is>
      </c>
      <c r="B4" s="6" t="inlineStr">
        <is>
          <t>24.03%</t>
        </is>
      </c>
      <c r="C4" s="6" t="inlineStr">
        <is>
          <t>25.95%</t>
        </is>
      </c>
      <c r="D4" s="6" t="inlineStr">
        <is>
          <t>23.83%</t>
        </is>
      </c>
      <c r="E4" s="6" t="inlineStr">
        <is>
          <t>15.70%</t>
        </is>
      </c>
      <c r="F4" s="6" t="inlineStr">
        <is>
          <t>15.49%</t>
        </is>
      </c>
      <c r="G4" s="6" t="n"/>
      <c r="H4" s="6" t="n"/>
      <c r="I4" s="6" t="n"/>
      <c r="J4" s="6" t="inlineStr">
        <is>
          <t>19.0%</t>
        </is>
      </c>
      <c r="K4" s="6" t="inlineStr">
        <is>
          <t>16.9%</t>
        </is>
      </c>
      <c r="L4" s="6" t="inlineStr">
        <is>
          <t>16.2%</t>
        </is>
      </c>
      <c r="M4" s="6" t="inlineStr">
        <is>
          <t>17.9%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 (Credit RWA)</t>
        </is>
      </c>
      <c r="B4" s="6" t="n">
        <v>235076</v>
      </c>
      <c r="C4" s="6" t="n">
        <v>232412</v>
      </c>
      <c r="D4" s="6" t="n">
        <v>252608</v>
      </c>
      <c r="E4" s="6" t="n">
        <v>453124</v>
      </c>
      <c r="F4" s="6" t="n">
        <v>480918</v>
      </c>
      <c r="G4" s="6" t="n"/>
      <c r="H4" s="6" t="n"/>
      <c r="I4" s="6" t="n"/>
      <c r="J4" s="6" t="n">
        <v>401388</v>
      </c>
      <c r="K4" s="6" t="n">
        <v>395244</v>
      </c>
      <c r="L4" s="6" t="n">
        <v>360523</v>
      </c>
      <c r="M4" s="6" t="n">
        <v>305024</v>
      </c>
    </row>
    <row r="5" ht="60" customHeight="1">
      <c r="A5" s="7" t="inlineStr">
        <is>
          <t>Note: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risk (excluding counterparty credit risk)</t>
        </is>
      </c>
      <c r="B4" s="6" t="n"/>
      <c r="C4" s="6" t="n">
        <v>194090</v>
      </c>
      <c r="D4" s="6" t="n">
        <v>167168</v>
      </c>
      <c r="E4" s="6" t="n">
        <v>345166</v>
      </c>
      <c r="F4" s="6" t="n">
        <v>238172</v>
      </c>
      <c r="G4" s="6" t="n"/>
      <c r="H4" s="6" t="n"/>
      <c r="I4" s="6" t="n"/>
      <c r="J4" s="6" t="n">
        <v>292139</v>
      </c>
      <c r="K4" s="6" t="n">
        <v>277878</v>
      </c>
      <c r="L4" s="6" t="n"/>
      <c r="M4" s="6" t="n"/>
    </row>
    <row r="5">
      <c r="A5" s="6" t="inlineStr">
        <is>
          <t>Counterparty credit risk (of which CVA)</t>
        </is>
      </c>
      <c r="B5" s="6" t="n"/>
      <c r="C5" s="6" t="n">
        <v>1442</v>
      </c>
      <c r="D5" s="6" t="n">
        <v>447</v>
      </c>
      <c r="E5" s="6" t="n">
        <v>246</v>
      </c>
      <c r="F5" s="6" t="n">
        <v>350</v>
      </c>
      <c r="G5" s="6" t="n"/>
      <c r="H5" s="6" t="n"/>
      <c r="I5" s="6" t="n"/>
      <c r="J5" s="6" t="n">
        <v>225</v>
      </c>
      <c r="K5" s="6" t="n">
        <v>226</v>
      </c>
      <c r="L5" s="6" t="n"/>
      <c r="M5" s="6" t="n"/>
    </row>
    <row r="6">
      <c r="A6" s="6" t="inlineStr">
        <is>
          <t>Market risk</t>
        </is>
      </c>
      <c r="B6" s="6" t="n"/>
      <c r="C6" s="6" t="n">
        <v>7152</v>
      </c>
      <c r="D6" s="6" t="n">
        <v>45736</v>
      </c>
      <c r="E6" s="6" t="n">
        <v>67257</v>
      </c>
      <c r="F6" s="6" t="n">
        <v>206395</v>
      </c>
      <c r="G6" s="6" t="n"/>
      <c r="H6" s="6" t="n"/>
      <c r="I6" s="6" t="n"/>
      <c r="J6" s="6" t="n">
        <v>77898</v>
      </c>
      <c r="K6" s="6" t="n">
        <v>90900</v>
      </c>
      <c r="L6" s="6" t="n"/>
      <c r="M6" s="6" t="n"/>
    </row>
    <row r="7">
      <c r="A7" s="6" t="inlineStr">
        <is>
          <t>Operational risk</t>
        </is>
      </c>
      <c r="B7" s="6" t="n"/>
      <c r="C7" s="6" t="n">
        <v>29727</v>
      </c>
      <c r="D7" s="6" t="n">
        <v>39255</v>
      </c>
      <c r="E7" s="6" t="n">
        <v>40455</v>
      </c>
      <c r="F7" s="6" t="n">
        <v>36001</v>
      </c>
      <c r="G7" s="6" t="n"/>
      <c r="H7" s="6" t="n"/>
      <c r="I7" s="6" t="n"/>
      <c r="J7" s="6" t="n">
        <v>31126</v>
      </c>
      <c r="K7" s="6" t="n">
        <v>26239</v>
      </c>
      <c r="L7" s="6" t="n"/>
      <c r="M7" s="6" t="n"/>
    </row>
    <row r="8">
      <c r="A8" s="5" t="inlineStr">
        <is>
          <t>Total RWA</t>
        </is>
      </c>
      <c r="B8" s="5" t="n"/>
      <c r="C8" s="5" t="n">
        <v>232412</v>
      </c>
      <c r="D8" s="5" t="n">
        <v>252606</v>
      </c>
      <c r="E8" s="5" t="n">
        <v>453124</v>
      </c>
      <c r="F8" s="5" t="n">
        <v>480918</v>
      </c>
      <c r="G8" s="5" t="n"/>
      <c r="H8" s="5" t="n"/>
      <c r="I8" s="5" t="n"/>
      <c r="J8" s="5" t="n">
        <v>401388</v>
      </c>
      <c r="K8" s="5" t="n">
        <v>395244</v>
      </c>
      <c r="L8" s="5" t="n"/>
      <c r="M8" s="5" t="n"/>
    </row>
    <row r="10" ht="150" customHeight="1">
      <c r="A10" s="8" t="inlineStr">
        <is>
          <t>Sources - Bank of Africa United Kingdom Plc's own Pillar 3 Disclosures, 'Overview of Risk Weighted Assets and Minimum Capital Required under Pillar 1' table, GBP'000: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FY2017 (used as primary column, &amp; FY2016 comparative): Pillar III Disclosures 2017, p.16 - https://www.bankofafricaunitedkingdom.co.uk/pdfs/finances/BMCE___Pillar_III_VF___31122017.pdf
PRESENTATION NOTE: FY2025 category breakdown not available - no FY2025 Pillar 3 disclosure has been published yet (same gap already noted on the Total RWAs and other Pillar 3 sheets), so only the aggregate Total RWA figure exists for that year and it is (re-confirmed 2026-09-12: bank's own finances.html page still lists Pillar3-Disclosures-2024.pdf as the latest, no 2025 edition)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 HD-017 extension: FY2017's own breakdown (Credit risk 292,139 + CCR 225 + Market risk 77,898 + Operational risk 31,126 = 401,388) and FY2016's comparative in the same document (Credit risk 277,878 + CCR 226 + Market risk 90,900 + Operational risk 26,239 = 395,244) both tie exactly to the Total RWAs sheet. FY2014/FY2015's Pillar 3 documents disclose Pillar 1 capital requirements by exposure class (sovereign/institution/corporate/retail/other), not by risk type (credit/market/operational) - not the same breakdown shape as this sheet, so not included here; FY2018-FY2020 have no Pillar 3 disclosure at all (see entity note).</t>
        </is>
      </c>
    </row>
  </sheetData>
  <mergeCells count="1">
    <mergeCell ref="A10:M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inlineStr">
        <is>
          <t>17.67%</t>
        </is>
      </c>
      <c r="D4" s="6" t="inlineStr">
        <is>
          <t>20.66%</t>
        </is>
      </c>
      <c r="E4" s="6" t="inlineStr">
        <is>
          <t>13.98%</t>
        </is>
      </c>
      <c r="F4" s="6" t="inlineStr">
        <is>
          <t>11.51%</t>
        </is>
      </c>
      <c r="G4" s="6" t="n"/>
      <c r="H4" s="6" t="n"/>
      <c r="I4" s="6" t="n"/>
      <c r="J4" s="6" t="inlineStr">
        <is>
          <t>12.08%</t>
        </is>
      </c>
      <c r="K4" s="6" t="inlineStr">
        <is>
          <t>9.62%</t>
        </is>
      </c>
      <c r="L4" s="6" t="n"/>
      <c r="M4" s="6" t="n"/>
    </row>
    <row r="5" ht="60" customHeight="1">
      <c r="A5" s="7" t="inlineStr">
        <is>
          <t>Note: No FY2025 figure - a confirmed disclosure gap, not an unchecked one. See the source note for the three-way verification (site index, filename permutations against a live control file, and a full 100-page OCR of the scanned FY2025 Annual Report) carried out on 15 September 2026.</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FY2025 leverage ratio not found - left blank rather than guessed. Re-verified independently on 15 September 2026, three ways: (1) the bank's own finances.html index still lists Pillar3-Disclosures-2024.pdf as the newest Pillar 3 edition, with no 2025 entry; (2) four filename permutations for a 2025 edition (Pillar3-Disclosures-2025.pdf, BOA_UK_Pillar_III_2025.pdf, Pillar3_Disclosures_2025.pdf, Pillar3-Disclosures-2025_.pdf) all return HTTP 404 while the 2024 file at the same path still serves a real 929KB PDF, so the site is live and the absence is real rather than a broken path; (3) the FY2025 Annual Report (Companies House, a 100-page scanned image-only filing, Creator 'go-tiff2pdf', with no text layer at all) was rendered at 200 dpi and OCR'd in full - all 100 pages - and contains ZERO occurrences of the word 'leverage' anywhere in the document, not merely in the Strategic Report. Its capital note discloses Tier 1 capital of £41.05m (2024: £41.44m) but no exposure measure and no leverage ratio, so the ratio is not derivable either. FY2015/FY2014: leverage ratio not disclosed in either year's Pillar 3 document - plausible, since the UK leverage ratio framework (and its public disclosure requirement) only phased in from 2016 onward; left blank rather than guessed. FY2018-FY2020: no Pillar 3 disclosure at all (see entity note).</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212%</t>
        </is>
      </c>
      <c r="C4" s="6" t="inlineStr">
        <is>
          <t>207%</t>
        </is>
      </c>
      <c r="D4" s="6" t="inlineStr">
        <is>
          <t>351%</t>
        </is>
      </c>
      <c r="E4" s="6" t="inlineStr">
        <is>
          <t>207%</t>
        </is>
      </c>
      <c r="F4" s="6" t="inlineStr">
        <is>
          <t>203%</t>
        </is>
      </c>
      <c r="G4" s="6" t="n"/>
      <c r="H4" s="6" t="n"/>
      <c r="I4" s="6" t="n"/>
      <c r="J4" s="6" t="inlineStr">
        <is>
          <t>158%</t>
        </is>
      </c>
      <c r="K4" s="6" t="inlineStr">
        <is>
          <t>143%</t>
        </is>
      </c>
      <c r="L4" s="6" t="inlineStr">
        <is>
          <t>160%</t>
        </is>
      </c>
      <c r="M4" s="6" t="n"/>
    </row>
    <row r="5" ht="60" customHeight="1">
      <c r="A5" s="7" t="inlineStr">
        <is>
          <t>Note: FY2025 is an average-throughout-year figure (Annual Report); FY2021-FY2024 are point-in-time at 31 December (Pillar 3 KM1); FY2015-FY2017's own basis is not stated in their source document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BASIS NOTE: FY2021-FY2024 are point-in-time (31 December) LCR from each year's own Pillar 3 KM1 disclosure (FY2024's 207% independently verified by reconstructing the LCR composition table: HQLA GBP54,641k / net cash outflows GBP26,427k = 206.75% ≈ 207%). FY2025 (212%) is instead the *average LCR throughout the year* as stated in the FY2025 Annual Report's 'Liquidity and funding' section (no Pillar 3 edition exists yet for FY2025) - the FY2025 Annual Report separately states FY2024's average LCR as 228%, a different basis to the 207% point-in-time figure used for FY2024 above, kept for consistency with every other year in this row. Same spot-vs-average distinction documented across this project (e.g. ALRAYAN Bank). FY2017/FY2016/FY2015 come from the FY2017 Pillar 3 document's own 3-year bar chart (basis not separately stated in that document - not confirmed spot vs. average). FY2014: not disclosed - plausible, since the EU LCR requirement only phased in from October 2015; left blank rather than guessed. FY2018-FY2020: no Pillar 3 disclosure at all (see entity note).</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173%</t>
        </is>
      </c>
      <c r="C4" s="6" t="inlineStr">
        <is>
          <t>146%</t>
        </is>
      </c>
      <c r="D4" s="6" t="n"/>
      <c r="E4" s="6" t="n"/>
      <c r="F4" s="6" t="n"/>
      <c r="G4" s="6" t="n"/>
      <c r="H4" s="6" t="n"/>
      <c r="I4" s="6" t="n"/>
      <c r="J4" s="6" t="n"/>
      <c r="K4" s="6" t="n"/>
      <c r="L4" s="6" t="n"/>
      <c r="M4" s="6" t="n"/>
    </row>
    <row r="5" ht="60" customHeight="1">
      <c r="A5" s="7" t="inlineStr">
        <is>
          <t>Note: FY2014-FY2023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 FY2014-FY2020: not disclosed in any document checked during the HD-017 extension - plausible for the same pre-2022 reason; left blank.</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No MREL disclosure found in any Annual Report or Pillar 3 document for any year (FY2014-FY2025) - no numeric ratio and no qualitative exemption statement either. BOA UK is a small, non-systemic entity; plausibly below the Bank of England's MREL-setting threshold throughout (the UK MREL framework itself dates from 2016), but left as not disclosed rather than assumed. Official Bank of Africa UK financial reports and Pillar 3 disclosures archive reviewed: https://www.bankofafricaunitedkingdom.co.uk/finances.html. The available official Pillar 3 reports are also cited directly above (2015: https://www.bankofafricaunitedkingdom.co.uk/pdfs/finances/BMCE___Pillar_3_disclosures____2015.pdf; 2017: https://www.bankofafricaunitedkingdom.co.uk/pdfs/finances/BMCE___Pillar_III_VF___31122017.pdf; 2022: https://www.bankofafricaunitedkingdom.co.uk/pdfs/finances/BOA_UK_Pillar_III_2022.pdf; 2023: https://www.bankofafricaunitedkingdom.co.uk/pdfs/finances/Pillar3-Disclosures-2023.pdf; 2024: https://www.bankofafricaunitedkingdom.co.uk/pdfs/finances/Pillar3-Disclosures-2024.pdf).</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2026-09-16T00:16:48Z</dcterms:created>
  <dcterms:modified xmlns:dcterms="http://purl.org/dc/terms/" xmlns:xsi="http://www.w3.org/2001/XMLSchema-instance" xsi:type="dcterms:W3CDTF">2026-09-16T00:16:48Z</dcterms:modified>
</cp:coreProperties>
</file>