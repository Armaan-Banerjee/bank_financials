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328964</v>
      </c>
      <c r="C6" s="5" t="n">
        <v>291532</v>
      </c>
      <c r="D6" s="5" t="n">
        <v>254441</v>
      </c>
      <c r="E6" s="5" t="n">
        <v>452390</v>
      </c>
      <c r="F6" s="5" t="n">
        <v>496686</v>
      </c>
      <c r="I6" t="inlineStr">
        <is>
          <t>Total assets</t>
        </is>
      </c>
      <c r="J6" t="n">
        <v>496686</v>
      </c>
      <c r="K6" t="n">
        <v>452390</v>
      </c>
      <c r="L6" t="n">
        <v>254441</v>
      </c>
      <c r="M6" t="n">
        <v>291532</v>
      </c>
      <c r="N6" t="n">
        <v>328964</v>
      </c>
      <c r="AO6" t="inlineStr">
        <is>
          <t>CET1 Ratio</t>
        </is>
      </c>
      <c r="AP6" t="n">
        <v>12.36</v>
      </c>
      <c r="AQ6" t="n">
        <v>12.24</v>
      </c>
      <c r="AR6" t="n">
        <v>17.75</v>
      </c>
      <c r="AS6" t="n">
        <v>19.65</v>
      </c>
      <c r="AT6" t="n">
        <v>17.46</v>
      </c>
    </row>
    <row r="7">
      <c r="A7" s="5" t="inlineStr">
        <is>
          <t>Loans and advances to customers</t>
        </is>
      </c>
      <c r="B7" s="5" t="n">
        <v>41952</v>
      </c>
      <c r="C7" s="5" t="n">
        <v>28985</v>
      </c>
      <c r="D7" s="5" t="n">
        <v>28332</v>
      </c>
      <c r="E7" s="5" t="n">
        <v>148285</v>
      </c>
      <c r="F7" s="5" t="n">
        <v>162016</v>
      </c>
      <c r="I7" t="inlineStr">
        <is>
          <t>Loans and advances to customers</t>
        </is>
      </c>
      <c r="J7" t="n">
        <v>162016</v>
      </c>
      <c r="K7" t="n">
        <v>148285</v>
      </c>
      <c r="L7" t="n">
        <v>28332</v>
      </c>
      <c r="M7" t="n">
        <v>28985</v>
      </c>
      <c r="N7" t="n">
        <v>41952</v>
      </c>
      <c r="AO7" t="inlineStr">
        <is>
          <t>Total Capital Ratio</t>
        </is>
      </c>
      <c r="AP7" t="n">
        <v>15.49</v>
      </c>
      <c r="AQ7" t="n">
        <v>15.7</v>
      </c>
      <c r="AR7" t="n">
        <v>23.83</v>
      </c>
      <c r="AS7" t="n">
        <v>25.95</v>
      </c>
      <c r="AT7" t="n">
        <v>24.03</v>
      </c>
    </row>
    <row r="8">
      <c r="A8" s="5" t="inlineStr">
        <is>
          <t>Due to customers</t>
        </is>
      </c>
      <c r="B8" s="5" t="n">
        <v>84367</v>
      </c>
      <c r="C8" s="5" t="n">
        <v>44717</v>
      </c>
      <c r="D8" s="5" t="n">
        <v>42227</v>
      </c>
      <c r="E8" s="5" t="n">
        <v>59541</v>
      </c>
      <c r="F8" s="5" t="n">
        <v>92028</v>
      </c>
      <c r="I8" t="inlineStr">
        <is>
          <t>Due to customers</t>
        </is>
      </c>
      <c r="J8" t="n">
        <v>92028</v>
      </c>
      <c r="K8" t="n">
        <v>59541</v>
      </c>
      <c r="L8" t="n">
        <v>42227</v>
      </c>
      <c r="M8" t="n">
        <v>44717</v>
      </c>
      <c r="N8" t="n">
        <v>84367</v>
      </c>
      <c r="AO8" t="inlineStr">
        <is>
          <t>Leverage Ratio</t>
        </is>
      </c>
      <c r="AP8" t="n">
        <v>11.51</v>
      </c>
      <c r="AQ8" t="n">
        <v>13.98</v>
      </c>
      <c r="AR8" t="n">
        <v>20.66</v>
      </c>
      <c r="AS8" t="n">
        <v>17.67</v>
      </c>
    </row>
    <row r="9">
      <c r="A9" s="5" t="inlineStr">
        <is>
          <t>Total equity</t>
        </is>
      </c>
      <c r="B9" s="5" t="n">
        <v>70629</v>
      </c>
      <c r="C9" s="5" t="n">
        <v>68171</v>
      </c>
      <c r="D9" s="5" t="n">
        <v>65526</v>
      </c>
      <c r="E9" s="5" t="n">
        <v>75751</v>
      </c>
      <c r="F9" s="5" t="n">
        <v>82581</v>
      </c>
      <c r="I9" t="inlineStr">
        <is>
          <t>Total equity</t>
        </is>
      </c>
      <c r="J9" t="n">
        <v>82581</v>
      </c>
      <c r="K9" t="n">
        <v>75751</v>
      </c>
      <c r="L9" t="n">
        <v>65526</v>
      </c>
      <c r="M9" t="n">
        <v>68171</v>
      </c>
      <c r="N9" t="n">
        <v>70629</v>
      </c>
      <c r="AO9" t="inlineStr">
        <is>
          <t>LCR</t>
        </is>
      </c>
      <c r="AP9" t="n">
        <v>203</v>
      </c>
      <c r="AQ9" t="n">
        <v>207</v>
      </c>
      <c r="AR9" t="n">
        <v>351</v>
      </c>
      <c r="AS9" t="n">
        <v>207</v>
      </c>
      <c r="AT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10040</v>
      </c>
      <c r="C13" s="5" t="n">
        <v>8598</v>
      </c>
      <c r="D13" s="5" t="n">
        <v>4178</v>
      </c>
      <c r="E13" s="5" t="n">
        <v>19505</v>
      </c>
      <c r="F13" s="5" t="n">
        <v>24597</v>
      </c>
      <c r="Q13" t="inlineStr">
        <is>
          <t>Net operating income</t>
        </is>
      </c>
      <c r="R13" t="n">
        <v>24597</v>
      </c>
      <c r="S13" t="n">
        <v>19505</v>
      </c>
      <c r="T13" t="n">
        <v>4178</v>
      </c>
      <c r="U13" t="n">
        <v>8598</v>
      </c>
      <c r="V13" t="n">
        <v>10040</v>
      </c>
    </row>
    <row r="14">
      <c r="A14" s="5" t="inlineStr">
        <is>
          <t>Total operating expenses</t>
        </is>
      </c>
      <c r="B14" s="5" t="n">
        <v>-10659</v>
      </c>
      <c r="C14" s="5" t="n">
        <v>-14904</v>
      </c>
      <c r="D14" s="5" t="n">
        <v>-17662</v>
      </c>
      <c r="E14" s="5" t="n">
        <v>-19458</v>
      </c>
      <c r="F14" s="5" t="n">
        <v>-17889</v>
      </c>
      <c r="Q14" t="inlineStr">
        <is>
          <t>Total operating expenses</t>
        </is>
      </c>
      <c r="R14" t="n">
        <v>-17889</v>
      </c>
      <c r="S14" t="n">
        <v>-19458</v>
      </c>
      <c r="T14" t="n">
        <v>-17662</v>
      </c>
      <c r="U14" t="n">
        <v>-14904</v>
      </c>
      <c r="V14" t="n">
        <v>-10659</v>
      </c>
    </row>
    <row r="15">
      <c r="A15" s="5" t="inlineStr">
        <is>
          <t>Profit/(Loss) for the year</t>
        </is>
      </c>
      <c r="B15" s="5" t="n">
        <v>2273</v>
      </c>
      <c r="C15" s="5" t="n">
        <v>1779</v>
      </c>
      <c r="D15" s="5" t="n">
        <v>-13999</v>
      </c>
      <c r="E15" s="5" t="n">
        <v>-3839</v>
      </c>
      <c r="F15" s="5" t="n">
        <v>5682</v>
      </c>
      <c r="Q15" t="inlineStr">
        <is>
          <t>Profit/(Loss) for the year</t>
        </is>
      </c>
      <c r="R15" t="n">
        <v>5682</v>
      </c>
      <c r="S15" t="n">
        <v>-3839</v>
      </c>
      <c r="T15" t="n">
        <v>-13999</v>
      </c>
      <c r="U15" t="n">
        <v>1779</v>
      </c>
      <c r="V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68171</v>
      </c>
      <c r="C19" s="5" t="n">
        <v>65526</v>
      </c>
      <c r="D19" s="5" t="n">
        <v>75034</v>
      </c>
      <c r="E19" s="5" t="n">
        <v>82581</v>
      </c>
      <c r="F19" s="5" t="n">
        <v>82378</v>
      </c>
      <c r="Y19" t="inlineStr">
        <is>
          <t>Opening equity</t>
        </is>
      </c>
      <c r="Z19" t="n">
        <v>82378</v>
      </c>
      <c r="AA19" t="n">
        <v>82581</v>
      </c>
      <c r="AB19" t="n">
        <v>75034</v>
      </c>
      <c r="AC19" t="n">
        <v>65526</v>
      </c>
      <c r="AD19" t="n">
        <v>68171</v>
      </c>
    </row>
    <row r="20">
      <c r="A20" s="5" t="inlineStr">
        <is>
          <t>Total comprehensive income/(loss) for the year</t>
        </is>
      </c>
      <c r="B20" s="5" t="n">
        <v>2458</v>
      </c>
      <c r="C20" s="5" t="n">
        <v>2645</v>
      </c>
      <c r="D20" s="5" t="n">
        <v>-9508</v>
      </c>
      <c r="E20" s="5" t="n">
        <v>-6830</v>
      </c>
      <c r="F20" s="5" t="n">
        <v>203</v>
      </c>
      <c r="Y20" t="inlineStr">
        <is>
          <t>Total comprehensive income/(loss) for the year</t>
        </is>
      </c>
      <c r="Z20" t="n">
        <v>203</v>
      </c>
      <c r="AA20" t="n">
        <v>-6830</v>
      </c>
      <c r="AB20" t="n">
        <v>-9508</v>
      </c>
      <c r="AC20" t="n">
        <v>2645</v>
      </c>
      <c r="AD20" t="n">
        <v>2458</v>
      </c>
    </row>
    <row r="21">
      <c r="A21" s="5" t="inlineStr">
        <is>
          <t>Other equity movements, net</t>
        </is>
      </c>
      <c r="B21" s="5" t="n">
        <v>0</v>
      </c>
      <c r="C21" s="5" t="n">
        <v>0</v>
      </c>
      <c r="D21" s="5" t="n">
        <v>0</v>
      </c>
      <c r="E21" s="5" t="n">
        <v>0</v>
      </c>
      <c r="F21" s="5" t="n">
        <v>0</v>
      </c>
      <c r="Y21" t="inlineStr">
        <is>
          <t>Other equity movements, net</t>
        </is>
      </c>
      <c r="Z21" t="n">
        <v>0</v>
      </c>
      <c r="AA21" t="n">
        <v>0</v>
      </c>
      <c r="AB21" t="n">
        <v>0</v>
      </c>
      <c r="AC21" t="n">
        <v>0</v>
      </c>
      <c r="AD21" t="n">
        <v>0</v>
      </c>
    </row>
    <row r="22">
      <c r="A22" s="5" t="inlineStr">
        <is>
          <t>Closing equity</t>
        </is>
      </c>
      <c r="B22" s="5" t="n">
        <v>70629</v>
      </c>
      <c r="C22" s="5" t="n">
        <v>68171</v>
      </c>
      <c r="D22" s="5" t="n">
        <v>65526</v>
      </c>
      <c r="E22" s="5" t="n">
        <v>75751</v>
      </c>
      <c r="F22" s="5" t="n">
        <v>82581</v>
      </c>
      <c r="Y22" t="inlineStr">
        <is>
          <t>Closing equity</t>
        </is>
      </c>
      <c r="Z22" t="n">
        <v>82581</v>
      </c>
      <c r="AA22" t="n">
        <v>75751</v>
      </c>
      <c r="AB22" t="n">
        <v>65526</v>
      </c>
      <c r="AC22" t="n">
        <v>68171</v>
      </c>
      <c r="AD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from/(used in) operating activities</t>
        </is>
      </c>
      <c r="B26" s="5" t="n">
        <v>-23853</v>
      </c>
      <c r="C26" s="5" t="n">
        <v>10670</v>
      </c>
      <c r="D26" s="5" t="n">
        <v>-10115</v>
      </c>
      <c r="E26" s="5" t="n">
        <v>-27463</v>
      </c>
      <c r="F26" s="5" t="n">
        <v>60094</v>
      </c>
      <c r="AG26" t="inlineStr">
        <is>
          <t>Net cash flows from/(used in) operating activities</t>
        </is>
      </c>
      <c r="AH26" t="n">
        <v>60094</v>
      </c>
      <c r="AI26" t="n">
        <v>-27463</v>
      </c>
      <c r="AJ26" t="n">
        <v>-10115</v>
      </c>
      <c r="AK26" t="n">
        <v>10670</v>
      </c>
      <c r="AL26" t="n">
        <v>-23853</v>
      </c>
    </row>
    <row r="27">
      <c r="A27" s="5" t="inlineStr">
        <is>
          <t>Net cash flows from/(used in) investing activities</t>
        </is>
      </c>
      <c r="B27" s="5" t="n">
        <v>10389</v>
      </c>
      <c r="C27" s="5" t="n">
        <v>-13994</v>
      </c>
      <c r="D27" s="5" t="n">
        <v>-3057</v>
      </c>
      <c r="E27" s="5" t="n">
        <v>9089</v>
      </c>
      <c r="F27" s="5" t="n">
        <v>-43971</v>
      </c>
      <c r="AG27" t="inlineStr">
        <is>
          <t>Net cash flows from/(used in) investing activities</t>
        </is>
      </c>
      <c r="AH27" t="n">
        <v>-43971</v>
      </c>
      <c r="AI27" t="n">
        <v>9089</v>
      </c>
      <c r="AJ27" t="n">
        <v>-3057</v>
      </c>
      <c r="AK27" t="n">
        <v>-13994</v>
      </c>
      <c r="AL27" t="n">
        <v>10389</v>
      </c>
    </row>
    <row r="28">
      <c r="A28" s="5" t="inlineStr">
        <is>
          <t>Net cash flows from/(used in) financing activities</t>
        </is>
      </c>
      <c r="B28" s="5" t="n">
        <v>-89</v>
      </c>
      <c r="C28" s="5" t="n">
        <v>-181</v>
      </c>
      <c r="D28" s="5" t="n">
        <v>-797</v>
      </c>
      <c r="E28" s="5" t="n">
        <v>-1050</v>
      </c>
      <c r="F28" s="5" t="n">
        <v>-944</v>
      </c>
      <c r="AG28" t="inlineStr">
        <is>
          <t>Net cash flows from/(used in) financing activities</t>
        </is>
      </c>
      <c r="AH28" t="n">
        <v>-944</v>
      </c>
      <c r="AI28" t="n">
        <v>-1050</v>
      </c>
      <c r="AJ28" t="n">
        <v>-797</v>
      </c>
      <c r="AK28" t="n">
        <v>-181</v>
      </c>
      <c r="AL28" t="n">
        <v>-89</v>
      </c>
    </row>
    <row r="29">
      <c r="A29" s="5" t="inlineStr">
        <is>
          <t>Cash and cash equivalents as at 31 December</t>
        </is>
      </c>
      <c r="B29" s="5" t="n">
        <v>37517</v>
      </c>
      <c r="C29" s="5" t="n">
        <v>51070</v>
      </c>
      <c r="D29" s="5" t="n">
        <v>54575</v>
      </c>
      <c r="E29" s="5" t="n">
        <v>68544</v>
      </c>
      <c r="F29" s="5" t="n">
        <v>87968</v>
      </c>
      <c r="AG29" t="inlineStr">
        <is>
          <t>Cash and cash equivalents as at 31 December</t>
        </is>
      </c>
      <c r="AH29" t="n">
        <v>87968</v>
      </c>
      <c r="AI29" t="n">
        <v>68544</v>
      </c>
      <c r="AJ29" t="n">
        <v>54575</v>
      </c>
      <c r="AK29" t="n">
        <v>51070</v>
      </c>
      <c r="AL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17.46%</t>
        </is>
      </c>
      <c r="C33" s="6" t="inlineStr">
        <is>
          <t>19.65%</t>
        </is>
      </c>
      <c r="D33" s="6" t="inlineStr">
        <is>
          <t>17.75%</t>
        </is>
      </c>
      <c r="E33" s="6" t="inlineStr">
        <is>
          <t>12.24%</t>
        </is>
      </c>
      <c r="F33" s="6" t="inlineStr">
        <is>
          <t>12.36%</t>
        </is>
      </c>
    </row>
    <row r="34">
      <c r="A34" s="6" t="inlineStr">
        <is>
          <t>Total Capital Ratio</t>
        </is>
      </c>
      <c r="B34" s="6" t="inlineStr">
        <is>
          <t>24.03%</t>
        </is>
      </c>
      <c r="C34" s="6" t="inlineStr">
        <is>
          <t>25.95%</t>
        </is>
      </c>
      <c r="D34" s="6" t="inlineStr">
        <is>
          <t>23.83%</t>
        </is>
      </c>
      <c r="E34" s="6" t="inlineStr">
        <is>
          <t>15.70%</t>
        </is>
      </c>
      <c r="F34" s="6" t="inlineStr">
        <is>
          <t>15.49%</t>
        </is>
      </c>
    </row>
    <row r="35">
      <c r="A35" s="6" t="inlineStr">
        <is>
          <t>Leverage Ratio</t>
        </is>
      </c>
      <c r="B35" s="6" t="n"/>
      <c r="C35" s="6" t="inlineStr">
        <is>
          <t>17.67%</t>
        </is>
      </c>
      <c r="D35" s="6" t="inlineStr">
        <is>
          <t>20.66%</t>
        </is>
      </c>
      <c r="E35" s="6" t="inlineStr">
        <is>
          <t>13.98%</t>
        </is>
      </c>
      <c r="F35" s="6" t="inlineStr">
        <is>
          <t>11.51%</t>
        </is>
      </c>
    </row>
    <row r="36">
      <c r="A36" s="6" t="inlineStr">
        <is>
          <t>LCR</t>
        </is>
      </c>
      <c r="B36" s="6" t="inlineStr">
        <is>
          <t>212%</t>
        </is>
      </c>
      <c r="C36" s="6" t="inlineStr">
        <is>
          <t>207%</t>
        </is>
      </c>
      <c r="D36" s="6" t="inlineStr">
        <is>
          <t>351%</t>
        </is>
      </c>
      <c r="E36" s="6" t="inlineStr">
        <is>
          <t>207%</t>
        </is>
      </c>
      <c r="F36" s="6" t="inlineStr">
        <is>
          <t>203%</t>
        </is>
      </c>
    </row>
    <row r="38" ht="45" customHeight="1">
      <c r="A38" s="7" t="inlineStr">
        <is>
          <t>Note: Figures are duplicated from the detail sheets for at-a-glance trend viewing; see each sheet's own source citation for the underlying document/page, and the Cash Flow Statement sheet's source note for a genuine FY2022 restatement affecting several sheets in this workbook.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3145</v>
      </c>
      <c r="C5" s="6" t="n">
        <v>15397</v>
      </c>
      <c r="D5" s="6" t="n">
        <v>27447</v>
      </c>
      <c r="E5" s="6" t="n">
        <v>45655</v>
      </c>
      <c r="F5" s="6" t="n">
        <v>43395</v>
      </c>
    </row>
    <row r="6">
      <c r="A6" s="6" t="inlineStr">
        <is>
          <t>Due from banks</t>
        </is>
      </c>
      <c r="B6" s="6" t="n">
        <v>112586</v>
      </c>
      <c r="C6" s="6" t="n">
        <v>66588</v>
      </c>
      <c r="D6" s="6" t="n">
        <v>40848</v>
      </c>
      <c r="E6" s="6" t="n">
        <v>90560</v>
      </c>
      <c r="F6" s="6" t="n">
        <v>121178</v>
      </c>
    </row>
    <row r="7">
      <c r="A7" s="6" t="inlineStr">
        <is>
          <t>Derivative assets</t>
        </is>
      </c>
      <c r="B7" s="6" t="n">
        <v>993</v>
      </c>
      <c r="C7" s="6" t="n">
        <v>546</v>
      </c>
      <c r="D7" s="6" t="n">
        <v>766</v>
      </c>
      <c r="E7" s="6" t="n">
        <v>42</v>
      </c>
      <c r="F7" s="6" t="n">
        <v>89</v>
      </c>
    </row>
    <row r="8">
      <c r="A8" s="6" t="inlineStr">
        <is>
          <t>Loans and advances to customers</t>
        </is>
      </c>
      <c r="B8" s="6" t="n">
        <v>41952</v>
      </c>
      <c r="C8" s="6" t="n">
        <v>28985</v>
      </c>
      <c r="D8" s="6" t="n">
        <v>28332</v>
      </c>
      <c r="E8" s="6" t="n">
        <v>148285</v>
      </c>
      <c r="F8" s="6" t="n">
        <v>162016</v>
      </c>
    </row>
    <row r="9">
      <c r="A9" s="6" t="inlineStr">
        <is>
          <t>Financial investments - Amortised Cost</t>
        </is>
      </c>
      <c r="B9" s="6" t="n">
        <v>66165</v>
      </c>
      <c r="C9" s="6" t="n">
        <v>80814</v>
      </c>
      <c r="D9" s="6" t="n">
        <v>82889</v>
      </c>
      <c r="E9" s="6" t="n">
        <v>89665</v>
      </c>
      <c r="F9" s="6" t="n">
        <v>87687</v>
      </c>
    </row>
    <row r="10">
      <c r="A10" s="6" t="inlineStr">
        <is>
          <t>Financial investments - FVOCI</t>
        </is>
      </c>
      <c r="B10" s="6" t="n">
        <v>63507</v>
      </c>
      <c r="C10" s="6" t="n">
        <v>57583</v>
      </c>
      <c r="D10" s="6" t="n">
        <v>37667</v>
      </c>
      <c r="E10" s="6" t="n">
        <v>43949</v>
      </c>
      <c r="F10" s="6" t="n">
        <v>52020</v>
      </c>
    </row>
    <row r="11">
      <c r="A11" s="6" t="inlineStr">
        <is>
          <t>Property, Plant and Equipment</t>
        </is>
      </c>
      <c r="B11" s="6" t="n">
        <v>476</v>
      </c>
      <c r="C11" s="6" t="n">
        <v>578</v>
      </c>
      <c r="D11" s="6" t="n"/>
      <c r="E11" s="6" t="n"/>
      <c r="F11" s="6" t="n"/>
    </row>
    <row r="12">
      <c r="A12" s="6" t="inlineStr">
        <is>
          <t>Right-of-use Assets</t>
        </is>
      </c>
      <c r="B12" s="6" t="n">
        <v>1192</v>
      </c>
      <c r="C12" s="6" t="n">
        <v>1366</v>
      </c>
      <c r="D12" s="6" t="n"/>
      <c r="E12" s="6" t="n"/>
      <c r="F12" s="6" t="n"/>
    </row>
    <row r="13">
      <c r="A13" s="6" t="inlineStr">
        <is>
          <t>Property, Plant and Equipment and Right-of-use Assets</t>
        </is>
      </c>
      <c r="B13" s="6" t="n"/>
      <c r="C13" s="6" t="n"/>
      <c r="D13" s="6" t="n">
        <v>1885</v>
      </c>
      <c r="E13" s="6" t="n">
        <v>1496</v>
      </c>
      <c r="F13" s="6" t="n">
        <v>2517</v>
      </c>
    </row>
    <row r="14">
      <c r="A14" s="6" t="inlineStr">
        <is>
          <t>Goodwill</t>
        </is>
      </c>
      <c r="B14" s="6" t="n">
        <v>8766</v>
      </c>
      <c r="C14" s="6" t="n">
        <v>8304</v>
      </c>
      <c r="D14" s="6" t="n"/>
      <c r="E14" s="6" t="n"/>
      <c r="F14" s="6" t="n"/>
    </row>
    <row r="15">
      <c r="A15" s="6" t="inlineStr">
        <is>
          <t>Other intangible assets</t>
        </is>
      </c>
      <c r="B15" s="6" t="n">
        <v>4969</v>
      </c>
      <c r="C15" s="6" t="n">
        <v>4941</v>
      </c>
      <c r="D15" s="6" t="n"/>
      <c r="E15" s="6" t="n"/>
      <c r="F15" s="6" t="n"/>
    </row>
    <row r="16">
      <c r="A16" s="6" t="inlineStr">
        <is>
          <t>Goodwill and other intangible assets</t>
        </is>
      </c>
      <c r="B16" s="6" t="n"/>
      <c r="C16" s="6" t="n"/>
      <c r="D16" s="6" t="n">
        <v>12787</v>
      </c>
      <c r="E16" s="6" t="n">
        <v>11561</v>
      </c>
      <c r="F16" s="6" t="n">
        <v>9802</v>
      </c>
    </row>
    <row r="17">
      <c r="A17" s="6" t="inlineStr">
        <is>
          <t>Deferred tax assets</t>
        </is>
      </c>
      <c r="B17" s="6" t="n">
        <v>12597</v>
      </c>
      <c r="C17" s="6" t="n">
        <v>13428</v>
      </c>
      <c r="D17" s="6" t="n">
        <v>8822</v>
      </c>
      <c r="E17" s="6" t="n">
        <v>8781</v>
      </c>
      <c r="F17" s="6" t="n">
        <v>8191</v>
      </c>
    </row>
    <row r="18">
      <c r="A18" s="6" t="inlineStr">
        <is>
          <t>Other assets</t>
        </is>
      </c>
      <c r="B18" s="6" t="n">
        <v>12616</v>
      </c>
      <c r="C18" s="6" t="n">
        <v>13002</v>
      </c>
      <c r="D18" s="6" t="n">
        <v>12998</v>
      </c>
      <c r="E18" s="6" t="n">
        <v>12396</v>
      </c>
      <c r="F18" s="6" t="n">
        <v>9791</v>
      </c>
    </row>
    <row r="19">
      <c r="A19" s="5" t="inlineStr">
        <is>
          <t>Total assets</t>
        </is>
      </c>
      <c r="B19" s="5" t="n">
        <v>328964</v>
      </c>
      <c r="C19" s="5" t="n">
        <v>291532</v>
      </c>
      <c r="D19" s="5" t="n">
        <v>254441</v>
      </c>
      <c r="E19" s="5" t="n">
        <v>452390</v>
      </c>
      <c r="F19" s="5" t="n">
        <v>496686</v>
      </c>
    </row>
    <row r="20">
      <c r="A20" s="5" t="inlineStr">
        <is>
          <t>Liabilities</t>
        </is>
      </c>
      <c r="B20" s="6" t="n"/>
      <c r="C20" s="6" t="n"/>
      <c r="D20" s="6" t="n"/>
      <c r="E20" s="6" t="n"/>
      <c r="F20" s="6" t="n"/>
    </row>
    <row r="21">
      <c r="A21" s="6" t="inlineStr">
        <is>
          <t>Due to banks</t>
        </is>
      </c>
      <c r="B21" s="6" t="n">
        <v>149668</v>
      </c>
      <c r="C21" s="6" t="n">
        <v>153081</v>
      </c>
      <c r="D21" s="6" t="n">
        <v>120940</v>
      </c>
      <c r="E21" s="6" t="n">
        <v>289489</v>
      </c>
      <c r="F21" s="6" t="n">
        <v>297704</v>
      </c>
    </row>
    <row r="22">
      <c r="A22" s="6" t="inlineStr">
        <is>
          <t>Derivative liabilities</t>
        </is>
      </c>
      <c r="B22" s="6" t="n">
        <v>26</v>
      </c>
      <c r="C22" s="6" t="n">
        <v>868</v>
      </c>
      <c r="D22" s="6" t="n">
        <v>69</v>
      </c>
      <c r="E22" s="6" t="n">
        <v>502</v>
      </c>
      <c r="F22" s="6" t="n">
        <v>25</v>
      </c>
    </row>
    <row r="23">
      <c r="A23" s="6" t="inlineStr">
        <is>
          <t>Due to customers</t>
        </is>
      </c>
      <c r="B23" s="6" t="n">
        <v>84367</v>
      </c>
      <c r="C23" s="6" t="n">
        <v>44717</v>
      </c>
      <c r="D23" s="6" t="n">
        <v>42227</v>
      </c>
      <c r="E23" s="6" t="n">
        <v>59541</v>
      </c>
      <c r="F23" s="6" t="n">
        <v>92028</v>
      </c>
    </row>
    <row r="24">
      <c r="A24" s="6" t="inlineStr">
        <is>
          <t>Other liabilities</t>
        </is>
      </c>
      <c r="B24" s="6" t="n">
        <v>8317</v>
      </c>
      <c r="C24" s="6" t="n">
        <v>9171</v>
      </c>
      <c r="D24" s="6" t="n">
        <v>9623</v>
      </c>
      <c r="E24" s="6" t="n">
        <v>11254</v>
      </c>
      <c r="F24" s="6" t="n">
        <v>9316</v>
      </c>
    </row>
    <row r="25">
      <c r="A25" s="6" t="inlineStr">
        <is>
          <t>Provisions</t>
        </is>
      </c>
      <c r="B25" s="6" t="n">
        <v>334</v>
      </c>
      <c r="C25" s="6" t="n">
        <v>700</v>
      </c>
      <c r="D25" s="6" t="n">
        <v>500</v>
      </c>
      <c r="E25" s="6" t="n"/>
      <c r="F25" s="6" t="n"/>
    </row>
    <row r="26">
      <c r="A26" s="6" t="inlineStr">
        <is>
          <t>Subordinated debt</t>
        </is>
      </c>
      <c r="B26" s="6" t="n">
        <v>15623</v>
      </c>
      <c r="C26" s="6" t="n">
        <v>14824</v>
      </c>
      <c r="D26" s="6" t="n">
        <v>15556</v>
      </c>
      <c r="E26" s="6" t="n">
        <v>15853</v>
      </c>
      <c r="F26" s="6" t="n">
        <v>15032</v>
      </c>
    </row>
    <row r="27">
      <c r="A27" s="5" t="inlineStr">
        <is>
          <t>Total liabilities</t>
        </is>
      </c>
      <c r="B27" s="5" t="n">
        <v>258335</v>
      </c>
      <c r="C27" s="5" t="n">
        <v>223361</v>
      </c>
      <c r="D27" s="5" t="n">
        <v>188915</v>
      </c>
      <c r="E27" s="5" t="n">
        <v>376639</v>
      </c>
      <c r="F27" s="5" t="n">
        <v>414105</v>
      </c>
    </row>
    <row r="28">
      <c r="A28" s="5" t="inlineStr">
        <is>
          <t>Equity attributable to equity holders</t>
        </is>
      </c>
      <c r="B28" s="6" t="n"/>
      <c r="C28" s="6" t="n"/>
      <c r="D28" s="6" t="n"/>
      <c r="E28" s="6" t="n"/>
      <c r="F28" s="6" t="n"/>
    </row>
    <row r="29">
      <c r="A29" s="6" t="inlineStr">
        <is>
          <t>Share capital</t>
        </is>
      </c>
      <c r="B29" s="6" t="n">
        <v>102173</v>
      </c>
      <c r="C29" s="6" t="n">
        <v>102173</v>
      </c>
      <c r="D29" s="6" t="n">
        <v>102173</v>
      </c>
      <c r="E29" s="6" t="n">
        <v>102173</v>
      </c>
      <c r="F29" s="6" t="n">
        <v>102173</v>
      </c>
    </row>
    <row r="30">
      <c r="A30" s="6" t="inlineStr">
        <is>
          <t>Other reserves</t>
        </is>
      </c>
      <c r="B30" s="6" t="n">
        <v>-1303</v>
      </c>
      <c r="C30" s="6" t="n">
        <v>-1488</v>
      </c>
      <c r="D30" s="6" t="n">
        <v>-2354</v>
      </c>
      <c r="E30" s="6" t="n">
        <v>-6845</v>
      </c>
      <c r="F30" s="6" t="n">
        <v>-3854</v>
      </c>
    </row>
    <row r="31">
      <c r="A31" s="6" t="inlineStr">
        <is>
          <t>Accumulated losses</t>
        </is>
      </c>
      <c r="B31" s="6" t="n">
        <v>-30241</v>
      </c>
      <c r="C31" s="6" t="n">
        <v>-32514</v>
      </c>
      <c r="D31" s="6" t="n">
        <v>-34293</v>
      </c>
      <c r="E31" s="6" t="n">
        <v>-19577</v>
      </c>
      <c r="F31" s="6" t="n">
        <v>-15738</v>
      </c>
    </row>
    <row r="32">
      <c r="A32" s="5" t="inlineStr">
        <is>
          <t>Total equity</t>
        </is>
      </c>
      <c r="B32" s="5" t="n">
        <v>70629</v>
      </c>
      <c r="C32" s="5" t="n">
        <v>68171</v>
      </c>
      <c r="D32" s="5" t="n">
        <v>65526</v>
      </c>
      <c r="E32" s="5" t="n">
        <v>75751</v>
      </c>
      <c r="F32" s="5" t="n">
        <v>82581</v>
      </c>
    </row>
    <row r="33">
      <c r="A33" s="5" t="inlineStr">
        <is>
          <t>Total liabilities and equity</t>
        </is>
      </c>
      <c r="B33" s="5" t="n">
        <v>328964</v>
      </c>
      <c r="C33" s="5" t="n">
        <v>291532</v>
      </c>
      <c r="D33" s="5" t="n">
        <v>254441</v>
      </c>
      <c r="E33" s="5" t="n">
        <v>452390</v>
      </c>
      <c r="F33" s="5" t="n">
        <v>496686</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PRESENTATION NOTE: FY2025/FY2024 (Annual Report 2025) split Property, Plant and Equipment and Right-of-use Assets, and Goodwill and Other intangible assets, into separate lines; FY2023 (Annual Report 2023) and FY2022/FY2021 (Annual Report 2022)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5 Companies House filings used are fully scanned/image-only; every figure was read from the rendered page image and cross-checked against the following year's own comparative column (all ties confirmed exact across the full 5-year chain: FY2021 closing = FY2022 opening = 87,968; FY2022 closing = FY2023 opening = 68,544; FY2023 closing = FY2024 opening = 54,575; FY2024 closing = FY2025 opening = 51,070).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12676</v>
      </c>
      <c r="C5" s="6" t="n">
        <v>12402</v>
      </c>
      <c r="D5" s="6" t="n">
        <v>17701</v>
      </c>
      <c r="E5" s="6" t="n">
        <v>21817</v>
      </c>
      <c r="F5" s="6" t="n">
        <v>21793</v>
      </c>
    </row>
    <row r="6">
      <c r="A6" s="6" t="inlineStr">
        <is>
          <t>Interest expense and similar charges</t>
        </is>
      </c>
      <c r="B6" s="6" t="n">
        <v>-5587</v>
      </c>
      <c r="C6" s="6" t="n">
        <v>-6728</v>
      </c>
      <c r="D6" s="6" t="n">
        <v>-10927</v>
      </c>
      <c r="E6" s="6" t="n">
        <v>-6747</v>
      </c>
      <c r="F6" s="6" t="n">
        <v>-3212</v>
      </c>
    </row>
    <row r="7">
      <c r="A7" s="5" t="inlineStr">
        <is>
          <t>Net interest income</t>
        </is>
      </c>
      <c r="B7" s="5" t="n">
        <v>7089</v>
      </c>
      <c r="C7" s="5" t="n">
        <v>5674</v>
      </c>
      <c r="D7" s="5" t="n">
        <v>6774</v>
      </c>
      <c r="E7" s="5" t="n">
        <v>15070</v>
      </c>
      <c r="F7" s="5" t="n">
        <v>18581</v>
      </c>
    </row>
    <row r="8">
      <c r="A8" s="6" t="inlineStr">
        <is>
          <t>Fee and commission income</t>
        </is>
      </c>
      <c r="B8" s="6" t="n">
        <v>3193</v>
      </c>
      <c r="C8" s="6" t="n">
        <v>3678</v>
      </c>
      <c r="D8" s="6" t="n">
        <v>3691</v>
      </c>
      <c r="E8" s="6" t="n">
        <v>3034</v>
      </c>
      <c r="F8" s="6" t="n">
        <v>3193</v>
      </c>
    </row>
    <row r="9">
      <c r="A9" s="6" t="inlineStr">
        <is>
          <t>Fee and commission expense</t>
        </is>
      </c>
      <c r="B9" s="6" t="n">
        <v>-958</v>
      </c>
      <c r="C9" s="6" t="n">
        <v>-1332</v>
      </c>
      <c r="D9" s="6" t="n">
        <v>-2532</v>
      </c>
      <c r="E9" s="6" t="n">
        <v>-1632</v>
      </c>
      <c r="F9" s="6" t="n">
        <v>-1526</v>
      </c>
    </row>
    <row r="10">
      <c r="A10" s="5" t="inlineStr">
        <is>
          <t>Net fee and commission income</t>
        </is>
      </c>
      <c r="B10" s="5" t="n">
        <v>2235</v>
      </c>
      <c r="C10" s="5" t="n">
        <v>2346</v>
      </c>
      <c r="D10" s="5" t="n">
        <v>1159</v>
      </c>
      <c r="E10" s="5" t="n">
        <v>1402</v>
      </c>
      <c r="F10" s="5" t="n">
        <v>1667</v>
      </c>
    </row>
    <row r="11">
      <c r="A11" s="6" t="inlineStr">
        <is>
          <t>Net trading income/(expense)</t>
        </is>
      </c>
      <c r="B11" s="6" t="n">
        <v>716</v>
      </c>
      <c r="C11" s="6" t="n">
        <v>578</v>
      </c>
      <c r="D11" s="6" t="n">
        <v>-4039</v>
      </c>
      <c r="E11" s="6" t="n">
        <v>3000</v>
      </c>
      <c r="F11" s="6" t="n">
        <v>4298</v>
      </c>
    </row>
    <row r="12">
      <c r="A12" s="6" t="inlineStr">
        <is>
          <t>Other operating income</t>
        </is>
      </c>
      <c r="B12" s="6" t="n"/>
      <c r="C12" s="6" t="n"/>
      <c r="D12" s="6" t="n">
        <v>284</v>
      </c>
      <c r="E12" s="6" t="n">
        <v>33</v>
      </c>
      <c r="F12" s="6" t="n">
        <v>51</v>
      </c>
    </row>
    <row r="13">
      <c r="A13" s="5" t="inlineStr">
        <is>
          <t>Net operating income</t>
        </is>
      </c>
      <c r="B13" s="5" t="n">
        <v>10040</v>
      </c>
      <c r="C13" s="5" t="n">
        <v>8598</v>
      </c>
      <c r="D13" s="5" t="n">
        <v>4178</v>
      </c>
      <c r="E13" s="5" t="n">
        <v>19505</v>
      </c>
      <c r="F13" s="5" t="n">
        <v>24597</v>
      </c>
    </row>
    <row r="14">
      <c r="A14" s="5" t="inlineStr">
        <is>
          <t>Operating expenses</t>
        </is>
      </c>
      <c r="B14" s="6" t="n"/>
      <c r="C14" s="6" t="n"/>
      <c r="D14" s="6" t="n"/>
      <c r="E14" s="6" t="n"/>
      <c r="F14" s="6" t="n"/>
    </row>
    <row r="15">
      <c r="A15" s="6" t="inlineStr">
        <is>
          <t>Personnel expenses</t>
        </is>
      </c>
      <c r="B15" s="6" t="n">
        <v>-7191</v>
      </c>
      <c r="C15" s="6" t="n">
        <v>-7054</v>
      </c>
      <c r="D15" s="6" t="n">
        <v>-8648</v>
      </c>
      <c r="E15" s="6" t="n">
        <v>-10282</v>
      </c>
      <c r="F15" s="6" t="n">
        <v>-8982</v>
      </c>
    </row>
    <row r="16">
      <c r="A16" s="6" t="inlineStr">
        <is>
          <t>Redundancy cost</t>
        </is>
      </c>
      <c r="B16" s="6" t="n"/>
      <c r="C16" s="6" t="n"/>
      <c r="D16" s="6" t="n">
        <v>-765</v>
      </c>
      <c r="E16" s="6" t="n"/>
      <c r="F16" s="6" t="n"/>
    </row>
    <row r="17">
      <c r="A17" s="6" t="inlineStr">
        <is>
          <t>Depreciation on property, plant and equipment</t>
        </is>
      </c>
      <c r="B17" s="6" t="n">
        <v>-180</v>
      </c>
      <c r="C17" s="6" t="n">
        <v>-111</v>
      </c>
      <c r="D17" s="6" t="n"/>
      <c r="E17" s="6" t="n"/>
      <c r="F17" s="6" t="n"/>
    </row>
    <row r="18">
      <c r="A18" s="6" t="inlineStr">
        <is>
          <t>Depreciation on right-of-use assets</t>
        </is>
      </c>
      <c r="B18" s="6" t="n">
        <v>-211</v>
      </c>
      <c r="C18" s="6" t="n">
        <v>-658</v>
      </c>
      <c r="D18" s="6" t="n"/>
      <c r="E18" s="6" t="n"/>
      <c r="F18" s="6" t="n"/>
    </row>
    <row r="19">
      <c r="A19" s="6" t="inlineStr">
        <is>
          <t>Depreciation of property, plant and equipment; and right-of-use assets</t>
        </is>
      </c>
      <c r="B19" s="6" t="n"/>
      <c r="C19" s="6" t="n"/>
      <c r="D19" s="6" t="n">
        <v>-976</v>
      </c>
      <c r="E19" s="6" t="n">
        <v>-1244</v>
      </c>
      <c r="F19" s="6" t="n">
        <v>-1236</v>
      </c>
    </row>
    <row r="20">
      <c r="A20" s="6" t="inlineStr">
        <is>
          <t>Amortisation of intangible assets</t>
        </is>
      </c>
      <c r="B20" s="6" t="n">
        <v>-826</v>
      </c>
      <c r="C20" s="6" t="n">
        <v>-730</v>
      </c>
      <c r="D20" s="6" t="n">
        <v>-459</v>
      </c>
      <c r="E20" s="6" t="n">
        <v>-461</v>
      </c>
      <c r="F20" s="6" t="n">
        <v>-653</v>
      </c>
    </row>
    <row r="21">
      <c r="A21" s="6" t="inlineStr">
        <is>
          <t>Other operating expenses</t>
        </is>
      </c>
      <c r="B21" s="6" t="n">
        <v>-2251</v>
      </c>
      <c r="C21" s="6" t="n">
        <v>-6351</v>
      </c>
      <c r="D21" s="6" t="n">
        <v>-6814</v>
      </c>
      <c r="E21" s="6" t="n">
        <v>-7471</v>
      </c>
      <c r="F21" s="6" t="n">
        <v>-7018</v>
      </c>
    </row>
    <row r="22">
      <c r="A22" s="5" t="inlineStr">
        <is>
          <t>Total operating expenses</t>
        </is>
      </c>
      <c r="B22" s="5" t="n">
        <v>-10659</v>
      </c>
      <c r="C22" s="5" t="n">
        <v>-14904</v>
      </c>
      <c r="D22" s="5" t="n">
        <v>-17662</v>
      </c>
      <c r="E22" s="5" t="n">
        <v>-19458</v>
      </c>
      <c r="F22" s="5" t="n">
        <v>-17889</v>
      </c>
    </row>
    <row r="23">
      <c r="A23" s="6" t="inlineStr">
        <is>
          <t>Net impairment gain/(losses)</t>
        </is>
      </c>
      <c r="B23" s="6" t="n">
        <v>3723</v>
      </c>
      <c r="C23" s="6" t="n">
        <v>3482</v>
      </c>
      <c r="D23" s="6" t="n">
        <v>-420</v>
      </c>
      <c r="E23" s="6" t="n">
        <v>-5325</v>
      </c>
      <c r="F23" s="6" t="n">
        <v>-1648</v>
      </c>
    </row>
    <row r="24">
      <c r="A24" s="5" t="inlineStr">
        <is>
          <t>Profit/(Loss) before tax</t>
        </is>
      </c>
      <c r="B24" s="5" t="n">
        <v>3104</v>
      </c>
      <c r="C24" s="5" t="n">
        <v>-2824</v>
      </c>
      <c r="D24" s="5" t="n">
        <v>-13904</v>
      </c>
      <c r="E24" s="5" t="n">
        <v>-5278</v>
      </c>
      <c r="F24" s="5" t="n">
        <v>5060</v>
      </c>
    </row>
    <row r="25">
      <c r="A25" s="6" t="inlineStr">
        <is>
          <t>Taxation credit/(expense)</t>
        </is>
      </c>
      <c r="B25" s="6" t="n">
        <v>-831</v>
      </c>
      <c r="C25" s="6" t="n">
        <v>4603</v>
      </c>
      <c r="D25" s="6" t="n">
        <v>-95</v>
      </c>
      <c r="E25" s="6" t="n">
        <v>1439</v>
      </c>
      <c r="F25" s="6" t="n">
        <v>622</v>
      </c>
    </row>
    <row r="26">
      <c r="A26" s="5" t="inlineStr">
        <is>
          <t>Profit/(Loss) for the year</t>
        </is>
      </c>
      <c r="B26" s="5" t="n">
        <v>2273</v>
      </c>
      <c r="C26" s="5" t="n">
        <v>1779</v>
      </c>
      <c r="D26" s="5" t="n">
        <v>-13999</v>
      </c>
      <c r="E26" s="5" t="n">
        <v>-3839</v>
      </c>
      <c r="F26" s="5" t="n">
        <v>5682</v>
      </c>
    </row>
    <row r="28" ht="220" customHeight="1">
      <c r="A28"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5 Companies House filings used are fully scanned/image-only; every figure was read from the rendered page image and cross-checked against the following year's own comparative column (all ties confirmed exact across the full 5-year chain: FY2021 closing = FY2022 opening = 87,968; FY2022 closing = FY2023 opening = 68,544; FY2023 closing = FY2024 opening = 54,575; FY2024 closing = FY2025 opening = 51,070).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2021 - 31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2021</t>
        </is>
      </c>
      <c r="B4" s="5" t="n">
        <v>102173</v>
      </c>
      <c r="C4" s="5" t="n">
        <v>1625</v>
      </c>
      <c r="D4" s="5" t="n">
        <v>-21420</v>
      </c>
      <c r="E4" s="5" t="n">
        <v>82378</v>
      </c>
    </row>
    <row r="5">
      <c r="A5" s="6" t="inlineStr">
        <is>
          <t>Profit for the year</t>
        </is>
      </c>
      <c r="B5" s="6" t="n"/>
      <c r="C5" s="6" t="n"/>
      <c r="D5" s="6" t="n">
        <v>5682</v>
      </c>
      <c r="E5" s="6" t="n">
        <v>5682</v>
      </c>
    </row>
    <row r="6">
      <c r="A6" s="6" t="inlineStr">
        <is>
          <t>Other comprehensive income</t>
        </is>
      </c>
      <c r="B6" s="6" t="n"/>
      <c r="C6" s="6" t="n">
        <v>-5479</v>
      </c>
      <c r="D6" s="6" t="n"/>
      <c r="E6" s="6" t="n">
        <v>-5479</v>
      </c>
    </row>
    <row r="7">
      <c r="A7" s="5" t="inlineStr">
        <is>
          <t>Balance as at 31 December 2021</t>
        </is>
      </c>
      <c r="B7" s="5" t="n">
        <v>102173</v>
      </c>
      <c r="C7" s="5" t="n">
        <v>-3854</v>
      </c>
      <c r="D7" s="5" t="n">
        <v>-15738</v>
      </c>
      <c r="E7" s="5" t="n">
        <v>82581</v>
      </c>
    </row>
    <row r="8">
      <c r="A8" s="5" t="inlineStr">
        <is>
          <t>Balance as at 1 January 2022</t>
        </is>
      </c>
      <c r="B8" s="5" t="n">
        <v>102173</v>
      </c>
      <c r="C8" s="5" t="n">
        <v>-3854</v>
      </c>
      <c r="D8" s="5" t="n">
        <v>-15738</v>
      </c>
      <c r="E8" s="5" t="n">
        <v>82581</v>
      </c>
    </row>
    <row r="9">
      <c r="A9" s="6" t="inlineStr">
        <is>
          <t>Loss for the year</t>
        </is>
      </c>
      <c r="B9" s="6" t="n"/>
      <c r="C9" s="6" t="n"/>
      <c r="D9" s="6" t="n">
        <v>-3839</v>
      </c>
      <c r="E9" s="6" t="n">
        <v>-3839</v>
      </c>
    </row>
    <row r="10">
      <c r="A10" s="6" t="inlineStr">
        <is>
          <t>Other comprehensive income</t>
        </is>
      </c>
      <c r="B10" s="6" t="n"/>
      <c r="C10" s="6" t="n">
        <v>-2991</v>
      </c>
      <c r="D10" s="6" t="n"/>
      <c r="E10" s="6" t="n">
        <v>-2991</v>
      </c>
    </row>
    <row r="11">
      <c r="A11" s="5" t="inlineStr">
        <is>
          <t>Balance as at 31 December 2022 (as originally reported)</t>
        </is>
      </c>
      <c r="B11" s="5" t="n">
        <v>102173</v>
      </c>
      <c r="C11" s="5" t="n">
        <v>-6845</v>
      </c>
      <c r="D11" s="5" t="n">
        <v>-19577</v>
      </c>
      <c r="E11" s="5" t="n">
        <v>75751</v>
      </c>
    </row>
    <row r="12">
      <c r="A12" s="5" t="inlineStr">
        <is>
          <t>Balance as at 1 January 2023 (restated - see note)</t>
        </is>
      </c>
      <c r="B12" s="5" t="n">
        <v>102173</v>
      </c>
      <c r="C12" s="5" t="n">
        <v>-6845</v>
      </c>
      <c r="D12" s="5" t="n">
        <v>-20294</v>
      </c>
      <c r="E12" s="5" t="n">
        <v>75034</v>
      </c>
    </row>
    <row r="13">
      <c r="A13" s="6" t="inlineStr">
        <is>
          <t>Loss for the year</t>
        </is>
      </c>
      <c r="B13" s="6" t="n"/>
      <c r="C13" s="6" t="n"/>
      <c r="D13" s="6" t="n">
        <v>-13999</v>
      </c>
      <c r="E13" s="6" t="n">
        <v>-13999</v>
      </c>
    </row>
    <row r="14">
      <c r="A14" s="6" t="inlineStr">
        <is>
          <t>Other comprehensive income</t>
        </is>
      </c>
      <c r="B14" s="6" t="n"/>
      <c r="C14" s="6" t="n">
        <v>4491</v>
      </c>
      <c r="D14" s="6" t="n"/>
      <c r="E14" s="6" t="n">
        <v>4491</v>
      </c>
    </row>
    <row r="15">
      <c r="A15" s="5" t="inlineStr">
        <is>
          <t>Balance as at 31 December 2023</t>
        </is>
      </c>
      <c r="B15" s="5" t="n">
        <v>102173</v>
      </c>
      <c r="C15" s="5" t="n">
        <v>-2354</v>
      </c>
      <c r="D15" s="5" t="n">
        <v>-34293</v>
      </c>
      <c r="E15" s="5" t="n">
        <v>65526</v>
      </c>
    </row>
    <row r="16">
      <c r="A16" s="5" t="inlineStr">
        <is>
          <t>Balance as at 1 January 2024</t>
        </is>
      </c>
      <c r="B16" s="5" t="n">
        <v>102173</v>
      </c>
      <c r="C16" s="5" t="n">
        <v>-2354</v>
      </c>
      <c r="D16" s="5" t="n">
        <v>-34293</v>
      </c>
      <c r="E16" s="5" t="n">
        <v>65526</v>
      </c>
    </row>
    <row r="17">
      <c r="A17" s="6" t="inlineStr">
        <is>
          <t>Profit for the year</t>
        </is>
      </c>
      <c r="B17" s="6" t="n"/>
      <c r="C17" s="6" t="n"/>
      <c r="D17" s="6" t="n">
        <v>1779</v>
      </c>
      <c r="E17" s="6" t="n">
        <v>1779</v>
      </c>
    </row>
    <row r="18">
      <c r="A18" s="6" t="inlineStr">
        <is>
          <t>Other comprehensive income</t>
        </is>
      </c>
      <c r="B18" s="6" t="n"/>
      <c r="C18" s="6" t="n">
        <v>866</v>
      </c>
      <c r="D18" s="6" t="n"/>
      <c r="E18" s="6" t="n">
        <v>866</v>
      </c>
    </row>
    <row r="19">
      <c r="A19" s="5" t="inlineStr">
        <is>
          <t>Balance as at 31 December 2024</t>
        </is>
      </c>
      <c r="B19" s="5" t="n">
        <v>102173</v>
      </c>
      <c r="C19" s="5" t="n">
        <v>-1488</v>
      </c>
      <c r="D19" s="5" t="n">
        <v>-32514</v>
      </c>
      <c r="E19" s="5" t="n">
        <v>68171</v>
      </c>
    </row>
    <row r="20">
      <c r="A20" s="5" t="inlineStr">
        <is>
          <t>Balance as at 1 January 2025</t>
        </is>
      </c>
      <c r="B20" s="5" t="n">
        <v>102173</v>
      </c>
      <c r="C20" s="5" t="n">
        <v>-1488</v>
      </c>
      <c r="D20" s="5" t="n">
        <v>-32514</v>
      </c>
      <c r="E20" s="5" t="n">
        <v>68171</v>
      </c>
    </row>
    <row r="21">
      <c r="A21" s="6" t="inlineStr">
        <is>
          <t>Profit for the year</t>
        </is>
      </c>
      <c r="B21" s="6" t="n"/>
      <c r="C21" s="6" t="n"/>
      <c r="D21" s="6" t="n">
        <v>2273</v>
      </c>
      <c r="E21" s="6" t="n">
        <v>2273</v>
      </c>
    </row>
    <row r="22">
      <c r="A22" s="6" t="inlineStr">
        <is>
          <t>Other comprehensive income</t>
        </is>
      </c>
      <c r="B22" s="6" t="n"/>
      <c r="C22" s="6" t="n">
        <v>185</v>
      </c>
      <c r="D22" s="6" t="n"/>
      <c r="E22" s="6" t="n">
        <v>185</v>
      </c>
    </row>
    <row r="23">
      <c r="A23" s="5" t="inlineStr">
        <is>
          <t>Balance as at 31 December 2025</t>
        </is>
      </c>
      <c r="B23" s="5" t="n">
        <v>102173</v>
      </c>
      <c r="C23" s="5" t="n">
        <v>-1303</v>
      </c>
      <c r="D23" s="5" t="n">
        <v>-30241</v>
      </c>
      <c r="E23" s="5" t="n">
        <v>70629</v>
      </c>
    </row>
    <row r="25" ht="150" customHeight="1">
      <c r="A2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5 Companies House filings used are fully scanned/image-only; every figure was read from the rendered page image and cross-checked against the following year's own comparative column (all ties confirmed exact across the full 5-year chain: FY2021 closing = FY2022 opening = 87,968; FY2022 closing = FY2023 opening = 68,544; FY2023 closing = FY2024 opening = 54,575; FY2024 closing = FY2025 opening = 51,070).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sheetData>
  <mergeCells count="1">
    <mergeCell ref="A25:E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continuing operating activities</t>
        </is>
      </c>
      <c r="B4" s="6" t="n"/>
      <c r="C4" s="6" t="n"/>
      <c r="D4" s="6" t="n"/>
      <c r="E4" s="6" t="n"/>
      <c r="F4" s="6" t="n"/>
    </row>
    <row r="5">
      <c r="A5" s="6" t="inlineStr">
        <is>
          <t>Profit/(loss) before tax</t>
        </is>
      </c>
      <c r="B5" s="6" t="n">
        <v>3104</v>
      </c>
      <c r="C5" s="6" t="n">
        <v>-2824</v>
      </c>
      <c r="D5" s="6" t="n">
        <v>-13904</v>
      </c>
      <c r="E5" s="6" t="n">
        <v>-5278</v>
      </c>
      <c r="F5" s="6" t="n">
        <v>5060</v>
      </c>
    </row>
    <row r="6">
      <c r="A6" s="6" t="inlineStr">
        <is>
          <t>Net interest income</t>
        </is>
      </c>
      <c r="B6" s="6" t="n">
        <v>-7089</v>
      </c>
      <c r="C6" s="6" t="n">
        <v>-5674</v>
      </c>
      <c r="D6" s="6" t="n">
        <v>-6774</v>
      </c>
      <c r="E6" s="6" t="n">
        <v>-15070</v>
      </c>
      <c r="F6" s="6" t="n">
        <v>-18581</v>
      </c>
    </row>
    <row r="7">
      <c r="A7" s="6" t="inlineStr">
        <is>
          <t>Interest received</t>
        </is>
      </c>
      <c r="B7" s="6" t="n">
        <v>13028</v>
      </c>
      <c r="C7" s="6" t="n">
        <v>12048</v>
      </c>
      <c r="D7" s="6" t="n">
        <v>20919</v>
      </c>
      <c r="E7" s="6" t="n">
        <v>19859</v>
      </c>
      <c r="F7" s="6" t="n">
        <v>27104</v>
      </c>
    </row>
    <row r="8">
      <c r="A8" s="6" t="inlineStr">
        <is>
          <t>Interest paid</t>
        </is>
      </c>
      <c r="B8" s="6" t="n">
        <v>-6175</v>
      </c>
      <c r="C8" s="6" t="n">
        <v>-6777</v>
      </c>
      <c r="D8" s="6" t="n">
        <v>-10607</v>
      </c>
      <c r="E8" s="6" t="n">
        <v>-7197</v>
      </c>
      <c r="F8" s="6" t="n">
        <v>-4236</v>
      </c>
    </row>
    <row r="9">
      <c r="A9" s="6" t="inlineStr">
        <is>
          <t>Change in operating assets</t>
        </is>
      </c>
      <c r="B9" s="6" t="n">
        <v>-54573</v>
      </c>
      <c r="C9" s="6" t="n">
        <v>-17912</v>
      </c>
      <c r="D9" s="6" t="n">
        <v>170939</v>
      </c>
      <c r="E9" s="6" t="n">
        <v>21084</v>
      </c>
      <c r="F9" s="6" t="n">
        <v>35264</v>
      </c>
    </row>
    <row r="10">
      <c r="A10" s="6" t="inlineStr">
        <is>
          <t>Change in operating liabilities</t>
        </is>
      </c>
      <c r="B10" s="6" t="n">
        <v>34977</v>
      </c>
      <c r="C10" s="6" t="n">
        <v>33274</v>
      </c>
      <c r="D10" s="6" t="n">
        <v>-189466</v>
      </c>
      <c r="E10" s="6" t="n">
        <v>-35633</v>
      </c>
      <c r="F10" s="6" t="n">
        <v>14726</v>
      </c>
    </row>
    <row r="11">
      <c r="A11" s="6" t="inlineStr">
        <is>
          <t>Other (non-cash) items included in profit before tax</t>
        </is>
      </c>
      <c r="B11" s="6" t="n">
        <v>-7125</v>
      </c>
      <c r="C11" s="6" t="n">
        <v>-1465</v>
      </c>
      <c r="D11" s="6" t="n">
        <v>18778</v>
      </c>
      <c r="E11" s="6" t="n">
        <v>-5399</v>
      </c>
      <c r="F11" s="6" t="n">
        <v>1625</v>
      </c>
    </row>
    <row r="12">
      <c r="A12" s="6" t="inlineStr">
        <is>
          <t>Corporation tax</t>
        </is>
      </c>
      <c r="B12" s="6" t="n"/>
      <c r="C12" s="6" t="n"/>
      <c r="D12" s="6" t="n">
        <v>0</v>
      </c>
      <c r="E12" s="6" t="n">
        <v>171</v>
      </c>
      <c r="F12" s="6" t="n">
        <v>-868</v>
      </c>
    </row>
    <row r="13">
      <c r="A13" s="5" t="inlineStr">
        <is>
          <t>Net cash flows from/(used in) operating activities</t>
        </is>
      </c>
      <c r="B13" s="5" t="n">
        <v>-23853</v>
      </c>
      <c r="C13" s="5" t="n">
        <v>10670</v>
      </c>
      <c r="D13" s="5" t="n">
        <v>-10115</v>
      </c>
      <c r="E13" s="5" t="n">
        <v>-27463</v>
      </c>
      <c r="F13" s="5" t="n">
        <v>60094</v>
      </c>
    </row>
    <row r="14">
      <c r="A14" s="5" t="inlineStr">
        <is>
          <t>Cash flows from investing activities</t>
        </is>
      </c>
      <c r="B14" s="6" t="n"/>
      <c r="C14" s="6" t="n"/>
      <c r="D14" s="6" t="n"/>
      <c r="E14" s="6" t="n"/>
      <c r="F14" s="6" t="n"/>
    </row>
    <row r="15">
      <c r="A15" s="6" t="inlineStr">
        <is>
          <t>Purchase of financial investments</t>
        </is>
      </c>
      <c r="B15" s="6" t="n">
        <v>-53189</v>
      </c>
      <c r="C15" s="6" t="n">
        <v>-44212</v>
      </c>
      <c r="D15" s="6" t="n">
        <v>-7685</v>
      </c>
      <c r="E15" s="6" t="n">
        <v>-6272</v>
      </c>
      <c r="F15" s="6" t="n">
        <v>-82228</v>
      </c>
    </row>
    <row r="16">
      <c r="A16" s="6" t="inlineStr">
        <is>
          <t>Proceeds from sales of financial investments</t>
        </is>
      </c>
      <c r="B16" s="6" t="n">
        <v>64477</v>
      </c>
      <c r="C16" s="6" t="n">
        <v>32257</v>
      </c>
      <c r="D16" s="6" t="n">
        <v>8036</v>
      </c>
      <c r="E16" s="6" t="n">
        <v>17338</v>
      </c>
      <c r="F16" s="6" t="n">
        <v>39068</v>
      </c>
    </row>
    <row r="17">
      <c r="A17" s="6" t="inlineStr">
        <is>
          <t>Purchase of Property, Plant and Equipment (and Right-of-use Assets)</t>
        </is>
      </c>
      <c r="B17" s="6" t="n">
        <v>-22</v>
      </c>
      <c r="C17" s="6" t="n">
        <v>-470</v>
      </c>
      <c r="D17" s="6" t="n">
        <v>-1550</v>
      </c>
      <c r="E17" s="6" t="n">
        <v>-233</v>
      </c>
      <c r="F17" s="6" t="n">
        <v>-66</v>
      </c>
    </row>
    <row r="18">
      <c r="A18" s="6" t="inlineStr">
        <is>
          <t>Purchase of intangible assets</t>
        </is>
      </c>
      <c r="B18" s="6" t="n">
        <v>-877</v>
      </c>
      <c r="C18" s="6" t="n">
        <v>-1569</v>
      </c>
      <c r="D18" s="6" t="n">
        <v>-1858</v>
      </c>
      <c r="E18" s="6" t="n">
        <v>-1744</v>
      </c>
      <c r="F18" s="6" t="n">
        <v>-745</v>
      </c>
    </row>
    <row r="19">
      <c r="A19" s="5" t="inlineStr">
        <is>
          <t>Net cash flows from/(used in) investing activities</t>
        </is>
      </c>
      <c r="B19" s="5" t="n">
        <v>10389</v>
      </c>
      <c r="C19" s="5" t="n">
        <v>-13994</v>
      </c>
      <c r="D19" s="5" t="n">
        <v>-3057</v>
      </c>
      <c r="E19" s="5" t="n">
        <v>9089</v>
      </c>
      <c r="F19" s="5" t="n">
        <v>-43971</v>
      </c>
    </row>
    <row r="20">
      <c r="A20" s="5" t="inlineStr">
        <is>
          <t>Cash flows from financing activities</t>
        </is>
      </c>
      <c r="B20" s="6" t="n"/>
      <c r="C20" s="6" t="n"/>
      <c r="D20" s="6" t="n"/>
      <c r="E20" s="6" t="n"/>
      <c r="F20" s="6" t="n"/>
    </row>
    <row r="21">
      <c r="A21" s="6" t="inlineStr">
        <is>
          <t>Repayment of lease principal</t>
        </is>
      </c>
      <c r="B21" s="6" t="n">
        <v>-89</v>
      </c>
      <c r="C21" s="6" t="n">
        <v>-181</v>
      </c>
      <c r="D21" s="6" t="n">
        <v>-797</v>
      </c>
      <c r="E21" s="6" t="n">
        <v>-1050</v>
      </c>
      <c r="F21" s="6" t="n">
        <v>-944</v>
      </c>
    </row>
    <row r="22">
      <c r="A22" s="5" t="inlineStr">
        <is>
          <t>Net cash flows from/(used in) financing activities</t>
        </is>
      </c>
      <c r="B22" s="5" t="n">
        <v>-89</v>
      </c>
      <c r="C22" s="5" t="n">
        <v>-181</v>
      </c>
      <c r="D22" s="5" t="n">
        <v>-797</v>
      </c>
      <c r="E22" s="5" t="n">
        <v>-1050</v>
      </c>
      <c r="F22" s="5" t="n">
        <v>-944</v>
      </c>
    </row>
    <row r="23">
      <c r="A23" s="5" t="inlineStr">
        <is>
          <t>Net increase/(decrease) in cash and cash equivalents</t>
        </is>
      </c>
      <c r="B23" s="5" t="n">
        <v>-13553</v>
      </c>
      <c r="C23" s="5" t="n">
        <v>-3505</v>
      </c>
      <c r="D23" s="5" t="n">
        <v>-13969</v>
      </c>
      <c r="E23" s="5" t="n">
        <v>-19424</v>
      </c>
      <c r="F23" s="5" t="n">
        <v>15179</v>
      </c>
    </row>
    <row r="24">
      <c r="A24" s="6" t="inlineStr">
        <is>
          <t>Cash and cash equivalents as at 1 January</t>
        </is>
      </c>
      <c r="B24" s="6" t="n">
        <v>51070</v>
      </c>
      <c r="C24" s="6" t="n">
        <v>54575</v>
      </c>
      <c r="D24" s="6" t="n">
        <v>68544</v>
      </c>
      <c r="E24" s="6" t="n">
        <v>87968</v>
      </c>
      <c r="F24" s="6" t="n">
        <v>72789</v>
      </c>
    </row>
    <row r="25">
      <c r="A25" s="5" t="inlineStr">
        <is>
          <t>Cash and cash equivalents as at 31 December</t>
        </is>
      </c>
      <c r="B25" s="5" t="n">
        <v>37517</v>
      </c>
      <c r="C25" s="5" t="n">
        <v>51070</v>
      </c>
      <c r="D25" s="5" t="n">
        <v>54575</v>
      </c>
      <c r="E25" s="5" t="n">
        <v>68544</v>
      </c>
      <c r="F25" s="5" t="n">
        <v>87968</v>
      </c>
    </row>
    <row r="27" ht="210" customHeight="1">
      <c r="A27"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5 Companies House filings used are fully scanned/image-only; every figure was read from the rendered page image and cross-checked against the following year's own comparative column (all ties confirmed exact across the full 5-year chain: FY2021 closing = FY2022 opening = 87,968; FY2022 closing = FY2023 opening = 68,544; FY2023 closing = FY2024 opening = 54,575; FY2024 closing = FY2025 opening = 51,070).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sheetData>
  <mergeCells count="1">
    <mergeCell ref="A27:F2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 - gross carrying amount</t>
        </is>
      </c>
      <c r="B4" s="6" t="n"/>
      <c r="C4" s="6" t="n"/>
      <c r="D4" s="6" t="n"/>
      <c r="E4" s="6" t="n"/>
      <c r="F4" s="6" t="n"/>
    </row>
    <row r="5">
      <c r="A5" s="6" t="inlineStr">
        <is>
          <t>Stage 1 - 12 months ECL</t>
        </is>
      </c>
      <c r="B5" s="6" t="n">
        <v>39023</v>
      </c>
      <c r="C5" s="6" t="n">
        <v>25334</v>
      </c>
      <c r="D5" s="6" t="n">
        <v>20047</v>
      </c>
      <c r="E5" s="6" t="n">
        <v>138815</v>
      </c>
      <c r="F5" s="6" t="n">
        <v>152521</v>
      </c>
    </row>
    <row r="6">
      <c r="A6" s="6" t="inlineStr">
        <is>
          <t>Stage 2 - Lifetime ECL</t>
        </is>
      </c>
      <c r="B6" s="6" t="n">
        <v>678</v>
      </c>
      <c r="C6" s="6" t="n">
        <v>3938</v>
      </c>
      <c r="D6" s="6" t="n">
        <v>6350</v>
      </c>
      <c r="E6" s="6" t="n">
        <v>7799</v>
      </c>
      <c r="F6" s="6" t="n">
        <v>0</v>
      </c>
    </row>
    <row r="7">
      <c r="A7" s="6" t="inlineStr">
        <is>
          <t>Stage 3 - Non performing - Lifetime ECL</t>
        </is>
      </c>
      <c r="B7" s="6" t="n">
        <v>2739</v>
      </c>
      <c r="C7" s="6" t="n">
        <v>4896</v>
      </c>
      <c r="D7" s="6" t="n">
        <v>7348</v>
      </c>
      <c r="E7" s="6" t="n">
        <v>8291</v>
      </c>
      <c r="F7" s="6" t="n">
        <v>15751</v>
      </c>
    </row>
    <row r="8">
      <c r="A8" s="5" t="inlineStr">
        <is>
          <t>Total gross carrying amount</t>
        </is>
      </c>
      <c r="B8" s="5" t="n">
        <v>42440</v>
      </c>
      <c r="C8" s="5" t="n">
        <v>34168</v>
      </c>
      <c r="D8" s="5" t="n">
        <v>33745</v>
      </c>
      <c r="E8" s="5" t="n">
        <v>154905</v>
      </c>
      <c r="F8" s="5" t="n">
        <v>168272</v>
      </c>
    </row>
    <row r="9">
      <c r="A9" s="5" t="inlineStr">
        <is>
          <t>Loss allowance by IFRS 9 stage</t>
        </is>
      </c>
      <c r="B9" s="6" t="n"/>
      <c r="C9" s="6" t="n"/>
      <c r="D9" s="6" t="n"/>
      <c r="E9" s="6" t="n"/>
      <c r="F9" s="6" t="n"/>
    </row>
    <row r="10">
      <c r="A10" s="6" t="inlineStr">
        <is>
          <t>Stage 1 - 12 months ECL</t>
        </is>
      </c>
      <c r="B10" s="6" t="n">
        <v>-49</v>
      </c>
      <c r="C10" s="6" t="n">
        <v>-51</v>
      </c>
      <c r="D10" s="6" t="n">
        <v>-106</v>
      </c>
      <c r="E10" s="6" t="n">
        <v>-568</v>
      </c>
      <c r="F10" s="6" t="n">
        <v>-837</v>
      </c>
    </row>
    <row r="11">
      <c r="A11" s="6" t="inlineStr">
        <is>
          <t>Stage 2 - Lifetime ECL</t>
        </is>
      </c>
      <c r="B11" s="6" t="n">
        <v>-29</v>
      </c>
      <c r="C11" s="6" t="n">
        <v>-236</v>
      </c>
      <c r="D11" s="6" t="n">
        <v>-114</v>
      </c>
      <c r="E11" s="6" t="n">
        <v>-127</v>
      </c>
      <c r="F11" s="6" t="n">
        <v>0</v>
      </c>
    </row>
    <row r="12">
      <c r="A12" s="6" t="inlineStr">
        <is>
          <t>Stage 3 - Non performing - Lifetime ECL</t>
        </is>
      </c>
      <c r="B12" s="6" t="n">
        <v>-410</v>
      </c>
      <c r="C12" s="6" t="n">
        <v>-4896</v>
      </c>
      <c r="D12" s="6" t="n">
        <v>-5193</v>
      </c>
      <c r="E12" s="6" t="n">
        <v>-5925</v>
      </c>
      <c r="F12" s="6" t="n">
        <v>-5419</v>
      </c>
    </row>
    <row r="13">
      <c r="A13" s="5" t="inlineStr">
        <is>
          <t>Total loss allowance</t>
        </is>
      </c>
      <c r="B13" s="5" t="n">
        <v>-488</v>
      </c>
      <c r="C13" s="5" t="n">
        <v>-5183</v>
      </c>
      <c r="D13" s="5" t="n">
        <v>-5413</v>
      </c>
      <c r="E13" s="5" t="n">
        <v>-6620</v>
      </c>
      <c r="F13" s="5" t="n">
        <v>-6256</v>
      </c>
    </row>
    <row r="14">
      <c r="A14" s="5" t="inlineStr">
        <is>
          <t>Carrying amount</t>
        </is>
      </c>
      <c r="B14" s="6" t="n"/>
      <c r="C14" s="6" t="n"/>
      <c r="D14" s="6" t="n"/>
      <c r="E14" s="6" t="n"/>
      <c r="F14" s="6" t="n"/>
    </row>
    <row r="15">
      <c r="A15" s="5" t="inlineStr">
        <is>
          <t>Loans and advances to customers (carrying amount)</t>
        </is>
      </c>
      <c r="B15" s="5" t="n">
        <v>41952</v>
      </c>
      <c r="C15" s="5" t="n">
        <v>28985</v>
      </c>
      <c r="D15" s="5" t="n">
        <v>28332</v>
      </c>
      <c r="E15" s="5" t="n">
        <v>148285</v>
      </c>
      <c r="F15" s="5" t="n">
        <v>162016</v>
      </c>
    </row>
    <row r="16">
      <c r="A16" s="5" t="inlineStr">
        <is>
          <t>Derived ratios</t>
        </is>
      </c>
      <c r="B16" s="6" t="n"/>
      <c r="C16" s="6" t="n"/>
      <c r="D16" s="6" t="n"/>
      <c r="E16" s="6" t="n"/>
      <c r="F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row>
    <row r="18">
      <c r="A18" s="6" t="inlineStr">
        <is>
          <t>Stage 3 / NPL ratio (Stage 3 gross / total gross)</t>
        </is>
      </c>
      <c r="B18" s="6" t="inlineStr">
        <is>
          <t>6.45%</t>
        </is>
      </c>
      <c r="C18" s="6" t="inlineStr">
        <is>
          <t>14.33%</t>
        </is>
      </c>
      <c r="D18" s="6" t="inlineStr">
        <is>
          <t>21.78%</t>
        </is>
      </c>
      <c r="E18" s="6" t="inlineStr">
        <is>
          <t>5.35%</t>
        </is>
      </c>
      <c r="F18" s="6" t="inlineStr">
        <is>
          <t>9.36%</t>
        </is>
      </c>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row>
    <row r="21" ht="150" customHeight="1">
      <c r="A21" s="8" t="inlineStr">
        <is>
          <t>Sources - Bank of Africa United Kingdom Plc's own Loans and advances to customers note (Note 16),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PRESENTATION NOTE: BOA UK's Loans and advances to customers note (Note 16 in every year's Annual Report) discloses only a single IFRS 9 stage breakdown - no by-product/by-sector split. Gross carrying amount FY2025 (42,440) + FY2024 (34,168) + FY2023 (33,745) + FY2022 (154,905) + FY2021 (168,272) and Carrying amount figures all tie exactly to the Balance Sheet's own 'Loans and advances to customers' line for each year.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5 Companies House filings used are fully scanned/image-only; every figure was read from the rendered page image and cross-checked against the following year's own comparative column (all ties confirmed exact across the full 5-year chain: FY2021 closing = FY2022 opening = 87,968; FY2022 closing = FY2023 opening = 68,544; FY2023 closing = FY2024 opening = 54,575; FY2024 closing = FY2025 opening = 51,070).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 Tier 1 capital; wholly CET1, no AT1 instruments)</t>
        </is>
      </c>
      <c r="B4" s="6" t="n">
        <v>41047</v>
      </c>
      <c r="C4" s="6" t="n">
        <v>45680</v>
      </c>
      <c r="D4" s="6" t="n">
        <v>44826</v>
      </c>
      <c r="E4" s="6" t="n">
        <v>55465</v>
      </c>
      <c r="F4" s="6" t="n">
        <v>59466</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 Tier 1 Capital Ratio)</t>
        </is>
      </c>
      <c r="B4" s="6" t="inlineStr">
        <is>
          <t>17.46%</t>
        </is>
      </c>
      <c r="C4" s="6" t="inlineStr">
        <is>
          <t>19.65%</t>
        </is>
      </c>
      <c r="D4" s="6" t="inlineStr">
        <is>
          <t>17.75%</t>
        </is>
      </c>
      <c r="E4" s="6" t="inlineStr">
        <is>
          <t>12.24%</t>
        </is>
      </c>
      <c r="F4" s="6" t="inlineStr">
        <is>
          <t>12.36%</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41047</v>
      </c>
      <c r="C4" s="6" t="n">
        <v>45680</v>
      </c>
      <c r="D4" s="6" t="n">
        <v>44826</v>
      </c>
      <c r="E4" s="6" t="n">
        <v>55465</v>
      </c>
      <c r="F4" s="6" t="n">
        <v>59466</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17.46%</t>
        </is>
      </c>
      <c r="C4" s="6" t="inlineStr">
        <is>
          <t>19.65%</t>
        </is>
      </c>
      <c r="D4" s="6" t="inlineStr">
        <is>
          <t>17.75%</t>
        </is>
      </c>
      <c r="E4" s="6" t="inlineStr">
        <is>
          <t>12.24%</t>
        </is>
      </c>
      <c r="F4" s="6" t="inlineStr">
        <is>
          <t>12.36%</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 (Tier 1 + Tier 2)</t>
        </is>
      </c>
      <c r="B4" s="6" t="n">
        <v>56485</v>
      </c>
      <c r="C4" s="6" t="n">
        <v>60323</v>
      </c>
      <c r="D4" s="6" t="n">
        <v>60197</v>
      </c>
      <c r="E4" s="6" t="n">
        <v>71130</v>
      </c>
      <c r="F4" s="6" t="n">
        <v>74498</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(Solvency Ratio)</t>
        </is>
      </c>
      <c r="B4" s="6" t="inlineStr">
        <is>
          <t>24.03%</t>
        </is>
      </c>
      <c r="C4" s="6" t="inlineStr">
        <is>
          <t>25.95%</t>
        </is>
      </c>
      <c r="D4" s="6" t="inlineStr">
        <is>
          <t>23.83%</t>
        </is>
      </c>
      <c r="E4" s="6" t="inlineStr">
        <is>
          <t>15.70%</t>
        </is>
      </c>
      <c r="F4" s="6" t="inlineStr">
        <is>
          <t>15.49%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(Credit RWA)</t>
        </is>
      </c>
      <c r="B4" s="6" t="n">
        <v>235076</v>
      </c>
      <c r="C4" s="6" t="n">
        <v>232412</v>
      </c>
      <c r="D4" s="6" t="n">
        <v>252608</v>
      </c>
      <c r="E4" s="6" t="n">
        <v>453124</v>
      </c>
      <c r="F4" s="6" t="n">
        <v>480918</v>
      </c>
    </row>
    <row r="6" ht="130" customHeight="1">
      <c r="A6"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counterparty credit risk)</t>
        </is>
      </c>
      <c r="B4" s="6" t="n"/>
      <c r="C4" s="6" t="n">
        <v>194090</v>
      </c>
      <c r="D4" s="6" t="n">
        <v>167168</v>
      </c>
      <c r="E4" s="6" t="n">
        <v>345166</v>
      </c>
      <c r="F4" s="6" t="n">
        <v>238172</v>
      </c>
    </row>
    <row r="5">
      <c r="A5" s="6" t="inlineStr">
        <is>
          <t>Counterparty credit risk (of which CVA)</t>
        </is>
      </c>
      <c r="B5" s="6" t="n"/>
      <c r="C5" s="6" t="n">
        <v>1442</v>
      </c>
      <c r="D5" s="6" t="n">
        <v>447</v>
      </c>
      <c r="E5" s="6" t="n">
        <v>246</v>
      </c>
      <c r="F5" s="6" t="n">
        <v>350</v>
      </c>
    </row>
    <row r="6">
      <c r="A6" s="6" t="inlineStr">
        <is>
          <t>Market risk</t>
        </is>
      </c>
      <c r="B6" s="6" t="n"/>
      <c r="C6" s="6" t="n">
        <v>7152</v>
      </c>
      <c r="D6" s="6" t="n">
        <v>45736</v>
      </c>
      <c r="E6" s="6" t="n">
        <v>67257</v>
      </c>
      <c r="F6" s="6" t="n">
        <v>206395</v>
      </c>
    </row>
    <row r="7">
      <c r="A7" s="6" t="inlineStr">
        <is>
          <t>Operational risk</t>
        </is>
      </c>
      <c r="B7" s="6" t="n"/>
      <c r="C7" s="6" t="n">
        <v>29727</v>
      </c>
      <c r="D7" s="6" t="n">
        <v>39255</v>
      </c>
      <c r="E7" s="6" t="n">
        <v>40455</v>
      </c>
      <c r="F7" s="6" t="n">
        <v>36001</v>
      </c>
    </row>
    <row r="8">
      <c r="A8" s="5" t="inlineStr">
        <is>
          <t>Total RWA</t>
        </is>
      </c>
      <c r="B8" s="5" t="n"/>
      <c r="C8" s="5" t="n">
        <v>232412</v>
      </c>
      <c r="D8" s="5" t="n">
        <v>252606</v>
      </c>
      <c r="E8" s="5" t="n">
        <v>453124</v>
      </c>
      <c r="F8" s="5" t="n">
        <v>480918</v>
      </c>
    </row>
    <row r="10" ht="150" customHeight="1">
      <c r="A10" s="8" t="inlineStr">
        <is>
          <t>Sources - Bank of Africa United Kingdom Plc's own Pillar 3 Disclosures, 'Overview of Risk Weighted Assets and Minimum Capital Required under Pillar 1' table, GBP'000: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PRESENTATION NOTE: FY2025 category breakdown not available - no FY2025 Pillar 3 disclosure has been published yet (same gap already noted on the Total RWAs and other Pillar 3 sheets), so only the aggregate Total RWA figure exists for that year and it is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17.67%</t>
        </is>
      </c>
      <c r="D4" s="6" t="inlineStr">
        <is>
          <t>20.66%</t>
        </is>
      </c>
      <c r="E4" s="6" t="inlineStr">
        <is>
          <t>13.98%</t>
        </is>
      </c>
      <c r="F4" s="6" t="inlineStr">
        <is>
          <t>11.51%</t>
        </is>
      </c>
    </row>
    <row r="5" ht="60" customHeight="1">
      <c r="A5" s="7" t="inlineStr">
        <is>
          <t>Note: No FY2025 figure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leverage ratio not found - no Pillar 3 edition published yet and the FY2025 Annual Report's Strategic Report does not state a leverage ratio; left blank rather than guessed.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212%</t>
        </is>
      </c>
      <c r="C4" s="6" t="inlineStr">
        <is>
          <t>207%</t>
        </is>
      </c>
      <c r="D4" s="6" t="inlineStr">
        <is>
          <t>351%</t>
        </is>
      </c>
      <c r="E4" s="6" t="inlineStr">
        <is>
          <t>207%</t>
        </is>
      </c>
      <c r="F4" s="6" t="inlineStr">
        <is>
          <t>203%</t>
        </is>
      </c>
    </row>
    <row r="5" ht="60" customHeight="1">
      <c r="A5" s="7" t="inlineStr">
        <is>
          <t>Note: FY2025 is an average-throughout-year figure (Annual Report); all other years are point-in-time at 31 December (Pillar 3 KM1)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173%</t>
        </is>
      </c>
      <c r="C4" s="6" t="inlineStr">
        <is>
          <t>146%</t>
        </is>
      </c>
      <c r="D4" s="6" t="n"/>
      <c r="E4" s="6" t="n"/>
      <c r="F4" s="6" t="n"/>
    </row>
    <row r="5" ht="60" customHeight="1">
      <c r="A5" s="7" t="inlineStr">
        <is>
          <t>Note: FY2021-FY2023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No MREL disclosure found in any Annual Report or Pillar 3 document for any year - no numeric ratio and no qualitative exemption statement either. BOA UK is a small, non-systemic entity; plausibly below the Bank of England's MREL-setting threshold, but left as not disclosed rather than assumed. Official Bank of Africa UK financial reports and Pillar 3 disclosures archive reviewed: https://www.bankofafricaunitedkingdom.co.uk/finances.html. The available official Pillar 3 reports are also cited directly above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2026-09-02T17:32:38Z</dcterms:created>
  <dcterms:modified xmlns:dcterms="http://purl.org/dc/terms/" xmlns:xsi="http://www.w3.org/2001/XMLSchema-instance" xsi:type="dcterms:W3CDTF">2026-09-02T17:32:38Z</dcterms:modified>
</cp:coreProperties>
</file>